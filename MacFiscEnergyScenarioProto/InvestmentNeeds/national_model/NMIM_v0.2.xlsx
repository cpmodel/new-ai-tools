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ettings" sheetId="3" state="visible" r:id="rId3"/>
    <sheet xmlns:r="http://schemas.openxmlformats.org/officeDocument/2006/relationships" name="Inputs" sheetId="4" state="visible" r:id="rId4"/>
    <sheet xmlns:r="http://schemas.openxmlformats.org/officeDocument/2006/relationships" name="MODULES-&gt;" sheetId="5" state="visible" r:id="rId5"/>
    <sheet xmlns:r="http://schemas.openxmlformats.org/officeDocument/2006/relationships" name="Mitigation" sheetId="6" state="visible" r:id="rId6"/>
    <sheet xmlns:r="http://schemas.openxmlformats.org/officeDocument/2006/relationships" name="Results_All" sheetId="7" state="visible" r:id="rId7"/>
    <sheet xmlns:r="http://schemas.openxmlformats.org/officeDocument/2006/relationships" name="Typology" sheetId="8" state="visible" r:id="rId8"/>
    <sheet xmlns:r="http://schemas.openxmlformats.org/officeDocument/2006/relationships" name="Check" sheetId="9" state="visible" r:id="rId9"/>
    <sheet xmlns:r="http://schemas.openxmlformats.org/officeDocument/2006/relationships" name="DATA-&gt;" sheetId="10" state="visible" r:id="rId10"/>
    <sheet xmlns:r="http://schemas.openxmlformats.org/officeDocument/2006/relationships" name="Data" sheetId="11" state="visible" r:id="rId11"/>
    <sheet xmlns:r="http://schemas.openxmlformats.org/officeDocument/2006/relationships" name="PowerMarket" sheetId="12" state="visible" r:id="rId12"/>
    <sheet xmlns:r="http://schemas.openxmlformats.org/officeDocument/2006/relationships" name="PyKey" sheetId="13" state="visible" r:id="rId13"/>
  </sheets>
  <definedNames>
    <definedName name="p_g_lr_lic">Inputs!$F$8</definedName>
    <definedName name="p_g_lr_lmic">Inputs!$F$9</definedName>
    <definedName name="p_g_lr_umic">Inputs!$F$10</definedName>
    <definedName name="p_g_lr_hic">Inputs!$F$11</definedName>
    <definedName name="p_g_conv_year">Inputs!$F$12</definedName>
    <definedName name="p_phi">Inputs!$F$13</definedName>
    <definedName name="p_pow_T_ae">Inputs!$F$14</definedName>
    <definedName name="p_pow_T_chn">Inputs!$F$15</definedName>
    <definedName name="p_pow_T_emdc">Inputs!$F$16</definedName>
    <definedName name="p_ev_T_ae">Inputs!$F$17</definedName>
    <definedName name="p_ev_T_chn">Inputs!$F$18</definedName>
    <definedName name="p_ev_T_emdc">Inputs!$F$19</definedName>
    <definedName name="p_bld_T_ae">Inputs!$F$20</definedName>
    <definedName name="p_bld_T_chn">Inputs!$F$21</definedName>
    <definedName name="p_bld_T_emdc">Inputs!$F$22</definedName>
    <definedName name="p_ind_a_ae">Inputs!$F$23</definedName>
    <definedName name="p_ind_a_chn">Inputs!$F$24</definedName>
    <definedName name="p_ind_a_emdc">Inputs!$F$25</definedName>
    <definedName name="p_ev0_ae">Inputs!$F$26</definedName>
    <definedName name="p_ev0_chn">Inputs!$F$27</definedName>
    <definedName name="p_ev0_emdc">Inputs!$F$28</definedName>
    <definedName name="p_evb35_ae">Inputs!$F$29</definedName>
    <definedName name="p_evb35_chn">Inputs!$F$30</definedName>
    <definedName name="p_evb35_emdc">Inputs!$F$31</definedName>
    <definedName name="p_sig0_ratio">Inputs!$F$32</definedName>
    <definedName name="p_fos_trend_cap">Inputs!$F$33</definedName>
    <definedName name="p_ev_ratio">Inputs!$F$34</definedName>
    <definedName name="p_hp_ratio">Inputs!$F$35</definedName>
    <definedName name="p_ind_elec_sh">Inputs!$F$36</definedName>
    <definedName name="p_ind_ratio">Inputs!$F$37</definedName>
    <definedName name="p_veh_gj">Inputs!$F$38</definedName>
    <definedName name="p_veh_life">Inputs!$F$39</definedName>
    <definedName name="p_ev_prem24">Inputs!$F$40</definedName>
    <definedName name="p_ev_parity">Inputs!$F$41</definedName>
    <definedName name="p_charger">Inputs!$F$42</definedName>
    <definedName name="p_ev_maint">Inputs!$F$43</definedName>
    <definedName name="p_veh_km">Inputs!$F$44</definedName>
    <definedName name="p_k_bld">Inputs!$F$45</definedName>
    <definedName name="p_k_ind">Inputs!$F$46</definedName>
    <definedName name="p_k_ccs">Inputs!$F$47</definedName>
    <definedName name="p_cbam_a_2050">Inputs!$F$48</definedName>
    <definedName name="p_capex_sol24">Inputs!$F$49</definedName>
    <definedName name="p_capex_wnd24">Inputs!$F$50</definedName>
    <definedName name="p_capex_gas">Inputs!$F$51</definedName>
    <definedName name="p_lr_sol">Inputs!$F$52</definedName>
    <definedName name="p_lr_wnd">Inputs!$F$53</definedName>
    <definedName name="p_cf_sol">Inputs!$F$54</definedName>
    <definedName name="p_cf_wnd">Inputs!$F$55</definedName>
    <definedName name="p_cf_fos">Inputs!$F$56</definedName>
    <definedName name="p_sh_sol">Inputs!$F$57</definedName>
    <definedName name="p_life_vre">Inputs!$F$58</definedName>
    <definedName name="p_life_fos">Inputs!$F$59</definedName>
    <definedName name="p_om_vre">Inputs!$F$60</definedName>
    <definedName name="p_om_fos">Inputs!$F$61</definedName>
    <definedName name="p_grid_ratio">Inputs!$F$62</definedName>
    <definedName name="p_st_h">Inputs!$F$63</definedName>
    <definedName name="p_capex_st24">Inputs!$F$64</definedName>
    <definedName name="p_lr_st">Inputs!$F$65</definedName>
    <definedName name="p_hr_coa">Inputs!$F$66</definedName>
    <definedName name="p_hr_nga">Inputs!$F$67</definedName>
    <definedName name="p_hr_oil">Inputs!$F$68</definedName>
    <definedName name="p_ef_coa">Inputs!$F$69</definedName>
    <definedName name="p_ef_nga">Inputs!$F$70</definedName>
    <definedName name="p_ef_gso">Inputs!$F$71</definedName>
    <definedName name="p_ef_die">Inputs!$F$72</definedName>
    <definedName name="p_ef_lpg">Inputs!$F$73</definedName>
    <definedName name="p_ef_ker">Inputs!$F$74</definedName>
    <definedName name="p_ef_oil">Inputs!$F$75</definedName>
    <definedName name="p_nc_2030">Inputs!$F$76</definedName>
    <definedName name="p_nc_2050">Inputs!$F$77</definedName>
    <definedName name="p_cpt_nc">Inputs!$F$78</definedName>
    <definedName name="p_cpt_afolu">Inputs!$F$79</definedName>
    <definedName name="p_cpt_res">Inputs!$F$80</definedName>
    <definedName name="p_lu_T">Inputs!$F$81</definedName>
    <definedName name="p_iea24_ae">Inputs!$F$82</definedName>
    <definedName name="p_iea24_chn">Inputs!$F$83</definedName>
    <definedName name="p_iea24_emdc">Inputs!$F$84</definedName>
    <definedName name="p_r_wb">Inputs!$F$85</definedName>
    <definedName name="p_life_bld">Inputs!$F$86</definedName>
    <definedName name="p_life_ind">Inputs!$F$87</definedName>
    <definedName name="p_life_grid">Inputs!$F$88</definedName>
    <definedName name="p_ty_g2_vi">Inputs!$F$89</definedName>
    <definedName name="p_ty_g2_sb">Inputs!$F$90</definedName>
    <definedName name="p_ty_g2_wm">Inputs!$F$91</definedName>
    <definedName name="p_ty_g3_vi">Inputs!$F$92</definedName>
    <definedName name="p_ty_g3_sb">Inputs!$F$93</definedName>
    <definedName name="p_ty_g3_wm">Inputs!$F$94</definedName>
    <definedName name="p_ty_r3_vi">Inputs!$F$95</definedName>
    <definedName name="p_ty_r3_sb">Inputs!$F$96</definedName>
    <definedName name="p_ty_r3_wm">Inputs!$F$97</definedName>
    <definedName name="p_ty_cr_gap">Inputs!$F$98</definedName>
    <definedName name="p_ty_ku1">Inputs!$F$99</definedName>
    <definedName name="p_ty_ku4">Inputs!$F$100</definedName>
    <definedName name="p_ty_kur">Inputs!$F$101</definedName>
    <definedName name="p_ty_acc_lic">Inputs!$F$102</definedName>
    <definedName name="p_ty_acc_lmic">Inputs!$F$103</definedName>
    <definedName name="p_ty_h_span">Inputs!$F$104</definedName>
    <definedName name="p_ty_kh">Inputs!$F$105</definedName>
    <definedName name="p_ty_v_span">Inputs!$F$106</definedName>
    <definedName name="p_ty_kv">Inputs!$F$107</definedName>
    <definedName name="p_ty_ci_lic">Inputs!$F$108</definedName>
    <definedName name="p_ty_ci_lmic">Inputs!$F$109</definedName>
    <definedName name="p_ty_t1_lic">Inputs!$F$110</definedName>
    <definedName name="p_ty_t1_lmic">Inputs!$F$111</definedName>
    <definedName name="p_ty_t1_umic">Inputs!$F$112</definedName>
    <definedName name="p_ty_t1_hic">Inputs!$F$113</definedName>
    <definedName name="p_ty_t3">Inputs!$F$114</definedName>
    <definedName name="p_ty_b1_lic">Inputs!$F$115</definedName>
    <definedName name="p_ty_b1_lmic">Inputs!$F$116</definedName>
    <definedName name="p_ty_b1_umic">Inputs!$F$117</definedName>
    <definedName name="p_ty_b1_hic">Inputs!$F$118</definedName>
    <definedName name="p_ty_i4">Inputs!$F$119</definedName>
    <definedName name="p_ty_n1_lic">Inputs!$F$120</definedName>
    <definedName name="p_ty_n1_lmic">Inputs!$F$121</definedName>
    <definedName name="p_ty_n1_umic">Inputs!$F$122</definedName>
    <definedName name="p_ty_n1_hic">Inputs!$F$123</definedName>
    <definedName name="p_ty_n5">Inputs!$F$124</definedName>
    <definedName name="p_ty_l1_lic">Inputs!$F$125</definedName>
    <definedName name="p_ty_l1_lmic">Inputs!$F$126</definedName>
    <definedName name="p_ty_l1_umic">Inputs!$F$127</definedName>
    <definedName name="p_ty_l1_hic">Inputs!$F$128</definedName>
    <definedName name="p_ty_cal_pow">Inputs!$F$129</definedName>
    <definedName name="p_ty_p4_gap">Inputs!$F$130</definedName>
    <definedName name="_xlnm._FilterDatabase" localSheetId="6" hidden="1">'Results_All'!$A$4:$AF$190</definedName>
    <definedName name="_xlnm._FilterDatabase" localSheetId="11" hidden="1">'PowerMarket'!$A$3:$T$189</definedName>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0);-"/>
  </numFmts>
  <fonts count="9">
    <font>
      <name val="Calibri"/>
      <family val="2"/>
      <color theme="1"/>
      <sz val="11"/>
      <scheme val="minor"/>
    </font>
    <font>
      <name val="Arial"/>
      <b val="1"/>
      <sz val="9"/>
    </font>
    <font>
      <name val="Arial"/>
      <sz val="9"/>
    </font>
    <font>
      <name val="Arial"/>
      <b val="1"/>
      <color rgb="00FFFFFF"/>
      <sz val="14"/>
    </font>
    <font>
      <name val="Arial"/>
      <b val="1"/>
      <color rgb="000000FF"/>
      <sz val="11"/>
    </font>
    <font>
      <name val="Arial"/>
      <i val="1"/>
      <color rgb="00595959"/>
      <sz val="8"/>
    </font>
    <font>
      <name val="Arial"/>
      <color rgb="000000FF"/>
      <sz val="9"/>
    </font>
    <font>
      <name val="Arial"/>
      <b val="1"/>
      <color rgb="00FFFFFF"/>
      <sz val="9"/>
    </font>
    <font>
      <name val="Arial"/>
      <b val="1"/>
      <sz val="12"/>
    </font>
  </fonts>
  <fills count="8">
    <fill>
      <patternFill/>
    </fill>
    <fill>
      <patternFill patternType="gray125"/>
    </fill>
    <fill>
      <patternFill patternType="solid">
        <fgColor rgb="00EBF1DE"/>
      </patternFill>
    </fill>
    <fill>
      <patternFill patternType="solid">
        <fgColor rgb="0000B050"/>
      </patternFill>
    </fill>
    <fill>
      <patternFill patternType="solid">
        <fgColor rgb="0092D050"/>
      </patternFill>
    </fill>
    <fill>
      <patternFill patternType="solid">
        <fgColor rgb="00DCE6F1"/>
      </patternFill>
    </fill>
    <fill>
      <patternFill patternType="solid">
        <fgColor rgb="00DDD9C4"/>
      </patternFill>
    </fill>
    <fill>
      <patternFill patternType="solid">
        <fgColor rgb="00FFF2CC"/>
      </patternFill>
    </fill>
  </fills>
  <borders count="1">
    <border>
      <left/>
      <right/>
      <top/>
      <bottom/>
      <diagonal/>
    </border>
  </borders>
  <cellStyleXfs count="1">
    <xf numFmtId="0" fontId="0" fillId="0" borderId="0"/>
  </cellStyleXfs>
  <cellXfs count="32">
    <xf numFmtId="0" fontId="0" fillId="0" borderId="0" pivotButton="0" quotePrefix="0" xfId="0"/>
    <xf numFmtId="0" fontId="3" fillId="3" borderId="0" pivotButton="0" quotePrefix="0" xfId="0"/>
    <xf numFmtId="0" fontId="0" fillId="3" borderId="0" pivotButton="0" quotePrefix="0" xfId="0"/>
    <xf numFmtId="0" fontId="1" fillId="0" borderId="0" pivotButton="0" quotePrefix="0" xfId="0"/>
    <xf numFmtId="0" fontId="2" fillId="0" borderId="0" applyAlignment="1" pivotButton="0" quotePrefix="0" xfId="0">
      <alignment vertical="top" wrapText="1"/>
    </xf>
    <xf numFmtId="0" fontId="8" fillId="0" borderId="0" pivotButton="0" quotePrefix="0" xfId="0"/>
    <xf numFmtId="0" fontId="5" fillId="0" borderId="0" pivotButton="0" quotePrefix="0" xfId="0"/>
    <xf numFmtId="0" fontId="7" fillId="3" borderId="0" pivotButton="0" quotePrefix="0" xfId="0"/>
    <xf numFmtId="167" fontId="2" fillId="0" borderId="0" pivotButton="0" quotePrefix="0" xfId="0"/>
    <xf numFmtId="0" fontId="2" fillId="0" borderId="0" pivotButton="0" quotePrefix="0" xfId="0"/>
    <xf numFmtId="167" fontId="2" fillId="7" borderId="0" pivotButton="0" quotePrefix="0" xfId="0"/>
    <xf numFmtId="0" fontId="4" fillId="2" borderId="0" pivotButton="0" quotePrefix="0" xfId="0"/>
    <xf numFmtId="0" fontId="1" fillId="4" borderId="0" pivotButton="0" quotePrefix="0" xfId="0"/>
    <xf numFmtId="0" fontId="0" fillId="4" borderId="0" pivotButton="0" quotePrefix="0" xfId="0"/>
    <xf numFmtId="0" fontId="2" fillId="2" borderId="0" pivotButton="0" quotePrefix="0" xfId="0"/>
    <xf numFmtId="0" fontId="6" fillId="2" borderId="0" pivotButton="0" quotePrefix="0" xfId="0"/>
    <xf numFmtId="164" fontId="0" fillId="4" borderId="0" pivotButton="0" quotePrefix="0" xfId="0"/>
    <xf numFmtId="164" fontId="2" fillId="0" borderId="0" pivotButton="0" quotePrefix="0" xfId="0"/>
    <xf numFmtId="0" fontId="2" fillId="5" borderId="0" pivotButton="0" quotePrefix="0" xfId="0"/>
    <xf numFmtId="164" fontId="2" fillId="6" borderId="0" pivotButton="0" quotePrefix="0" xfId="0"/>
    <xf numFmtId="0" fontId="2" fillId="7" borderId="0" pivotButton="0" quotePrefix="0" xfId="0"/>
    <xf numFmtId="164" fontId="2" fillId="7" borderId="0" pivotButton="0" quotePrefix="0" xfId="0"/>
    <xf numFmtId="0" fontId="7" fillId="3" borderId="0" applyAlignment="1" pivotButton="0" quotePrefix="0" xfId="0">
      <alignment vertical="center" wrapText="1"/>
    </xf>
    <xf numFmtId="165" fontId="2" fillId="0" borderId="0" pivotButton="0" quotePrefix="0" xfId="0"/>
    <xf numFmtId="166" fontId="2" fillId="0" borderId="0" pivotButton="0" quotePrefix="0" xfId="0"/>
    <xf numFmtId="1" fontId="2" fillId="0" borderId="0" pivotButton="0" quotePrefix="0" xfId="0"/>
    <xf numFmtId="2" fontId="2" fillId="0" borderId="0" pivotButton="0" quotePrefix="0" xfId="0"/>
    <xf numFmtId="49" fontId="2" fillId="0" borderId="0" pivotButton="0" quotePrefix="0" xfId="0"/>
    <xf numFmtId="4" fontId="2" fillId="0" borderId="0" pivotButton="0" quotePrefix="0" xfId="0"/>
    <xf numFmtId="9" fontId="2" fillId="0" borderId="0" pivotButton="0" quotePrefix="0" xfId="0"/>
    <xf numFmtId="0" fontId="0" fillId="7"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GHG emissions, baseline and net zero (MtCO2e)</a:t>
            </a:r>
          </a:p>
        </rich>
      </tx>
    </title>
    <plotArea>
      <lineChart>
        <grouping val="standard"/>
        <ser>
          <idx val="0"/>
          <order val="0"/>
          <tx>
            <v>Baseline</v>
          </tx>
          <spPr>
            <a:ln xmlns:a="http://schemas.openxmlformats.org/drawingml/2006/main">
              <a:prstDash val="solid"/>
            </a:ln>
          </spPr>
          <marker>
            <symbol val="none"/>
            <spPr>
              <a:ln xmlns:a="http://schemas.openxmlformats.org/drawingml/2006/main">
                <a:prstDash val="solid"/>
              </a:ln>
            </spPr>
          </marker>
          <cat>
            <numRef>
              <f>'Mitigation'!$N$1:$AN$1</f>
            </numRef>
          </cat>
          <val>
            <numRef>
              <f>'Mitigation'!$N$200:$AN$200</f>
            </numRef>
          </val>
        </ser>
        <ser>
          <idx val="1"/>
          <order val="1"/>
          <tx>
            <v>Net zero</v>
          </tx>
          <spPr>
            <a:ln xmlns:a="http://schemas.openxmlformats.org/drawingml/2006/main">
              <a:prstDash val="solid"/>
            </a:ln>
          </spPr>
          <marker>
            <symbol val="none"/>
            <spPr>
              <a:ln xmlns:a="http://schemas.openxmlformats.org/drawingml/2006/main">
                <a:prstDash val="solid"/>
              </a:ln>
            </spPr>
          </marker>
          <cat>
            <numRef>
              <f>'Mitigation'!$N$1:$AN$1</f>
            </numRef>
          </cat>
          <val>
            <numRef>
              <f>'Mitigation'!$N$206:$AN$206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Net zero investment by type (USD bn)</a:t>
            </a:r>
          </a:p>
        </rich>
      </tx>
    </title>
    <plotArea>
      <barChart>
        <barDir val="col"/>
        <grouping val="stacked"/>
        <ser>
          <idx val="0"/>
          <order val="0"/>
          <tx>
            <v>P1 pure public</v>
          </tx>
          <spPr>
            <a:ln xmlns:a="http://schemas.openxmlformats.org/drawingml/2006/main">
              <a:prstDash val="solid"/>
            </a:ln>
          </spPr>
          <cat>
            <numRef>
              <f>'Typology'!$C$32:$H$32</f>
            </numRef>
          </cat>
          <val>
            <numRef>
              <f>'Typology'!$C$33:$H$33</f>
            </numRef>
          </val>
        </ser>
        <ser>
          <idx val="1"/>
          <order val="1"/>
          <tx>
            <v>P2 regulated utility</v>
          </tx>
          <spPr>
            <a:ln xmlns:a="http://schemas.openxmlformats.org/drawingml/2006/main">
              <a:prstDash val="solid"/>
            </a:ln>
          </spPr>
          <cat>
            <numRef>
              <f>'Typology'!$C$32:$H$32</f>
            </numRef>
          </cat>
          <val>
            <numRef>
              <f>'Typology'!$C$34:$H$34</f>
            </numRef>
          </val>
        </ser>
        <ser>
          <idx val="2"/>
          <order val="2"/>
          <tx>
            <v>P3 contracted revenue</v>
          </tx>
          <spPr>
            <a:ln xmlns:a="http://schemas.openxmlformats.org/drawingml/2006/main">
              <a:prstDash val="solid"/>
            </a:ln>
          </spPr>
          <cat>
            <numRef>
              <f>'Typology'!$C$32:$H$32</f>
            </numRef>
          </cat>
          <val>
            <numRef>
              <f>'Typology'!$C$35:$H$35</f>
            </numRef>
          </val>
        </ser>
        <ser>
          <idx val="3"/>
          <order val="3"/>
          <tx>
            <v>P4 viability gap</v>
          </tx>
          <spPr>
            <a:ln xmlns:a="http://schemas.openxmlformats.org/drawingml/2006/main">
              <a:prstDash val="solid"/>
            </a:ln>
          </spPr>
          <cat>
            <numRef>
              <f>'Typology'!$C$32:$H$32</f>
            </numRef>
          </cat>
          <val>
            <numRef>
              <f>'Typology'!$C$36:$H$36</f>
            </numRef>
          </val>
        </ser>
        <ser>
          <idx val="4"/>
          <order val="4"/>
          <tx>
            <v>P5 pure private</v>
          </tx>
          <spPr>
            <a:ln xmlns:a="http://schemas.openxmlformats.org/drawingml/2006/main">
              <a:prstDash val="solid"/>
            </a:ln>
          </spPr>
          <cat>
            <numRef>
              <f>'Typology'!$C$32:$H$32</f>
            </numRef>
          </cat>
          <val>
            <numRef>
              <f>'Typology'!$C$37:$H$37</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30</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9</col>
      <colOff>0</colOff>
      <row>4</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D10"/>
  <sheetViews>
    <sheetView zoomScale="90" workbookViewId="0">
      <selection activeCell="A1" sqref="A1"/>
    </sheetView>
  </sheetViews>
  <sheetFormatPr baseColWidth="8" defaultRowHeight="15"/>
  <cols>
    <col width="14" customWidth="1" min="1" max="1"/>
    <col width="130" customWidth="1" min="2" max="2"/>
  </cols>
  <sheetData>
    <row r="1">
      <c r="A1" s="1" t="inlineStr">
        <is>
          <t>NMIM v0.2 - National Mitigation Investment Model (simplified)</t>
        </is>
      </c>
      <c r="B1" s="2" t="n"/>
      <c r="C1" s="2" t="n"/>
      <c r="D1" s="2" t="n"/>
    </row>
    <row r="3" ht="39" customHeight="1">
      <c r="A3" s="3" t="inlineStr">
        <is>
          <t>What it is</t>
        </is>
      </c>
      <c r="B3" s="4" t="inlineStr">
        <is>
          <t>A simplified national model of net zero mitigation investment for 186 countries, annual 2024-2050, built to CPAT norms. For each country it projects baseline (current trends) and net zero energy use, power capacity, investment by sector, emissions, fuel bills and air pollution, and the incremental cost of the net zero path under three lenses: (a) market WACC, (b) World Bank 6%, (c) 6% with local co-benefits.</t>
        </is>
      </c>
    </row>
    <row r="4" ht="39" customHeight="1">
      <c r="A4" s="3" t="inlineStr">
        <is>
          <t>How to use</t>
        </is>
      </c>
      <c r="B4" s="4" t="inlineStr">
        <is>
          <t>Choose a country on Settings!C4. Mitigation recalculates in live formulas (CPAT layout: K = 2021 ... N = 2024 base year ... AN = 2050). Dashboard summarises it. Inputs holds every parameter (MTInputs column structure; edit column G). Results_All holds every country from the Python engine; Check compares the two.</t>
        </is>
      </c>
    </row>
    <row r="5" ht="52" customHeight="1">
      <c r="A5" s="3" t="inlineStr">
        <is>
          <t>Method</t>
        </is>
      </c>
      <c r="B5" s="4" t="inlineStr">
        <is>
          <t>See NMIM_Method_v0_2.md. Baseline end use follows CPAT's activity equation with CPAT income-group elasticities and prices fixed in real terms; net zero applies sector transformations (EV sales, heat electrification, industrial abatement, fossil-free power by group target year); power capacity is a stock model with lives and learning; clean investment not modelled bottom-up is calibrated to IEA 2024 by group and added to both scenarios; incremental cost sums capital charges on incremental capital in service.</t>
        </is>
      </c>
    </row>
    <row r="6" ht="26" customHeight="1">
      <c r="A6" s="3" t="inlineStr">
        <is>
          <t>Consistency</t>
        </is>
      </c>
      <c r="B6" s="4" t="inlineStr">
        <is>
          <t>Codes and data follow CPAT (IMF CPAT 2024 panel; mit.&lt;indicator&gt;.&lt;fuel&gt;.&lt;sector&gt;.&lt;scenario&gt;). CBAM goods process CO2 comes from the CBAM Policy Tool's Country data. Market WACC is the v1.1 investment-needs workbook's (observed, Damodaran or IHLEG default).</t>
        </is>
      </c>
    </row>
    <row r="7" ht="14" customHeight="1">
      <c r="A7" s="3" t="inlineStr">
        <is>
          <t>Colours</t>
        </is>
      </c>
      <c r="B7" s="4" t="inlineStr">
        <is>
          <t>Title 00B050; section 92D050; inputs EBF1DE (blue text); codes DCE6F1; base year DDD9C4; results to review FFF2CC.</t>
        </is>
      </c>
    </row>
    <row r="8" ht="39" customHeight="1">
      <c r="A8" s="3" t="inlineStr">
        <is>
          <t>Typology</t>
        </is>
      </c>
      <c r="B8" s="4" t="inlineStr">
        <is>
          <t>v0.2 splits every investment line into five types by who pays (P1 pure public, P2 regulated utility, P3 contracted revenue, P4 viability gap, P5 pure private). Shares depend on the country's power market structure (PowerMarket sheet: PSRT, PPI, curated), electricity cost recovery (CPAT), market WACC, explicit fossil subsidies and income group (Mitigation section 1 and 12; Typology sheet). Direct budget need = P1 + the public gap share of P4.</t>
        </is>
      </c>
    </row>
    <row r="9" ht="26" customHeight="1">
      <c r="A9" s="3" t="inlineStr">
        <is>
          <t>Caveats</t>
        </is>
      </c>
      <c r="B9" s="4" t="inlineStr">
        <is>
          <t>Simplified: no price response, no power optimisation, car-equivalent vehicles, assumed transformation dates; several formulas exceed the 100-character norm (to be split). Parameters marked † are assumptions.</t>
        </is>
      </c>
    </row>
    <row r="10" ht="39" customHeight="1">
      <c r="A10" s="3" t="inlineStr">
        <is>
          <t>Version log</t>
        </is>
      </c>
      <c r="B10" s="4" t="inlineStr">
        <is>
          <t>v0.2 | 2026-10-20 | Investment typology (who pays) by country and sector; power market data (PowerMarket); industry and non-CO2 spending split into their parts; results otherwise unchanged from v0.1.
v0.1 | 2026-10-20 | First build: 186 countries, 11 end-use rows, power stock model, IEA 2024 calibration of investment levels; three lenses; workbook = Python on key rows (Check).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zoomScale="90" workbookViewId="0">
      <selection activeCell="A1" sqref="A1"/>
    </sheetView>
  </sheetViews>
  <sheetFormatPr baseColWidth="8" defaultRowHeight="15"/>
  <cols>
    <col width="40" customWidth="1" min="2" max="2"/>
  </cols>
  <sheetData>
    <row r="1">
      <c r="A1" s="1" t="inlineStr">
        <is>
          <t>NMIM - Dashboard (selected country)</t>
        </is>
      </c>
      <c r="B1" s="2" t="n"/>
      <c r="C1" s="2" t="n"/>
      <c r="D1" s="2" t="n"/>
      <c r="E1" s="2" t="n"/>
      <c r="F1" s="2" t="n"/>
      <c r="G1" s="2" t="n"/>
      <c r="H1" s="2" t="n"/>
      <c r="I1" s="2" t="n"/>
    </row>
    <row r="3">
      <c r="B3" t="inlineStr">
        <is>
          <t>Country</t>
        </is>
      </c>
      <c r="C3" s="5">
        <f>Settings!C5</f>
        <v/>
      </c>
    </row>
    <row r="5">
      <c r="B5" s="6" t="inlineStr">
        <is>
          <t>USD bn a year unless stated</t>
        </is>
      </c>
    </row>
    <row r="6">
      <c r="B6" s="7" t="inlineStr">
        <is>
          <t>Item</t>
        </is>
      </c>
      <c r="C6" s="7" t="n">
        <v>2025</v>
      </c>
      <c r="D6" s="7" t="n">
        <v>2030</v>
      </c>
      <c r="E6" s="7" t="n">
        <v>2035</v>
      </c>
      <c r="F6" s="7" t="n">
        <v>2040</v>
      </c>
      <c r="G6" s="7" t="n">
        <v>2045</v>
      </c>
      <c r="H6" s="7" t="n">
        <v>2050</v>
      </c>
    </row>
    <row r="7">
      <c r="B7" s="3" t="inlineStr">
        <is>
          <t>GDP (2024 USD bn)</t>
        </is>
      </c>
      <c r="C7" s="8">
        <f>Mitigation!O86</f>
        <v/>
      </c>
      <c r="D7" s="8">
        <f>Mitigation!T86</f>
        <v/>
      </c>
      <c r="E7" s="8">
        <f>Mitigation!Y86</f>
        <v/>
      </c>
      <c r="F7" s="8">
        <f>Mitigation!AD86</f>
        <v/>
      </c>
      <c r="G7" s="8">
        <f>Mitigation!AI86</f>
        <v/>
      </c>
      <c r="H7" s="8">
        <f>Mitigation!AN86</f>
        <v/>
      </c>
    </row>
    <row r="8">
      <c r="B8" s="3" t="inlineStr">
        <is>
          <t>Investment, baseline</t>
        </is>
      </c>
      <c r="C8" s="8">
        <f>Mitigation!O220</f>
        <v/>
      </c>
      <c r="D8" s="8">
        <f>Mitigation!T220</f>
        <v/>
      </c>
      <c r="E8" s="8">
        <f>Mitigation!Y220</f>
        <v/>
      </c>
      <c r="F8" s="8">
        <f>Mitigation!AD220</f>
        <v/>
      </c>
      <c r="G8" s="8">
        <f>Mitigation!AI220</f>
        <v/>
      </c>
      <c r="H8" s="8">
        <f>Mitigation!AN220</f>
        <v/>
      </c>
    </row>
    <row r="9">
      <c r="B9" s="3" t="inlineStr">
        <is>
          <t>Investment, net zero</t>
        </is>
      </c>
      <c r="C9" s="8">
        <f>Mitigation!O221</f>
        <v/>
      </c>
      <c r="D9" s="8">
        <f>Mitigation!T221</f>
        <v/>
      </c>
      <c r="E9" s="8">
        <f>Mitigation!Y221</f>
        <v/>
      </c>
      <c r="F9" s="8">
        <f>Mitigation!AD221</f>
        <v/>
      </c>
      <c r="G9" s="8">
        <f>Mitigation!AI221</f>
        <v/>
      </c>
      <c r="H9" s="8">
        <f>Mitigation!AN221</f>
        <v/>
      </c>
    </row>
    <row r="10">
      <c r="B10" s="3" t="inlineStr">
        <is>
          <t>Incremental investment</t>
        </is>
      </c>
      <c r="C10" s="8">
        <f>Mitigation!O222</f>
        <v/>
      </c>
      <c r="D10" s="8">
        <f>Mitigation!T222</f>
        <v/>
      </c>
      <c r="E10" s="8">
        <f>Mitigation!Y222</f>
        <v/>
      </c>
      <c r="F10" s="8">
        <f>Mitigation!AD222</f>
        <v/>
      </c>
      <c r="G10" s="8">
        <f>Mitigation!AI222</f>
        <v/>
      </c>
      <c r="H10" s="8">
        <f>Mitigation!AN222</f>
        <v/>
      </c>
    </row>
    <row r="11">
      <c r="B11" s="9" t="inlineStr">
        <is>
          <t xml:space="preserve">  of which power generation</t>
        </is>
      </c>
      <c r="C11" s="8">
        <f>Mitigation!O212</f>
        <v/>
      </c>
      <c r="D11" s="8">
        <f>Mitigation!T212</f>
        <v/>
      </c>
      <c r="E11" s="8">
        <f>Mitigation!Y212</f>
        <v/>
      </c>
      <c r="F11" s="8">
        <f>Mitigation!AD212</f>
        <v/>
      </c>
      <c r="G11" s="8">
        <f>Mitigation!AI212</f>
        <v/>
      </c>
      <c r="H11" s="8">
        <f>Mitigation!AN212</f>
        <v/>
      </c>
    </row>
    <row r="12">
      <c r="B12" s="9" t="inlineStr">
        <is>
          <t xml:space="preserve">  grids and storage</t>
        </is>
      </c>
      <c r="C12" s="8">
        <f>Mitigation!O213</f>
        <v/>
      </c>
      <c r="D12" s="8">
        <f>Mitigation!T213</f>
        <v/>
      </c>
      <c r="E12" s="8">
        <f>Mitigation!Y213</f>
        <v/>
      </c>
      <c r="F12" s="8">
        <f>Mitigation!AD213</f>
        <v/>
      </c>
      <c r="G12" s="8">
        <f>Mitigation!AI213</f>
        <v/>
      </c>
      <c r="H12" s="8">
        <f>Mitigation!AN213</f>
        <v/>
      </c>
    </row>
    <row r="13">
      <c r="B13" s="9" t="inlineStr">
        <is>
          <t xml:space="preserve">  transport</t>
        </is>
      </c>
      <c r="C13" s="8">
        <f>Mitigation!O214</f>
        <v/>
      </c>
      <c r="D13" s="8">
        <f>Mitigation!T214</f>
        <v/>
      </c>
      <c r="E13" s="8">
        <f>Mitigation!Y214</f>
        <v/>
      </c>
      <c r="F13" s="8">
        <f>Mitigation!AD214</f>
        <v/>
      </c>
      <c r="G13" s="8">
        <f>Mitigation!AI214</f>
        <v/>
      </c>
      <c r="H13" s="8">
        <f>Mitigation!AN214</f>
        <v/>
      </c>
    </row>
    <row r="14">
      <c r="B14" s="9" t="inlineStr">
        <is>
          <t xml:space="preserve">  buildings</t>
        </is>
      </c>
      <c r="C14" s="8">
        <f>Mitigation!O215</f>
        <v/>
      </c>
      <c r="D14" s="8">
        <f>Mitigation!T215</f>
        <v/>
      </c>
      <c r="E14" s="8">
        <f>Mitigation!Y215</f>
        <v/>
      </c>
      <c r="F14" s="8">
        <f>Mitigation!AD215</f>
        <v/>
      </c>
      <c r="G14" s="8">
        <f>Mitigation!AI215</f>
        <v/>
      </c>
      <c r="H14" s="8">
        <f>Mitigation!AN215</f>
        <v/>
      </c>
    </row>
    <row r="15">
      <c r="B15" s="9" t="inlineStr">
        <is>
          <t xml:space="preserve">  industry</t>
        </is>
      </c>
      <c r="C15" s="8">
        <f>Mitigation!O216</f>
        <v/>
      </c>
      <c r="D15" s="8">
        <f>Mitigation!T216</f>
        <v/>
      </c>
      <c r="E15" s="8">
        <f>Mitigation!Y216</f>
        <v/>
      </c>
      <c r="F15" s="8">
        <f>Mitigation!AD216</f>
        <v/>
      </c>
      <c r="G15" s="8">
        <f>Mitigation!AI216</f>
        <v/>
      </c>
      <c r="H15" s="8">
        <f>Mitigation!AN216</f>
        <v/>
      </c>
    </row>
    <row r="16">
      <c r="B16" s="9" t="inlineStr">
        <is>
          <t xml:space="preserve">  non-CO2 and land use</t>
        </is>
      </c>
      <c r="C16" s="8">
        <f>Mitigation!O217</f>
        <v/>
      </c>
      <c r="D16" s="8">
        <f>Mitigation!T217</f>
        <v/>
      </c>
      <c r="E16" s="8">
        <f>Mitigation!Y217</f>
        <v/>
      </c>
      <c r="F16" s="8">
        <f>Mitigation!AD217</f>
        <v/>
      </c>
      <c r="G16" s="8">
        <f>Mitigation!AI217</f>
        <v/>
      </c>
      <c r="H16" s="8">
        <f>Mitigation!AN217</f>
        <v/>
      </c>
    </row>
    <row r="17">
      <c r="B17" s="3" t="inlineStr">
        <is>
          <t>Incremental cost (a) market WACC</t>
        </is>
      </c>
      <c r="C17" s="10">
        <f>Mitigation!O235</f>
        <v/>
      </c>
      <c r="D17" s="10">
        <f>Mitigation!T235</f>
        <v/>
      </c>
      <c r="E17" s="10">
        <f>Mitigation!Y235</f>
        <v/>
      </c>
      <c r="F17" s="10">
        <f>Mitigation!AD235</f>
        <v/>
      </c>
      <c r="G17" s="10">
        <f>Mitigation!AI235</f>
        <v/>
      </c>
      <c r="H17" s="10">
        <f>Mitigation!AN235</f>
        <v/>
      </c>
    </row>
    <row r="18">
      <c r="B18" s="3" t="inlineStr">
        <is>
          <t>Incremental cost (b) World Bank 6%</t>
        </is>
      </c>
      <c r="C18" s="10">
        <f>Mitigation!O236</f>
        <v/>
      </c>
      <c r="D18" s="10">
        <f>Mitigation!T236</f>
        <v/>
      </c>
      <c r="E18" s="10">
        <f>Mitigation!Y236</f>
        <v/>
      </c>
      <c r="F18" s="10">
        <f>Mitigation!AD236</f>
        <v/>
      </c>
      <c r="G18" s="10">
        <f>Mitigation!AI236</f>
        <v/>
      </c>
      <c r="H18" s="10">
        <f>Mitigation!AN236</f>
        <v/>
      </c>
    </row>
    <row r="19">
      <c r="B19" s="3" t="inlineStr">
        <is>
          <t>Incremental cost (c) 6% + local co-benefits</t>
        </is>
      </c>
      <c r="C19" s="10">
        <f>Mitigation!O237</f>
        <v/>
      </c>
      <c r="D19" s="10">
        <f>Mitigation!T237</f>
        <v/>
      </c>
      <c r="E19" s="10">
        <f>Mitigation!Y237</f>
        <v/>
      </c>
      <c r="F19" s="10">
        <f>Mitigation!AD237</f>
        <v/>
      </c>
      <c r="G19" s="10">
        <f>Mitigation!AI237</f>
        <v/>
      </c>
      <c r="H19" s="10">
        <f>Mitigation!AN237</f>
        <v/>
      </c>
    </row>
    <row r="20">
      <c r="B20" s="3" t="inlineStr">
        <is>
          <t>GHG, baseline (MtCO2e)</t>
        </is>
      </c>
      <c r="C20" s="8">
        <f>Mitigation!O200</f>
        <v/>
      </c>
      <c r="D20" s="8">
        <f>Mitigation!T200</f>
        <v/>
      </c>
      <c r="E20" s="8">
        <f>Mitigation!Y200</f>
        <v/>
      </c>
      <c r="F20" s="8">
        <f>Mitigation!AD200</f>
        <v/>
      </c>
      <c r="G20" s="8">
        <f>Mitigation!AI200</f>
        <v/>
      </c>
      <c r="H20" s="8">
        <f>Mitigation!AN200</f>
        <v/>
      </c>
    </row>
    <row r="21">
      <c r="B21" s="3" t="inlineStr">
        <is>
          <t>GHG, net zero (MtCO2e)</t>
        </is>
      </c>
      <c r="C21" s="8">
        <f>Mitigation!O206</f>
        <v/>
      </c>
      <c r="D21" s="8">
        <f>Mitigation!T206</f>
        <v/>
      </c>
      <c r="E21" s="8">
        <f>Mitigation!Y206</f>
        <v/>
      </c>
      <c r="F21" s="8">
        <f>Mitigation!AD206</f>
        <v/>
      </c>
      <c r="G21" s="8">
        <f>Mitigation!AI206</f>
        <v/>
      </c>
      <c r="H21" s="8">
        <f>Mitigation!AN206</f>
        <v/>
      </c>
    </row>
    <row r="22">
      <c r="B22" s="3" t="inlineStr">
        <is>
          <t>Net zero investment by type (see Typology)</t>
        </is>
      </c>
      <c r="C22" s="8">
        <f>Mitigation!O221</f>
        <v/>
      </c>
      <c r="D22" s="8">
        <f>Mitigation!T221</f>
        <v/>
      </c>
      <c r="E22" s="8">
        <f>Mitigation!Y221</f>
        <v/>
      </c>
      <c r="F22" s="8">
        <f>Mitigation!AD221</f>
        <v/>
      </c>
      <c r="G22" s="8">
        <f>Mitigation!AI221</f>
        <v/>
      </c>
      <c r="H22" s="8">
        <f>Mitigation!AN221</f>
        <v/>
      </c>
    </row>
    <row r="23">
      <c r="B23" s="9" t="inlineStr">
        <is>
          <t xml:space="preserve">  P1 pure public</t>
        </is>
      </c>
      <c r="C23" s="8">
        <f>Mitigation!O247</f>
        <v/>
      </c>
      <c r="D23" s="8">
        <f>Mitigation!T247</f>
        <v/>
      </c>
      <c r="E23" s="8">
        <f>Mitigation!Y247</f>
        <v/>
      </c>
      <c r="F23" s="8">
        <f>Mitigation!AD247</f>
        <v/>
      </c>
      <c r="G23" s="8">
        <f>Mitigation!AI247</f>
        <v/>
      </c>
      <c r="H23" s="8">
        <f>Mitigation!AN247</f>
        <v/>
      </c>
    </row>
    <row r="24">
      <c r="B24" s="9" t="inlineStr">
        <is>
          <t xml:space="preserve">  P2 regulated utility</t>
        </is>
      </c>
      <c r="C24" s="8">
        <f>Mitigation!O248</f>
        <v/>
      </c>
      <c r="D24" s="8">
        <f>Mitigation!T248</f>
        <v/>
      </c>
      <c r="E24" s="8">
        <f>Mitigation!Y248</f>
        <v/>
      </c>
      <c r="F24" s="8">
        <f>Mitigation!AD248</f>
        <v/>
      </c>
      <c r="G24" s="8">
        <f>Mitigation!AI248</f>
        <v/>
      </c>
      <c r="H24" s="8">
        <f>Mitigation!AN248</f>
        <v/>
      </c>
    </row>
    <row r="25">
      <c r="B25" s="9" t="inlineStr">
        <is>
          <t xml:space="preserve">  P3 contracted revenue</t>
        </is>
      </c>
      <c r="C25" s="8">
        <f>Mitigation!O249</f>
        <v/>
      </c>
      <c r="D25" s="8">
        <f>Mitigation!T249</f>
        <v/>
      </c>
      <c r="E25" s="8">
        <f>Mitigation!Y249</f>
        <v/>
      </c>
      <c r="F25" s="8">
        <f>Mitigation!AD249</f>
        <v/>
      </c>
      <c r="G25" s="8">
        <f>Mitigation!AI249</f>
        <v/>
      </c>
      <c r="H25" s="8">
        <f>Mitigation!AN249</f>
        <v/>
      </c>
    </row>
    <row r="26">
      <c r="B26" s="9" t="inlineStr">
        <is>
          <t xml:space="preserve">  P4 viability gap</t>
        </is>
      </c>
      <c r="C26" s="8">
        <f>Mitigation!O250</f>
        <v/>
      </c>
      <c r="D26" s="8">
        <f>Mitigation!T250</f>
        <v/>
      </c>
      <c r="E26" s="8">
        <f>Mitigation!Y250</f>
        <v/>
      </c>
      <c r="F26" s="8">
        <f>Mitigation!AD250</f>
        <v/>
      </c>
      <c r="G26" s="8">
        <f>Mitigation!AI250</f>
        <v/>
      </c>
      <c r="H26" s="8">
        <f>Mitigation!AN250</f>
        <v/>
      </c>
    </row>
    <row r="27">
      <c r="B27" s="9" t="inlineStr">
        <is>
          <t xml:space="preserve">  P5 pure private</t>
        </is>
      </c>
      <c r="C27" s="8">
        <f>Mitigation!O251</f>
        <v/>
      </c>
      <c r="D27" s="8">
        <f>Mitigation!T251</f>
        <v/>
      </c>
      <c r="E27" s="8">
        <f>Mitigation!Y251</f>
        <v/>
      </c>
      <c r="F27" s="8">
        <f>Mitigation!AD251</f>
        <v/>
      </c>
      <c r="G27" s="8">
        <f>Mitigation!AI251</f>
        <v/>
      </c>
      <c r="H27" s="8">
        <f>Mitigation!AN251</f>
        <v/>
      </c>
    </row>
    <row r="28">
      <c r="B28" s="3" t="inlineStr">
        <is>
          <t>Direct budget need (P1 + gap of P4)</t>
        </is>
      </c>
      <c r="C28" s="8">
        <f>Mitigation!O257</f>
        <v/>
      </c>
      <c r="D28" s="8">
        <f>Mitigation!T257</f>
        <v/>
      </c>
      <c r="E28" s="8">
        <f>Mitigation!Y257</f>
        <v/>
      </c>
      <c r="F28" s="8">
        <f>Mitigation!AD257</f>
        <v/>
      </c>
      <c r="G28" s="8">
        <f>Mitigation!AI257</f>
        <v/>
      </c>
      <c r="H28" s="8">
        <f>Mitigation!AN257</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8"/>
  <sheetViews>
    <sheetView zoomScale="90" workbookViewId="0">
      <selection activeCell="A1" sqref="A1"/>
    </sheetView>
  </sheetViews>
  <sheetFormatPr baseColWidth="8" defaultRowHeight="15"/>
  <cols>
    <col width="18" customWidth="1" min="2" max="2"/>
    <col width="30" customWidth="1" min="3" max="3"/>
  </cols>
  <sheetData>
    <row r="1">
      <c r="A1" s="1" t="inlineStr">
        <is>
          <t>NMIM - Settings</t>
        </is>
      </c>
      <c r="B1" s="2" t="n"/>
      <c r="C1" s="2" t="n"/>
      <c r="D1" s="2" t="n"/>
      <c r="E1" s="2" t="n"/>
      <c r="F1" s="2" t="n"/>
    </row>
    <row r="4">
      <c r="B4" s="3" t="inlineStr">
        <is>
          <t>Country (ISO3)</t>
        </is>
      </c>
      <c r="C4" s="11" t="inlineStr">
        <is>
          <t>IND</t>
        </is>
      </c>
    </row>
    <row r="5">
      <c r="B5" s="3" t="inlineStr">
        <is>
          <t>Country name</t>
        </is>
      </c>
      <c r="C5" s="9">
        <f>INDEX(Data!$B:$B,MATCH($C$4,Data!$A:$A,0))</f>
        <v/>
      </c>
    </row>
    <row r="6">
      <c r="B6" s="3" t="inlineStr">
        <is>
          <t>Data row</t>
        </is>
      </c>
      <c r="C6" s="9">
        <f>MATCH($C$4,Data!$A:$A,0)</f>
        <v/>
      </c>
    </row>
    <row r="8">
      <c r="B8" s="6" t="inlineStr">
        <is>
          <t>Choose a country in C4 (ISO3 code from the Data sheet). Every formula on Mitigation recalculates for it.</t>
        </is>
      </c>
    </row>
  </sheetData>
  <dataValidations count="1">
    <dataValidation sqref="C4" showDropDown="0" showInputMessage="0" showErrorMessage="0" allowBlank="0" type="list">
      <formula1>=Data!$A$4:$A$189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0"/>
  <sheetViews>
    <sheetView zoomScale="90"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2" max="2"/>
    <col width="14" customWidth="1" min="3" max="3"/>
    <col hidden="1" width="13" customWidth="1" min="4" max="4"/>
    <col hidden="1" width="13" customWidth="1" min="5" max="5"/>
    <col width="12" customWidth="1" min="6" max="6"/>
    <col width="12" customWidth="1" min="7" max="7"/>
    <col width="16" customWidth="1" min="8" max="8"/>
    <col width="60" customWidth="1" min="9" max="9"/>
    <col width="5" customWidth="1" min="10" max="10"/>
  </cols>
  <sheetData>
    <row r="1">
      <c r="A1" s="1" t="inlineStr">
        <is>
          <t>NMIM - Inputs (MTInputs column structure)</t>
        </is>
      </c>
      <c r="B1" s="2" t="n"/>
      <c r="C1" s="2" t="n"/>
      <c r="D1" s="2" t="n"/>
      <c r="E1" s="2" t="n"/>
      <c r="F1" s="2" t="n"/>
      <c r="G1" s="2" t="n"/>
      <c r="H1" s="2" t="n"/>
      <c r="I1" s="2" t="n"/>
      <c r="J1" s="2" t="n"/>
    </row>
    <row r="2">
      <c r="A2" s="12" t="inlineStr">
        <is>
          <t>Parameters; calculations read column F by name (defined names p_&lt;NameOfParameter&gt;)</t>
        </is>
      </c>
      <c r="B2" s="13" t="n"/>
      <c r="C2" s="13" t="n"/>
      <c r="D2" s="13" t="n"/>
      <c r="E2" s="13" t="n"/>
      <c r="F2" s="13" t="n"/>
      <c r="G2" s="13" t="n"/>
      <c r="H2" s="13" t="n"/>
      <c r="I2" s="13" t="n"/>
      <c r="J2" s="13" t="n"/>
    </row>
    <row r="7">
      <c r="A7" s="3" t="inlineStr"/>
      <c r="B7" s="3" t="inlineStr">
        <is>
          <t>Parameters</t>
        </is>
      </c>
      <c r="C7" s="3" t="inlineStr">
        <is>
          <t>unit</t>
        </is>
      </c>
      <c r="D7" s="3" t="inlineStr">
        <is>
          <t>MT values</t>
        </is>
      </c>
      <c r="E7" s="3" t="inlineStr">
        <is>
          <t>Dashboard values</t>
        </is>
      </c>
      <c r="F7" s="3" t="inlineStr">
        <is>
          <t>Used for calculation</t>
        </is>
      </c>
      <c r="G7" s="3" t="inlineStr">
        <is>
          <t>Defaults</t>
        </is>
      </c>
      <c r="H7" s="3" t="inlineStr">
        <is>
          <t>NameOfParameter</t>
        </is>
      </c>
      <c r="I7" s="3" t="inlineStr">
        <is>
          <t>Source</t>
        </is>
      </c>
      <c r="J7" s="3" t="inlineStr">
        <is>
          <t>Fit</t>
        </is>
      </c>
    </row>
    <row r="8">
      <c r="B8" s="14" t="inlineStr">
        <is>
          <t>Long-run real GDP growth, low income</t>
        </is>
      </c>
      <c r="C8" s="14" t="inlineStr">
        <is>
          <t>% a year</t>
        </is>
      </c>
      <c r="D8" s="14" t="n"/>
      <c r="E8" s="14" t="n"/>
      <c r="F8" s="14">
        <f>G8</f>
        <v/>
      </c>
      <c r="G8" s="15" t="n">
        <v>4.5</v>
      </c>
      <c r="H8" s="14" t="inlineStr">
        <is>
          <t>g_lr_lic</t>
        </is>
      </c>
      <c r="I8" s="9" t="inlineStr">
        <is>
          <t>Assumption, SSP2-like convergence. †</t>
        </is>
      </c>
      <c r="J8" s="9" t="inlineStr">
        <is>
          <t>P</t>
        </is>
      </c>
    </row>
    <row r="9">
      <c r="B9" s="14" t="inlineStr">
        <is>
          <t>Long-run real GDP growth, lower middle income</t>
        </is>
      </c>
      <c r="C9" s="14" t="inlineStr">
        <is>
          <t>% a year</t>
        </is>
      </c>
      <c r="D9" s="14" t="n"/>
      <c r="E9" s="14" t="n"/>
      <c r="F9" s="14">
        <f>G9</f>
        <v/>
      </c>
      <c r="G9" s="15" t="n">
        <v>4</v>
      </c>
      <c r="H9" s="14" t="inlineStr">
        <is>
          <t>g_lr_lmic</t>
        </is>
      </c>
      <c r="I9" s="9" t="inlineStr">
        <is>
          <t>Assumption. †</t>
        </is>
      </c>
      <c r="J9" s="9" t="inlineStr">
        <is>
          <t>P</t>
        </is>
      </c>
    </row>
    <row r="10">
      <c r="B10" s="14" t="inlineStr">
        <is>
          <t>Long-run real GDP growth, upper middle income</t>
        </is>
      </c>
      <c r="C10" s="14" t="inlineStr">
        <is>
          <t>% a year</t>
        </is>
      </c>
      <c r="D10" s="14" t="n"/>
      <c r="E10" s="14" t="n"/>
      <c r="F10" s="14">
        <f>G10</f>
        <v/>
      </c>
      <c r="G10" s="15" t="n">
        <v>3</v>
      </c>
      <c r="H10" s="14" t="inlineStr">
        <is>
          <t>g_lr_umic</t>
        </is>
      </c>
      <c r="I10" s="9" t="inlineStr">
        <is>
          <t>Assumption. †</t>
        </is>
      </c>
      <c r="J10" s="9" t="inlineStr">
        <is>
          <t>P</t>
        </is>
      </c>
    </row>
    <row r="11">
      <c r="B11" s="14" t="inlineStr">
        <is>
          <t>Long-run real GDP growth, high income</t>
        </is>
      </c>
      <c r="C11" s="14" t="inlineStr">
        <is>
          <t>% a year</t>
        </is>
      </c>
      <c r="D11" s="14" t="n"/>
      <c r="E11" s="14" t="n"/>
      <c r="F11" s="14">
        <f>G11</f>
        <v/>
      </c>
      <c r="G11" s="15" t="n">
        <v>1.5</v>
      </c>
      <c r="H11" s="14" t="inlineStr">
        <is>
          <t>g_lr_hic</t>
        </is>
      </c>
      <c r="I11" s="9" t="inlineStr">
        <is>
          <t>Assumption. †</t>
        </is>
      </c>
      <c r="J11" s="9" t="inlineStr">
        <is>
          <t>P</t>
        </is>
      </c>
    </row>
    <row r="12">
      <c r="B12" s="14" t="inlineStr">
        <is>
          <t>Year growth reaches its long-run rate</t>
        </is>
      </c>
      <c r="C12" s="14" t="inlineStr">
        <is>
          <t>year</t>
        </is>
      </c>
      <c r="D12" s="14" t="n"/>
      <c r="E12" s="14" t="n"/>
      <c r="F12" s="14">
        <f>G12</f>
        <v/>
      </c>
      <c r="G12" s="15" t="n">
        <v>2040</v>
      </c>
      <c r="H12" s="14" t="inlineStr">
        <is>
          <t>g_conv_year</t>
        </is>
      </c>
      <c r="I12" s="9" t="inlineStr">
        <is>
          <t>Assumption</t>
        </is>
      </c>
      <c r="J12" s="9" t="inlineStr">
        <is>
          <t>M</t>
        </is>
      </c>
    </row>
    <row r="13">
      <c r="B13" s="14" t="inlineStr">
        <is>
          <t>Pass-through of local price level to capital cost</t>
        </is>
      </c>
      <c r="C13" s="14" t="inlineStr">
        <is>
          <t>elasticity</t>
        </is>
      </c>
      <c r="D13" s="14" t="n"/>
      <c r="E13" s="14" t="n"/>
      <c r="F13" s="14">
        <f>G13</f>
        <v/>
      </c>
      <c r="G13" s="15" t="n">
        <v>0.5</v>
      </c>
      <c r="H13" s="14" t="inlineStr">
        <is>
          <t>phi</t>
        </is>
      </c>
      <c r="I13" s="9" t="inlineStr">
        <is>
          <t>As v1.1 workbook. †</t>
        </is>
      </c>
      <c r="J13" s="9" t="inlineStr">
        <is>
          <t>P</t>
        </is>
      </c>
    </row>
    <row r="14">
      <c r="B14" s="14" t="inlineStr">
        <is>
          <t>Fossil-free power, advanced economies</t>
        </is>
      </c>
      <c r="C14" s="14" t="inlineStr">
        <is>
          <t>year</t>
        </is>
      </c>
      <c r="D14" s="14" t="n"/>
      <c r="E14" s="14" t="n"/>
      <c r="F14" s="14">
        <f>G14</f>
        <v/>
      </c>
      <c r="G14" s="15" t="n">
        <v>2035</v>
      </c>
      <c r="H14" s="14" t="inlineStr">
        <is>
          <t>pow_T_ae</t>
        </is>
      </c>
      <c r="I14" s="9" t="inlineStr">
        <is>
          <t>IEA Net Zero by 2050 (2021): AE power net zero 2035</t>
        </is>
      </c>
      <c r="J14" s="9" t="inlineStr">
        <is>
          <t>M</t>
        </is>
      </c>
    </row>
    <row r="15">
      <c r="B15" s="14" t="inlineStr">
        <is>
          <t>Fossil-free power, China</t>
        </is>
      </c>
      <c r="C15" s="14" t="inlineStr">
        <is>
          <t>year</t>
        </is>
      </c>
      <c r="D15" s="14" t="n"/>
      <c r="E15" s="14" t="n"/>
      <c r="F15" s="14">
        <f>G15</f>
        <v/>
      </c>
      <c r="G15" s="15" t="n">
        <v>2040</v>
      </c>
      <c r="H15" s="14" t="inlineStr">
        <is>
          <t>pow_T_chn</t>
        </is>
      </c>
      <c r="I15" s="9" t="inlineStr">
        <is>
          <t>IEA NZE: global power net zero 2040</t>
        </is>
      </c>
      <c r="J15" s="9" t="inlineStr">
        <is>
          <t>M</t>
        </is>
      </c>
    </row>
    <row r="16">
      <c r="B16" s="14" t="inlineStr">
        <is>
          <t>Fossil-free power, other EMDCs</t>
        </is>
      </c>
      <c r="C16" s="14" t="inlineStr">
        <is>
          <t>year</t>
        </is>
      </c>
      <c r="D16" s="14" t="n"/>
      <c r="E16" s="14" t="n"/>
      <c r="F16" s="14">
        <f>G16</f>
        <v/>
      </c>
      <c r="G16" s="15" t="n">
        <v>2045</v>
      </c>
      <c r="H16" s="14" t="inlineStr">
        <is>
          <t>pow_T_emdc</t>
        </is>
      </c>
      <c r="I16" s="9" t="inlineStr">
        <is>
          <t>Assumption: five years after the global NZE date. †</t>
        </is>
      </c>
      <c r="J16" s="9" t="inlineStr">
        <is>
          <t>P</t>
        </is>
      </c>
    </row>
    <row r="17">
      <c r="B17" s="14" t="inlineStr">
        <is>
          <t>100% EV car sales, advanced economies</t>
        </is>
      </c>
      <c r="C17" s="14" t="inlineStr">
        <is>
          <t>year</t>
        </is>
      </c>
      <c r="D17" s="14" t="n"/>
      <c r="E17" s="14" t="n"/>
      <c r="F17" s="14">
        <f>G17</f>
        <v/>
      </c>
      <c r="G17" s="15" t="n">
        <v>2035</v>
      </c>
      <c r="H17" s="14" t="inlineStr">
        <is>
          <t>ev_T_ae</t>
        </is>
      </c>
      <c r="I17" s="9" t="inlineStr">
        <is>
          <t>IEA NZE: no new ICE car sales from 2035</t>
        </is>
      </c>
      <c r="J17" s="9" t="inlineStr">
        <is>
          <t>M</t>
        </is>
      </c>
    </row>
    <row r="18">
      <c r="B18" s="14" t="inlineStr">
        <is>
          <t>100% EV car sales, China</t>
        </is>
      </c>
      <c r="C18" s="14" t="inlineStr">
        <is>
          <t>year</t>
        </is>
      </c>
      <c r="D18" s="14" t="n"/>
      <c r="E18" s="14" t="n"/>
      <c r="F18" s="14">
        <f>G18</f>
        <v/>
      </c>
      <c r="G18" s="15" t="n">
        <v>2035</v>
      </c>
      <c r="H18" s="14" t="inlineStr">
        <is>
          <t>ev_T_chn</t>
        </is>
      </c>
      <c r="I18" s="9" t="inlineStr">
        <is>
          <t>IEA NZE</t>
        </is>
      </c>
      <c r="J18" s="9" t="inlineStr">
        <is>
          <t>M</t>
        </is>
      </c>
    </row>
    <row r="19">
      <c r="B19" s="14" t="inlineStr">
        <is>
          <t>100% EV car sales, other EMDCs</t>
        </is>
      </c>
      <c r="C19" s="14" t="inlineStr">
        <is>
          <t>year</t>
        </is>
      </c>
      <c r="D19" s="14" t="n"/>
      <c r="E19" s="14" t="n"/>
      <c r="F19" s="14">
        <f>G19</f>
        <v/>
      </c>
      <c r="G19" s="15" t="n">
        <v>2040</v>
      </c>
      <c r="H19" s="14" t="inlineStr">
        <is>
          <t>ev_T_emdc</t>
        </is>
      </c>
      <c r="I19" s="9" t="inlineStr">
        <is>
          <t>Assumption: five years later. †</t>
        </is>
      </c>
      <c r="J19" s="9" t="inlineStr">
        <is>
          <t>P</t>
        </is>
      </c>
    </row>
    <row r="20">
      <c r="B20" s="14" t="inlineStr">
        <is>
          <t>Fossil heating fully replaced, AE</t>
        </is>
      </c>
      <c r="C20" s="14" t="inlineStr">
        <is>
          <t>year</t>
        </is>
      </c>
      <c r="D20" s="14" t="n"/>
      <c r="E20" s="14" t="n"/>
      <c r="F20" s="14">
        <f>G20</f>
        <v/>
      </c>
      <c r="G20" s="15" t="n">
        <v>2045</v>
      </c>
      <c r="H20" s="14" t="inlineStr">
        <is>
          <t>bld_T_ae</t>
        </is>
      </c>
      <c r="I20" s="9" t="inlineStr">
        <is>
          <t>Assumption. †</t>
        </is>
      </c>
      <c r="J20" s="9" t="inlineStr">
        <is>
          <t>P</t>
        </is>
      </c>
    </row>
    <row r="21">
      <c r="B21" s="14" t="inlineStr">
        <is>
          <t>Fossil heating fully replaced, China</t>
        </is>
      </c>
      <c r="C21" s="14" t="inlineStr">
        <is>
          <t>year</t>
        </is>
      </c>
      <c r="D21" s="14" t="n"/>
      <c r="E21" s="14" t="n"/>
      <c r="F21" s="14">
        <f>G21</f>
        <v/>
      </c>
      <c r="G21" s="15" t="n">
        <v>2050</v>
      </c>
      <c r="H21" s="14" t="inlineStr">
        <is>
          <t>bld_T_chn</t>
        </is>
      </c>
      <c r="I21" s="9" t="inlineStr">
        <is>
          <t>Assumption. †</t>
        </is>
      </c>
      <c r="J21" s="9" t="inlineStr">
        <is>
          <t>P</t>
        </is>
      </c>
    </row>
    <row r="22">
      <c r="B22" s="14" t="inlineStr">
        <is>
          <t>Fossil heating fully replaced, EMDC</t>
        </is>
      </c>
      <c r="C22" s="14" t="inlineStr">
        <is>
          <t>year</t>
        </is>
      </c>
      <c r="D22" s="14" t="n"/>
      <c r="E22" s="14" t="n"/>
      <c r="F22" s="14">
        <f>G22</f>
        <v/>
      </c>
      <c r="G22" s="15" t="n">
        <v>2050</v>
      </c>
      <c r="H22" s="14" t="inlineStr">
        <is>
          <t>bld_T_emdc</t>
        </is>
      </c>
      <c r="I22" s="9" t="inlineStr">
        <is>
          <t>Assumption. †</t>
        </is>
      </c>
      <c r="J22" s="9" t="inlineStr">
        <is>
          <t>P</t>
        </is>
      </c>
    </row>
    <row r="23">
      <c r="B23" s="14" t="inlineStr">
        <is>
          <t>Industrial fossil use abated by 2050, AE</t>
        </is>
      </c>
      <c r="C23" s="14" t="inlineStr">
        <is>
          <t>share</t>
        </is>
      </c>
      <c r="D23" s="14" t="n"/>
      <c r="E23" s="14" t="n"/>
      <c r="F23" s="14">
        <f>G23</f>
        <v/>
      </c>
      <c r="G23" s="15" t="n">
        <v>0.9</v>
      </c>
      <c r="H23" s="14" t="inlineStr">
        <is>
          <t>ind_a_ae</t>
        </is>
      </c>
      <c r="I23" s="9" t="inlineStr">
        <is>
          <t>Assumption (IEA NZE heavy industry ~90%). †</t>
        </is>
      </c>
      <c r="J23" s="9" t="inlineStr">
        <is>
          <t>M</t>
        </is>
      </c>
    </row>
    <row r="24">
      <c r="B24" s="14" t="inlineStr">
        <is>
          <t>Industrial fossil use abated by 2050, China</t>
        </is>
      </c>
      <c r="C24" s="14" t="inlineStr">
        <is>
          <t>share</t>
        </is>
      </c>
      <c r="D24" s="14" t="n"/>
      <c r="E24" s="14" t="n"/>
      <c r="F24" s="14">
        <f>G24</f>
        <v/>
      </c>
      <c r="G24" s="15" t="n">
        <v>0.9</v>
      </c>
      <c r="H24" s="14" t="inlineStr">
        <is>
          <t>ind_a_chn</t>
        </is>
      </c>
      <c r="I24" s="9" t="inlineStr">
        <is>
          <t>Assumption. †</t>
        </is>
      </c>
      <c r="J24" s="9" t="inlineStr">
        <is>
          <t>M</t>
        </is>
      </c>
    </row>
    <row r="25">
      <c r="B25" s="14" t="inlineStr">
        <is>
          <t>Industrial fossil use abated by 2050, EMDC</t>
        </is>
      </c>
      <c r="C25" s="14" t="inlineStr">
        <is>
          <t>share</t>
        </is>
      </c>
      <c r="D25" s="14" t="n"/>
      <c r="E25" s="14" t="n"/>
      <c r="F25" s="14">
        <f>G25</f>
        <v/>
      </c>
      <c r="G25" s="15" t="n">
        <v>0.8</v>
      </c>
      <c r="H25" s="14" t="inlineStr">
        <is>
          <t>ind_a_emdc</t>
        </is>
      </c>
      <c r="I25" s="9" t="inlineStr">
        <is>
          <t>Assumption. †</t>
        </is>
      </c>
      <c r="J25" s="9" t="inlineStr">
        <is>
          <t>P</t>
        </is>
      </c>
    </row>
    <row r="26">
      <c r="B26" s="14" t="inlineStr">
        <is>
          <t>EV share of car sales 2024, AE</t>
        </is>
      </c>
      <c r="C26" s="14" t="inlineStr">
        <is>
          <t>share</t>
        </is>
      </c>
      <c r="D26" s="14" t="n"/>
      <c r="E26" s="14" t="n"/>
      <c r="F26" s="14">
        <f>G26</f>
        <v/>
      </c>
      <c r="G26" s="15" t="n">
        <v>0.15</v>
      </c>
      <c r="H26" s="14" t="inlineStr">
        <is>
          <t>ev0_ae</t>
        </is>
      </c>
      <c r="I26" s="9" t="inlineStr">
        <is>
          <t>IEA Global EV Outlook 2024, approx. (Europe 21%, US 10%). †</t>
        </is>
      </c>
      <c r="J26" s="9" t="inlineStr">
        <is>
          <t>M</t>
        </is>
      </c>
    </row>
    <row r="27">
      <c r="B27" s="14" t="inlineStr">
        <is>
          <t>EV share of car sales 2024, China</t>
        </is>
      </c>
      <c r="C27" s="14" t="inlineStr">
        <is>
          <t>share</t>
        </is>
      </c>
      <c r="D27" s="14" t="n"/>
      <c r="E27" s="14" t="n"/>
      <c r="F27" s="14">
        <f>G27</f>
        <v/>
      </c>
      <c r="G27" s="15" t="n">
        <v>0.4</v>
      </c>
      <c r="H27" s="14" t="inlineStr">
        <is>
          <t>ev0_chn</t>
        </is>
      </c>
      <c r="I27" s="9" t="inlineStr">
        <is>
          <t>IEA Global EV Outlook 2024, approx. †</t>
        </is>
      </c>
      <c r="J27" s="9" t="inlineStr">
        <is>
          <t>M</t>
        </is>
      </c>
    </row>
    <row r="28">
      <c r="B28" s="14" t="inlineStr">
        <is>
          <t>EV share of car sales 2024, EMDC</t>
        </is>
      </c>
      <c r="C28" s="14" t="inlineStr">
        <is>
          <t>share</t>
        </is>
      </c>
      <c r="D28" s="14" t="n"/>
      <c r="E28" s="14" t="n"/>
      <c r="F28" s="14">
        <f>G28</f>
        <v/>
      </c>
      <c r="G28" s="15" t="n">
        <v>0.03</v>
      </c>
      <c r="H28" s="14" t="inlineStr">
        <is>
          <t>ev0_emdc</t>
        </is>
      </c>
      <c r="I28" s="9" t="inlineStr">
        <is>
          <t>IEA Global EV Outlook 2024, approx. †</t>
        </is>
      </c>
      <c r="J28" s="9" t="inlineStr">
        <is>
          <t>M</t>
        </is>
      </c>
    </row>
    <row r="29">
      <c r="B29" s="14" t="inlineStr">
        <is>
          <t>Baseline EV sales share 2035, AE</t>
        </is>
      </c>
      <c r="C29" s="14" t="inlineStr">
        <is>
          <t>share</t>
        </is>
      </c>
      <c r="D29" s="14" t="n"/>
      <c r="E29" s="14" t="n"/>
      <c r="F29" s="14">
        <f>G29</f>
        <v/>
      </c>
      <c r="G29" s="15" t="n">
        <v>0.5</v>
      </c>
      <c r="H29" s="14" t="inlineStr">
        <is>
          <t>evb35_ae</t>
        </is>
      </c>
      <c r="I29" s="9" t="inlineStr">
        <is>
          <t>Assumption, current-policies trend. †</t>
        </is>
      </c>
      <c r="J29" s="9" t="inlineStr">
        <is>
          <t>P</t>
        </is>
      </c>
    </row>
    <row r="30">
      <c r="B30" s="14" t="inlineStr">
        <is>
          <t>Baseline EV sales share 2035, China</t>
        </is>
      </c>
      <c r="C30" s="14" t="inlineStr">
        <is>
          <t>share</t>
        </is>
      </c>
      <c r="D30" s="14" t="n"/>
      <c r="E30" s="14" t="n"/>
      <c r="F30" s="14">
        <f>G30</f>
        <v/>
      </c>
      <c r="G30" s="15" t="n">
        <v>0.8</v>
      </c>
      <c r="H30" s="14" t="inlineStr">
        <is>
          <t>evb35_chn</t>
        </is>
      </c>
      <c r="I30" s="9" t="inlineStr">
        <is>
          <t>Assumption. †</t>
        </is>
      </c>
      <c r="J30" s="9" t="inlineStr">
        <is>
          <t>P</t>
        </is>
      </c>
    </row>
    <row r="31">
      <c r="B31" s="14" t="inlineStr">
        <is>
          <t>Baseline EV sales share 2035, EMDC</t>
        </is>
      </c>
      <c r="C31" s="14" t="inlineStr">
        <is>
          <t>share</t>
        </is>
      </c>
      <c r="D31" s="14" t="n"/>
      <c r="E31" s="14" t="n"/>
      <c r="F31" s="14">
        <f>G31</f>
        <v/>
      </c>
      <c r="G31" s="15" t="n">
        <v>0.15</v>
      </c>
      <c r="H31" s="14" t="inlineStr">
        <is>
          <t>evb35_emdc</t>
        </is>
      </c>
      <c r="I31" s="9" t="inlineStr">
        <is>
          <t>Assumption. †</t>
        </is>
      </c>
      <c r="J31" s="9" t="inlineStr">
        <is>
          <t>P</t>
        </is>
      </c>
    </row>
    <row r="32">
      <c r="B32" s="14" t="inlineStr">
        <is>
          <t>EV stock share / EV sales share, 2024</t>
        </is>
      </c>
      <c r="C32" s="14" t="inlineStr">
        <is>
          <t>ratio</t>
        </is>
      </c>
      <c r="D32" s="14" t="n"/>
      <c r="E32" s="14" t="n"/>
      <c r="F32" s="14">
        <f>G32</f>
        <v/>
      </c>
      <c r="G32" s="15" t="n">
        <v>0.33</v>
      </c>
      <c r="H32" s="14" t="inlineStr">
        <is>
          <t>sig0_ratio</t>
        </is>
      </c>
      <c r="I32" s="9" t="inlineStr">
        <is>
          <t>Assumption (sales rose over ~5 years). †</t>
        </is>
      </c>
      <c r="J32" s="9" t="inlineStr">
        <is>
          <t>P</t>
        </is>
      </c>
    </row>
    <row r="33">
      <c r="B33" s="14" t="inlineStr">
        <is>
          <t>Cap on baseline fall in fossil generation share</t>
        </is>
      </c>
      <c r="C33" s="14" t="inlineStr">
        <is>
          <t>pp a year</t>
        </is>
      </c>
      <c r="D33" s="14" t="n"/>
      <c r="E33" s="14" t="n"/>
      <c r="F33" s="14">
        <f>G33</f>
        <v/>
      </c>
      <c r="G33" s="15" t="n">
        <v>2</v>
      </c>
      <c r="H33" s="14" t="inlineStr">
        <is>
          <t>fos_trend_cap</t>
        </is>
      </c>
      <c r="I33" s="9" t="inlineStr">
        <is>
          <t>Assumption; trend from Ember 3-year change</t>
        </is>
      </c>
      <c r="J33" s="9" t="inlineStr">
        <is>
          <t>M</t>
        </is>
      </c>
    </row>
    <row r="34">
      <c r="B34" s="14" t="inlineStr">
        <is>
          <t>EV final energy per unit of ICE fuel displaced</t>
        </is>
      </c>
      <c r="C34" s="14" t="inlineStr">
        <is>
          <t>ratio</t>
        </is>
      </c>
      <c r="D34" s="14" t="n"/>
      <c r="E34" s="14" t="n"/>
      <c r="F34" s="14">
        <f>G34</f>
        <v/>
      </c>
      <c r="G34" s="15" t="n">
        <v>0.25</v>
      </c>
      <c r="H34" s="14" t="inlineStr">
        <is>
          <t>ev_ratio</t>
        </is>
      </c>
      <c r="I34" s="9" t="inlineStr">
        <is>
          <t>0.18 kWh/km vs 7.5 l/100 km gasoline</t>
        </is>
      </c>
      <c r="J34" s="9" t="inlineStr">
        <is>
          <t>M</t>
        </is>
      </c>
    </row>
    <row r="35">
      <c r="B35" s="14" t="inlineStr">
        <is>
          <t>Heat pump electricity per unit of fossil heat fuel</t>
        </is>
      </c>
      <c r="C35" s="14" t="inlineStr">
        <is>
          <t>ratio</t>
        </is>
      </c>
      <c r="D35" s="14" t="n"/>
      <c r="E35" s="14" t="n"/>
      <c r="F35" s="14">
        <f>G35</f>
        <v/>
      </c>
      <c r="G35" s="15" t="n">
        <v>0.33</v>
      </c>
      <c r="H35" s="14" t="inlineStr">
        <is>
          <t>hp_ratio</t>
        </is>
      </c>
      <c r="I35" s="9" t="inlineStr">
        <is>
          <t>COP ~3</t>
        </is>
      </c>
      <c r="J35" s="9" t="inlineStr">
        <is>
          <t>M</t>
        </is>
      </c>
    </row>
    <row r="36">
      <c r="B36" s="14" t="inlineStr">
        <is>
          <t>Share of abated industrial fuel that is electrified</t>
        </is>
      </c>
      <c r="C36" s="14" t="inlineStr">
        <is>
          <t>share</t>
        </is>
      </c>
      <c r="D36" s="14" t="n"/>
      <c r="E36" s="14" t="n"/>
      <c r="F36" s="14">
        <f>G36</f>
        <v/>
      </c>
      <c r="G36" s="15" t="n">
        <v>0.6</v>
      </c>
      <c r="H36" s="14" t="inlineStr">
        <is>
          <t>ind_elec_sh</t>
        </is>
      </c>
      <c r="I36" s="9" t="inlineStr">
        <is>
          <t>Assumption (rest H2, CCS, bio). †</t>
        </is>
      </c>
      <c r="J36" s="9" t="inlineStr">
        <is>
          <t>P</t>
        </is>
      </c>
    </row>
    <row r="37">
      <c r="B37" s="14" t="inlineStr">
        <is>
          <t>Electricity per unit of industrial fuel electrified</t>
        </is>
      </c>
      <c r="C37" s="14" t="inlineStr">
        <is>
          <t>ratio</t>
        </is>
      </c>
      <c r="D37" s="14" t="n"/>
      <c r="E37" s="14" t="n"/>
      <c r="F37" s="14">
        <f>G37</f>
        <v/>
      </c>
      <c r="G37" s="15" t="n">
        <v>0.8</v>
      </c>
      <c r="H37" s="14" t="inlineStr">
        <is>
          <t>ind_ratio</t>
        </is>
      </c>
      <c r="I37" s="9" t="inlineStr">
        <is>
          <t>Assumption. †</t>
        </is>
      </c>
      <c r="J37" s="9" t="inlineStr">
        <is>
          <t>P</t>
        </is>
      </c>
    </row>
    <row r="38">
      <c r="B38" s="14" t="inlineStr">
        <is>
          <t>Fuel per car-equivalent vehicle a year</t>
        </is>
      </c>
      <c r="C38" s="14" t="inlineStr">
        <is>
          <t>GJ/vehicle-yr</t>
        </is>
      </c>
      <c r="D38" s="14" t="n"/>
      <c r="E38" s="14" t="n"/>
      <c r="F38" s="14">
        <f>G38</f>
        <v/>
      </c>
      <c r="G38" s="15" t="n">
        <v>38.5</v>
      </c>
      <c r="H38" s="14" t="inlineStr">
        <is>
          <t>veh_gj</t>
        </is>
      </c>
      <c r="I38" s="9" t="inlineStr">
        <is>
          <t>15,000 km x 7.5 l/100 km x 34.2 MJ/l</t>
        </is>
      </c>
      <c r="J38" s="9" t="inlineStr">
        <is>
          <t>M</t>
        </is>
      </c>
    </row>
    <row r="39">
      <c r="B39" s="14" t="inlineStr">
        <is>
          <t>Vehicle life</t>
        </is>
      </c>
      <c r="C39" s="14" t="inlineStr">
        <is>
          <t>years</t>
        </is>
      </c>
      <c r="D39" s="14" t="n"/>
      <c r="E39" s="14" t="n"/>
      <c r="F39" s="14">
        <f>G39</f>
        <v/>
      </c>
      <c r="G39" s="15" t="n">
        <v>12</v>
      </c>
      <c r="H39" s="14" t="inlineStr">
        <is>
          <t>veh_life</t>
        </is>
      </c>
      <c r="I39" s="9" t="inlineStr">
        <is>
          <t>SISEPUEDE (Baik et al. 2019)</t>
        </is>
      </c>
      <c r="J39" s="9" t="inlineStr">
        <is>
          <t>M</t>
        </is>
      </c>
    </row>
    <row r="40">
      <c r="B40" s="14" t="inlineStr">
        <is>
          <t>EV purchase premium 2024</t>
        </is>
      </c>
      <c r="C40" s="14" t="inlineStr">
        <is>
          <t>USD/vehicle</t>
        </is>
      </c>
      <c r="D40" s="14" t="n"/>
      <c r="E40" s="14" t="n"/>
      <c r="F40" s="14">
        <f>G40</f>
        <v/>
      </c>
      <c r="G40" s="15" t="n">
        <v>10000</v>
      </c>
      <c r="H40" s="14" t="inlineStr">
        <is>
          <t>ev_prem24</t>
        </is>
      </c>
      <c r="I40" s="9" t="inlineStr">
        <is>
          <t>Assumption; SISEPUEDE USD 12,000 (2019). †</t>
        </is>
      </c>
      <c r="J40" s="9" t="inlineStr">
        <is>
          <t>P</t>
        </is>
      </c>
    </row>
    <row r="41">
      <c r="B41" s="14" t="inlineStr">
        <is>
          <t>Year the EV premium reaches zero</t>
        </is>
      </c>
      <c r="C41" s="14" t="inlineStr">
        <is>
          <t>year</t>
        </is>
      </c>
      <c r="D41" s="14" t="n"/>
      <c r="E41" s="14" t="n"/>
      <c r="F41" s="14">
        <f>G41</f>
        <v/>
      </c>
      <c r="G41" s="15" t="n">
        <v>2032</v>
      </c>
      <c r="H41" s="14" t="inlineStr">
        <is>
          <t>ev_parity</t>
        </is>
      </c>
      <c r="I41" s="9" t="inlineStr">
        <is>
          <t>Assumption; IEA reports near parity in China by 2024. †</t>
        </is>
      </c>
      <c r="J41" s="9" t="inlineStr">
        <is>
          <t>P</t>
        </is>
      </c>
    </row>
    <row r="42">
      <c r="B42" s="14" t="inlineStr">
        <is>
          <t>Charging infrastructure per EV</t>
        </is>
      </c>
      <c r="C42" s="14" t="inlineStr">
        <is>
          <t>USD/vehicle</t>
        </is>
      </c>
      <c r="D42" s="14" t="n"/>
      <c r="E42" s="14" t="n"/>
      <c r="F42" s="14">
        <f>G42</f>
        <v/>
      </c>
      <c r="G42" s="15" t="n">
        <v>1000</v>
      </c>
      <c r="H42" s="14" t="inlineStr">
        <is>
          <t>charger</t>
        </is>
      </c>
      <c r="I42" s="9" t="inlineStr">
        <is>
          <t>SISEPUEDE (Baik et al. 2019)</t>
        </is>
      </c>
      <c r="J42" s="9" t="inlineStr">
        <is>
          <t>M</t>
        </is>
      </c>
    </row>
    <row r="43">
      <c r="B43" s="14" t="inlineStr">
        <is>
          <t>EV maintenance saving</t>
        </is>
      </c>
      <c r="C43" s="14" t="inlineStr">
        <is>
          <t>USD/km</t>
        </is>
      </c>
      <c r="D43" s="14" t="n"/>
      <c r="E43" s="14" t="n"/>
      <c r="F43" s="14">
        <f>G43</f>
        <v/>
      </c>
      <c r="G43" s="15" t="n">
        <v>0.012</v>
      </c>
      <c r="H43" s="14" t="inlineStr">
        <is>
          <t>ev_maint</t>
        </is>
      </c>
      <c r="I43" s="9" t="inlineStr">
        <is>
          <t>SISEPUEDE (AAA 2019)</t>
        </is>
      </c>
      <c r="J43" s="9" t="inlineStr">
        <is>
          <t>M</t>
        </is>
      </c>
    </row>
    <row r="44">
      <c r="B44" s="14" t="inlineStr">
        <is>
          <t>Vehicle-km a year</t>
        </is>
      </c>
      <c r="C44" s="14" t="inlineStr">
        <is>
          <t>km/yr</t>
        </is>
      </c>
      <c r="D44" s="14" t="n"/>
      <c r="E44" s="14" t="n"/>
      <c r="F44" s="14">
        <f>G44</f>
        <v/>
      </c>
      <c r="G44" s="15" t="n">
        <v>15000</v>
      </c>
      <c r="H44" s="14" t="inlineStr">
        <is>
          <t>veh_km</t>
        </is>
      </c>
      <c r="I44" s="9" t="inlineStr">
        <is>
          <t>SISEPUEDE</t>
        </is>
      </c>
      <c r="J44" s="9" t="inlineStr">
        <is>
          <t>M</t>
        </is>
      </c>
    </row>
    <row r="45">
      <c r="B45" s="14" t="inlineStr">
        <is>
          <t>Capital per GJ a year of fossil heat replaced</t>
        </is>
      </c>
      <c r="C45" s="14" t="inlineStr">
        <is>
          <t>USD per GJ/yr</t>
        </is>
      </c>
      <c r="D45" s="14" t="n"/>
      <c r="E45" s="14" t="n"/>
      <c r="F45" s="14">
        <f>G45</f>
        <v/>
      </c>
      <c r="G45" s="15" t="n">
        <v>200</v>
      </c>
      <c r="H45" s="14" t="inlineStr">
        <is>
          <t>k_bld</t>
        </is>
      </c>
      <c r="I45" s="9" t="inlineStr">
        <is>
          <t>Assumption: heat pump ~USD 10,000 for ~50 GJ/yr. †</t>
        </is>
      </c>
      <c r="J45" s="9" t="inlineStr">
        <is>
          <t>P</t>
        </is>
      </c>
    </row>
    <row r="46">
      <c r="B46" s="14" t="inlineStr">
        <is>
          <t>Capital per GJ a year of industrial fossil use abated</t>
        </is>
      </c>
      <c r="C46" s="14" t="inlineStr">
        <is>
          <t>USD per GJ/yr</t>
        </is>
      </c>
      <c r="D46" s="14" t="n"/>
      <c r="E46" s="14" t="n"/>
      <c r="F46" s="14">
        <f>G46</f>
        <v/>
      </c>
      <c r="G46" s="15" t="n">
        <v>150</v>
      </c>
      <c r="H46" s="14" t="inlineStr">
        <is>
          <t>k_ind</t>
        </is>
      </c>
      <c r="I46" s="9" t="inlineStr">
        <is>
          <t>Assumption. †</t>
        </is>
      </c>
      <c r="J46" s="9" t="inlineStr">
        <is>
          <t>P</t>
        </is>
      </c>
    </row>
    <row r="47">
      <c r="B47" s="14" t="inlineStr">
        <is>
          <t>Capital per tonne a year of CBAM process CO2 abated</t>
        </is>
      </c>
      <c r="C47" s="14" t="inlineStr">
        <is>
          <t>USD per tCO2/yr</t>
        </is>
      </c>
      <c r="D47" s="14" t="n"/>
      <c r="E47" s="14" t="n"/>
      <c r="F47" s="14">
        <f>G47</f>
        <v/>
      </c>
      <c r="G47" s="15" t="n">
        <v>800</v>
      </c>
      <c r="H47" s="14" t="inlineStr">
        <is>
          <t>k_ccs</t>
        </is>
      </c>
      <c r="I47" s="9" t="inlineStr">
        <is>
          <t>Assumption, CCS on cement scale. †</t>
        </is>
      </c>
      <c r="J47" s="9" t="inlineStr">
        <is>
          <t>P</t>
        </is>
      </c>
    </row>
    <row r="48">
      <c r="B48" s="14" t="inlineStr">
        <is>
          <t>CBAM-goods process CO2 abated by 2050 (net zero)</t>
        </is>
      </c>
      <c r="C48" s="14" t="inlineStr">
        <is>
          <t>share</t>
        </is>
      </c>
      <c r="D48" s="14" t="n"/>
      <c r="E48" s="14" t="n"/>
      <c r="F48" s="14">
        <f>G48</f>
        <v/>
      </c>
      <c r="G48" s="15" t="n">
        <v>0.9</v>
      </c>
      <c r="H48" s="14" t="inlineStr">
        <is>
          <t>cbam_a_2050</t>
        </is>
      </c>
      <c r="I48" s="9" t="inlineStr">
        <is>
          <t>Assumption. †</t>
        </is>
      </c>
      <c r="J48" s="9" t="inlineStr">
        <is>
          <t>M</t>
        </is>
      </c>
    </row>
    <row r="49">
      <c r="B49" s="14" t="inlineStr">
        <is>
          <t>Utility solar PV capital cost 2024</t>
        </is>
      </c>
      <c r="C49" s="14" t="inlineStr">
        <is>
          <t>USD/kW</t>
        </is>
      </c>
      <c r="D49" s="14" t="n"/>
      <c r="E49" s="14" t="n"/>
      <c r="F49" s="14">
        <f>G49</f>
        <v/>
      </c>
      <c r="G49" s="15" t="n">
        <v>760</v>
      </c>
      <c r="H49" s="14" t="inlineStr">
        <is>
          <t>capex_sol24</t>
        </is>
      </c>
      <c r="I49" s="9" t="inlineStr">
        <is>
          <t>IRENA (2024) Renewable Power Generation Costs in 2023. †</t>
        </is>
      </c>
      <c r="J49" s="9" t="inlineStr">
        <is>
          <t>G</t>
        </is>
      </c>
    </row>
    <row r="50">
      <c r="B50" s="14" t="inlineStr">
        <is>
          <t>Onshore wind capital cost 2024</t>
        </is>
      </c>
      <c r="C50" s="14" t="inlineStr">
        <is>
          <t>USD/kW</t>
        </is>
      </c>
      <c r="D50" s="14" t="n"/>
      <c r="E50" s="14" t="n"/>
      <c r="F50" s="14">
        <f>G50</f>
        <v/>
      </c>
      <c r="G50" s="15" t="n">
        <v>1160</v>
      </c>
      <c r="H50" s="14" t="inlineStr">
        <is>
          <t>capex_wnd24</t>
        </is>
      </c>
      <c r="I50" s="9" t="inlineStr">
        <is>
          <t>IRENA (2024). †</t>
        </is>
      </c>
      <c r="J50" s="9" t="inlineStr">
        <is>
          <t>G</t>
        </is>
      </c>
    </row>
    <row r="51">
      <c r="B51" s="14" t="inlineStr">
        <is>
          <t>Gas power capital cost (new fossil build)</t>
        </is>
      </c>
      <c r="C51" s="14" t="inlineStr">
        <is>
          <t>USD/kW</t>
        </is>
      </c>
      <c r="D51" s="14" t="n"/>
      <c r="E51" s="14" t="n"/>
      <c r="F51" s="14">
        <f>G51</f>
        <v/>
      </c>
      <c r="G51" s="15" t="n">
        <v>1304</v>
      </c>
      <c r="H51" s="14" t="inlineStr">
        <is>
          <t>capex_gas</t>
        </is>
      </c>
      <c r="I51" s="9" t="inlineStr">
        <is>
          <t>CPAT legacy PowerTech (Egypt values)</t>
        </is>
      </c>
      <c r="J51" s="9" t="inlineStr">
        <is>
          <t>M</t>
        </is>
      </c>
    </row>
    <row r="52">
      <c r="B52" s="14" t="inlineStr">
        <is>
          <t>Real fall in solar capital cost</t>
        </is>
      </c>
      <c r="C52" s="14" t="inlineStr">
        <is>
          <t>a year</t>
        </is>
      </c>
      <c r="D52" s="14" t="n"/>
      <c r="E52" s="14" t="n"/>
      <c r="F52" s="14">
        <f>G52</f>
        <v/>
      </c>
      <c r="G52" s="15" t="n">
        <v>0.03</v>
      </c>
      <c r="H52" s="14" t="inlineStr">
        <is>
          <t>lr_sol</t>
        </is>
      </c>
      <c r="I52" s="9" t="inlineStr">
        <is>
          <t>Assumption from IRENA/IEA trends. †</t>
        </is>
      </c>
      <c r="J52" s="9" t="inlineStr">
        <is>
          <t>M</t>
        </is>
      </c>
    </row>
    <row r="53">
      <c r="B53" s="14" t="inlineStr">
        <is>
          <t>Real fall in wind capital cost</t>
        </is>
      </c>
      <c r="C53" s="14" t="inlineStr">
        <is>
          <t>a year</t>
        </is>
      </c>
      <c r="D53" s="14" t="n"/>
      <c r="E53" s="14" t="n"/>
      <c r="F53" s="14">
        <f>G53</f>
        <v/>
      </c>
      <c r="G53" s="15" t="n">
        <v>0.015</v>
      </c>
      <c r="H53" s="14" t="inlineStr">
        <is>
          <t>lr_wnd</t>
        </is>
      </c>
      <c r="I53" s="9" t="inlineStr">
        <is>
          <t>Assumption. †</t>
        </is>
      </c>
      <c r="J53" s="9" t="inlineStr">
        <is>
          <t>M</t>
        </is>
      </c>
    </row>
    <row r="54">
      <c r="B54" s="14" t="inlineStr">
        <is>
          <t>Solar capacity factor where Ember capacity is missing</t>
        </is>
      </c>
      <c r="C54" s="14" t="inlineStr">
        <is>
          <t>share</t>
        </is>
      </c>
      <c r="D54" s="14" t="n"/>
      <c r="E54" s="14" t="n"/>
      <c r="F54" s="14">
        <f>G54</f>
        <v/>
      </c>
      <c r="G54" s="15" t="n">
        <v>0.17</v>
      </c>
      <c r="H54" s="14" t="inlineStr">
        <is>
          <t>cf_sol</t>
        </is>
      </c>
      <c r="I54" s="9" t="inlineStr">
        <is>
          <t>Engineering norm. †</t>
        </is>
      </c>
      <c r="J54" s="9" t="inlineStr">
        <is>
          <t>M</t>
        </is>
      </c>
    </row>
    <row r="55">
      <c r="B55" s="14" t="inlineStr">
        <is>
          <t>Wind capacity factor where Ember capacity is missing</t>
        </is>
      </c>
      <c r="C55" s="14" t="inlineStr">
        <is>
          <t>share</t>
        </is>
      </c>
      <c r="D55" s="14" t="n"/>
      <c r="E55" s="14" t="n"/>
      <c r="F55" s="14">
        <f>G55</f>
        <v/>
      </c>
      <c r="G55" s="15" t="n">
        <v>0.35</v>
      </c>
      <c r="H55" s="14" t="inlineStr">
        <is>
          <t>cf_wnd</t>
        </is>
      </c>
      <c r="I55" s="9" t="inlineStr">
        <is>
          <t>Engineering norm. †</t>
        </is>
      </c>
      <c r="J55" s="9" t="inlineStr">
        <is>
          <t>M</t>
        </is>
      </c>
    </row>
    <row r="56">
      <c r="B56" s="14" t="inlineStr">
        <is>
          <t>Fossil capacity factor where Ember capacity is missing</t>
        </is>
      </c>
      <c r="C56" s="14" t="inlineStr">
        <is>
          <t>share</t>
        </is>
      </c>
      <c r="D56" s="14" t="n"/>
      <c r="E56" s="14" t="n"/>
      <c r="F56" s="14">
        <f>G56</f>
        <v/>
      </c>
      <c r="G56" s="15" t="n">
        <v>0.5</v>
      </c>
      <c r="H56" s="14" t="inlineStr">
        <is>
          <t>cf_fos</t>
        </is>
      </c>
      <c r="I56" s="9" t="inlineStr">
        <is>
          <t>Engineering norm. †</t>
        </is>
      </c>
      <c r="J56" s="9" t="inlineStr">
        <is>
          <t>M</t>
        </is>
      </c>
    </row>
    <row r="57">
      <c r="B57" s="14" t="inlineStr">
        <is>
          <t>Solar share of new VRE generation</t>
        </is>
      </c>
      <c r="C57" s="14" t="inlineStr">
        <is>
          <t>share</t>
        </is>
      </c>
      <c r="D57" s="14" t="n"/>
      <c r="E57" s="14" t="n"/>
      <c r="F57" s="14">
        <f>G57</f>
        <v/>
      </c>
      <c r="G57" s="15" t="n">
        <v>0.6</v>
      </c>
      <c r="H57" s="14" t="inlineStr">
        <is>
          <t>sh_sol</t>
        </is>
      </c>
      <c r="I57" s="9" t="inlineStr">
        <is>
          <t>Assumption. †</t>
        </is>
      </c>
      <c r="J57" s="9" t="inlineStr">
        <is>
          <t>P</t>
        </is>
      </c>
    </row>
    <row r="58">
      <c r="B58" s="14" t="inlineStr">
        <is>
          <t>VRE life</t>
        </is>
      </c>
      <c r="C58" s="14" t="inlineStr">
        <is>
          <t>years</t>
        </is>
      </c>
      <c r="D58" s="14" t="n"/>
      <c r="E58" s="14" t="n"/>
      <c r="F58" s="14">
        <f>G58</f>
        <v/>
      </c>
      <c r="G58" s="15" t="n">
        <v>25</v>
      </c>
      <c r="H58" s="14" t="inlineStr">
        <is>
          <t>life_vre</t>
        </is>
      </c>
      <c r="I58" s="9" t="inlineStr">
        <is>
          <t>Method note</t>
        </is>
      </c>
      <c r="J58" s="9" t="inlineStr">
        <is>
          <t>G</t>
        </is>
      </c>
    </row>
    <row r="59">
      <c r="B59" s="14" t="inlineStr">
        <is>
          <t>Fossil plant life</t>
        </is>
      </c>
      <c r="C59" s="14" t="inlineStr">
        <is>
          <t>years</t>
        </is>
      </c>
      <c r="D59" s="14" t="n"/>
      <c r="E59" s="14" t="n"/>
      <c r="F59" s="14">
        <f>G59</f>
        <v/>
      </c>
      <c r="G59" s="15" t="n">
        <v>30</v>
      </c>
      <c r="H59" s="14" t="inlineStr">
        <is>
          <t>life_fos</t>
        </is>
      </c>
      <c r="I59" s="9" t="inlineStr">
        <is>
          <t>CPAT PowerTech</t>
        </is>
      </c>
      <c r="J59" s="9" t="inlineStr">
        <is>
          <t>G</t>
        </is>
      </c>
    </row>
    <row r="60">
      <c r="B60" s="14" t="inlineStr">
        <is>
          <t>VRE O&amp;M, share of capital a year</t>
        </is>
      </c>
      <c r="C60" s="14" t="inlineStr">
        <is>
          <t>share/yr</t>
        </is>
      </c>
      <c r="D60" s="14" t="n"/>
      <c r="E60" s="14" t="n"/>
      <c r="F60" s="14">
        <f>G60</f>
        <v/>
      </c>
      <c r="G60" s="15" t="n">
        <v>0.015</v>
      </c>
      <c r="H60" s="14" t="inlineStr">
        <is>
          <t>om_vre</t>
        </is>
      </c>
      <c r="I60" s="9" t="inlineStr">
        <is>
          <t>Engineering norm. †</t>
        </is>
      </c>
      <c r="J60" s="9" t="inlineStr">
        <is>
          <t>M</t>
        </is>
      </c>
    </row>
    <row r="61">
      <c r="B61" s="14" t="inlineStr">
        <is>
          <t>Fossil O&amp;M (fixed + variable)</t>
        </is>
      </c>
      <c r="C61" s="14" t="inlineStr">
        <is>
          <t>USD/kWh</t>
        </is>
      </c>
      <c r="D61" s="14" t="n"/>
      <c r="E61" s="14" t="n"/>
      <c r="F61" s="14">
        <f>G61</f>
        <v/>
      </c>
      <c r="G61" s="15" t="n">
        <v>0.0105</v>
      </c>
      <c r="H61" s="14" t="inlineStr">
        <is>
          <t>om_fos</t>
        </is>
      </c>
      <c r="I61" s="9" t="inlineStr">
        <is>
          <t>CPAT PowerTech gas: 0.0065 + 0.004</t>
        </is>
      </c>
      <c r="J61" s="9" t="inlineStr">
        <is>
          <t>M</t>
        </is>
      </c>
    </row>
    <row r="62">
      <c r="B62" s="14" t="inlineStr">
        <is>
          <t>Grid investment per USD of generation investment</t>
        </is>
      </c>
      <c r="C62" s="14" t="inlineStr">
        <is>
          <t>USD/USD</t>
        </is>
      </c>
      <c r="D62" s="14" t="n"/>
      <c r="E62" s="14" t="n"/>
      <c r="F62" s="14">
        <f>G62</f>
        <v/>
      </c>
      <c r="G62" s="15" t="n">
        <v>0.6</v>
      </c>
      <c r="H62" s="14" t="inlineStr">
        <is>
          <t>grid_ratio</t>
        </is>
      </c>
      <c r="I62" s="9" t="inlineStr">
        <is>
          <t>IEA (2023) grids: 0.6-1 per USD of renewables (low end)</t>
        </is>
      </c>
      <c r="J62" s="9" t="inlineStr">
        <is>
          <t>M</t>
        </is>
      </c>
    </row>
    <row r="63">
      <c r="B63" s="14" t="inlineStr">
        <is>
          <t>Storage hours per kW of VRE added at full VRE</t>
        </is>
      </c>
      <c r="C63" s="14" t="inlineStr">
        <is>
          <t>hours</t>
        </is>
      </c>
      <c r="D63" s="14" t="n"/>
      <c r="E63" s="14" t="n"/>
      <c r="F63" s="14">
        <f>G63</f>
        <v/>
      </c>
      <c r="G63" s="15" t="n">
        <v>2</v>
      </c>
      <c r="H63" s="14" t="inlineStr">
        <is>
          <t>st_h</t>
        </is>
      </c>
      <c r="I63" s="9" t="inlineStr">
        <is>
          <t>CPAT PowerParams st_ratio (2 kWh per kW). †</t>
        </is>
      </c>
      <c r="J63" s="9" t="inlineStr">
        <is>
          <t>M</t>
        </is>
      </c>
    </row>
    <row r="64">
      <c r="B64" s="14" t="inlineStr">
        <is>
          <t>Battery storage capital cost 2024</t>
        </is>
      </c>
      <c r="C64" s="14" t="inlineStr">
        <is>
          <t>USD/kWh</t>
        </is>
      </c>
      <c r="D64" s="14" t="n"/>
      <c r="E64" s="14" t="n"/>
      <c r="F64" s="14">
        <f>G64</f>
        <v/>
      </c>
      <c r="G64" s="15" t="n">
        <v>250</v>
      </c>
      <c r="H64" s="14" t="inlineStr">
        <is>
          <t>capex_st24</t>
        </is>
      </c>
      <c r="I64" s="9" t="inlineStr">
        <is>
          <t>IRENA/BNEF 250-300 (method note Table C). †</t>
        </is>
      </c>
      <c r="J64" s="9" t="inlineStr">
        <is>
          <t>M</t>
        </is>
      </c>
    </row>
    <row r="65">
      <c r="B65" s="14" t="inlineStr">
        <is>
          <t>Real fall in storage capital cost</t>
        </is>
      </c>
      <c r="C65" s="14" t="inlineStr">
        <is>
          <t>a year</t>
        </is>
      </c>
      <c r="D65" s="14" t="n"/>
      <c r="E65" s="14" t="n"/>
      <c r="F65" s="14">
        <f>G65</f>
        <v/>
      </c>
      <c r="G65" s="15" t="n">
        <v>0.03</v>
      </c>
      <c r="H65" s="14" t="inlineStr">
        <is>
          <t>lr_st</t>
        </is>
      </c>
      <c r="I65" s="9" t="inlineStr">
        <is>
          <t>Assumption. †</t>
        </is>
      </c>
      <c r="J65" s="9" t="inlineStr">
        <is>
          <t>M</t>
        </is>
      </c>
    </row>
    <row r="66">
      <c r="B66" s="14" t="inlineStr">
        <is>
          <t>Heat rate, coal power</t>
        </is>
      </c>
      <c r="C66" s="14" t="inlineStr">
        <is>
          <t>GJ/MWh</t>
        </is>
      </c>
      <c r="D66" s="14" t="n"/>
      <c r="E66" s="14" t="n"/>
      <c r="F66" s="14">
        <f>G66</f>
        <v/>
      </c>
      <c r="G66" s="15" t="n">
        <v>10</v>
      </c>
      <c r="H66" s="14" t="inlineStr">
        <is>
          <t>hr_coa</t>
        </is>
      </c>
      <c r="I66" s="9" t="inlineStr">
        <is>
          <t>Engineering norm. †</t>
        </is>
      </c>
      <c r="J66" s="9" t="inlineStr">
        <is>
          <t>M</t>
        </is>
      </c>
    </row>
    <row r="67">
      <c r="B67" s="14" t="inlineStr">
        <is>
          <t>Heat rate, gas power</t>
        </is>
      </c>
      <c r="C67" s="14" t="inlineStr">
        <is>
          <t>GJ/MWh</t>
        </is>
      </c>
      <c r="D67" s="14" t="n"/>
      <c r="E67" s="14" t="n"/>
      <c r="F67" s="14">
        <f>G67</f>
        <v/>
      </c>
      <c r="G67" s="15" t="n">
        <v>7.5</v>
      </c>
      <c r="H67" s="14" t="inlineStr">
        <is>
          <t>hr_nga</t>
        </is>
      </c>
      <c r="I67" s="9" t="inlineStr">
        <is>
          <t>Engineering norm. †</t>
        </is>
      </c>
      <c r="J67" s="9" t="inlineStr">
        <is>
          <t>M</t>
        </is>
      </c>
    </row>
    <row r="68">
      <c r="B68" s="14" t="inlineStr">
        <is>
          <t>Heat rate, oil power</t>
        </is>
      </c>
      <c r="C68" s="14" t="inlineStr">
        <is>
          <t>GJ/MWh</t>
        </is>
      </c>
      <c r="D68" s="14" t="n"/>
      <c r="E68" s="14" t="n"/>
      <c r="F68" s="14">
        <f>G68</f>
        <v/>
      </c>
      <c r="G68" s="15" t="n">
        <v>10.5</v>
      </c>
      <c r="H68" s="14" t="inlineStr">
        <is>
          <t>hr_oil</t>
        </is>
      </c>
      <c r="I68" s="9" t="inlineStr">
        <is>
          <t>Engineering norm. †</t>
        </is>
      </c>
      <c r="J68" s="9" t="inlineStr">
        <is>
          <t>M</t>
        </is>
      </c>
    </row>
    <row r="69">
      <c r="B69" s="14" t="inlineStr">
        <is>
          <t>CO2 factor, coal</t>
        </is>
      </c>
      <c r="C69" s="14" t="inlineStr">
        <is>
          <t>tCO2/GJ</t>
        </is>
      </c>
      <c r="D69" s="14" t="n"/>
      <c r="E69" s="14" t="n"/>
      <c r="F69" s="14">
        <f>G69</f>
        <v/>
      </c>
      <c r="G69" s="15" t="n">
        <v>0.0946</v>
      </c>
      <c r="H69" s="14" t="inlineStr">
        <is>
          <t>ef_coa</t>
        </is>
      </c>
      <c r="I69" s="9" t="inlineStr">
        <is>
          <t>IPCC 2006 Table 2.2 (other bituminous)</t>
        </is>
      </c>
      <c r="J69" s="9" t="inlineStr">
        <is>
          <t>G</t>
        </is>
      </c>
    </row>
    <row r="70">
      <c r="B70" s="14" t="inlineStr">
        <is>
          <t>CO2 factor, natural gas</t>
        </is>
      </c>
      <c r="C70" s="14" t="inlineStr">
        <is>
          <t>tCO2/GJ</t>
        </is>
      </c>
      <c r="D70" s="14" t="n"/>
      <c r="E70" s="14" t="n"/>
      <c r="F70" s="14">
        <f>G70</f>
        <v/>
      </c>
      <c r="G70" s="15" t="n">
        <v>0.0561</v>
      </c>
      <c r="H70" s="14" t="inlineStr">
        <is>
          <t>ef_nga</t>
        </is>
      </c>
      <c r="I70" s="9" t="inlineStr">
        <is>
          <t>IPCC 2006 Table 2.2</t>
        </is>
      </c>
      <c r="J70" s="9" t="inlineStr">
        <is>
          <t>G</t>
        </is>
      </c>
    </row>
    <row r="71">
      <c r="B71" s="14" t="inlineStr">
        <is>
          <t>CO2 factor, gasoline</t>
        </is>
      </c>
      <c r="C71" s="14" t="inlineStr">
        <is>
          <t>tCO2/GJ</t>
        </is>
      </c>
      <c r="D71" s="14" t="n"/>
      <c r="E71" s="14" t="n"/>
      <c r="F71" s="14">
        <f>G71</f>
        <v/>
      </c>
      <c r="G71" s="15" t="n">
        <v>0.0693</v>
      </c>
      <c r="H71" s="14" t="inlineStr">
        <is>
          <t>ef_gso</t>
        </is>
      </c>
      <c r="I71" s="9" t="inlineStr">
        <is>
          <t>IPCC 2006 Table 2.2</t>
        </is>
      </c>
      <c r="J71" s="9" t="inlineStr">
        <is>
          <t>G</t>
        </is>
      </c>
    </row>
    <row r="72">
      <c r="B72" s="14" t="inlineStr">
        <is>
          <t>CO2 factor, diesel</t>
        </is>
      </c>
      <c r="C72" s="14" t="inlineStr">
        <is>
          <t>tCO2/GJ</t>
        </is>
      </c>
      <c r="D72" s="14" t="n"/>
      <c r="E72" s="14" t="n"/>
      <c r="F72" s="14">
        <f>G72</f>
        <v/>
      </c>
      <c r="G72" s="15" t="n">
        <v>0.0741</v>
      </c>
      <c r="H72" s="14" t="inlineStr">
        <is>
          <t>ef_die</t>
        </is>
      </c>
      <c r="I72" s="9" t="inlineStr">
        <is>
          <t>IPCC 2006 Table 2.2</t>
        </is>
      </c>
      <c r="J72" s="9" t="inlineStr">
        <is>
          <t>G</t>
        </is>
      </c>
    </row>
    <row r="73">
      <c r="B73" s="14" t="inlineStr">
        <is>
          <t>CO2 factor, LPG</t>
        </is>
      </c>
      <c r="C73" s="14" t="inlineStr">
        <is>
          <t>tCO2/GJ</t>
        </is>
      </c>
      <c r="D73" s="14" t="n"/>
      <c r="E73" s="14" t="n"/>
      <c r="F73" s="14">
        <f>G73</f>
        <v/>
      </c>
      <c r="G73" s="15" t="n">
        <v>0.0631</v>
      </c>
      <c r="H73" s="14" t="inlineStr">
        <is>
          <t>ef_lpg</t>
        </is>
      </c>
      <c r="I73" s="9" t="inlineStr">
        <is>
          <t>IPCC 2006 Table 2.2</t>
        </is>
      </c>
      <c r="J73" s="9" t="inlineStr">
        <is>
          <t>G</t>
        </is>
      </c>
    </row>
    <row r="74">
      <c r="B74" s="14" t="inlineStr">
        <is>
          <t>CO2 factor, kerosene</t>
        </is>
      </c>
      <c r="C74" s="14" t="inlineStr">
        <is>
          <t>tCO2/GJ</t>
        </is>
      </c>
      <c r="D74" s="14" t="n"/>
      <c r="E74" s="14" t="n"/>
      <c r="F74" s="14">
        <f>G74</f>
        <v/>
      </c>
      <c r="G74" s="15" t="n">
        <v>0.07190000000000001</v>
      </c>
      <c r="H74" s="14" t="inlineStr">
        <is>
          <t>ef_ker</t>
        </is>
      </c>
      <c r="I74" s="9" t="inlineStr">
        <is>
          <t>IPCC 2006 Table 2.2</t>
        </is>
      </c>
      <c r="J74" s="9" t="inlineStr">
        <is>
          <t>G</t>
        </is>
      </c>
    </row>
    <row r="75">
      <c r="B75" s="14" t="inlineStr">
        <is>
          <t>CO2 factor, other oil (residual fuel oil)</t>
        </is>
      </c>
      <c r="C75" s="14" t="inlineStr">
        <is>
          <t>tCO2/GJ</t>
        </is>
      </c>
      <c r="D75" s="14" t="n"/>
      <c r="E75" s="14" t="n"/>
      <c r="F75" s="14">
        <f>G75</f>
        <v/>
      </c>
      <c r="G75" s="15" t="n">
        <v>0.0774</v>
      </c>
      <c r="H75" s="14" t="inlineStr">
        <is>
          <t>ef_oil</t>
        </is>
      </c>
      <c r="I75" s="9" t="inlineStr">
        <is>
          <t>IPCC 2006 Table 2.2</t>
        </is>
      </c>
      <c r="J75" s="9" t="inlineStr">
        <is>
          <t>G</t>
        </is>
      </c>
    </row>
    <row r="76">
      <c r="B76" s="14" t="inlineStr">
        <is>
          <t>Non-CO2 and other process GHG cut by 2030</t>
        </is>
      </c>
      <c r="C76" s="14" t="inlineStr">
        <is>
          <t>share</t>
        </is>
      </c>
      <c r="D76" s="14" t="n"/>
      <c r="E76" s="14" t="n"/>
      <c r="F76" s="14">
        <f>G76</f>
        <v/>
      </c>
      <c r="G76" s="15" t="n">
        <v>0.3</v>
      </c>
      <c r="H76" s="14" t="inlineStr">
        <is>
          <t>nc_2030</t>
        </is>
      </c>
      <c r="I76" s="9" t="inlineStr">
        <is>
          <t>Global Methane Pledge (-30% methane by 2030)</t>
        </is>
      </c>
      <c r="J76" s="9" t="inlineStr">
        <is>
          <t>M</t>
        </is>
      </c>
    </row>
    <row r="77">
      <c r="B77" s="14" t="inlineStr">
        <is>
          <t>Non-CO2 and other process GHG cut by 2050</t>
        </is>
      </c>
      <c r="C77" s="14" t="inlineStr">
        <is>
          <t>share</t>
        </is>
      </c>
      <c r="D77" s="14" t="n"/>
      <c r="E77" s="14" t="n"/>
      <c r="F77" s="14">
        <f>G77</f>
        <v/>
      </c>
      <c r="G77" s="15" t="n">
        <v>0.6</v>
      </c>
      <c r="H77" s="14" t="inlineStr">
        <is>
          <t>nc_2050</t>
        </is>
      </c>
      <c r="I77" s="9" t="inlineStr">
        <is>
          <t>Assumption. †</t>
        </is>
      </c>
      <c r="J77" s="9" t="inlineStr">
        <is>
          <t>P</t>
        </is>
      </c>
    </row>
    <row r="78">
      <c r="B78" s="14" t="inlineStr">
        <is>
          <t>Cost per tonne, non-CO2 abatement</t>
        </is>
      </c>
      <c r="C78" s="14" t="inlineStr">
        <is>
          <t>USD/tCO2e</t>
        </is>
      </c>
      <c r="D78" s="14" t="n"/>
      <c r="E78" s="14" t="n"/>
      <c r="F78" s="14">
        <f>G78</f>
        <v/>
      </c>
      <c r="G78" s="15" t="n">
        <v>50</v>
      </c>
      <c r="H78" s="14" t="inlineStr">
        <is>
          <t>cpt_nc</t>
        </is>
      </c>
      <c r="I78" s="9" t="inlineStr">
        <is>
          <t>As v1.1 (IPCC AR6 SPM C.12). †</t>
        </is>
      </c>
      <c r="J78" s="9" t="inlineStr">
        <is>
          <t>M</t>
        </is>
      </c>
    </row>
    <row r="79">
      <c r="B79" s="14" t="inlineStr">
        <is>
          <t>Cost per tonne, land-use emissions</t>
        </is>
      </c>
      <c r="C79" s="14" t="inlineStr">
        <is>
          <t>USD/tCO2e</t>
        </is>
      </c>
      <c r="D79" s="14" t="n"/>
      <c r="E79" s="14" t="n"/>
      <c r="F79" s="14">
        <f>G79</f>
        <v/>
      </c>
      <c r="G79" s="15" t="n">
        <v>50</v>
      </c>
      <c r="H79" s="14" t="inlineStr">
        <is>
          <t>cpt_afolu</t>
        </is>
      </c>
      <c r="I79" s="9" t="inlineStr">
        <is>
          <t>As v1.1 (IPCC AR6 SPM C.9.1). †</t>
        </is>
      </c>
      <c r="J79" s="9" t="inlineStr">
        <is>
          <t>P</t>
        </is>
      </c>
    </row>
    <row r="80">
      <c r="B80" s="14" t="inlineStr">
        <is>
          <t>Cost per tonne, other energy CO2 (aviation, shipping, other)</t>
        </is>
      </c>
      <c r="C80" s="14" t="inlineStr">
        <is>
          <t>USD/tCO2</t>
        </is>
      </c>
      <c r="D80" s="14" t="n"/>
      <c r="E80" s="14" t="n"/>
      <c r="F80" s="14">
        <f>G80</f>
        <v/>
      </c>
      <c r="G80" s="15" t="n">
        <v>100</v>
      </c>
      <c r="H80" s="14" t="inlineStr">
        <is>
          <t>cpt_res</t>
        </is>
      </c>
      <c r="I80" s="9" t="inlineStr">
        <is>
          <t>IPCC AR6 SPM C.12 threshold. †</t>
        </is>
      </c>
      <c r="J80" s="9" t="inlineStr">
        <is>
          <t>P</t>
        </is>
      </c>
    </row>
    <row r="81">
      <c r="B81" s="14" t="inlineStr">
        <is>
          <t>Net land-use emissions brought to zero</t>
        </is>
      </c>
      <c r="C81" s="14" t="inlineStr">
        <is>
          <t>year</t>
        </is>
      </c>
      <c r="D81" s="14" t="n"/>
      <c r="E81" s="14" t="n"/>
      <c r="F81" s="14">
        <f>G81</f>
        <v/>
      </c>
      <c r="G81" s="15" t="n">
        <v>2030</v>
      </c>
      <c r="H81" s="14" t="inlineStr">
        <is>
          <t>lu_T</t>
        </is>
      </c>
      <c r="I81" s="9" t="inlineStr">
        <is>
          <t>Glasgow Leaders' Declaration on Forests (2021)</t>
        </is>
      </c>
      <c r="J81" s="9" t="inlineStr">
        <is>
          <t>M</t>
        </is>
      </c>
    </row>
    <row r="82">
      <c r="B82" s="14" t="inlineStr">
        <is>
          <t>Clean energy investment 2024, advanced economies (residual)</t>
        </is>
      </c>
      <c r="C82" s="14" t="inlineStr">
        <is>
          <t>USD bn</t>
        </is>
      </c>
      <c r="D82" s="14" t="n"/>
      <c r="E82" s="14" t="n"/>
      <c r="F82" s="14">
        <f>G82</f>
        <v/>
      </c>
      <c r="G82" s="15" t="n">
        <v>1005</v>
      </c>
      <c r="H82" s="14" t="inlineStr">
        <is>
          <t>iea24_ae</t>
        </is>
      </c>
      <c r="I82" s="9" t="inlineStr">
        <is>
          <t>IEA WEI 2024: world ~2,000 less China 675 less EMDE ex-China ~320</t>
        </is>
      </c>
      <c r="J82" s="9" t="inlineStr">
        <is>
          <t>M</t>
        </is>
      </c>
    </row>
    <row r="83">
      <c r="B83" s="14" t="inlineStr">
        <is>
          <t>Clean energy investment 2024, China</t>
        </is>
      </c>
      <c r="C83" s="14" t="inlineStr">
        <is>
          <t>USD bn</t>
        </is>
      </c>
      <c r="D83" s="14" t="n"/>
      <c r="E83" s="14" t="n"/>
      <c r="F83" s="14">
        <f>G83</f>
        <v/>
      </c>
      <c r="G83" s="15" t="n">
        <v>675</v>
      </c>
      <c r="H83" s="14" t="inlineStr">
        <is>
          <t>iea24_chn</t>
        </is>
      </c>
      <c r="I83" s="9" t="inlineStr">
        <is>
          <t>IEA World Energy Investment 2024</t>
        </is>
      </c>
      <c r="J83" s="9" t="inlineStr">
        <is>
          <t>M</t>
        </is>
      </c>
    </row>
    <row r="84">
      <c r="B84" s="14" t="inlineStr">
        <is>
          <t>Clean energy investment 2024, EMDEs other than China</t>
        </is>
      </c>
      <c r="C84" s="14" t="inlineStr">
        <is>
          <t>USD bn</t>
        </is>
      </c>
      <c r="D84" s="14" t="n"/>
      <c r="E84" s="14" t="n"/>
      <c r="F84" s="14">
        <f>G84</f>
        <v/>
      </c>
      <c r="G84" s="15" t="n">
        <v>320</v>
      </c>
      <c r="H84" s="14" t="inlineStr">
        <is>
          <t>iea24_emdc</t>
        </is>
      </c>
      <c r="I84" s="9" t="inlineStr">
        <is>
          <t>IEA World Energy Investment 2024</t>
        </is>
      </c>
      <c r="J84" s="9" t="inlineStr">
        <is>
          <t>M</t>
        </is>
      </c>
    </row>
    <row r="85">
      <c r="B85" s="14" t="inlineStr">
        <is>
          <t>World Bank social discount rate</t>
        </is>
      </c>
      <c r="C85" s="14" t="inlineStr">
        <is>
          <t>rate</t>
        </is>
      </c>
      <c r="D85" s="14" t="n"/>
      <c r="E85" s="14" t="n"/>
      <c r="F85" s="14">
        <f>G85</f>
        <v/>
      </c>
      <c r="G85" s="15" t="n">
        <v>0.06</v>
      </c>
      <c r="H85" s="14" t="inlineStr">
        <is>
          <t>r_wb</t>
        </is>
      </c>
      <c r="I85" s="9" t="inlineStr">
        <is>
          <t>Fay et al. (2016)</t>
        </is>
      </c>
      <c r="J85" s="9" t="inlineStr">
        <is>
          <t>G</t>
        </is>
      </c>
    </row>
    <row r="86">
      <c r="B86" s="14" t="inlineStr">
        <is>
          <t>Asset life, buildings</t>
        </is>
      </c>
      <c r="C86" s="14" t="inlineStr">
        <is>
          <t>years</t>
        </is>
      </c>
      <c r="D86" s="14" t="n"/>
      <c r="E86" s="14" t="n"/>
      <c r="F86" s="14">
        <f>G86</f>
        <v/>
      </c>
      <c r="G86" s="15" t="n">
        <v>25</v>
      </c>
      <c r="H86" s="14" t="inlineStr">
        <is>
          <t>life_bld</t>
        </is>
      </c>
      <c r="I86" s="9" t="inlineStr">
        <is>
          <t>Method note</t>
        </is>
      </c>
      <c r="J86" s="9" t="inlineStr">
        <is>
          <t>M</t>
        </is>
      </c>
    </row>
    <row r="87">
      <c r="B87" s="14" t="inlineStr">
        <is>
          <t>Asset life, industry</t>
        </is>
      </c>
      <c r="C87" s="14" t="inlineStr">
        <is>
          <t>years</t>
        </is>
      </c>
      <c r="D87" s="14" t="n"/>
      <c r="E87" s="14" t="n"/>
      <c r="F87" s="14">
        <f>G87</f>
        <v/>
      </c>
      <c r="G87" s="15" t="n">
        <v>25</v>
      </c>
      <c r="H87" s="14" t="inlineStr">
        <is>
          <t>life_ind</t>
        </is>
      </c>
      <c r="I87" s="9" t="inlineStr">
        <is>
          <t>Method note</t>
        </is>
      </c>
      <c r="J87" s="9" t="inlineStr">
        <is>
          <t>M</t>
        </is>
      </c>
    </row>
    <row r="88">
      <c r="B88" s="14" t="inlineStr">
        <is>
          <t>Asset life, grids and storage</t>
        </is>
      </c>
      <c r="C88" s="14" t="inlineStr">
        <is>
          <t>years</t>
        </is>
      </c>
      <c r="D88" s="14" t="n"/>
      <c r="E88" s="14" t="n"/>
      <c r="F88" s="14">
        <f>G88</f>
        <v/>
      </c>
      <c r="G88" s="15" t="n">
        <v>40</v>
      </c>
      <c r="H88" s="14" t="inlineStr">
        <is>
          <t>life_grid</t>
        </is>
      </c>
      <c r="I88" s="9" t="inlineStr">
        <is>
          <t>Method note</t>
        </is>
      </c>
      <c r="J88" s="9" t="inlineStr">
        <is>
          <t>M</t>
        </is>
      </c>
    </row>
    <row r="89">
      <c r="B89" s="14" t="inlineStr">
        <is>
          <t>Generation, utility-built (P2), vertically integrated market</t>
        </is>
      </c>
      <c r="C89" s="14" t="inlineStr">
        <is>
          <t>share</t>
        </is>
      </c>
      <c r="D89" s="14" t="n"/>
      <c r="E89" s="14" t="n"/>
      <c r="F89" s="14">
        <f>G89</f>
        <v/>
      </c>
      <c r="G89" s="15" t="n">
        <v>0.7</v>
      </c>
      <c r="H89" s="14" t="inlineStr">
        <is>
          <t>ty_g2_vi</t>
        </is>
      </c>
      <c r="I89" s="9" t="inlineStr">
        <is>
          <t>Assumption. †</t>
        </is>
      </c>
      <c r="J89" s="9" t="inlineStr">
        <is>
          <t>P</t>
        </is>
      </c>
    </row>
    <row r="90">
      <c r="B90" s="14" t="inlineStr">
        <is>
          <t>Generation, utility-built (P2), single buyer with IPPs</t>
        </is>
      </c>
      <c r="C90" s="14" t="inlineStr">
        <is>
          <t>share</t>
        </is>
      </c>
      <c r="D90" s="14" t="n"/>
      <c r="E90" s="14" t="n"/>
      <c r="F90" s="14">
        <f>G90</f>
        <v/>
      </c>
      <c r="G90" s="15" t="n">
        <v>0.35</v>
      </c>
      <c r="H90" s="14" t="inlineStr">
        <is>
          <t>ty_g2_sb</t>
        </is>
      </c>
      <c r="I90" s="9" t="inlineStr">
        <is>
          <t>Assumption. †</t>
        </is>
      </c>
      <c r="J90" s="9" t="inlineStr">
        <is>
          <t>P</t>
        </is>
      </c>
    </row>
    <row r="91">
      <c r="B91" s="14" t="inlineStr">
        <is>
          <t>Generation, utility-built (P2), wholesale market</t>
        </is>
      </c>
      <c r="C91" s="14" t="inlineStr">
        <is>
          <t>share</t>
        </is>
      </c>
      <c r="D91" s="14" t="n"/>
      <c r="E91" s="14" t="n"/>
      <c r="F91" s="14">
        <f>G91</f>
        <v/>
      </c>
      <c r="G91" s="15" t="n">
        <v>0.1</v>
      </c>
      <c r="H91" s="14" t="inlineStr">
        <is>
          <t>ty_g2_wm</t>
        </is>
      </c>
      <c r="I91" s="9" t="inlineStr">
        <is>
          <t>Assumption. †</t>
        </is>
      </c>
      <c r="J91" s="9" t="inlineStr">
        <is>
          <t>P</t>
        </is>
      </c>
    </row>
    <row r="92">
      <c r="B92" s="14" t="inlineStr">
        <is>
          <t>Generation, contracted IPPs (P3), vertically integrated market</t>
        </is>
      </c>
      <c r="C92" s="14" t="inlineStr">
        <is>
          <t>share</t>
        </is>
      </c>
      <c r="D92" s="14" t="n"/>
      <c r="E92" s="14" t="n"/>
      <c r="F92" s="14">
        <f>G92</f>
        <v/>
      </c>
      <c r="G92" s="15" t="n">
        <v>0.25</v>
      </c>
      <c r="H92" s="14" t="inlineStr">
        <is>
          <t>ty_g3_vi</t>
        </is>
      </c>
      <c r="I92" s="9" t="inlineStr">
        <is>
          <t>Assumption. †</t>
        </is>
      </c>
      <c r="J92" s="9" t="inlineStr">
        <is>
          <t>P</t>
        </is>
      </c>
    </row>
    <row r="93">
      <c r="B93" s="14" t="inlineStr">
        <is>
          <t>Generation, contracted IPPs (P3), single buyer</t>
        </is>
      </c>
      <c r="C93" s="14" t="inlineStr">
        <is>
          <t>share</t>
        </is>
      </c>
      <c r="D93" s="14" t="n"/>
      <c r="E93" s="14" t="n"/>
      <c r="F93" s="14">
        <f>G93</f>
        <v/>
      </c>
      <c r="G93" s="15" t="n">
        <v>0.55</v>
      </c>
      <c r="H93" s="14" t="inlineStr">
        <is>
          <t>ty_g3_sb</t>
        </is>
      </c>
      <c r="I93" s="9" t="inlineStr">
        <is>
          <t>Assumption; IEA-IFC (2023) PPAs dominate EMDE renewables. †</t>
        </is>
      </c>
      <c r="J93" s="9" t="inlineStr">
        <is>
          <t>P</t>
        </is>
      </c>
    </row>
    <row r="94">
      <c r="B94" s="14" t="inlineStr">
        <is>
          <t>Generation, contracted (P3: CfDs, auctions, corporate PPAs), wholesale market</t>
        </is>
      </c>
      <c r="C94" s="14" t="inlineStr">
        <is>
          <t>share</t>
        </is>
      </c>
      <c r="D94" s="14" t="n"/>
      <c r="E94" s="14" t="n"/>
      <c r="F94" s="14">
        <f>G94</f>
        <v/>
      </c>
      <c r="G94" s="15" t="n">
        <v>0.55</v>
      </c>
      <c r="H94" s="14" t="inlineStr">
        <is>
          <t>ty_g3_wm</t>
        </is>
      </c>
      <c r="I94" s="9" t="inlineStr">
        <is>
          <t>Assumption. †</t>
        </is>
      </c>
      <c r="J94" s="9" t="inlineStr">
        <is>
          <t>P</t>
        </is>
      </c>
    </row>
    <row r="95">
      <c r="B95" s="14" t="inlineStr">
        <is>
          <t>Grids and storage, private contracted (P3), vertically integrated</t>
        </is>
      </c>
      <c r="C95" s="14" t="inlineStr">
        <is>
          <t>share</t>
        </is>
      </c>
      <c r="D95" s="14" t="n"/>
      <c r="E95" s="14" t="n"/>
      <c r="F95" s="14">
        <f>G95</f>
        <v/>
      </c>
      <c r="G95" s="15" t="n">
        <v>0</v>
      </c>
      <c r="H95" s="14" t="inlineStr">
        <is>
          <t>ty_r3_vi</t>
        </is>
      </c>
      <c r="I95" s="9" t="inlineStr">
        <is>
          <t>Assumption. †</t>
        </is>
      </c>
      <c r="J95" s="9" t="inlineStr">
        <is>
          <t>P</t>
        </is>
      </c>
    </row>
    <row r="96">
      <c r="B96" s="14" t="inlineStr">
        <is>
          <t>Grids and storage, private contracted (P3), single buyer</t>
        </is>
      </c>
      <c r="C96" s="14" t="inlineStr">
        <is>
          <t>share</t>
        </is>
      </c>
      <c r="D96" s="14" t="n"/>
      <c r="E96" s="14" t="n"/>
      <c r="F96" s="14">
        <f>G96</f>
        <v/>
      </c>
      <c r="G96" s="15" t="n">
        <v>0.05</v>
      </c>
      <c r="H96" s="14" t="inlineStr">
        <is>
          <t>ty_r3_sb</t>
        </is>
      </c>
      <c r="I96" s="9" t="inlineStr">
        <is>
          <t>Assumption; PPI private transmission rare. †</t>
        </is>
      </c>
      <c r="J96" s="9" t="inlineStr">
        <is>
          <t>P</t>
        </is>
      </c>
    </row>
    <row r="97">
      <c r="B97" s="14" t="inlineStr">
        <is>
          <t>Grids and storage, private contracted (P3), wholesale market</t>
        </is>
      </c>
      <c r="C97" s="14" t="inlineStr">
        <is>
          <t>share</t>
        </is>
      </c>
      <c r="D97" s="14" t="n"/>
      <c r="E97" s="14" t="n"/>
      <c r="F97" s="14">
        <f>G97</f>
        <v/>
      </c>
      <c r="G97" s="15" t="n">
        <v>0.15</v>
      </c>
      <c r="H97" s="14" t="inlineStr">
        <is>
          <t>ty_r3_wm</t>
        </is>
      </c>
      <c r="I97" s="9" t="inlineStr">
        <is>
          <t>Assumption: merchant/contracted storage, OFTO-type lines. †</t>
        </is>
      </c>
      <c r="J97" s="9" t="inlineStr">
        <is>
          <t>P</t>
        </is>
      </c>
    </row>
    <row r="98">
      <c r="B98" s="14" t="inlineStr">
        <is>
          <t>Tariff under-recovery at which the utility pressure index reaches 1</t>
        </is>
      </c>
      <c r="C98" s="14" t="inlineStr">
        <is>
          <t>ratio</t>
        </is>
      </c>
      <c r="D98" s="14" t="n"/>
      <c r="E98" s="14" t="n"/>
      <c r="F98" s="14">
        <f>G98</f>
        <v/>
      </c>
      <c r="G98" s="15" t="n">
        <v>0.5</v>
      </c>
      <c r="H98" s="14" t="inlineStr">
        <is>
          <t>ty_cr_gap</t>
        </is>
      </c>
      <c r="I98" s="9" t="inlineStr">
        <is>
          <t>Assumption: cost recovery 50% or less. †</t>
        </is>
      </c>
      <c r="J98" s="9" t="inlineStr">
        <is>
          <t>P</t>
        </is>
      </c>
    </row>
    <row r="99">
      <c r="B99" s="14" t="inlineStr">
        <is>
          <t>Share of utility generation the budget pays at full under-recovery (P2 to P1)</t>
        </is>
      </c>
      <c r="C99" s="14" t="inlineStr">
        <is>
          <t>share</t>
        </is>
      </c>
      <c r="D99" s="14" t="n"/>
      <c r="E99" s="14" t="n"/>
      <c r="F99" s="14">
        <f>G99</f>
        <v/>
      </c>
      <c r="G99" s="15" t="n">
        <v>0.5</v>
      </c>
      <c r="H99" s="14" t="inlineStr">
        <is>
          <t>ty_ku1</t>
        </is>
      </c>
      <c r="I99" s="9" t="inlineStr">
        <is>
          <t>Assumption. †</t>
        </is>
      </c>
      <c r="J99" s="9" t="inlineStr">
        <is>
          <t>P</t>
        </is>
      </c>
    </row>
    <row r="100">
      <c r="B100" s="14" t="inlineStr">
        <is>
          <t>Share of contracted generation needing a public top-up at full under-recovery (P3 to P4)</t>
        </is>
      </c>
      <c r="C100" s="14" t="inlineStr">
        <is>
          <t>share</t>
        </is>
      </c>
      <c r="D100" s="14" t="n"/>
      <c r="E100" s="14" t="n"/>
      <c r="F100" s="14">
        <f>G100</f>
        <v/>
      </c>
      <c r="G100" s="15" t="n">
        <v>0.4</v>
      </c>
      <c r="H100" s="14" t="inlineStr">
        <is>
          <t>ty_ku4</t>
        </is>
      </c>
      <c r="I100" s="9" t="inlineStr">
        <is>
          <t>Assumption. †</t>
        </is>
      </c>
      <c r="J100" s="9" t="inlineStr">
        <is>
          <t>P</t>
        </is>
      </c>
    </row>
    <row r="101">
      <c r="B101" s="14" t="inlineStr">
        <is>
          <t>Share of utility grid investment the budget pays at full under-recovery (P2 to P1)</t>
        </is>
      </c>
      <c r="C101" s="14" t="inlineStr">
        <is>
          <t>share</t>
        </is>
      </c>
      <c r="D101" s="14" t="n"/>
      <c r="E101" s="14" t="n"/>
      <c r="F101" s="14">
        <f>G101</f>
        <v/>
      </c>
      <c r="G101" s="15" t="n">
        <v>0.6</v>
      </c>
      <c r="H101" s="14" t="inlineStr">
        <is>
          <t>ty_kur</t>
        </is>
      </c>
      <c r="I101" s="9" t="inlineStr">
        <is>
          <t>Assumption. †</t>
        </is>
      </c>
      <c r="J101" s="9" t="inlineStr">
        <is>
          <t>P</t>
        </is>
      </c>
    </row>
    <row r="102">
      <c r="B102" s="14" t="inlineStr">
        <is>
          <t>Grid investment for access paid by the budget, low income</t>
        </is>
      </c>
      <c r="C102" s="14" t="inlineStr">
        <is>
          <t>share</t>
        </is>
      </c>
      <c r="D102" s="14" t="n"/>
      <c r="E102" s="14" t="n"/>
      <c r="F102" s="14">
        <f>G102</f>
        <v/>
      </c>
      <c r="G102" s="15" t="n">
        <v>0.25</v>
      </c>
      <c r="H102" s="14" t="inlineStr">
        <is>
          <t>ty_acc_lic</t>
        </is>
      </c>
      <c r="I102" s="9" t="inlineStr">
        <is>
          <t>Assumption; access extension has no paying customers at first. †</t>
        </is>
      </c>
      <c r="J102" s="9" t="inlineStr">
        <is>
          <t>P</t>
        </is>
      </c>
    </row>
    <row r="103">
      <c r="B103" s="14" t="inlineStr">
        <is>
          <t>Grid investment for access paid by the budget, lower middle income</t>
        </is>
      </c>
      <c r="C103" s="14" t="inlineStr">
        <is>
          <t>share</t>
        </is>
      </c>
      <c r="D103" s="14" t="n"/>
      <c r="E103" s="14" t="n"/>
      <c r="F103" s="14">
        <f>G103</f>
        <v/>
      </c>
      <c r="G103" s="15" t="n">
        <v>0.1</v>
      </c>
      <c r="H103" s="14" t="inlineStr">
        <is>
          <t>ty_acc_lmic</t>
        </is>
      </c>
      <c r="I103" s="9" t="inlineStr">
        <is>
          <t>Assumption. †</t>
        </is>
      </c>
      <c r="J103" s="9" t="inlineStr">
        <is>
          <t>P</t>
        </is>
      </c>
    </row>
    <row r="104">
      <c r="B104" s="14" t="inlineStr">
        <is>
          <t>WACC above 6% at which the capital-cost pressure index reaches 1</t>
        </is>
      </c>
      <c r="C104" s="14" t="inlineStr">
        <is>
          <t>rate</t>
        </is>
      </c>
      <c r="D104" s="14" t="n"/>
      <c r="E104" s="14" t="n"/>
      <c r="F104" s="14">
        <f>G104</f>
        <v/>
      </c>
      <c r="G104" s="15" t="n">
        <v>0.08</v>
      </c>
      <c r="H104" s="14" t="inlineStr">
        <is>
          <t>ty_h_span</t>
        </is>
      </c>
      <c r="I104" s="9" t="inlineStr">
        <is>
          <t>Assumption: WACC 14% or more. †</t>
        </is>
      </c>
      <c r="J104" s="9" t="inlineStr">
        <is>
          <t>P</t>
        </is>
      </c>
    </row>
    <row r="105">
      <c r="B105" s="14" t="inlineStr">
        <is>
          <t>Share of market investment needing a top-up at full capital-cost pressure (P5 to P4)</t>
        </is>
      </c>
      <c r="C105" s="14" t="inlineStr">
        <is>
          <t>share</t>
        </is>
      </c>
      <c r="D105" s="14" t="n"/>
      <c r="E105" s="14" t="n"/>
      <c r="F105" s="14">
        <f>G105</f>
        <v/>
      </c>
      <c r="G105" s="15" t="n">
        <v>0.4</v>
      </c>
      <c r="H105" s="14" t="inlineStr">
        <is>
          <t>ty_kh</t>
        </is>
      </c>
      <c r="I105" s="9" t="inlineStr">
        <is>
          <t>Assumption. †</t>
        </is>
      </c>
      <c r="J105" s="9" t="inlineStr">
        <is>
          <t>P</t>
        </is>
      </c>
    </row>
    <row r="106">
      <c r="B106" s="14" t="inlineStr">
        <is>
          <t>Explicit fossil fuel subsidies at which the subsidy pressure index reaches 1</t>
        </is>
      </c>
      <c r="C106" s="14" t="inlineStr">
        <is>
          <t>% GDP</t>
        </is>
      </c>
      <c r="D106" s="14" t="n"/>
      <c r="E106" s="14" t="n"/>
      <c r="F106" s="14">
        <f>G106</f>
        <v/>
      </c>
      <c r="G106" s="15" t="n">
        <v>2</v>
      </c>
      <c r="H106" s="14" t="inlineStr">
        <is>
          <t>ty_v_span</t>
        </is>
      </c>
      <c r="I106" s="9" t="inlineStr">
        <is>
          <t>Assumption. †</t>
        </is>
      </c>
      <c r="J106" s="9" t="inlineStr">
        <is>
          <t>P</t>
        </is>
      </c>
    </row>
    <row r="107">
      <c r="B107" s="14" t="inlineStr">
        <is>
          <t>Share of market end-use investment needing a top-up at full subsidy pressure</t>
        </is>
      </c>
      <c r="C107" s="14" t="inlineStr">
        <is>
          <t>share</t>
        </is>
      </c>
      <c r="D107" s="14" t="n"/>
      <c r="E107" s="14" t="n"/>
      <c r="F107" s="14">
        <f>G107</f>
        <v/>
      </c>
      <c r="G107" s="15" t="n">
        <v>0.2</v>
      </c>
      <c r="H107" s="14" t="inlineStr">
        <is>
          <t>ty_kv</t>
        </is>
      </c>
      <c r="I107" s="9" t="inlineStr">
        <is>
          <t>Assumption. †</t>
        </is>
      </c>
      <c r="J107" s="9" t="inlineStr">
        <is>
          <t>P</t>
        </is>
      </c>
    </row>
    <row r="108">
      <c r="B108" s="14" t="inlineStr">
        <is>
          <t>Credit-constraint top-up share, low income</t>
        </is>
      </c>
      <c r="C108" s="14" t="inlineStr">
        <is>
          <t>share</t>
        </is>
      </c>
      <c r="D108" s="14" t="n"/>
      <c r="E108" s="14" t="n"/>
      <c r="F108" s="14">
        <f>G108</f>
        <v/>
      </c>
      <c r="G108" s="15" t="n">
        <v>0.3</v>
      </c>
      <c r="H108" s="14" t="inlineStr">
        <is>
          <t>ty_ci_lic</t>
        </is>
      </c>
      <c r="I108" s="9" t="inlineStr">
        <is>
          <t>Assumption. †</t>
        </is>
      </c>
      <c r="J108" s="9" t="inlineStr">
        <is>
          <t>P</t>
        </is>
      </c>
    </row>
    <row r="109">
      <c r="B109" s="14" t="inlineStr">
        <is>
          <t>Credit-constraint top-up share, lower middle income</t>
        </is>
      </c>
      <c r="C109" s="14" t="inlineStr">
        <is>
          <t>share</t>
        </is>
      </c>
      <c r="D109" s="14" t="n"/>
      <c r="E109" s="14" t="n"/>
      <c r="F109" s="14">
        <f>G109</f>
        <v/>
      </c>
      <c r="G109" s="15" t="n">
        <v>0.15</v>
      </c>
      <c r="H109" s="14" t="inlineStr">
        <is>
          <t>ty_ci_lmic</t>
        </is>
      </c>
      <c r="I109" s="9" t="inlineStr">
        <is>
          <t>Assumption. †</t>
        </is>
      </c>
      <c r="J109" s="9" t="inlineStr">
        <is>
          <t>P</t>
        </is>
      </c>
    </row>
    <row r="110">
      <c r="B110" s="14" t="inlineStr">
        <is>
          <t>Transport, public (P1: public buses, fleets), low income</t>
        </is>
      </c>
      <c r="C110" s="14" t="inlineStr">
        <is>
          <t>share</t>
        </is>
      </c>
      <c r="D110" s="14" t="n"/>
      <c r="E110" s="14" t="n"/>
      <c r="F110" s="14">
        <f>G110</f>
        <v/>
      </c>
      <c r="G110" s="15" t="n">
        <v>0.15</v>
      </c>
      <c r="H110" s="14" t="inlineStr">
        <is>
          <t>ty_t1_lic</t>
        </is>
      </c>
      <c r="I110" s="9" t="inlineStr">
        <is>
          <t>Assumption. †</t>
        </is>
      </c>
      <c r="J110" s="9" t="inlineStr">
        <is>
          <t>P</t>
        </is>
      </c>
    </row>
    <row r="111">
      <c r="B111" s="14" t="inlineStr">
        <is>
          <t>Transport, public (P1), lower middle income</t>
        </is>
      </c>
      <c r="C111" s="14" t="inlineStr">
        <is>
          <t>share</t>
        </is>
      </c>
      <c r="D111" s="14" t="n"/>
      <c r="E111" s="14" t="n"/>
      <c r="F111" s="14">
        <f>G111</f>
        <v/>
      </c>
      <c r="G111" s="15" t="n">
        <v>0.1</v>
      </c>
      <c r="H111" s="14" t="inlineStr">
        <is>
          <t>ty_t1_lmic</t>
        </is>
      </c>
      <c r="I111" s="9" t="inlineStr">
        <is>
          <t>Assumption. †</t>
        </is>
      </c>
      <c r="J111" s="9" t="inlineStr">
        <is>
          <t>P</t>
        </is>
      </c>
    </row>
    <row r="112">
      <c r="B112" s="14" t="inlineStr">
        <is>
          <t>Transport, public (P1), upper middle income</t>
        </is>
      </c>
      <c r="C112" s="14" t="inlineStr">
        <is>
          <t>share</t>
        </is>
      </c>
      <c r="D112" s="14" t="n"/>
      <c r="E112" s="14" t="n"/>
      <c r="F112" s="14">
        <f>G112</f>
        <v/>
      </c>
      <c r="G112" s="15" t="n">
        <v>0.05</v>
      </c>
      <c r="H112" s="14" t="inlineStr">
        <is>
          <t>ty_t1_umic</t>
        </is>
      </c>
      <c r="I112" s="9" t="inlineStr">
        <is>
          <t>Assumption. †</t>
        </is>
      </c>
      <c r="J112" s="9" t="inlineStr">
        <is>
          <t>P</t>
        </is>
      </c>
    </row>
    <row r="113">
      <c r="B113" s="14" t="inlineStr">
        <is>
          <t>Transport, public (P1), high income</t>
        </is>
      </c>
      <c r="C113" s="14" t="inlineStr">
        <is>
          <t>share</t>
        </is>
      </c>
      <c r="D113" s="14" t="n"/>
      <c r="E113" s="14" t="n"/>
      <c r="F113" s="14">
        <f>G113</f>
        <v/>
      </c>
      <c r="G113" s="15" t="n">
        <v>0.05</v>
      </c>
      <c r="H113" s="14" t="inlineStr">
        <is>
          <t>ty_t1_hic</t>
        </is>
      </c>
      <c r="I113" s="9" t="inlineStr">
        <is>
          <t>Assumption. †</t>
        </is>
      </c>
      <c r="J113" s="9" t="inlineStr">
        <is>
          <t>P</t>
        </is>
      </c>
    </row>
    <row r="114">
      <c r="B114" s="14" t="inlineStr">
        <is>
          <t>Transport, contracted (P3: charging concessions, bus leasing)</t>
        </is>
      </c>
      <c r="C114" s="14" t="inlineStr">
        <is>
          <t>share</t>
        </is>
      </c>
      <c r="D114" s="14" t="n"/>
      <c r="E114" s="14" t="n"/>
      <c r="F114" s="14">
        <f>G114</f>
        <v/>
      </c>
      <c r="G114" s="15" t="n">
        <v>0.1</v>
      </c>
      <c r="H114" s="14" t="inlineStr">
        <is>
          <t>ty_t3</t>
        </is>
      </c>
      <c r="I114" s="9" t="inlineStr">
        <is>
          <t>Assumption. †</t>
        </is>
      </c>
      <c r="J114" s="9" t="inlineStr">
        <is>
          <t>P</t>
        </is>
      </c>
    </row>
    <row r="115">
      <c r="B115" s="14" t="inlineStr">
        <is>
          <t>Buildings, public (P1: public buildings, social housing), low income</t>
        </is>
      </c>
      <c r="C115" s="14" t="inlineStr">
        <is>
          <t>share</t>
        </is>
      </c>
      <c r="D115" s="14" t="n"/>
      <c r="E115" s="14" t="n"/>
      <c r="F115" s="14">
        <f>G115</f>
        <v/>
      </c>
      <c r="G115" s="15" t="n">
        <v>0.4</v>
      </c>
      <c r="H115" s="14" t="inlineStr">
        <is>
          <t>ty_b1_lic</t>
        </is>
      </c>
      <c r="I115" s="9" t="inlineStr">
        <is>
          <t>Assumption. †</t>
        </is>
      </c>
      <c r="J115" s="9" t="inlineStr">
        <is>
          <t>P</t>
        </is>
      </c>
    </row>
    <row r="116">
      <c r="B116" s="14" t="inlineStr">
        <is>
          <t>Buildings, public (P1), lower middle income</t>
        </is>
      </c>
      <c r="C116" s="14" t="inlineStr">
        <is>
          <t>share</t>
        </is>
      </c>
      <c r="D116" s="14" t="n"/>
      <c r="E116" s="14" t="n"/>
      <c r="F116" s="14">
        <f>G116</f>
        <v/>
      </c>
      <c r="G116" s="15" t="n">
        <v>0.4</v>
      </c>
      <c r="H116" s="14" t="inlineStr">
        <is>
          <t>ty_b1_lmic</t>
        </is>
      </c>
      <c r="I116" s="9" t="inlineStr">
        <is>
          <t>Assumption. †</t>
        </is>
      </c>
      <c r="J116" s="9" t="inlineStr">
        <is>
          <t>P</t>
        </is>
      </c>
    </row>
    <row r="117">
      <c r="B117" s="14" t="inlineStr">
        <is>
          <t>Buildings, public (P1), upper middle income</t>
        </is>
      </c>
      <c r="C117" s="14" t="inlineStr">
        <is>
          <t>share</t>
        </is>
      </c>
      <c r="D117" s="14" t="n"/>
      <c r="E117" s="14" t="n"/>
      <c r="F117" s="14">
        <f>G117</f>
        <v/>
      </c>
      <c r="G117" s="15" t="n">
        <v>0.35</v>
      </c>
      <c r="H117" s="14" t="inlineStr">
        <is>
          <t>ty_b1_umic</t>
        </is>
      </c>
      <c r="I117" s="9" t="inlineStr">
        <is>
          <t>Assumption. †</t>
        </is>
      </c>
      <c r="J117" s="9" t="inlineStr">
        <is>
          <t>P</t>
        </is>
      </c>
    </row>
    <row r="118">
      <c r="B118" s="14" t="inlineStr">
        <is>
          <t>Buildings, public (P1), high income</t>
        </is>
      </c>
      <c r="C118" s="14" t="inlineStr">
        <is>
          <t>share</t>
        </is>
      </c>
      <c r="D118" s="14" t="n"/>
      <c r="E118" s="14" t="n"/>
      <c r="F118" s="14">
        <f>G118</f>
        <v/>
      </c>
      <c r="G118" s="15" t="n">
        <v>0.3</v>
      </c>
      <c r="H118" s="14" t="inlineStr">
        <is>
          <t>ty_b1_hic</t>
        </is>
      </c>
      <c r="I118" s="9" t="inlineStr">
        <is>
          <t>Assumption. †</t>
        </is>
      </c>
      <c r="J118" s="9" t="inlineStr">
        <is>
          <t>P</t>
        </is>
      </c>
    </row>
    <row r="119">
      <c r="B119" s="14" t="inlineStr">
        <is>
          <t>Industrial fuel switch needing a top-up (P4) with no country pressure</t>
        </is>
      </c>
      <c r="C119" s="14" t="inlineStr">
        <is>
          <t>share</t>
        </is>
      </c>
      <c r="D119" s="14" t="n"/>
      <c r="E119" s="14" t="n"/>
      <c r="F119" s="14">
        <f>G119</f>
        <v/>
      </c>
      <c r="G119" s="15" t="n">
        <v>0.3</v>
      </c>
      <c r="H119" s="14" t="inlineStr">
        <is>
          <t>ty_i4</t>
        </is>
      </c>
      <c r="I119" s="9" t="inlineStr">
        <is>
          <t>Assumption; CCS on CBAM goods is all P4. †</t>
        </is>
      </c>
      <c r="J119" s="9" t="inlineStr">
        <is>
          <t>P</t>
        </is>
      </c>
    </row>
    <row r="120">
      <c r="B120" s="14" t="inlineStr">
        <is>
          <t>Non-CO2, public (P1: waste, agriculture extension), low income</t>
        </is>
      </c>
      <c r="C120" s="14" t="inlineStr">
        <is>
          <t>share</t>
        </is>
      </c>
      <c r="D120" s="14" t="n"/>
      <c r="E120" s="14" t="n"/>
      <c r="F120" s="14">
        <f>G120</f>
        <v/>
      </c>
      <c r="G120" s="15" t="n">
        <v>0.3</v>
      </c>
      <c r="H120" s="14" t="inlineStr">
        <is>
          <t>ty_n1_lic</t>
        </is>
      </c>
      <c r="I120" s="9" t="inlineStr">
        <is>
          <t>Assumption. †</t>
        </is>
      </c>
      <c r="J120" s="9" t="inlineStr">
        <is>
          <t>P</t>
        </is>
      </c>
    </row>
    <row r="121">
      <c r="B121" s="14" t="inlineStr">
        <is>
          <t>Non-CO2, public (P1), lower middle income</t>
        </is>
      </c>
      <c r="C121" s="14" t="inlineStr">
        <is>
          <t>share</t>
        </is>
      </c>
      <c r="D121" s="14" t="n"/>
      <c r="E121" s="14" t="n"/>
      <c r="F121" s="14">
        <f>G121</f>
        <v/>
      </c>
      <c r="G121" s="15" t="n">
        <v>0.25</v>
      </c>
      <c r="H121" s="14" t="inlineStr">
        <is>
          <t>ty_n1_lmic</t>
        </is>
      </c>
      <c r="I121" s="9" t="inlineStr">
        <is>
          <t>Assumption. †</t>
        </is>
      </c>
      <c r="J121" s="9" t="inlineStr">
        <is>
          <t>P</t>
        </is>
      </c>
    </row>
    <row r="122">
      <c r="B122" s="14" t="inlineStr">
        <is>
          <t>Non-CO2, public (P1), upper middle income</t>
        </is>
      </c>
      <c r="C122" s="14" t="inlineStr">
        <is>
          <t>share</t>
        </is>
      </c>
      <c r="D122" s="14" t="n"/>
      <c r="E122" s="14" t="n"/>
      <c r="F122" s="14">
        <f>G122</f>
        <v/>
      </c>
      <c r="G122" s="15" t="n">
        <v>0.2</v>
      </c>
      <c r="H122" s="14" t="inlineStr">
        <is>
          <t>ty_n1_umic</t>
        </is>
      </c>
      <c r="I122" s="9" t="inlineStr">
        <is>
          <t>Assumption. †</t>
        </is>
      </c>
      <c r="J122" s="9" t="inlineStr">
        <is>
          <t>P</t>
        </is>
      </c>
    </row>
    <row r="123">
      <c r="B123" s="14" t="inlineStr">
        <is>
          <t>Non-CO2, public (P1), high income</t>
        </is>
      </c>
      <c r="C123" s="14" t="inlineStr">
        <is>
          <t>share</t>
        </is>
      </c>
      <c r="D123" s="14" t="n"/>
      <c r="E123" s="14" t="n"/>
      <c r="F123" s="14">
        <f>G123</f>
        <v/>
      </c>
      <c r="G123" s="15" t="n">
        <v>0.2</v>
      </c>
      <c r="H123" s="14" t="inlineStr">
        <is>
          <t>ty_n1_hic</t>
        </is>
      </c>
      <c r="I123" s="9" t="inlineStr">
        <is>
          <t>Assumption. †</t>
        </is>
      </c>
      <c r="J123" s="9" t="inlineStr">
        <is>
          <t>P</t>
        </is>
      </c>
    </row>
    <row r="124">
      <c r="B124" s="14" t="inlineStr">
        <is>
          <t>Non-CO2, private (P5: oil and gas methane, captured gas sold) before pressure</t>
        </is>
      </c>
      <c r="C124" s="14" t="inlineStr">
        <is>
          <t>share</t>
        </is>
      </c>
      <c r="D124" s="14" t="n"/>
      <c r="E124" s="14" t="n"/>
      <c r="F124" s="14">
        <f>G124</f>
        <v/>
      </c>
      <c r="G124" s="15" t="n">
        <v>0.35</v>
      </c>
      <c r="H124" s="14" t="inlineStr">
        <is>
          <t>ty_n5</t>
        </is>
      </c>
      <c r="I124" s="9" t="inlineStr">
        <is>
          <t>Assumption; IEA Global Methane Tracker. †</t>
        </is>
      </c>
      <c r="J124" s="9" t="inlineStr">
        <is>
          <t>P</t>
        </is>
      </c>
    </row>
    <row r="125">
      <c r="B125" s="14" t="inlineStr">
        <is>
          <t>Land use, public (P1: forest protection), low income; rest P4</t>
        </is>
      </c>
      <c r="C125" s="14" t="inlineStr">
        <is>
          <t>share</t>
        </is>
      </c>
      <c r="D125" s="14" t="n"/>
      <c r="E125" s="14" t="n"/>
      <c r="F125" s="14">
        <f>G125</f>
        <v/>
      </c>
      <c r="G125" s="15" t="n">
        <v>0.8</v>
      </c>
      <c r="H125" s="14" t="inlineStr">
        <is>
          <t>ty_l1_lic</t>
        </is>
      </c>
      <c r="I125" s="9" t="inlineStr">
        <is>
          <t>Assumption. †</t>
        </is>
      </c>
      <c r="J125" s="9" t="inlineStr">
        <is>
          <t>P</t>
        </is>
      </c>
    </row>
    <row r="126">
      <c r="B126" s="14" t="inlineStr">
        <is>
          <t>Land use, public (P1), lower middle income</t>
        </is>
      </c>
      <c r="C126" s="14" t="inlineStr">
        <is>
          <t>share</t>
        </is>
      </c>
      <c r="D126" s="14" t="n"/>
      <c r="E126" s="14" t="n"/>
      <c r="F126" s="14">
        <f>G126</f>
        <v/>
      </c>
      <c r="G126" s="15" t="n">
        <v>0.7</v>
      </c>
      <c r="H126" s="14" t="inlineStr">
        <is>
          <t>ty_l1_lmic</t>
        </is>
      </c>
      <c r="I126" s="9" t="inlineStr">
        <is>
          <t>Assumption. †</t>
        </is>
      </c>
      <c r="J126" s="9" t="inlineStr">
        <is>
          <t>P</t>
        </is>
      </c>
    </row>
    <row r="127">
      <c r="B127" s="14" t="inlineStr">
        <is>
          <t>Land use, public (P1), upper middle income</t>
        </is>
      </c>
      <c r="C127" s="14" t="inlineStr">
        <is>
          <t>share</t>
        </is>
      </c>
      <c r="D127" s="14" t="n"/>
      <c r="E127" s="14" t="n"/>
      <c r="F127" s="14">
        <f>G127</f>
        <v/>
      </c>
      <c r="G127" s="15" t="n">
        <v>0.6</v>
      </c>
      <c r="H127" s="14" t="inlineStr">
        <is>
          <t>ty_l1_umic</t>
        </is>
      </c>
      <c r="I127" s="9" t="inlineStr">
        <is>
          <t>Assumption. †</t>
        </is>
      </c>
      <c r="J127" s="9" t="inlineStr">
        <is>
          <t>P</t>
        </is>
      </c>
    </row>
    <row r="128">
      <c r="B128" s="14" t="inlineStr">
        <is>
          <t>Land use, public (P1), high income</t>
        </is>
      </c>
      <c r="C128" s="14" t="inlineStr">
        <is>
          <t>share</t>
        </is>
      </c>
      <c r="D128" s="14" t="n"/>
      <c r="E128" s="14" t="n"/>
      <c r="F128" s="14">
        <f>G128</f>
        <v/>
      </c>
      <c r="G128" s="15" t="n">
        <v>0.5</v>
      </c>
      <c r="H128" s="14" t="inlineStr">
        <is>
          <t>ty_l1_hic</t>
        </is>
      </c>
      <c r="I128" s="9" t="inlineStr">
        <is>
          <t>Assumption. †</t>
        </is>
      </c>
      <c r="J128" s="9" t="inlineStr">
        <is>
          <t>P</t>
        </is>
      </c>
    </row>
    <row r="129">
      <c r="B129" s="14" t="inlineStr">
        <is>
          <t>Power share of unmodelled clean investment (rest end use)</t>
        </is>
      </c>
      <c r="C129" s="14" t="inlineStr">
        <is>
          <t>share</t>
        </is>
      </c>
      <c r="D129" s="14" t="n"/>
      <c r="E129" s="14" t="n"/>
      <c r="F129" s="14">
        <f>G129</f>
        <v/>
      </c>
      <c r="G129" s="15" t="n">
        <v>0.5</v>
      </c>
      <c r="H129" s="14" t="inlineStr">
        <is>
          <t>ty_cal_pow</t>
        </is>
      </c>
      <c r="I129" s="9" t="inlineStr">
        <is>
          <t>IEA WEI 2024: ~half power and grids. †</t>
        </is>
      </c>
      <c r="J129" s="9" t="inlineStr">
        <is>
          <t>M</t>
        </is>
      </c>
    </row>
    <row r="130">
      <c r="B130" s="14" t="inlineStr">
        <is>
          <t>Public share of P4 capital (the viability gap)</t>
        </is>
      </c>
      <c r="C130" s="14" t="inlineStr">
        <is>
          <t>share</t>
        </is>
      </c>
      <c r="D130" s="14" t="n"/>
      <c r="E130" s="14" t="n"/>
      <c r="F130" s="14">
        <f>G130</f>
        <v/>
      </c>
      <c r="G130" s="15" t="n">
        <v>0.3</v>
      </c>
      <c r="H130" s="14" t="inlineStr">
        <is>
          <t>ty_p4_gap</t>
        </is>
      </c>
      <c r="I130" s="9" t="inlineStr">
        <is>
          <t>Assumption. †</t>
        </is>
      </c>
      <c r="J130" s="9" t="inlineStr">
        <is>
          <t>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261"/>
  <sheetViews>
    <sheetView zoomScale="90" workbookViewId="0">
      <pane xSplit="10" ySplit="2" topLeftCell="K3" activePane="bottomRight" state="frozen"/>
      <selection pane="topRight"/>
      <selection pane="bottomLeft"/>
      <selection pane="bottomRight" activeCell="A1" sqref="A1"/>
    </sheetView>
  </sheetViews>
  <sheetFormatPr baseColWidth="8" defaultRowHeight="15"/>
  <cols>
    <col width="4" customWidth="1" min="1" max="1"/>
    <col width="5" customWidth="1" min="2" max="2"/>
    <col width="5" customWidth="1" min="3" max="3"/>
    <col width="44" customWidth="1" min="4" max="4"/>
    <col width="9" customWidth="1" min="5" max="5"/>
    <col width="10" customWidth="1" min="6" max="6"/>
    <col width="22" customWidth="1" min="7" max="7"/>
    <col width="22" customWidth="1" min="8" max="8"/>
    <col width="6" customWidth="1" min="9" max="9"/>
    <col width="11"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s>
  <sheetData>
    <row r="1">
      <c r="A1" s="3" t="inlineStr"/>
      <c r="B1" s="3" t="inlineStr">
        <is>
          <t>Fuel</t>
        </is>
      </c>
      <c r="C1" s="3" t="inlineStr">
        <is>
          <t>Sector</t>
        </is>
      </c>
      <c r="D1" s="3" t="inlineStr">
        <is>
          <t>Description</t>
        </is>
      </c>
      <c r="E1" s="3" t="inlineStr">
        <is>
          <t>Unit</t>
        </is>
      </c>
      <c r="F1" s="3" t="inlineStr">
        <is>
          <t>Source</t>
        </is>
      </c>
      <c r="G1" s="3" t="inlineStr">
        <is>
          <t>Input Code</t>
        </is>
      </c>
      <c r="H1" s="3" t="inlineStr">
        <is>
          <t>Output Code</t>
        </is>
      </c>
      <c r="I1" s="3" t="inlineStr">
        <is>
          <t>Note</t>
        </is>
      </c>
      <c r="J1" s="3" t="inlineStr">
        <is>
          <t>Helper</t>
        </is>
      </c>
      <c r="K1" s="3" t="n">
        <v>2021</v>
      </c>
      <c r="L1" s="3" t="n">
        <v>2022</v>
      </c>
      <c r="M1" s="3" t="n">
        <v>2023</v>
      </c>
      <c r="N1" s="3" t="n">
        <v>2024</v>
      </c>
      <c r="O1" s="3" t="n">
        <v>2025</v>
      </c>
      <c r="P1" s="3" t="n">
        <v>2026</v>
      </c>
      <c r="Q1" s="3" t="n">
        <v>2027</v>
      </c>
      <c r="R1" s="3" t="n">
        <v>2028</v>
      </c>
      <c r="S1" s="3" t="n">
        <v>2029</v>
      </c>
      <c r="T1" s="3" t="n">
        <v>2030</v>
      </c>
      <c r="U1" s="3" t="n">
        <v>2031</v>
      </c>
      <c r="V1" s="3" t="n">
        <v>2032</v>
      </c>
      <c r="W1" s="3" t="n">
        <v>2033</v>
      </c>
      <c r="X1" s="3" t="n">
        <v>2034</v>
      </c>
      <c r="Y1" s="3" t="n">
        <v>2035</v>
      </c>
      <c r="Z1" s="3" t="n">
        <v>2036</v>
      </c>
      <c r="AA1" s="3" t="n">
        <v>2037</v>
      </c>
      <c r="AB1" s="3" t="n">
        <v>2038</v>
      </c>
      <c r="AC1" s="3" t="n">
        <v>2039</v>
      </c>
      <c r="AD1" s="3" t="n">
        <v>2040</v>
      </c>
      <c r="AE1" s="3" t="n">
        <v>2041</v>
      </c>
      <c r="AF1" s="3" t="n">
        <v>2042</v>
      </c>
      <c r="AG1" s="3" t="n">
        <v>2043</v>
      </c>
      <c r="AH1" s="3" t="n">
        <v>2044</v>
      </c>
      <c r="AI1" s="3" t="n">
        <v>2045</v>
      </c>
      <c r="AJ1" s="3" t="n">
        <v>2046</v>
      </c>
      <c r="AK1" s="3" t="n">
        <v>2047</v>
      </c>
      <c r="AL1" s="3" t="n">
        <v>2048</v>
      </c>
      <c r="AM1" s="3" t="n">
        <v>2049</v>
      </c>
      <c r="AN1" s="3" t="n">
        <v>2050</v>
      </c>
    </row>
    <row r="2">
      <c r="A2" s="7" t="inlineStr">
        <is>
          <t>NMIM v0.2 - National Mitigation Investment Model (selected country: see Settings)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row>
    <row r="3">
      <c r="A3" s="12" t="inlineStr">
        <is>
          <t>1. Country scalars (column J)</t>
        </is>
      </c>
      <c r="B3" s="13" t="n"/>
      <c r="C3" s="13" t="n"/>
      <c r="D3" s="13" t="n"/>
      <c r="E3" s="13" t="n"/>
      <c r="F3" s="13" t="n"/>
      <c r="G3" s="13" t="n"/>
      <c r="H3" s="13" t="n"/>
      <c r="I3" s="13" t="n"/>
      <c r="J3" s="13"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row>
    <row r="4">
      <c r="A4" s="9" t="n"/>
      <c r="B4" s="9" t="n"/>
      <c r="C4" s="9" t="n"/>
      <c r="D4" s="9" t="inlineStr">
        <is>
          <t>Data row of the selected country</t>
        </is>
      </c>
      <c r="E4" s="9" t="n"/>
      <c r="F4" s="9" t="n"/>
      <c r="G4" s="9" t="n"/>
      <c r="H4" s="9" t="inlineStr">
        <is>
          <t>mit.sc.row</t>
        </is>
      </c>
      <c r="I4" s="9" t="n"/>
      <c r="J4" s="9">
        <f>Settings!$C$6</f>
        <v/>
      </c>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row>
    <row r="5">
      <c r="A5" s="9" t="n"/>
      <c r="B5" s="9" t="n"/>
      <c r="C5" s="9" t="n"/>
      <c r="D5" s="9" t="inlineStr">
        <is>
          <t>IHLEG group (1 AE, 2 China, 3 EMDC)</t>
        </is>
      </c>
      <c r="E5" s="9" t="inlineStr">
        <is>
          <t>code</t>
        </is>
      </c>
      <c r="F5" s="9" t="inlineStr">
        <is>
          <t>Data / Inputs</t>
        </is>
      </c>
      <c r="G5" s="18" t="inlineStr">
        <is>
          <t>grp</t>
        </is>
      </c>
      <c r="H5" s="18" t="inlineStr">
        <is>
          <t>mit.sc.grp</t>
        </is>
      </c>
      <c r="I5" s="9" t="n"/>
      <c r="J5" s="9">
        <f>INDEX(Data!$CR:$CR,$J$4)</f>
        <v/>
      </c>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row>
    <row r="6">
      <c r="A6" s="9" t="n"/>
      <c r="B6" s="9" t="n"/>
      <c r="C6" s="9" t="n"/>
      <c r="D6" s="9" t="inlineStr">
        <is>
          <t>CPAT income group (1 LIC, 2 LMIC, 3 UMIC, 4 HIC)</t>
        </is>
      </c>
      <c r="E6" s="9" t="inlineStr">
        <is>
          <t>code</t>
        </is>
      </c>
      <c r="F6" s="9" t="inlineStr">
        <is>
          <t>Data / Inputs</t>
        </is>
      </c>
      <c r="G6" s="18" t="inlineStr">
        <is>
          <t>inc</t>
        </is>
      </c>
      <c r="H6" s="18" t="inlineStr">
        <is>
          <t>mit.sc.inc</t>
        </is>
      </c>
      <c r="I6" s="9" t="n"/>
      <c r="J6" s="9">
        <f>INDEX(Data!$CS:$CS,$J$4)</f>
        <v/>
      </c>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row>
    <row r="7">
      <c r="A7" s="9" t="n"/>
      <c r="B7" s="9" t="n"/>
      <c r="C7" s="9" t="n"/>
      <c r="D7" s="9" t="inlineStr">
        <is>
          <t>GDP 2024</t>
        </is>
      </c>
      <c r="E7" s="9" t="inlineStr">
        <is>
          <t>USD bn</t>
        </is>
      </c>
      <c r="F7" s="9" t="inlineStr">
        <is>
          <t>Data / Inputs</t>
        </is>
      </c>
      <c r="G7" s="18" t="inlineStr">
        <is>
          <t>gdp24</t>
        </is>
      </c>
      <c r="H7" s="18" t="inlineStr">
        <is>
          <t>mit.sc.gdp24</t>
        </is>
      </c>
      <c r="I7" s="9" t="n"/>
      <c r="J7" s="9">
        <f>INDEX(Data!$CG:$CG,$J$4)</f>
        <v/>
      </c>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row>
    <row r="8">
      <c r="A8" s="9" t="n"/>
      <c r="B8" s="9" t="n"/>
      <c r="C8" s="9" t="n"/>
      <c r="D8" s="9" t="inlineStr">
        <is>
          <t>Real GDP growth 2025 (WEO)</t>
        </is>
      </c>
      <c r="E8" s="9" t="inlineStr">
        <is>
          <t>%</t>
        </is>
      </c>
      <c r="F8" s="9" t="inlineStr">
        <is>
          <t>Data / Inputs</t>
        </is>
      </c>
      <c r="G8" s="18" t="inlineStr">
        <is>
          <t>g25</t>
        </is>
      </c>
      <c r="H8" s="18" t="inlineStr">
        <is>
          <t>mit.sc.g25</t>
        </is>
      </c>
      <c r="I8" s="9" t="n"/>
      <c r="J8" s="9">
        <f>INDEX(Data!$CE:$CE,$J$4)</f>
        <v/>
      </c>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row>
    <row r="9">
      <c r="A9" s="9" t="n"/>
      <c r="B9" s="9" t="n"/>
      <c r="C9" s="9" t="n"/>
      <c r="D9" s="9" t="inlineStr">
        <is>
          <t>Real GDP growth 2026 (WEO)</t>
        </is>
      </c>
      <c r="E9" s="9" t="inlineStr">
        <is>
          <t>%</t>
        </is>
      </c>
      <c r="F9" s="9" t="inlineStr">
        <is>
          <t>Data / Inputs</t>
        </is>
      </c>
      <c r="G9" s="18" t="inlineStr">
        <is>
          <t>g26</t>
        </is>
      </c>
      <c r="H9" s="18" t="inlineStr">
        <is>
          <t>mit.sc.g26</t>
        </is>
      </c>
      <c r="I9" s="9" t="n"/>
      <c r="J9" s="9">
        <f>INDEX(Data!$CF:$CF,$J$4)</f>
        <v/>
      </c>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row>
    <row r="10">
      <c r="A10" s="9" t="n"/>
      <c r="B10" s="9" t="n"/>
      <c r="C10" s="9" t="n"/>
      <c r="D10" s="9" t="inlineStr">
        <is>
          <t>Long-run real GDP growth</t>
        </is>
      </c>
      <c r="E10" s="9" t="inlineStr">
        <is>
          <t>%</t>
        </is>
      </c>
      <c r="F10" s="9" t="inlineStr">
        <is>
          <t>Data / Inputs</t>
        </is>
      </c>
      <c r="G10" s="18" t="inlineStr">
        <is>
          <t>CHOOSE(inc,{g_lr_lic},{g_lr_lmic},{g_lr_umic},{g_lr_hic})</t>
        </is>
      </c>
      <c r="H10" s="18" t="inlineStr">
        <is>
          <t>mit.sc.glr</t>
        </is>
      </c>
      <c r="I10" s="9" t="n"/>
      <c r="J10" s="9">
        <f>CHOOSE($J$6,p_g_lr_lic,p_g_lr_lmic,p_g_lr_umic,p_g_lr_hic)</f>
        <v/>
      </c>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row>
    <row r="11">
      <c r="A11" s="9" t="n"/>
      <c r="B11" s="9" t="n"/>
      <c r="C11" s="9" t="n"/>
      <c r="D11" s="9" t="inlineStr">
        <is>
          <t>Local price factor on capital (price level^phi)</t>
        </is>
      </c>
      <c r="E11" s="9" t="inlineStr">
        <is>
          <t>x</t>
        </is>
      </c>
      <c r="F11" s="9" t="inlineStr">
        <is>
          <t>Data / Inputs</t>
        </is>
      </c>
      <c r="G11" s="18" t="inlineStr">
        <is>
          <t>plevel^{phi}</t>
        </is>
      </c>
      <c r="H11" s="18" t="inlineStr">
        <is>
          <t>mit.sc.pf</t>
        </is>
      </c>
      <c r="I11" s="9" t="n"/>
      <c r="J11" s="9">
        <f>INDEX(Data!$DE:$DE,$J$4)^p_phi</f>
        <v/>
      </c>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row>
    <row r="12">
      <c r="A12" s="9" t="n"/>
      <c r="B12" s="9" t="n"/>
      <c r="C12" s="9" t="n"/>
      <c r="D12" s="9" t="inlineStr">
        <is>
          <t>Market WACC (v1.1: observed, Damodaran or IHLEG default)</t>
        </is>
      </c>
      <c r="E12" s="9" t="inlineStr">
        <is>
          <t>rate</t>
        </is>
      </c>
      <c r="F12" s="9" t="inlineStr">
        <is>
          <t>Data / Inputs</t>
        </is>
      </c>
      <c r="G12" s="18" t="inlineStr">
        <is>
          <t>wacc</t>
        </is>
      </c>
      <c r="H12" s="18" t="inlineStr">
        <is>
          <t>mit.sc.wacc</t>
        </is>
      </c>
      <c r="I12" s="9" t="n"/>
      <c r="J12" s="9">
        <f>INDEX(Data!$DS:$DS,$J$4)</f>
        <v/>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row>
    <row r="13">
      <c r="A13" s="9" t="n"/>
      <c r="B13" s="9" t="n"/>
      <c r="C13" s="9" t="n"/>
      <c r="D13" s="9" t="inlineStr">
        <is>
          <t>Fossil-free power year</t>
        </is>
      </c>
      <c r="E13" s="9" t="inlineStr">
        <is>
          <t>year</t>
        </is>
      </c>
      <c r="F13" s="9" t="inlineStr">
        <is>
          <t>Data / Inputs</t>
        </is>
      </c>
      <c r="G13" s="18" t="inlineStr">
        <is>
          <t>CHOOSE(grp,{pow_T_ae},{pow_T_chn},{pow_T_emdc})</t>
        </is>
      </c>
      <c r="H13" s="18" t="inlineStr">
        <is>
          <t>mit.sc.pow_T</t>
        </is>
      </c>
      <c r="I13" s="9" t="n"/>
      <c r="J13" s="9">
        <f>CHOOSE($J$5,p_pow_T_ae,p_pow_T_chn,p_pow_T_emdc)</f>
        <v/>
      </c>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row>
    <row r="14">
      <c r="A14" s="9" t="n"/>
      <c r="B14" s="9" t="n"/>
      <c r="C14" s="9" t="n"/>
      <c r="D14" s="9" t="inlineStr">
        <is>
          <t>100% EV sales year</t>
        </is>
      </c>
      <c r="E14" s="9" t="inlineStr">
        <is>
          <t>year</t>
        </is>
      </c>
      <c r="F14" s="9" t="inlineStr">
        <is>
          <t>Data / Inputs</t>
        </is>
      </c>
      <c r="G14" s="18" t="inlineStr">
        <is>
          <t>CHOOSE(grp,{ev_T_ae},{ev_T_chn},{ev_T_emdc})</t>
        </is>
      </c>
      <c r="H14" s="18" t="inlineStr">
        <is>
          <t>mit.sc.ev_T</t>
        </is>
      </c>
      <c r="I14" s="9" t="n"/>
      <c r="J14" s="9">
        <f>CHOOSE($J$5,p_ev_T_ae,p_ev_T_chn,p_ev_T_emdc)</f>
        <v/>
      </c>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row>
    <row r="15">
      <c r="A15" s="9" t="n"/>
      <c r="B15" s="9" t="n"/>
      <c r="C15" s="9" t="n"/>
      <c r="D15" s="9" t="inlineStr">
        <is>
          <t>Fossil heating replaced by</t>
        </is>
      </c>
      <c r="E15" s="9" t="inlineStr">
        <is>
          <t>year</t>
        </is>
      </c>
      <c r="F15" s="9" t="inlineStr">
        <is>
          <t>Data / Inputs</t>
        </is>
      </c>
      <c r="G15" s="18" t="inlineStr">
        <is>
          <t>CHOOSE(grp,{bld_T_ae},{bld_T_chn},{bld_T_emdc})</t>
        </is>
      </c>
      <c r="H15" s="18" t="inlineStr">
        <is>
          <t>mit.sc.bld_T</t>
        </is>
      </c>
      <c r="I15" s="9" t="n"/>
      <c r="J15" s="9">
        <f>CHOOSE($J$5,p_bld_T_ae,p_bld_T_chn,p_bld_T_emdc)</f>
        <v/>
      </c>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row>
    <row r="16">
      <c r="A16" s="9" t="n"/>
      <c r="B16" s="9" t="n"/>
      <c r="C16" s="9" t="n"/>
      <c r="D16" s="9" t="inlineStr">
        <is>
          <t>Industrial fossil use abated by 2050</t>
        </is>
      </c>
      <c r="E16" s="9" t="inlineStr">
        <is>
          <t>share</t>
        </is>
      </c>
      <c r="F16" s="9" t="inlineStr">
        <is>
          <t>Data / Inputs</t>
        </is>
      </c>
      <c r="G16" s="18" t="inlineStr">
        <is>
          <t>CHOOSE(grp,{ind_a_ae},{ind_a_chn},{ind_a_emdc})</t>
        </is>
      </c>
      <c r="H16" s="18" t="inlineStr">
        <is>
          <t>mit.sc.ind_a</t>
        </is>
      </c>
      <c r="I16" s="9" t="n"/>
      <c r="J16" s="9">
        <f>CHOOSE($J$5,p_ind_a_ae,p_ind_a_chn,p_ind_a_emdc)</f>
        <v/>
      </c>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row>
    <row r="17">
      <c r="A17" s="9" t="n"/>
      <c r="B17" s="9" t="n"/>
      <c r="C17" s="9" t="n"/>
      <c r="D17" s="9" t="inlineStr">
        <is>
          <t>EV sales share 2024</t>
        </is>
      </c>
      <c r="E17" s="9" t="inlineStr">
        <is>
          <t>share</t>
        </is>
      </c>
      <c r="F17" s="9" t="inlineStr">
        <is>
          <t>Data / Inputs</t>
        </is>
      </c>
      <c r="G17" s="18" t="inlineStr">
        <is>
          <t>CHOOSE(grp,{ev0_ae},{ev0_chn},{ev0_emdc})</t>
        </is>
      </c>
      <c r="H17" s="18" t="inlineStr">
        <is>
          <t>mit.sc.ev0</t>
        </is>
      </c>
      <c r="I17" s="9" t="n"/>
      <c r="J17" s="9">
        <f>CHOOSE($J$5,p_ev0_ae,p_ev0_chn,p_ev0_emdc)</f>
        <v/>
      </c>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row>
    <row r="18">
      <c r="A18" s="9" t="n"/>
      <c r="B18" s="9" t="n"/>
      <c r="C18" s="9" t="n"/>
      <c r="D18" s="9" t="inlineStr">
        <is>
          <t>Baseline EV sales share 2035</t>
        </is>
      </c>
      <c r="E18" s="9" t="inlineStr">
        <is>
          <t>share</t>
        </is>
      </c>
      <c r="F18" s="9" t="inlineStr">
        <is>
          <t>Data / Inputs</t>
        </is>
      </c>
      <c r="G18" s="18" t="inlineStr">
        <is>
          <t>CHOOSE(grp,{evb35_ae},{evb35_chn},{evb35_emdc})</t>
        </is>
      </c>
      <c r="H18" s="18" t="inlineStr">
        <is>
          <t>mit.sc.evb35</t>
        </is>
      </c>
      <c r="I18" s="9" t="n"/>
      <c r="J18" s="9">
        <f>CHOOSE($J$5,p_evb35_ae,p_evb35_chn,p_evb35_emdc)</f>
        <v/>
      </c>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row>
    <row r="19">
      <c r="A19" s="9" t="n"/>
      <c r="B19" s="9" t="n"/>
      <c r="C19" s="9" t="n"/>
      <c r="D19" s="9" t="inlineStr">
        <is>
          <t>EV stock share 2024</t>
        </is>
      </c>
      <c r="E19" s="9" t="inlineStr">
        <is>
          <t>share</t>
        </is>
      </c>
      <c r="F19" s="9" t="inlineStr">
        <is>
          <t>Data / Inputs</t>
        </is>
      </c>
      <c r="G19" s="18" t="inlineStr">
        <is>
          <t>ev0*{sig0_ratio}</t>
        </is>
      </c>
      <c r="H19" s="18" t="inlineStr">
        <is>
          <t>mit.sc.sig0</t>
        </is>
      </c>
      <c r="I19" s="9" t="n"/>
      <c r="J19" s="9">
        <f>$J$17*p_sig0_ratio</f>
        <v/>
      </c>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row>
    <row r="20">
      <c r="A20" s="9" t="n"/>
      <c r="B20" s="9" t="n"/>
      <c r="C20" s="9" t="n"/>
      <c r="D20" s="9" t="inlineStr">
        <is>
          <t>Generation / end-use electricity, 2024</t>
        </is>
      </c>
      <c r="E20" s="9" t="inlineStr">
        <is>
          <t>ratio</t>
        </is>
      </c>
      <c r="F20" s="9" t="inlineStr">
        <is>
          <t>Data / Inputs</t>
        </is>
      </c>
      <c r="G20" s="18" t="inlineStr">
        <is>
          <t>MIN(1.4,MAX(0.9,gen_tot/MAX(0.001,dem_twh24)))</t>
        </is>
      </c>
      <c r="H20" s="18" t="inlineStr">
        <is>
          <t>mit.sc.gcr</t>
        </is>
      </c>
      <c r="I20" s="9" t="n"/>
      <c r="J20" s="9">
        <f>MIN(1.4,MAX(0.9,INDEX(Data!$CN:$CN,$J$4)/MAX(0.001,INDEX(Data!$CB:$CB,$J$4))))</f>
        <v/>
      </c>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row>
    <row r="21">
      <c r="A21" s="9" t="n"/>
      <c r="B21" s="9" t="n"/>
      <c r="C21" s="9" t="n"/>
      <c r="D21" s="9" t="inlineStr">
        <is>
          <t>Fossil share of generation 2024</t>
        </is>
      </c>
      <c r="E21" s="9" t="inlineStr">
        <is>
          <t>share</t>
        </is>
      </c>
      <c r="F21" s="9" t="inlineStr">
        <is>
          <t>Data / Inputs</t>
        </is>
      </c>
      <c r="G21" s="18" t="inlineStr">
        <is>
          <t>MIN(1,gen_fos/MAX(0.001,gen_tot))</t>
        </is>
      </c>
      <c r="H21" s="18" t="inlineStr">
        <is>
          <t>mit.sc.f0</t>
        </is>
      </c>
      <c r="I21" s="9" t="n"/>
      <c r="J21" s="9">
        <f>MIN(1,INDEX(Data!$CJ:$CJ,$J$4)/MAX(0.001,INDEX(Data!$CN:$CN,$J$4)))</f>
        <v/>
      </c>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row>
    <row r="22">
      <c r="A22" s="9" t="n"/>
      <c r="B22" s="9" t="n"/>
      <c r="C22" s="9" t="n"/>
      <c r="D22" s="9" t="inlineStr">
        <is>
          <t>Baseline fall in fossil share</t>
        </is>
      </c>
      <c r="E22" s="9" t="inlineStr">
        <is>
          <t>share/yr</t>
        </is>
      </c>
      <c r="F22" s="9" t="inlineStr">
        <is>
          <t>Data / Inputs</t>
        </is>
      </c>
      <c r="G22" s="18" t="inlineStr">
        <is>
          <t>MIN({fos_trend_cap},MAX(0,fos_trend))/100</t>
        </is>
      </c>
      <c r="H22" s="18" t="inlineStr">
        <is>
          <t>mit.sc.ftrend</t>
        </is>
      </c>
      <c r="I22" s="9" t="n"/>
      <c r="J22" s="9">
        <f>MIN(p_fos_trend_cap,MAX(0,INDEX(Data!$CD:$CD,$J$4)))/100</f>
        <v/>
      </c>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row>
    <row r="23">
      <c r="A23" s="9" t="n"/>
      <c r="B23" s="9" t="n"/>
      <c r="C23" s="9" t="n"/>
      <c r="D23" s="9" t="inlineStr">
        <is>
          <t>Clean firm generation (hydro, nuclear, bio, other)</t>
        </is>
      </c>
      <c r="E23" s="9" t="inlineStr">
        <is>
          <t>TWh</t>
        </is>
      </c>
      <c r="F23" s="9" t="inlineStr">
        <is>
          <t>Data / Inputs</t>
        </is>
      </c>
      <c r="G23" s="18" t="inlineStr">
        <is>
          <t>gen_cfirm</t>
        </is>
      </c>
      <c r="H23" s="18" t="inlineStr">
        <is>
          <t>mit.sc.cfirm</t>
        </is>
      </c>
      <c r="I23" s="9" t="n"/>
      <c r="J23" s="9">
        <f>INDEX(Data!$CH:$CH,$J$4)</f>
        <v/>
      </c>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row>
    <row r="24">
      <c r="A24" s="9" t="n"/>
      <c r="B24" s="9" t="n"/>
      <c r="C24" s="9" t="n"/>
      <c r="D24" s="9" t="inlineStr">
        <is>
          <t>Coal share of fossil generation</t>
        </is>
      </c>
      <c r="E24" s="9" t="inlineStr">
        <is>
          <t>share</t>
        </is>
      </c>
      <c r="F24" s="9" t="inlineStr">
        <is>
          <t>Data / Inputs</t>
        </is>
      </c>
      <c r="G24" s="18" t="inlineStr">
        <is>
          <t>IF(gen_fos&gt;0,gen_coa/gen_fos,0)</t>
        </is>
      </c>
      <c r="H24" s="18" t="inlineStr">
        <is>
          <t>mit.sc.sh_coa</t>
        </is>
      </c>
      <c r="I24" s="9" t="n"/>
      <c r="J24" s="9">
        <f>IF(INDEX(Data!$CJ:$CJ,$J$4)&gt;0,INDEX(Data!$CI:$CI,$J$4)/INDEX(Data!$CJ:$CJ,$J$4),0)</f>
        <v/>
      </c>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row>
    <row r="25">
      <c r="A25" s="9" t="n"/>
      <c r="B25" s="9" t="n"/>
      <c r="C25" s="9" t="n"/>
      <c r="D25" s="9" t="inlineStr">
        <is>
          <t>Gas share of fossil generation</t>
        </is>
      </c>
      <c r="E25" s="9" t="inlineStr">
        <is>
          <t>share</t>
        </is>
      </c>
      <c r="F25" s="9" t="inlineStr">
        <is>
          <t>Data / Inputs</t>
        </is>
      </c>
      <c r="G25" s="18" t="inlineStr">
        <is>
          <t>IF(gen_fos&gt;0,gen_nga/gen_fos,0)</t>
        </is>
      </c>
      <c r="H25" s="18" t="inlineStr">
        <is>
          <t>mit.sc.sh_nga</t>
        </is>
      </c>
      <c r="I25" s="9" t="n"/>
      <c r="J25" s="9">
        <f>IF(INDEX(Data!$CJ:$CJ,$J$4)&gt;0,INDEX(Data!$CK:$CK,$J$4)/INDEX(Data!$CJ:$CJ,$J$4),0)</f>
        <v/>
      </c>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row>
    <row r="26">
      <c r="A26" s="9" t="n"/>
      <c r="B26" s="9" t="n"/>
      <c r="C26" s="9" t="n"/>
      <c r="D26" s="9" t="inlineStr">
        <is>
          <t>Oil share of fossil generation</t>
        </is>
      </c>
      <c r="E26" s="9" t="inlineStr">
        <is>
          <t>share</t>
        </is>
      </c>
      <c r="F26" s="9" t="inlineStr">
        <is>
          <t>Data / Inputs</t>
        </is>
      </c>
      <c r="G26" s="18" t="inlineStr">
        <is>
          <t>IF(gen_fos&gt;0,gen_oil/gen_fos,1)</t>
        </is>
      </c>
      <c r="H26" s="18" t="inlineStr">
        <is>
          <t>mit.sc.sh_oil</t>
        </is>
      </c>
      <c r="I26" s="9" t="n"/>
      <c r="J26" s="9">
        <f>IF(INDEX(Data!$CJ:$CJ,$J$4)&gt;0,INDEX(Data!$CL:$CL,$J$4)/INDEX(Data!$CJ:$CJ,$J$4),1)</f>
        <v/>
      </c>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row>
    <row r="27">
      <c r="A27" s="9" t="n"/>
      <c r="B27" s="9" t="n"/>
      <c r="C27" s="9" t="n"/>
      <c r="D27" s="9" t="inlineStr">
        <is>
          <t>Coal heat rate, calibrated to CPAT power fuel use</t>
        </is>
      </c>
      <c r="E27" s="9" t="inlineStr">
        <is>
          <t>GJ/MWh</t>
        </is>
      </c>
      <c r="F27" s="9" t="inlineStr">
        <is>
          <t>Data / Inputs</t>
        </is>
      </c>
      <c r="G27" s="18" t="inlineStr">
        <is>
          <t>IF(gen_coa&gt;0.1,MIN(14,MAX(7,con_coa_pow/gen_coa)),{hr_coa})</t>
        </is>
      </c>
      <c r="H27" s="18" t="inlineStr">
        <is>
          <t>mit.sc.hr_coa</t>
        </is>
      </c>
      <c r="I27" s="9" t="n"/>
      <c r="J27" s="9">
        <f>IF(INDEX(Data!$CI:$CI,$J$4)&gt;0.1,MIN(14,MAX(7,INDEX(Data!$AK:$AK,$J$4)/INDEX(Data!$CI:$CI,$J$4))),p_hr_coa)</f>
        <v/>
      </c>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row>
    <row r="28">
      <c r="A28" s="9" t="n"/>
      <c r="B28" s="9" t="n"/>
      <c r="C28" s="9" t="n"/>
      <c r="D28" s="9" t="inlineStr">
        <is>
          <t>Gas heat rate, calibrated to CPAT power fuel use</t>
        </is>
      </c>
      <c r="E28" s="9" t="inlineStr">
        <is>
          <t>GJ/MWh</t>
        </is>
      </c>
      <c r="F28" s="9" t="inlineStr">
        <is>
          <t>Data / Inputs</t>
        </is>
      </c>
      <c r="G28" s="18" t="inlineStr">
        <is>
          <t>IF(gen_nga&gt;0.1,MIN(12,MAX(5.5,con_nga_pow/gen_nga)),{hr_nga}</t>
        </is>
      </c>
      <c r="H28" s="18" t="inlineStr">
        <is>
          <t>mit.sc.hr_nga</t>
        </is>
      </c>
      <c r="I28" s="9" t="n"/>
      <c r="J28" s="9">
        <f>IF(INDEX(Data!$CK:$CK,$J$4)&gt;0.1,MIN(12,MAX(5.5,INDEX(Data!$BR:$BR,$J$4)/INDEX(Data!$CK:$CK,$J$4))),p_hr_nga)</f>
        <v/>
      </c>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row>
    <row r="29">
      <c r="A29" s="9" t="n"/>
      <c r="B29" s="9" t="n"/>
      <c r="C29" s="9" t="n"/>
      <c r="D29" s="9" t="inlineStr">
        <is>
          <t>Solar capacity factor</t>
        </is>
      </c>
      <c r="E29" s="9" t="inlineStr">
        <is>
          <t>share</t>
        </is>
      </c>
      <c r="F29" s="9" t="inlineStr">
        <is>
          <t>Data / Inputs</t>
        </is>
      </c>
      <c r="G29" s="18" t="inlineStr">
        <is>
          <t>IF(cap_sol&gt;0.05,MIN(0.3,MAX(0.1,gen_sol/(cap_sol*8.76))),{cf</t>
        </is>
      </c>
      <c r="H29" s="18" t="inlineStr">
        <is>
          <t>mit.sc.cf_sol</t>
        </is>
      </c>
      <c r="I29" s="9" t="n"/>
      <c r="J29" s="9">
        <f>IF(INDEX(Data!$AB:$AB,$J$4)&gt;0.05,MIN(0.3,MAX(0.1,INDEX(Data!$CM:$CM,$J$4)/(INDEX(Data!$AB:$AB,$J$4)*8.76))),p_cf_sol)</f>
        <v/>
      </c>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row>
    <row r="30">
      <c r="A30" s="9" t="n"/>
      <c r="B30" s="9" t="n"/>
      <c r="C30" s="9" t="n"/>
      <c r="D30" s="9" t="inlineStr">
        <is>
          <t>Wind capacity factor</t>
        </is>
      </c>
      <c r="E30" s="9" t="inlineStr">
        <is>
          <t>share</t>
        </is>
      </c>
      <c r="F30" s="9" t="inlineStr">
        <is>
          <t>Data / Inputs</t>
        </is>
      </c>
      <c r="G30" s="18" t="inlineStr">
        <is>
          <t>IF(cap_wnd&gt;0.05,MIN(0.5,MAX(0.15,gen_wnd/(cap_wnd*8.76))),{c</t>
        </is>
      </c>
      <c r="H30" s="18" t="inlineStr">
        <is>
          <t>mit.sc.cf_wnd</t>
        </is>
      </c>
      <c r="I30" s="9" t="n"/>
      <c r="J30" s="9">
        <f>IF(INDEX(Data!$AC:$AC,$J$4)&gt;0.05,MIN(0.5,MAX(0.15,INDEX(Data!$CO:$CO,$J$4)/(INDEX(Data!$AC:$AC,$J$4)*8.76))),p_cf_wnd)</f>
        <v/>
      </c>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row>
    <row r="31">
      <c r="A31" s="9" t="n"/>
      <c r="B31" s="9" t="n"/>
      <c r="C31" s="9" t="n"/>
      <c r="D31" s="9" t="inlineStr">
        <is>
          <t>Fossil capacity factor</t>
        </is>
      </c>
      <c r="E31" s="9" t="inlineStr">
        <is>
          <t>share</t>
        </is>
      </c>
      <c r="F31" s="9" t="inlineStr">
        <is>
          <t>Data / Inputs</t>
        </is>
      </c>
      <c r="G31" s="18" t="inlineStr">
        <is>
          <t>IF(cap_fos&gt;0.05,MIN(0.8,MAX(0.2,gen_fos/(cap_fos*8.76))),{cf</t>
        </is>
      </c>
      <c r="H31" s="18" t="inlineStr">
        <is>
          <t>mit.sc.cf_fos</t>
        </is>
      </c>
      <c r="I31" s="9" t="n"/>
      <c r="J31" s="9">
        <f>IF(INDEX(Data!$AA:$AA,$J$4)&gt;0.05,MIN(0.8,MAX(0.2,INDEX(Data!$CJ:$CJ,$J$4)/(INDEX(Data!$AA:$AA,$J$4)*8.76))),p_cf_fos)</f>
        <v/>
      </c>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row>
    <row r="32">
      <c r="A32" s="9" t="n"/>
      <c r="B32" s="9" t="n"/>
      <c r="C32" s="9" t="n"/>
      <c r="D32" s="9" t="inlineStr">
        <is>
          <t>Non-CO2 and other process GHG 2024</t>
        </is>
      </c>
      <c r="E32" s="9" t="inlineStr">
        <is>
          <t>MtCO2e</t>
        </is>
      </c>
      <c r="F32" s="9" t="inlineStr">
        <is>
          <t>Data / Inputs</t>
        </is>
      </c>
      <c r="G32" s="18" t="inlineStr">
        <is>
          <t>MAX(0,ghg_exc-co2_24-cbam_proc24)</t>
        </is>
      </c>
      <c r="H32" s="18" t="inlineStr">
        <is>
          <t>mit.sc.nc24</t>
        </is>
      </c>
      <c r="I32" s="9" t="n"/>
      <c r="J32" s="9">
        <f>MAX(0,INDEX(Data!$CP:$CP,$J$4)-INDEX(Data!$AF:$AF,$J$4)-INDEX(Data!$AE:$AE,$J$4))</f>
        <v/>
      </c>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row>
    <row r="33">
      <c r="A33" s="9" t="n"/>
      <c r="B33" s="9" t="n"/>
      <c r="C33" s="9" t="n"/>
      <c r="D33" s="9" t="inlineStr">
        <is>
          <t>Net land-use source 2024</t>
        </is>
      </c>
      <c r="E33" s="9" t="inlineStr">
        <is>
          <t>MtCO2e</t>
        </is>
      </c>
      <c r="F33" s="9" t="inlineStr">
        <is>
          <t>Data / Inputs</t>
        </is>
      </c>
      <c r="G33" s="18" t="inlineStr">
        <is>
          <t>MAX(0,ghg_inc-ghg_exc)</t>
        </is>
      </c>
      <c r="H33" s="18" t="inlineStr">
        <is>
          <t>mit.sc.lu24</t>
        </is>
      </c>
      <c r="I33" s="9" t="n"/>
      <c r="J33" s="9">
        <f>MAX(0,INDEX(Data!$CQ:$CQ,$J$4)-INDEX(Data!$CP:$CP,$J$4))</f>
        <v/>
      </c>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row>
    <row r="34">
      <c r="A34" s="9" t="n"/>
      <c r="B34" s="9" t="n"/>
      <c r="C34" s="9" t="n"/>
      <c r="D34" s="9" t="inlineStr">
        <is>
          <t>CBAM-goods process CO2 2024</t>
        </is>
      </c>
      <c r="E34" s="9" t="inlineStr">
        <is>
          <t>MtCO2</t>
        </is>
      </c>
      <c r="F34" s="9" t="inlineStr">
        <is>
          <t>Data / Inputs</t>
        </is>
      </c>
      <c r="G34" s="18" t="inlineStr">
        <is>
          <t>cbam_proc24</t>
        </is>
      </c>
      <c r="H34" s="18" t="inlineStr">
        <is>
          <t>mit.sc.cbam24</t>
        </is>
      </c>
      <c r="I34" s="9" t="n"/>
      <c r="J34" s="9">
        <f>INDEX(Data!$AE:$AE,$J$4)</f>
        <v/>
      </c>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row>
    <row r="35">
      <c r="A35" s="9" t="n"/>
      <c r="B35" s="9" t="n"/>
      <c r="C35" s="9" t="n"/>
      <c r="D35" s="9" t="inlineStr">
        <is>
          <t>CBAM-goods output growth to 2030</t>
        </is>
      </c>
      <c r="E35" s="9" t="inlineStr">
        <is>
          <t>%</t>
        </is>
      </c>
      <c r="F35" s="9" t="inlineStr">
        <is>
          <t>Data / Inputs</t>
        </is>
      </c>
      <c r="G35" s="18" t="inlineStr">
        <is>
          <t>cbam_g</t>
        </is>
      </c>
      <c r="H35" s="18" t="inlineStr">
        <is>
          <t>mit.sc.cbam_g</t>
        </is>
      </c>
      <c r="I35" s="9" t="n"/>
      <c r="J35" s="9">
        <f>INDEX(Data!$AD:$AD,$J$4)</f>
        <v/>
      </c>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row>
    <row r="36">
      <c r="A36" s="9" t="n"/>
      <c r="B36" s="9" t="n"/>
      <c r="C36" s="9" t="n"/>
      <c r="D36" s="9" t="inlineStr">
        <is>
          <t>CRF at market WACC, grids</t>
        </is>
      </c>
      <c r="E36" s="9" t="inlineStr">
        <is>
          <t>x</t>
        </is>
      </c>
      <c r="F36" s="9" t="inlineStr">
        <is>
          <t>Data / Inputs</t>
        </is>
      </c>
      <c r="G36" s="18" t="inlineStr">
        <is>
          <t>wacc/(1-(1+wacc)^-{life_grid})</t>
        </is>
      </c>
      <c r="H36" s="18" t="inlineStr">
        <is>
          <t>mit.sc.crf_a_grid</t>
        </is>
      </c>
      <c r="I36" s="9" t="n"/>
      <c r="J36" s="9">
        <f>$J$12/(1-(1+$J$12)^-p_life_grid)</f>
        <v/>
      </c>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row>
    <row r="37">
      <c r="A37" s="9" t="n"/>
      <c r="B37" s="9" t="n"/>
      <c r="C37" s="9" t="n"/>
      <c r="D37" s="9" t="inlineStr">
        <is>
          <t>CRF at market WACC, generation</t>
        </is>
      </c>
      <c r="E37" s="9" t="inlineStr">
        <is>
          <t>x</t>
        </is>
      </c>
      <c r="F37" s="9" t="inlineStr">
        <is>
          <t>Data / Inputs</t>
        </is>
      </c>
      <c r="G37" s="18" t="inlineStr">
        <is>
          <t>wacc/(1-(1+wacc)^-{life_vre})</t>
        </is>
      </c>
      <c r="H37" s="18" t="inlineStr">
        <is>
          <t>mit.sc.crf_a_vre</t>
        </is>
      </c>
      <c r="I37" s="9" t="n"/>
      <c r="J37" s="9">
        <f>$J$12/(1-(1+$J$12)^-p_life_vre)</f>
        <v/>
      </c>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row>
    <row r="38">
      <c r="A38" s="9" t="n"/>
      <c r="B38" s="9" t="n"/>
      <c r="C38" s="9" t="n"/>
      <c r="D38" s="9" t="inlineStr">
        <is>
          <t>CRF at market WACC, vehicles</t>
        </is>
      </c>
      <c r="E38" s="9" t="inlineStr">
        <is>
          <t>x</t>
        </is>
      </c>
      <c r="F38" s="9" t="inlineStr">
        <is>
          <t>Data / Inputs</t>
        </is>
      </c>
      <c r="G38" s="18" t="inlineStr">
        <is>
          <t>wacc/(1-(1+wacc)^-{veh_life})</t>
        </is>
      </c>
      <c r="H38" s="18" t="inlineStr">
        <is>
          <t>mit.sc.crf_a_veh</t>
        </is>
      </c>
      <c r="I38" s="9" t="n"/>
      <c r="J38" s="9">
        <f>$J$12/(1-(1+$J$12)^-p_veh_life)</f>
        <v/>
      </c>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row>
    <row r="39">
      <c r="A39" s="9" t="n"/>
      <c r="B39" s="9" t="n"/>
      <c r="C39" s="9" t="n"/>
      <c r="D39" s="9" t="inlineStr">
        <is>
          <t>CRF at market WACC, buildings</t>
        </is>
      </c>
      <c r="E39" s="9" t="inlineStr">
        <is>
          <t>x</t>
        </is>
      </c>
      <c r="F39" s="9" t="inlineStr">
        <is>
          <t>Data / Inputs</t>
        </is>
      </c>
      <c r="G39" s="18" t="inlineStr">
        <is>
          <t>wacc/(1-(1+wacc)^-{life_bld})</t>
        </is>
      </c>
      <c r="H39" s="18" t="inlineStr">
        <is>
          <t>mit.sc.crf_a_bld</t>
        </is>
      </c>
      <c r="I39" s="9" t="n"/>
      <c r="J39" s="9">
        <f>$J$12/(1-(1+$J$12)^-p_life_bld)</f>
        <v/>
      </c>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row>
    <row r="40">
      <c r="A40" s="9" t="n"/>
      <c r="B40" s="9" t="n"/>
      <c r="C40" s="9" t="n"/>
      <c r="D40" s="9" t="inlineStr">
        <is>
          <t>CRF at market WACC, industry</t>
        </is>
      </c>
      <c r="E40" s="9" t="inlineStr">
        <is>
          <t>x</t>
        </is>
      </c>
      <c r="F40" s="9" t="inlineStr">
        <is>
          <t>Data / Inputs</t>
        </is>
      </c>
      <c r="G40" s="18" t="inlineStr">
        <is>
          <t>wacc/(1-(1+wacc)^-{life_ind})</t>
        </is>
      </c>
      <c r="H40" s="18" t="inlineStr">
        <is>
          <t>mit.sc.crf_a_ind</t>
        </is>
      </c>
      <c r="I40" s="9" t="n"/>
      <c r="J40" s="9">
        <f>$J$12/(1-(1+$J$12)^-p_life_ind)</f>
        <v/>
      </c>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row>
    <row r="41">
      <c r="A41" s="9" t="n"/>
      <c r="B41" s="9" t="n"/>
      <c r="C41" s="9" t="n"/>
      <c r="D41" s="9" t="inlineStr">
        <is>
          <t>CRF at 6%, grids</t>
        </is>
      </c>
      <c r="E41" s="9" t="inlineStr">
        <is>
          <t>x</t>
        </is>
      </c>
      <c r="F41" s="9" t="inlineStr">
        <is>
          <t>Data / Inputs</t>
        </is>
      </c>
      <c r="G41" s="18" t="inlineStr">
        <is>
          <t>{r_wb}/(1-(1+{r_wb})^-{life_grid})</t>
        </is>
      </c>
      <c r="H41" s="18" t="inlineStr">
        <is>
          <t>mit.sc.crf_b_grid</t>
        </is>
      </c>
      <c r="I41" s="9" t="n"/>
      <c r="J41" s="9">
        <f>p_r_wb/(1-(1+p_r_wb)^-p_life_grid)</f>
        <v/>
      </c>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row>
    <row r="42">
      <c r="A42" s="9" t="n"/>
      <c r="B42" s="9" t="n"/>
      <c r="C42" s="9" t="n"/>
      <c r="D42" s="9" t="inlineStr">
        <is>
          <t>CRF at 6%, generation</t>
        </is>
      </c>
      <c r="E42" s="9" t="inlineStr">
        <is>
          <t>x</t>
        </is>
      </c>
      <c r="F42" s="9" t="inlineStr">
        <is>
          <t>Data / Inputs</t>
        </is>
      </c>
      <c r="G42" s="18" t="inlineStr">
        <is>
          <t>{r_wb}/(1-(1+{r_wb})^-{life_vre})</t>
        </is>
      </c>
      <c r="H42" s="18" t="inlineStr">
        <is>
          <t>mit.sc.crf_b_vre</t>
        </is>
      </c>
      <c r="I42" s="9" t="n"/>
      <c r="J42" s="9">
        <f>p_r_wb/(1-(1+p_r_wb)^-p_life_vre)</f>
        <v/>
      </c>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row>
    <row r="43">
      <c r="A43" s="9" t="n"/>
      <c r="B43" s="9" t="n"/>
      <c r="C43" s="9" t="n"/>
      <c r="D43" s="9" t="inlineStr">
        <is>
          <t>CRF at 6%, vehicles</t>
        </is>
      </c>
      <c r="E43" s="9" t="inlineStr">
        <is>
          <t>x</t>
        </is>
      </c>
      <c r="F43" s="9" t="inlineStr">
        <is>
          <t>Data / Inputs</t>
        </is>
      </c>
      <c r="G43" s="18" t="inlineStr">
        <is>
          <t>{r_wb}/(1-(1+{r_wb})^-{veh_life})</t>
        </is>
      </c>
      <c r="H43" s="18" t="inlineStr">
        <is>
          <t>mit.sc.crf_b_veh</t>
        </is>
      </c>
      <c r="I43" s="9" t="n"/>
      <c r="J43" s="9">
        <f>p_r_wb/(1-(1+p_r_wb)^-p_veh_life)</f>
        <v/>
      </c>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row>
    <row r="44">
      <c r="A44" s="9" t="n"/>
      <c r="B44" s="9" t="n"/>
      <c r="C44" s="9" t="n"/>
      <c r="D44" s="9" t="inlineStr">
        <is>
          <t>CRF at 6%, buildings</t>
        </is>
      </c>
      <c r="E44" s="9" t="inlineStr">
        <is>
          <t>x</t>
        </is>
      </c>
      <c r="F44" s="9" t="inlineStr">
        <is>
          <t>Data / Inputs</t>
        </is>
      </c>
      <c r="G44" s="18" t="inlineStr">
        <is>
          <t>{r_wb}/(1-(1+{r_wb})^-{life_bld})</t>
        </is>
      </c>
      <c r="H44" s="18" t="inlineStr">
        <is>
          <t>mit.sc.crf_b_bld</t>
        </is>
      </c>
      <c r="I44" s="9" t="n"/>
      <c r="J44" s="9">
        <f>p_r_wb/(1-(1+p_r_wb)^-p_life_bld)</f>
        <v/>
      </c>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row>
    <row r="45">
      <c r="A45" s="9" t="n"/>
      <c r="B45" s="9" t="n"/>
      <c r="C45" s="9" t="n"/>
      <c r="D45" s="9" t="inlineStr">
        <is>
          <t>CRF at 6%, industry</t>
        </is>
      </c>
      <c r="E45" s="9" t="inlineStr">
        <is>
          <t>x</t>
        </is>
      </c>
      <c r="F45" s="9" t="inlineStr">
        <is>
          <t>Data / Inputs</t>
        </is>
      </c>
      <c r="G45" s="18" t="inlineStr">
        <is>
          <t>{r_wb}/(1-(1+{r_wb})^-{life_ind})</t>
        </is>
      </c>
      <c r="H45" s="18" t="inlineStr">
        <is>
          <t>mit.sc.crf_b_ind</t>
        </is>
      </c>
      <c r="I45" s="9" t="n"/>
      <c r="J45" s="9">
        <f>p_r_wb/(1-(1+p_r_wb)^-p_life_ind)</f>
        <v/>
      </c>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row>
    <row r="46">
      <c r="A46" s="9" t="n"/>
      <c r="B46" s="9" t="n"/>
      <c r="C46" s="9" t="n"/>
      <c r="D46" s="9" t="inlineStr">
        <is>
          <t>Power market structure (1 integrated, 2 single buyer, 3 wholesale)</t>
        </is>
      </c>
      <c r="E46" s="9" t="inlineStr">
        <is>
          <t>code</t>
        </is>
      </c>
      <c r="F46" s="9" t="inlineStr">
        <is>
          <t>Data / Inputs</t>
        </is>
      </c>
      <c r="G46" s="18" t="inlineStr">
        <is>
          <t>pms</t>
        </is>
      </c>
      <c r="H46" s="18" t="inlineStr">
        <is>
          <t>mit.sc.pms</t>
        </is>
      </c>
      <c r="I46" s="9" t="n"/>
      <c r="J46" s="9">
        <f>INDEX(Data!$DF:$DF,$J$4)</f>
        <v/>
      </c>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row>
    <row r="47">
      <c r="A47" s="9" t="n"/>
      <c r="B47" s="9" t="n"/>
      <c r="C47" s="9" t="n"/>
      <c r="D47" s="9" t="inlineStr">
        <is>
          <t>Utility pressure index: electricity tariff under-recovery</t>
        </is>
      </c>
      <c r="E47" s="9" t="inlineStr">
        <is>
          <t>0-1</t>
        </is>
      </c>
      <c r="F47" s="9" t="inlineStr">
        <is>
          <t>Data / Inputs</t>
        </is>
      </c>
      <c r="G47" s="18" t="inlineStr">
        <is>
          <t>MIN(1,MAX(0,(1-cr_ecy)/{ty_cr_gap}))</t>
        </is>
      </c>
      <c r="H47" s="18" t="inlineStr">
        <is>
          <t>mit.sc.ty_u</t>
        </is>
      </c>
      <c r="I47" s="9" t="n"/>
      <c r="J47" s="9">
        <f>MIN(1,MAX(0,(1-INDEX(Data!$CA:$CA,$J$4))/p_ty_cr_gap))</f>
        <v/>
      </c>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row>
    <row r="48">
      <c r="A48" s="9" t="n"/>
      <c r="B48" s="9" t="n"/>
      <c r="C48" s="9" t="n"/>
      <c r="D48" s="9" t="inlineStr">
        <is>
          <t>Capital-cost pressure index: market WACC above 6%</t>
        </is>
      </c>
      <c r="E48" s="9" t="inlineStr">
        <is>
          <t>0-1</t>
        </is>
      </c>
      <c r="F48" s="9" t="inlineStr">
        <is>
          <t>Data / Inputs</t>
        </is>
      </c>
      <c r="G48" s="18" t="inlineStr">
        <is>
          <t>MIN(1,MAX(0,(wacc-{r_wb})/{ty_h_span}))</t>
        </is>
      </c>
      <c r="H48" s="18" t="inlineStr">
        <is>
          <t>mit.sc.ty_h</t>
        </is>
      </c>
      <c r="I48" s="9" t="n"/>
      <c r="J48" s="9">
        <f>MIN(1,MAX(0,($J$12-p_r_wb)/p_ty_h_span))</f>
        <v/>
      </c>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row>
    <row r="49">
      <c r="A49" s="9" t="n"/>
      <c r="B49" s="9" t="n"/>
      <c r="C49" s="9" t="n"/>
      <c r="D49" s="9" t="inlineStr">
        <is>
          <t>Subsidy pressure index: explicit fossil fuel subsidies</t>
        </is>
      </c>
      <c r="E49" s="9" t="inlineStr">
        <is>
          <t>0-1</t>
        </is>
      </c>
      <c r="F49" s="9" t="inlineStr">
        <is>
          <t>Data / Inputs</t>
        </is>
      </c>
      <c r="G49" s="18" t="inlineStr">
        <is>
          <t>MIN(1,MAX(0,ffs_exp/{ty_v_span}))</t>
        </is>
      </c>
      <c r="H49" s="18" t="inlineStr">
        <is>
          <t>mit.sc.ty_v</t>
        </is>
      </c>
      <c r="I49" s="9" t="n"/>
      <c r="J49" s="9">
        <f>MIN(1,MAX(0,INDEX(Data!$CC:$CC,$J$4)/p_ty_v_span))</f>
        <v/>
      </c>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row>
    <row r="50">
      <c r="A50" s="9" t="n"/>
      <c r="B50" s="9" t="n"/>
      <c r="C50" s="9" t="n"/>
      <c r="D50" s="9" t="inlineStr">
        <is>
          <t>Top-up share of market end-use investment (P5 to P4)</t>
        </is>
      </c>
      <c r="E50" s="9" t="inlineStr">
        <is>
          <t>share</t>
        </is>
      </c>
      <c r="F50" s="9" t="inlineStr">
        <is>
          <t>Data / Inputs</t>
        </is>
      </c>
      <c r="G50" s="18" t="inlineStr">
        <is>
          <t>MIN(1,ty_h*{ty_kh}+ty_v*{ty_kv}+CHOOSE(inc,{ty_ci_lic},{ty_c</t>
        </is>
      </c>
      <c r="H50" s="18" t="inlineStr">
        <is>
          <t>mit.sc.ty_m</t>
        </is>
      </c>
      <c r="I50" s="9" t="n"/>
      <c r="J50" s="9">
        <f>MIN(1,$J$48*p_ty_kh+$J$49*p_ty_kv+CHOOSE($J$6,p_ty_ci_lic,p_ty_ci_lmic,0,0))</f>
        <v/>
      </c>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row>
    <row r="51">
      <c r="A51" s="9" t="n"/>
      <c r="B51" s="9" t="n"/>
      <c r="C51" s="9" t="n"/>
      <c r="D51" s="9" t="inlineStr">
        <is>
          <t>Generation, utility-built share before pressure</t>
        </is>
      </c>
      <c r="E51" s="9" t="inlineStr">
        <is>
          <t>share</t>
        </is>
      </c>
      <c r="F51" s="9" t="inlineStr">
        <is>
          <t>Data / Inputs</t>
        </is>
      </c>
      <c r="G51" s="18" t="inlineStr">
        <is>
          <t>CHOOSE(pms,{ty_g2_vi},{ty_g2_sb},{ty_g2_wm})</t>
        </is>
      </c>
      <c r="H51" s="18" t="inlineStr">
        <is>
          <t>mit.sc.g2o</t>
        </is>
      </c>
      <c r="I51" s="9" t="n"/>
      <c r="J51" s="9">
        <f>CHOOSE($J$46,p_ty_g2_vi,p_ty_g2_sb,p_ty_g2_wm)</f>
        <v/>
      </c>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row>
    <row r="52">
      <c r="A52" s="9" t="n"/>
      <c r="B52" s="9" t="n"/>
      <c r="C52" s="9" t="n"/>
      <c r="D52" s="9" t="inlineStr">
        <is>
          <t>Generation, contracted share before pressure</t>
        </is>
      </c>
      <c r="E52" s="9" t="inlineStr">
        <is>
          <t>share</t>
        </is>
      </c>
      <c r="F52" s="9" t="inlineStr">
        <is>
          <t>Data / Inputs</t>
        </is>
      </c>
      <c r="G52" s="18" t="inlineStr">
        <is>
          <t>CHOOSE(pms,{ty_g3_vi},{ty_g3_sb},{ty_g3_wm})</t>
        </is>
      </c>
      <c r="H52" s="18" t="inlineStr">
        <is>
          <t>mit.sc.g3o</t>
        </is>
      </c>
      <c r="I52" s="9" t="n"/>
      <c r="J52" s="9">
        <f>CHOOSE($J$46,p_ty_g3_vi,p_ty_g3_sb,p_ty_g3_wm)</f>
        <v/>
      </c>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row>
    <row r="53">
      <c r="A53" s="9" t="n"/>
      <c r="B53" s="9" t="n"/>
      <c r="C53" s="9" t="n"/>
      <c r="D53" s="9" t="inlineStr">
        <is>
          <t>Generation, merchant and distributed share before pressure</t>
        </is>
      </c>
      <c r="E53" s="9" t="inlineStr">
        <is>
          <t>share</t>
        </is>
      </c>
      <c r="F53" s="9" t="inlineStr">
        <is>
          <t>Data / Inputs</t>
        </is>
      </c>
      <c r="G53" s="18" t="inlineStr">
        <is>
          <t>1-g2o-g3o</t>
        </is>
      </c>
      <c r="H53" s="18" t="inlineStr">
        <is>
          <t>mit.sc.g5o</t>
        </is>
      </c>
      <c r="I53" s="9" t="n"/>
      <c r="J53" s="9">
        <f>1-$J$51-$J$52</f>
        <v/>
      </c>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row>
    <row r="54">
      <c r="A54" s="9" t="n"/>
      <c r="B54" s="9" t="n"/>
      <c r="C54" s="9" t="n"/>
      <c r="D54" s="9" t="inlineStr">
        <is>
          <t>Type share, generation: P1 pure public</t>
        </is>
      </c>
      <c r="E54" s="9" t="inlineStr">
        <is>
          <t>share</t>
        </is>
      </c>
      <c r="F54" s="9" t="inlineStr">
        <is>
          <t>Data / Inputs</t>
        </is>
      </c>
      <c r="G54" s="18" t="inlineStr">
        <is>
          <t>g2o*ty_u*{ty_ku1}</t>
        </is>
      </c>
      <c r="H54" s="18" t="inlineStr">
        <is>
          <t>mit.sc.ty_gen_p1</t>
        </is>
      </c>
      <c r="I54" s="9" t="n"/>
      <c r="J54" s="9">
        <f>$J$51*$J$47*p_ty_ku1</f>
        <v/>
      </c>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row>
    <row r="55">
      <c r="A55" s="9" t="n"/>
      <c r="B55" s="9" t="n"/>
      <c r="C55" s="9" t="n"/>
      <c r="D55" s="9" t="inlineStr">
        <is>
          <t>Type share, generation: P2 regulated utility</t>
        </is>
      </c>
      <c r="E55" s="9" t="inlineStr">
        <is>
          <t>share</t>
        </is>
      </c>
      <c r="F55" s="9" t="inlineStr">
        <is>
          <t>Data / Inputs</t>
        </is>
      </c>
      <c r="G55" s="18" t="inlineStr">
        <is>
          <t>g2o-ty_gen_p1</t>
        </is>
      </c>
      <c r="H55" s="18" t="inlineStr">
        <is>
          <t>mit.sc.ty_gen_p2</t>
        </is>
      </c>
      <c r="I55" s="9" t="n"/>
      <c r="J55" s="9">
        <f>$J$51-$J$54</f>
        <v/>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row>
    <row r="56">
      <c r="A56" s="9" t="n"/>
      <c r="B56" s="9" t="n"/>
      <c r="C56" s="9" t="n"/>
      <c r="D56" s="9" t="inlineStr">
        <is>
          <t>Type share, generation: P3 contracted revenue</t>
        </is>
      </c>
      <c r="E56" s="9" t="inlineStr">
        <is>
          <t>share</t>
        </is>
      </c>
      <c r="F56" s="9" t="inlineStr">
        <is>
          <t>Data / Inputs</t>
        </is>
      </c>
      <c r="G56" s="18" t="inlineStr">
        <is>
          <t>g3o*(1-ty_u*{ty_ku4})</t>
        </is>
      </c>
      <c r="H56" s="18" t="inlineStr">
        <is>
          <t>mit.sc.ty_gen_p3</t>
        </is>
      </c>
      <c r="I56" s="9" t="n"/>
      <c r="J56" s="9">
        <f>$J$52*(1-$J$47*p_ty_ku4)</f>
        <v/>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row>
    <row r="57">
      <c r="A57" s="9" t="n"/>
      <c r="B57" s="9" t="n"/>
      <c r="C57" s="9" t="n"/>
      <c r="D57" s="9" t="inlineStr">
        <is>
          <t>Type share, generation: P4 viability gap</t>
        </is>
      </c>
      <c r="E57" s="9" t="inlineStr">
        <is>
          <t>share</t>
        </is>
      </c>
      <c r="F57" s="9" t="inlineStr">
        <is>
          <t>Data / Inputs</t>
        </is>
      </c>
      <c r="G57" s="18" t="inlineStr">
        <is>
          <t>g3o*ty_u*{ty_ku4}+g5o*MIN(1,ty_h*{ty_kh})</t>
        </is>
      </c>
      <c r="H57" s="18" t="inlineStr">
        <is>
          <t>mit.sc.ty_gen_p4</t>
        </is>
      </c>
      <c r="I57" s="9" t="n"/>
      <c r="J57" s="9">
        <f>$J$52*$J$47*p_ty_ku4+$J$53*MIN(1,$J$48*p_ty_kh)</f>
        <v/>
      </c>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row>
    <row r="58">
      <c r="A58" s="9" t="n"/>
      <c r="B58" s="9" t="n"/>
      <c r="C58" s="9" t="n"/>
      <c r="D58" s="9" t="inlineStr">
        <is>
          <t>Type share, generation: P5 pure private</t>
        </is>
      </c>
      <c r="E58" s="9" t="inlineStr">
        <is>
          <t>share</t>
        </is>
      </c>
      <c r="F58" s="9" t="inlineStr">
        <is>
          <t>Data / Inputs</t>
        </is>
      </c>
      <c r="G58" s="18" t="inlineStr">
        <is>
          <t>g5o*(1-MIN(1,ty_h*{ty_kh}))</t>
        </is>
      </c>
      <c r="H58" s="18" t="inlineStr">
        <is>
          <t>mit.sc.ty_gen_p5</t>
        </is>
      </c>
      <c r="I58" s="9" t="n"/>
      <c r="J58" s="9">
        <f>$J$53*(1-MIN(1,$J$48*p_ty_kh))</f>
        <v/>
      </c>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row>
    <row r="59">
      <c r="A59" s="9" t="n"/>
      <c r="B59" s="9" t="n"/>
      <c r="C59" s="9" t="n"/>
      <c r="D59" s="9" t="inlineStr">
        <is>
          <t>Grids and storage, private contracted share</t>
        </is>
      </c>
      <c r="E59" s="9" t="inlineStr">
        <is>
          <t>share</t>
        </is>
      </c>
      <c r="F59" s="9" t="inlineStr">
        <is>
          <t>Data / Inputs</t>
        </is>
      </c>
      <c r="G59" s="18" t="inlineStr">
        <is>
          <t>CHOOSE(pms,{ty_r3_vi},{ty_r3_sb},{ty_r3_wm})</t>
        </is>
      </c>
      <c r="H59" s="18" t="inlineStr">
        <is>
          <t>mit.sc.gr3</t>
        </is>
      </c>
      <c r="I59" s="9" t="n"/>
      <c r="J59" s="9">
        <f>CHOOSE($J$46,p_ty_r3_vi,p_ty_r3_sb,p_ty_r3_wm)</f>
        <v/>
      </c>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row>
    <row r="60">
      <c r="A60" s="9" t="n"/>
      <c r="B60" s="9" t="n"/>
      <c r="C60" s="9" t="n"/>
      <c r="D60" s="9" t="inlineStr">
        <is>
          <t>Type share, grids: P1 pure public</t>
        </is>
      </c>
      <c r="E60" s="9" t="inlineStr">
        <is>
          <t>share</t>
        </is>
      </c>
      <c r="F60" s="9" t="inlineStr">
        <is>
          <t>Data / Inputs</t>
        </is>
      </c>
      <c r="G60" s="18" t="inlineStr">
        <is>
          <t>(1-gr3)*MIN(1,ty_u*{ty_kur}+CHOOSE(inc,{ty_acc_lic},{ty_acc_</t>
        </is>
      </c>
      <c r="H60" s="18" t="inlineStr">
        <is>
          <t>mit.sc.ty_grid_p1</t>
        </is>
      </c>
      <c r="I60" s="9" t="n"/>
      <c r="J60" s="9">
        <f>(1-$J$59)*MIN(1,$J$47*p_ty_kur+CHOOSE($J$6,p_ty_acc_lic,p_ty_acc_lmic,0,0))</f>
        <v/>
      </c>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row>
    <row r="61">
      <c r="A61" s="9" t="n"/>
      <c r="B61" s="9" t="n"/>
      <c r="C61" s="9" t="n"/>
      <c r="D61" s="9" t="inlineStr">
        <is>
          <t>Type share, grids: P2 regulated utility</t>
        </is>
      </c>
      <c r="E61" s="9" t="inlineStr">
        <is>
          <t>share</t>
        </is>
      </c>
      <c r="F61" s="9" t="inlineStr">
        <is>
          <t>Data / Inputs</t>
        </is>
      </c>
      <c r="G61" s="18" t="inlineStr">
        <is>
          <t>1-gr3-ty_grid_p1</t>
        </is>
      </c>
      <c r="H61" s="18" t="inlineStr">
        <is>
          <t>mit.sc.ty_grid_p2</t>
        </is>
      </c>
      <c r="I61" s="9" t="n"/>
      <c r="J61" s="9">
        <f>1-$J$59-$J$60</f>
        <v/>
      </c>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row>
    <row r="62">
      <c r="A62" s="9" t="n"/>
      <c r="B62" s="9" t="n"/>
      <c r="C62" s="9" t="n"/>
      <c r="D62" s="9" t="inlineStr">
        <is>
          <t>Type share, grids: P3 contracted revenue</t>
        </is>
      </c>
      <c r="E62" s="9" t="inlineStr">
        <is>
          <t>share</t>
        </is>
      </c>
      <c r="F62" s="9" t="inlineStr">
        <is>
          <t>Data / Inputs</t>
        </is>
      </c>
      <c r="G62" s="18" t="inlineStr">
        <is>
          <t>gr3</t>
        </is>
      </c>
      <c r="H62" s="18" t="inlineStr">
        <is>
          <t>mit.sc.ty_grid_p3</t>
        </is>
      </c>
      <c r="I62" s="9" t="n"/>
      <c r="J62" s="9">
        <f>$J$59</f>
        <v/>
      </c>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row>
    <row r="63">
      <c r="A63" s="9" t="n"/>
      <c r="B63" s="9" t="n"/>
      <c r="C63" s="9" t="n"/>
      <c r="D63" s="9" t="inlineStr">
        <is>
          <t>Type share, grids: P4 viability gap</t>
        </is>
      </c>
      <c r="E63" s="9" t="inlineStr">
        <is>
          <t>share</t>
        </is>
      </c>
      <c r="F63" s="9" t="inlineStr">
        <is>
          <t>Data / Inputs</t>
        </is>
      </c>
      <c r="G63" s="18" t="inlineStr">
        <is>
          <t>0</t>
        </is>
      </c>
      <c r="H63" s="18" t="inlineStr">
        <is>
          <t>mit.sc.ty_grid_p4</t>
        </is>
      </c>
      <c r="I63" s="9" t="n"/>
      <c r="J63" s="9">
        <f>0</f>
        <v/>
      </c>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row>
    <row r="64">
      <c r="A64" s="9" t="n"/>
      <c r="B64" s="9" t="n"/>
      <c r="C64" s="9" t="n"/>
      <c r="D64" s="9" t="inlineStr">
        <is>
          <t>Type share, grids: P5 pure private</t>
        </is>
      </c>
      <c r="E64" s="9" t="inlineStr">
        <is>
          <t>share</t>
        </is>
      </c>
      <c r="F64" s="9" t="inlineStr">
        <is>
          <t>Data / Inputs</t>
        </is>
      </c>
      <c r="G64" s="18" t="inlineStr">
        <is>
          <t>0</t>
        </is>
      </c>
      <c r="H64" s="18" t="inlineStr">
        <is>
          <t>mit.sc.ty_grid_p5</t>
        </is>
      </c>
      <c r="I64" s="9" t="n"/>
      <c r="J64" s="9">
        <f>0</f>
        <v/>
      </c>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row>
    <row r="65">
      <c r="A65" s="9" t="n"/>
      <c r="B65" s="9" t="n"/>
      <c r="C65" s="9" t="n"/>
      <c r="D65" s="9" t="inlineStr">
        <is>
          <t>Type share, transport: P1 pure public</t>
        </is>
      </c>
      <c r="E65" s="9" t="inlineStr">
        <is>
          <t>share</t>
        </is>
      </c>
      <c r="F65" s="9" t="inlineStr">
        <is>
          <t>Data / Inputs</t>
        </is>
      </c>
      <c r="G65" s="18" t="inlineStr">
        <is>
          <t>CHOOSE(inc,{ty_t1_lic},{ty_t1_lmic},{ty_t1_umic},{ty_t1_hic}</t>
        </is>
      </c>
      <c r="H65" s="18" t="inlineStr">
        <is>
          <t>mit.sc.ty_trn_p1</t>
        </is>
      </c>
      <c r="I65" s="9" t="n"/>
      <c r="J65" s="9">
        <f>CHOOSE($J$6,p_ty_t1_lic,p_ty_t1_lmic,p_ty_t1_umic,p_ty_t1_hic)</f>
        <v/>
      </c>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row>
    <row r="66">
      <c r="A66" s="9" t="n"/>
      <c r="B66" s="9" t="n"/>
      <c r="C66" s="9" t="n"/>
      <c r="D66" s="9" t="inlineStr">
        <is>
          <t>Type share, transport: P2 regulated utility</t>
        </is>
      </c>
      <c r="E66" s="9" t="inlineStr">
        <is>
          <t>share</t>
        </is>
      </c>
      <c r="F66" s="9" t="inlineStr">
        <is>
          <t>Data / Inputs</t>
        </is>
      </c>
      <c r="G66" s="18" t="inlineStr">
        <is>
          <t>0</t>
        </is>
      </c>
      <c r="H66" s="18" t="inlineStr">
        <is>
          <t>mit.sc.ty_trn_p2</t>
        </is>
      </c>
      <c r="I66" s="9" t="n"/>
      <c r="J66" s="9">
        <f>0</f>
        <v/>
      </c>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row>
    <row r="67">
      <c r="A67" s="9" t="n"/>
      <c r="B67" s="9" t="n"/>
      <c r="C67" s="9" t="n"/>
      <c r="D67" s="9" t="inlineStr">
        <is>
          <t>Type share, transport: P3 contracted revenue</t>
        </is>
      </c>
      <c r="E67" s="9" t="inlineStr">
        <is>
          <t>share</t>
        </is>
      </c>
      <c r="F67" s="9" t="inlineStr">
        <is>
          <t>Data / Inputs</t>
        </is>
      </c>
      <c r="G67" s="18" t="inlineStr">
        <is>
          <t>{ty_t3}</t>
        </is>
      </c>
      <c r="H67" s="18" t="inlineStr">
        <is>
          <t>mit.sc.ty_trn_p3</t>
        </is>
      </c>
      <c r="I67" s="9" t="n"/>
      <c r="J67" s="9">
        <f>p_ty_t3</f>
        <v/>
      </c>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row>
    <row r="68">
      <c r="A68" s="9" t="n"/>
      <c r="B68" s="9" t="n"/>
      <c r="C68" s="9" t="n"/>
      <c r="D68" s="9" t="inlineStr">
        <is>
          <t>Type share, transport: P4 viability gap</t>
        </is>
      </c>
      <c r="E68" s="9" t="inlineStr">
        <is>
          <t>share</t>
        </is>
      </c>
      <c r="F68" s="9" t="inlineStr">
        <is>
          <t>Data / Inputs</t>
        </is>
      </c>
      <c r="G68" s="18" t="inlineStr">
        <is>
          <t>(1-ty_trn_p1-ty_trn_p3)*ty_m</t>
        </is>
      </c>
      <c r="H68" s="18" t="inlineStr">
        <is>
          <t>mit.sc.ty_trn_p4</t>
        </is>
      </c>
      <c r="I68" s="9" t="n"/>
      <c r="J68" s="9">
        <f>(1-$J$65-$J$67)*$J$50</f>
        <v/>
      </c>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row>
    <row r="69">
      <c r="A69" s="9" t="n"/>
      <c r="B69" s="9" t="n"/>
      <c r="C69" s="9" t="n"/>
      <c r="D69" s="9" t="inlineStr">
        <is>
          <t>Type share, transport: P5 pure private</t>
        </is>
      </c>
      <c r="E69" s="9" t="inlineStr">
        <is>
          <t>share</t>
        </is>
      </c>
      <c r="F69" s="9" t="inlineStr">
        <is>
          <t>Data / Inputs</t>
        </is>
      </c>
      <c r="G69" s="18" t="inlineStr">
        <is>
          <t>(1-ty_trn_p1-ty_trn_p3)*(1-ty_m)</t>
        </is>
      </c>
      <c r="H69" s="18" t="inlineStr">
        <is>
          <t>mit.sc.ty_trn_p5</t>
        </is>
      </c>
      <c r="I69" s="9" t="n"/>
      <c r="J69" s="9">
        <f>(1-$J$65-$J$67)*(1-$J$50)</f>
        <v/>
      </c>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row>
    <row r="70">
      <c r="A70" s="9" t="n"/>
      <c r="B70" s="9" t="n"/>
      <c r="C70" s="9" t="n"/>
      <c r="D70" s="9" t="inlineStr">
        <is>
          <t>Type share, buildings: P1 pure public</t>
        </is>
      </c>
      <c r="E70" s="9" t="inlineStr">
        <is>
          <t>share</t>
        </is>
      </c>
      <c r="F70" s="9" t="inlineStr">
        <is>
          <t>Data / Inputs</t>
        </is>
      </c>
      <c r="G70" s="18" t="inlineStr">
        <is>
          <t>CHOOSE(inc,{ty_b1_lic},{ty_b1_lmic},{ty_b1_umic},{ty_b1_hic}</t>
        </is>
      </c>
      <c r="H70" s="18" t="inlineStr">
        <is>
          <t>mit.sc.ty_bld_p1</t>
        </is>
      </c>
      <c r="I70" s="9" t="n"/>
      <c r="J70" s="9">
        <f>CHOOSE($J$6,p_ty_b1_lic,p_ty_b1_lmic,p_ty_b1_umic,p_ty_b1_hic)</f>
        <v/>
      </c>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row>
    <row r="71">
      <c r="A71" s="9" t="n"/>
      <c r="B71" s="9" t="n"/>
      <c r="C71" s="9" t="n"/>
      <c r="D71" s="9" t="inlineStr">
        <is>
          <t>Type share, buildings: P2 regulated utility</t>
        </is>
      </c>
      <c r="E71" s="9" t="inlineStr">
        <is>
          <t>share</t>
        </is>
      </c>
      <c r="F71" s="9" t="inlineStr">
        <is>
          <t>Data / Inputs</t>
        </is>
      </c>
      <c r="G71" s="18" t="inlineStr">
        <is>
          <t>0</t>
        </is>
      </c>
      <c r="H71" s="18" t="inlineStr">
        <is>
          <t>mit.sc.ty_bld_p2</t>
        </is>
      </c>
      <c r="I71" s="9" t="n"/>
      <c r="J71" s="9">
        <f>0</f>
        <v/>
      </c>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row>
    <row r="72">
      <c r="A72" s="9" t="n"/>
      <c r="B72" s="9" t="n"/>
      <c r="C72" s="9" t="n"/>
      <c r="D72" s="9" t="inlineStr">
        <is>
          <t>Type share, buildings: P3 contracted revenue</t>
        </is>
      </c>
      <c r="E72" s="9" t="inlineStr">
        <is>
          <t>share</t>
        </is>
      </c>
      <c r="F72" s="9" t="inlineStr">
        <is>
          <t>Data / Inputs</t>
        </is>
      </c>
      <c r="G72" s="18" t="inlineStr">
        <is>
          <t>0</t>
        </is>
      </c>
      <c r="H72" s="18" t="inlineStr">
        <is>
          <t>mit.sc.ty_bld_p3</t>
        </is>
      </c>
      <c r="I72" s="9" t="n"/>
      <c r="J72" s="9">
        <f>0</f>
        <v/>
      </c>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row>
    <row r="73">
      <c r="A73" s="9" t="n"/>
      <c r="B73" s="9" t="n"/>
      <c r="C73" s="9" t="n"/>
      <c r="D73" s="9" t="inlineStr">
        <is>
          <t>Type share, buildings: P4 viability gap</t>
        </is>
      </c>
      <c r="E73" s="9" t="inlineStr">
        <is>
          <t>share</t>
        </is>
      </c>
      <c r="F73" s="9" t="inlineStr">
        <is>
          <t>Data / Inputs</t>
        </is>
      </c>
      <c r="G73" s="18" t="inlineStr">
        <is>
          <t>(1-ty_bld_p1)*ty_m</t>
        </is>
      </c>
      <c r="H73" s="18" t="inlineStr">
        <is>
          <t>mit.sc.ty_bld_p4</t>
        </is>
      </c>
      <c r="I73" s="9" t="n"/>
      <c r="J73" s="9">
        <f>(1-$J$70)*$J$50</f>
        <v/>
      </c>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row>
    <row r="74">
      <c r="A74" s="9" t="n"/>
      <c r="B74" s="9" t="n"/>
      <c r="C74" s="9" t="n"/>
      <c r="D74" s="9" t="inlineStr">
        <is>
          <t>Type share, buildings: P5 pure private</t>
        </is>
      </c>
      <c r="E74" s="9" t="inlineStr">
        <is>
          <t>share</t>
        </is>
      </c>
      <c r="F74" s="9" t="inlineStr">
        <is>
          <t>Data / Inputs</t>
        </is>
      </c>
      <c r="G74" s="18" t="inlineStr">
        <is>
          <t>(1-ty_bld_p1)*(1-ty_m)</t>
        </is>
      </c>
      <c r="H74" s="18" t="inlineStr">
        <is>
          <t>mit.sc.ty_bld_p5</t>
        </is>
      </c>
      <c r="I74" s="9" t="n"/>
      <c r="J74" s="9">
        <f>(1-$J$70)*(1-$J$50)</f>
        <v/>
      </c>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row>
    <row r="75">
      <c r="A75" s="9" t="n"/>
      <c r="B75" s="9" t="n"/>
      <c r="C75" s="9" t="n"/>
      <c r="D75" s="9" t="inlineStr">
        <is>
          <t>Type share, industrial fuel switch: P4 viability gap (rest P5)</t>
        </is>
      </c>
      <c r="E75" s="9" t="inlineStr">
        <is>
          <t>share</t>
        </is>
      </c>
      <c r="F75" s="9" t="inlineStr">
        <is>
          <t>Data / Inputs</t>
        </is>
      </c>
      <c r="G75" s="18" t="inlineStr">
        <is>
          <t>MIN(1,{ty_i4}+(1-{ty_i4})*ty_m)</t>
        </is>
      </c>
      <c r="H75" s="18" t="inlineStr">
        <is>
          <t>mit.sc.ty_ih_p4</t>
        </is>
      </c>
      <c r="I75" s="9" t="n"/>
      <c r="J75" s="9">
        <f>MIN(1,p_ty_i4+(1-p_ty_i4)*$J$50)</f>
        <v/>
      </c>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row>
    <row r="76">
      <c r="A76" s="9" t="n"/>
      <c r="B76" s="9" t="n"/>
      <c r="C76" s="9" t="n"/>
      <c r="D76" s="9" t="inlineStr">
        <is>
          <t>Type share, non-CO2: P1 pure public</t>
        </is>
      </c>
      <c r="E76" s="9" t="inlineStr">
        <is>
          <t>share</t>
        </is>
      </c>
      <c r="F76" s="9" t="inlineStr">
        <is>
          <t>Data / Inputs</t>
        </is>
      </c>
      <c r="G76" s="18" t="inlineStr">
        <is>
          <t>CHOOSE(inc,{ty_n1_lic},{ty_n1_lmic},{ty_n1_umic},{ty_n1_hic}</t>
        </is>
      </c>
      <c r="H76" s="18" t="inlineStr">
        <is>
          <t>mit.sc.ty_nc_p1</t>
        </is>
      </c>
      <c r="I76" s="9" t="n"/>
      <c r="J76" s="9">
        <f>CHOOSE($J$6,p_ty_n1_lic,p_ty_n1_lmic,p_ty_n1_umic,p_ty_n1_hic)</f>
        <v/>
      </c>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row>
    <row r="77">
      <c r="A77" s="9" t="n"/>
      <c r="B77" s="9" t="n"/>
      <c r="C77" s="9" t="n"/>
      <c r="D77" s="9" t="inlineStr">
        <is>
          <t>Type share, non-CO2: P5 pure private (rest P4)</t>
        </is>
      </c>
      <c r="E77" s="9" t="inlineStr">
        <is>
          <t>share</t>
        </is>
      </c>
      <c r="F77" s="9" t="inlineStr">
        <is>
          <t>Data / Inputs</t>
        </is>
      </c>
      <c r="G77" s="18" t="inlineStr">
        <is>
          <t>{ty_n5}*(1-ty_m)</t>
        </is>
      </c>
      <c r="H77" s="18" t="inlineStr">
        <is>
          <t>mit.sc.ty_nc_p5</t>
        </is>
      </c>
      <c r="I77" s="9" t="n"/>
      <c r="J77" s="9">
        <f>p_ty_n5*(1-$J$50)</f>
        <v/>
      </c>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row>
    <row r="78">
      <c r="A78" s="9" t="n"/>
      <c r="B78" s="9" t="n"/>
      <c r="C78" s="9" t="n"/>
      <c r="D78" s="9" t="inlineStr">
        <is>
          <t>Type share, land use: P1 pure public (rest P4)</t>
        </is>
      </c>
      <c r="E78" s="9" t="inlineStr">
        <is>
          <t>share</t>
        </is>
      </c>
      <c r="F78" s="9" t="inlineStr">
        <is>
          <t>Data / Inputs</t>
        </is>
      </c>
      <c r="G78" s="18" t="inlineStr">
        <is>
          <t>CHOOSE(inc,{ty_l1_lic},{ty_l1_lmic},{ty_l1_umic},{ty_l1_hic}</t>
        </is>
      </c>
      <c r="H78" s="18" t="inlineStr">
        <is>
          <t>mit.sc.ty_lu_p1</t>
        </is>
      </c>
      <c r="I78" s="9" t="n"/>
      <c r="J78" s="9">
        <f>CHOOSE($J$6,p_ty_l1_lic,p_ty_l1_lmic,p_ty_l1_umic,p_ty_l1_hic)</f>
        <v/>
      </c>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row>
    <row r="79">
      <c r="A79" s="9" t="n"/>
      <c r="B79" s="9" t="n"/>
      <c r="C79" s="9" t="n"/>
      <c r="D79" s="9" t="inlineStr">
        <is>
          <t>Type share, unmodelled clean investment: P1</t>
        </is>
      </c>
      <c r="E79" s="9" t="inlineStr">
        <is>
          <t>share</t>
        </is>
      </c>
      <c r="F79" s="9" t="inlineStr">
        <is>
          <t>Data / Inputs</t>
        </is>
      </c>
      <c r="G79" s="18" t="inlineStr">
        <is>
          <t>{ty_cal_pow}*ty_gen_p1+(1-{ty_cal_pow})*ty_bld_p1</t>
        </is>
      </c>
      <c r="H79" s="18" t="inlineStr">
        <is>
          <t>mit.sc.ty_cal_p1</t>
        </is>
      </c>
      <c r="I79" s="9" t="n"/>
      <c r="J79" s="9">
        <f>p_ty_cal_pow*$J$54+(1-p_ty_cal_pow)*$J$70</f>
        <v/>
      </c>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row>
    <row r="80">
      <c r="A80" s="9" t="n"/>
      <c r="B80" s="9" t="n"/>
      <c r="C80" s="9" t="n"/>
      <c r="D80" s="9" t="inlineStr">
        <is>
          <t>Type share, unmodelled clean investment: P2</t>
        </is>
      </c>
      <c r="E80" s="9" t="inlineStr">
        <is>
          <t>share</t>
        </is>
      </c>
      <c r="F80" s="9" t="inlineStr">
        <is>
          <t>Data / Inputs</t>
        </is>
      </c>
      <c r="G80" s="18" t="inlineStr">
        <is>
          <t>{ty_cal_pow}*ty_gen_p2+(1-{ty_cal_pow})*ty_bld_p2</t>
        </is>
      </c>
      <c r="H80" s="18" t="inlineStr">
        <is>
          <t>mit.sc.ty_cal_p2</t>
        </is>
      </c>
      <c r="I80" s="9" t="n"/>
      <c r="J80" s="9">
        <f>p_ty_cal_pow*$J$55+(1-p_ty_cal_pow)*$J$71</f>
        <v/>
      </c>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row>
    <row r="81">
      <c r="A81" s="9" t="n"/>
      <c r="B81" s="9" t="n"/>
      <c r="C81" s="9" t="n"/>
      <c r="D81" s="9" t="inlineStr">
        <is>
          <t>Type share, unmodelled clean investment: P3</t>
        </is>
      </c>
      <c r="E81" s="9" t="inlineStr">
        <is>
          <t>share</t>
        </is>
      </c>
      <c r="F81" s="9" t="inlineStr">
        <is>
          <t>Data / Inputs</t>
        </is>
      </c>
      <c r="G81" s="18" t="inlineStr">
        <is>
          <t>{ty_cal_pow}*ty_gen_p3+(1-{ty_cal_pow})*ty_bld_p3</t>
        </is>
      </c>
      <c r="H81" s="18" t="inlineStr">
        <is>
          <t>mit.sc.ty_cal_p3</t>
        </is>
      </c>
      <c r="I81" s="9" t="n"/>
      <c r="J81" s="9">
        <f>p_ty_cal_pow*$J$56+(1-p_ty_cal_pow)*$J$72</f>
        <v/>
      </c>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row>
    <row r="82">
      <c r="A82" s="9" t="n"/>
      <c r="B82" s="9" t="n"/>
      <c r="C82" s="9" t="n"/>
      <c r="D82" s="9" t="inlineStr">
        <is>
          <t>Type share, unmodelled clean investment: P4</t>
        </is>
      </c>
      <c r="E82" s="9" t="inlineStr">
        <is>
          <t>share</t>
        </is>
      </c>
      <c r="F82" s="9" t="inlineStr">
        <is>
          <t>Data / Inputs</t>
        </is>
      </c>
      <c r="G82" s="18" t="inlineStr">
        <is>
          <t>{ty_cal_pow}*ty_gen_p4+(1-{ty_cal_pow})*ty_bld_p4</t>
        </is>
      </c>
      <c r="H82" s="18" t="inlineStr">
        <is>
          <t>mit.sc.ty_cal_p4</t>
        </is>
      </c>
      <c r="I82" s="9" t="n"/>
      <c r="J82" s="9">
        <f>p_ty_cal_pow*$J$57+(1-p_ty_cal_pow)*$J$73</f>
        <v/>
      </c>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row>
    <row r="83">
      <c r="A83" s="9" t="n"/>
      <c r="B83" s="9" t="n"/>
      <c r="C83" s="9" t="n"/>
      <c r="D83" s="9" t="inlineStr">
        <is>
          <t>Type share, unmodelled clean investment: P5</t>
        </is>
      </c>
      <c r="E83" s="9" t="inlineStr">
        <is>
          <t>share</t>
        </is>
      </c>
      <c r="F83" s="9" t="inlineStr">
        <is>
          <t>Data / Inputs</t>
        </is>
      </c>
      <c r="G83" s="18" t="inlineStr">
        <is>
          <t>{ty_cal_pow}*ty_gen_p5+(1-{ty_cal_pow})*ty_bld_p5</t>
        </is>
      </c>
      <c r="H83" s="18" t="inlineStr">
        <is>
          <t>mit.sc.ty_cal_p5</t>
        </is>
      </c>
      <c r="I83" s="9" t="n"/>
      <c r="J83" s="9">
        <f>p_ty_cal_pow*$J$58+(1-p_ty_cal_pow)*$J$74</f>
        <v/>
      </c>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row>
    <row r="84">
      <c r="A84" s="12" t="inlineStr">
        <is>
          <t>2. Macro</t>
        </is>
      </c>
      <c r="B84" s="13" t="n"/>
      <c r="C84" s="13" t="n"/>
      <c r="D84" s="13" t="n"/>
      <c r="E84" s="13" t="n"/>
      <c r="F84" s="13" t="n"/>
      <c r="G84" s="13" t="n"/>
      <c r="H84" s="13" t="n"/>
      <c r="I84" s="13" t="n"/>
      <c r="J84" s="13"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row>
    <row r="85">
      <c r="A85" s="9" t="n">
        <v>2</v>
      </c>
      <c r="B85" s="9" t="inlineStr"/>
      <c r="C85" s="9" t="inlineStr"/>
      <c r="D85" s="9" t="inlineStr">
        <is>
          <t>Real GDP growth</t>
        </is>
      </c>
      <c r="E85" s="9" t="inlineStr">
        <is>
          <t>%</t>
        </is>
      </c>
      <c r="F85" s="9" t="inlineStr">
        <is>
          <t>Model</t>
        </is>
      </c>
      <c r="G85" s="18" t="n"/>
      <c r="H85" s="18" t="inlineStr">
        <is>
          <t>mit.gdp.gr</t>
        </is>
      </c>
      <c r="I85" s="9" t="n"/>
      <c r="J85" s="9" t="n"/>
      <c r="K85" s="17" t="n"/>
      <c r="L85" s="17" t="n"/>
      <c r="M85" s="17" t="n"/>
      <c r="N85" s="19">
        <f>0</f>
        <v/>
      </c>
      <c r="O85" s="17">
        <f>IF(O$1=2025,$J$8,IF(O$1=2026,$J$9,IF(O$1&lt;p_g_conv_year,$J$9+($J$10-$J$9)*(O$1-2026)/(p_g_conv_year-2026),$J$10)))</f>
        <v/>
      </c>
      <c r="P85" s="17">
        <f>IF(P$1=2025,$J$8,IF(P$1=2026,$J$9,IF(P$1&lt;p_g_conv_year,$J$9+($J$10-$J$9)*(P$1-2026)/(p_g_conv_year-2026),$J$10)))</f>
        <v/>
      </c>
      <c r="Q85" s="17">
        <f>IF(Q$1=2025,$J$8,IF(Q$1=2026,$J$9,IF(Q$1&lt;p_g_conv_year,$J$9+($J$10-$J$9)*(Q$1-2026)/(p_g_conv_year-2026),$J$10)))</f>
        <v/>
      </c>
      <c r="R85" s="17">
        <f>IF(R$1=2025,$J$8,IF(R$1=2026,$J$9,IF(R$1&lt;p_g_conv_year,$J$9+($J$10-$J$9)*(R$1-2026)/(p_g_conv_year-2026),$J$10)))</f>
        <v/>
      </c>
      <c r="S85" s="17">
        <f>IF(S$1=2025,$J$8,IF(S$1=2026,$J$9,IF(S$1&lt;p_g_conv_year,$J$9+($J$10-$J$9)*(S$1-2026)/(p_g_conv_year-2026),$J$10)))</f>
        <v/>
      </c>
      <c r="T85" s="17">
        <f>IF(T$1=2025,$J$8,IF(T$1=2026,$J$9,IF(T$1&lt;p_g_conv_year,$J$9+($J$10-$J$9)*(T$1-2026)/(p_g_conv_year-2026),$J$10)))</f>
        <v/>
      </c>
      <c r="U85" s="17">
        <f>IF(U$1=2025,$J$8,IF(U$1=2026,$J$9,IF(U$1&lt;p_g_conv_year,$J$9+($J$10-$J$9)*(U$1-2026)/(p_g_conv_year-2026),$J$10)))</f>
        <v/>
      </c>
      <c r="V85" s="17">
        <f>IF(V$1=2025,$J$8,IF(V$1=2026,$J$9,IF(V$1&lt;p_g_conv_year,$J$9+($J$10-$J$9)*(V$1-2026)/(p_g_conv_year-2026),$J$10)))</f>
        <v/>
      </c>
      <c r="W85" s="17">
        <f>IF(W$1=2025,$J$8,IF(W$1=2026,$J$9,IF(W$1&lt;p_g_conv_year,$J$9+($J$10-$J$9)*(W$1-2026)/(p_g_conv_year-2026),$J$10)))</f>
        <v/>
      </c>
      <c r="X85" s="17">
        <f>IF(X$1=2025,$J$8,IF(X$1=2026,$J$9,IF(X$1&lt;p_g_conv_year,$J$9+($J$10-$J$9)*(X$1-2026)/(p_g_conv_year-2026),$J$10)))</f>
        <v/>
      </c>
      <c r="Y85" s="17">
        <f>IF(Y$1=2025,$J$8,IF(Y$1=2026,$J$9,IF(Y$1&lt;p_g_conv_year,$J$9+($J$10-$J$9)*(Y$1-2026)/(p_g_conv_year-2026),$J$10)))</f>
        <v/>
      </c>
      <c r="Z85" s="17">
        <f>IF(Z$1=2025,$J$8,IF(Z$1=2026,$J$9,IF(Z$1&lt;p_g_conv_year,$J$9+($J$10-$J$9)*(Z$1-2026)/(p_g_conv_year-2026),$J$10)))</f>
        <v/>
      </c>
      <c r="AA85" s="17">
        <f>IF(AA$1=2025,$J$8,IF(AA$1=2026,$J$9,IF(AA$1&lt;p_g_conv_year,$J$9+($J$10-$J$9)*(AA$1-2026)/(p_g_conv_year-2026),$J$10)))</f>
        <v/>
      </c>
      <c r="AB85" s="17">
        <f>IF(AB$1=2025,$J$8,IF(AB$1=2026,$J$9,IF(AB$1&lt;p_g_conv_year,$J$9+($J$10-$J$9)*(AB$1-2026)/(p_g_conv_year-2026),$J$10)))</f>
        <v/>
      </c>
      <c r="AC85" s="17">
        <f>IF(AC$1=2025,$J$8,IF(AC$1=2026,$J$9,IF(AC$1&lt;p_g_conv_year,$J$9+($J$10-$J$9)*(AC$1-2026)/(p_g_conv_year-2026),$J$10)))</f>
        <v/>
      </c>
      <c r="AD85" s="17">
        <f>IF(AD$1=2025,$J$8,IF(AD$1=2026,$J$9,IF(AD$1&lt;p_g_conv_year,$J$9+($J$10-$J$9)*(AD$1-2026)/(p_g_conv_year-2026),$J$10)))</f>
        <v/>
      </c>
      <c r="AE85" s="17">
        <f>IF(AE$1=2025,$J$8,IF(AE$1=2026,$J$9,IF(AE$1&lt;p_g_conv_year,$J$9+($J$10-$J$9)*(AE$1-2026)/(p_g_conv_year-2026),$J$10)))</f>
        <v/>
      </c>
      <c r="AF85" s="17">
        <f>IF(AF$1=2025,$J$8,IF(AF$1=2026,$J$9,IF(AF$1&lt;p_g_conv_year,$J$9+($J$10-$J$9)*(AF$1-2026)/(p_g_conv_year-2026),$J$10)))</f>
        <v/>
      </c>
      <c r="AG85" s="17">
        <f>IF(AG$1=2025,$J$8,IF(AG$1=2026,$J$9,IF(AG$1&lt;p_g_conv_year,$J$9+($J$10-$J$9)*(AG$1-2026)/(p_g_conv_year-2026),$J$10)))</f>
        <v/>
      </c>
      <c r="AH85" s="17">
        <f>IF(AH$1=2025,$J$8,IF(AH$1=2026,$J$9,IF(AH$1&lt;p_g_conv_year,$J$9+($J$10-$J$9)*(AH$1-2026)/(p_g_conv_year-2026),$J$10)))</f>
        <v/>
      </c>
      <c r="AI85" s="17">
        <f>IF(AI$1=2025,$J$8,IF(AI$1=2026,$J$9,IF(AI$1&lt;p_g_conv_year,$J$9+($J$10-$J$9)*(AI$1-2026)/(p_g_conv_year-2026),$J$10)))</f>
        <v/>
      </c>
      <c r="AJ85" s="17">
        <f>IF(AJ$1=2025,$J$8,IF(AJ$1=2026,$J$9,IF(AJ$1&lt;p_g_conv_year,$J$9+($J$10-$J$9)*(AJ$1-2026)/(p_g_conv_year-2026),$J$10)))</f>
        <v/>
      </c>
      <c r="AK85" s="17">
        <f>IF(AK$1=2025,$J$8,IF(AK$1=2026,$J$9,IF(AK$1&lt;p_g_conv_year,$J$9+($J$10-$J$9)*(AK$1-2026)/(p_g_conv_year-2026),$J$10)))</f>
        <v/>
      </c>
      <c r="AL85" s="17">
        <f>IF(AL$1=2025,$J$8,IF(AL$1=2026,$J$9,IF(AL$1&lt;p_g_conv_year,$J$9+($J$10-$J$9)*(AL$1-2026)/(p_g_conv_year-2026),$J$10)))</f>
        <v/>
      </c>
      <c r="AM85" s="17">
        <f>IF(AM$1=2025,$J$8,IF(AM$1=2026,$J$9,IF(AM$1&lt;p_g_conv_year,$J$9+($J$10-$J$9)*(AM$1-2026)/(p_g_conv_year-2026),$J$10)))</f>
        <v/>
      </c>
      <c r="AN85" s="17">
        <f>IF(AN$1=2025,$J$8,IF(AN$1=2026,$J$9,IF(AN$1&lt;p_g_conv_year,$J$9+($J$10-$J$9)*(AN$1-2026)/(p_g_conv_year-2026),$J$10)))</f>
        <v/>
      </c>
    </row>
    <row r="86">
      <c r="A86" s="9" t="n">
        <v>2</v>
      </c>
      <c r="B86" s="9" t="inlineStr"/>
      <c r="C86" s="9" t="inlineStr"/>
      <c r="D86" s="9" t="inlineStr">
        <is>
          <t>Real GDP (2024 prices)</t>
        </is>
      </c>
      <c r="E86" s="9" t="inlineStr">
        <is>
          <t>USD bn</t>
        </is>
      </c>
      <c r="F86" s="9" t="inlineStr">
        <is>
          <t>Model</t>
        </is>
      </c>
      <c r="G86" s="18" t="n"/>
      <c r="H86" s="18" t="inlineStr">
        <is>
          <t>mit.gdp.lvl</t>
        </is>
      </c>
      <c r="I86" s="9" t="n"/>
      <c r="J86" s="9" t="n"/>
      <c r="K86" s="17" t="n"/>
      <c r="L86" s="17" t="n"/>
      <c r="M86" s="17" t="n"/>
      <c r="N86" s="19">
        <f>$J$7</f>
        <v/>
      </c>
      <c r="O86" s="17">
        <f>N86*(1+O85/100)</f>
        <v/>
      </c>
      <c r="P86" s="17">
        <f>O86*(1+P85/100)</f>
        <v/>
      </c>
      <c r="Q86" s="17">
        <f>P86*(1+Q85/100)</f>
        <v/>
      </c>
      <c r="R86" s="17">
        <f>Q86*(1+R85/100)</f>
        <v/>
      </c>
      <c r="S86" s="17">
        <f>R86*(1+S85/100)</f>
        <v/>
      </c>
      <c r="T86" s="17">
        <f>S86*(1+T85/100)</f>
        <v/>
      </c>
      <c r="U86" s="17">
        <f>T86*(1+U85/100)</f>
        <v/>
      </c>
      <c r="V86" s="17">
        <f>U86*(1+V85/100)</f>
        <v/>
      </c>
      <c r="W86" s="17">
        <f>V86*(1+W85/100)</f>
        <v/>
      </c>
      <c r="X86" s="17">
        <f>W86*(1+X85/100)</f>
        <v/>
      </c>
      <c r="Y86" s="17">
        <f>X86*(1+Y85/100)</f>
        <v/>
      </c>
      <c r="Z86" s="17">
        <f>Y86*(1+Z85/100)</f>
        <v/>
      </c>
      <c r="AA86" s="17">
        <f>Z86*(1+AA85/100)</f>
        <v/>
      </c>
      <c r="AB86" s="17">
        <f>AA86*(1+AB85/100)</f>
        <v/>
      </c>
      <c r="AC86" s="17">
        <f>AB86*(1+AC85/100)</f>
        <v/>
      </c>
      <c r="AD86" s="17">
        <f>AC86*(1+AD85/100)</f>
        <v/>
      </c>
      <c r="AE86" s="17">
        <f>AD86*(1+AE85/100)</f>
        <v/>
      </c>
      <c r="AF86" s="17">
        <f>AE86*(1+AF85/100)</f>
        <v/>
      </c>
      <c r="AG86" s="17">
        <f>AF86*(1+AG85/100)</f>
        <v/>
      </c>
      <c r="AH86" s="17">
        <f>AG86*(1+AH85/100)</f>
        <v/>
      </c>
      <c r="AI86" s="17">
        <f>AH86*(1+AI85/100)</f>
        <v/>
      </c>
      <c r="AJ86" s="17">
        <f>AI86*(1+AJ85/100)</f>
        <v/>
      </c>
      <c r="AK86" s="17">
        <f>AJ86*(1+AK85/100)</f>
        <v/>
      </c>
      <c r="AL86" s="17">
        <f>AK86*(1+AL85/100)</f>
        <v/>
      </c>
      <c r="AM86" s="17">
        <f>AL86*(1+AM85/100)</f>
        <v/>
      </c>
      <c r="AN86" s="17">
        <f>AM86*(1+AN85/100)</f>
        <v/>
      </c>
    </row>
    <row r="87">
      <c r="A87" s="12" t="inlineStr">
        <is>
          <t>3. Activity (baseline end use, CPAT equation, prices fixed real)</t>
        </is>
      </c>
      <c r="B87" s="13" t="n"/>
      <c r="C87" s="13" t="n"/>
      <c r="D87" s="13" t="n"/>
      <c r="E87" s="13" t="n"/>
      <c r="F87" s="13" t="n"/>
      <c r="G87" s="13" t="n"/>
      <c r="H87" s="13" t="n"/>
      <c r="I87" s="13" t="n"/>
      <c r="J87" s="13"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c r="AE87" s="16" t="n"/>
      <c r="AF87" s="16" t="n"/>
      <c r="AG87" s="16" t="n"/>
      <c r="AH87" s="16" t="n"/>
      <c r="AI87" s="16" t="n"/>
      <c r="AJ87" s="16" t="n"/>
      <c r="AK87" s="16" t="n"/>
      <c r="AL87" s="16" t="n"/>
      <c r="AM87" s="16" t="n"/>
      <c r="AN87" s="16" t="n"/>
    </row>
    <row r="88">
      <c r="A88" s="9" t="n">
        <v>3</v>
      </c>
      <c r="B88" s="9" t="inlineStr">
        <is>
          <t>gso</t>
        </is>
      </c>
      <c r="C88" s="9" t="inlineStr">
        <is>
          <t>rod</t>
        </is>
      </c>
      <c r="D88" s="9" t="inlineStr">
        <is>
          <t>Energy service demand (ICE-equivalent fuel)</t>
        </is>
      </c>
      <c r="E88" s="9" t="inlineStr">
        <is>
          <t>PJ</t>
        </is>
      </c>
      <c r="F88" s="9" t="inlineStr">
        <is>
          <t>CPAT data</t>
        </is>
      </c>
      <c r="G88" s="18" t="n"/>
      <c r="H88" s="18" t="inlineStr">
        <is>
          <t>mit.act.gso.rod</t>
        </is>
      </c>
      <c r="I88" s="9" t="n"/>
      <c r="J88" s="9" t="n"/>
      <c r="K88" s="17">
        <f>INDEX(Data!$BC:$BC,$J$4)</f>
        <v/>
      </c>
      <c r="L88" s="17">
        <f>INDEX(Data!$BD:$BD,$J$4)</f>
        <v/>
      </c>
      <c r="M88" s="17">
        <f>INDEX(Data!$BE:$BE,$J$4)</f>
        <v/>
      </c>
      <c r="N88" s="19">
        <f>INDEX(Data!$BB:$BB,$J$4)/(1-$J$19)</f>
        <v/>
      </c>
      <c r="O88" s="17">
        <f>N88*(1+O85/100)^INDEX(Data!$CY:$CY,$J$4)/(1+INDEX(Data!$H:$H,$J$4))</f>
        <v/>
      </c>
      <c r="P88" s="17">
        <f>O88*(1+P85/100)^INDEX(Data!$CY:$CY,$J$4)/(1+INDEX(Data!$H:$H,$J$4))</f>
        <v/>
      </c>
      <c r="Q88" s="17">
        <f>P88*(1+Q85/100)^INDEX(Data!$CY:$CY,$J$4)/(1+INDEX(Data!$H:$H,$J$4))</f>
        <v/>
      </c>
      <c r="R88" s="17">
        <f>Q88*(1+R85/100)^INDEX(Data!$CY:$CY,$J$4)/(1+INDEX(Data!$H:$H,$J$4))</f>
        <v/>
      </c>
      <c r="S88" s="17">
        <f>R88*(1+S85/100)^INDEX(Data!$CY:$CY,$J$4)/(1+INDEX(Data!$H:$H,$J$4))</f>
        <v/>
      </c>
      <c r="T88" s="17">
        <f>S88*(1+T85/100)^INDEX(Data!$CY:$CY,$J$4)/(1+INDEX(Data!$H:$H,$J$4))</f>
        <v/>
      </c>
      <c r="U88" s="17">
        <f>T88*(1+U85/100)^INDEX(Data!$CY:$CY,$J$4)/(1+INDEX(Data!$H:$H,$J$4))</f>
        <v/>
      </c>
      <c r="V88" s="17">
        <f>U88*(1+V85/100)^INDEX(Data!$CY:$CY,$J$4)/(1+INDEX(Data!$H:$H,$J$4))</f>
        <v/>
      </c>
      <c r="W88" s="17">
        <f>V88*(1+W85/100)^INDEX(Data!$CY:$CY,$J$4)/(1+INDEX(Data!$H:$H,$J$4))</f>
        <v/>
      </c>
      <c r="X88" s="17">
        <f>W88*(1+X85/100)^INDEX(Data!$CY:$CY,$J$4)/(1+INDEX(Data!$H:$H,$J$4))</f>
        <v/>
      </c>
      <c r="Y88" s="17">
        <f>X88*(1+Y85/100)^INDEX(Data!$CY:$CY,$J$4)/(1+INDEX(Data!$H:$H,$J$4))</f>
        <v/>
      </c>
      <c r="Z88" s="17">
        <f>Y88*(1+Z85/100)^INDEX(Data!$CY:$CY,$J$4)/(1+INDEX(Data!$H:$H,$J$4))</f>
        <v/>
      </c>
      <c r="AA88" s="17">
        <f>Z88*(1+AA85/100)^INDEX(Data!$CY:$CY,$J$4)/(1+INDEX(Data!$H:$H,$J$4))</f>
        <v/>
      </c>
      <c r="AB88" s="17">
        <f>AA88*(1+AB85/100)^INDEX(Data!$CY:$CY,$J$4)/(1+INDEX(Data!$H:$H,$J$4))</f>
        <v/>
      </c>
      <c r="AC88" s="17">
        <f>AB88*(1+AC85/100)^INDEX(Data!$CY:$CY,$J$4)/(1+INDEX(Data!$H:$H,$J$4))</f>
        <v/>
      </c>
      <c r="AD88" s="17">
        <f>AC88*(1+AD85/100)^INDEX(Data!$CY:$CY,$J$4)/(1+INDEX(Data!$H:$H,$J$4))</f>
        <v/>
      </c>
      <c r="AE88" s="17">
        <f>AD88*(1+AE85/100)^INDEX(Data!$CY:$CY,$J$4)/(1+INDEX(Data!$H:$H,$J$4))</f>
        <v/>
      </c>
      <c r="AF88" s="17">
        <f>AE88*(1+AF85/100)^INDEX(Data!$CY:$CY,$J$4)/(1+INDEX(Data!$H:$H,$J$4))</f>
        <v/>
      </c>
      <c r="AG88" s="17">
        <f>AF88*(1+AG85/100)^INDEX(Data!$CY:$CY,$J$4)/(1+INDEX(Data!$H:$H,$J$4))</f>
        <v/>
      </c>
      <c r="AH88" s="17">
        <f>AG88*(1+AH85/100)^INDEX(Data!$CY:$CY,$J$4)/(1+INDEX(Data!$H:$H,$J$4))</f>
        <v/>
      </c>
      <c r="AI88" s="17">
        <f>AH88*(1+AI85/100)^INDEX(Data!$CY:$CY,$J$4)/(1+INDEX(Data!$H:$H,$J$4))</f>
        <v/>
      </c>
      <c r="AJ88" s="17">
        <f>AI88*(1+AJ85/100)^INDEX(Data!$CY:$CY,$J$4)/(1+INDEX(Data!$H:$H,$J$4))</f>
        <v/>
      </c>
      <c r="AK88" s="17">
        <f>AJ88*(1+AK85/100)^INDEX(Data!$CY:$CY,$J$4)/(1+INDEX(Data!$H:$H,$J$4))</f>
        <v/>
      </c>
      <c r="AL88" s="17">
        <f>AK88*(1+AL85/100)^INDEX(Data!$CY:$CY,$J$4)/(1+INDEX(Data!$H:$H,$J$4))</f>
        <v/>
      </c>
      <c r="AM88" s="17">
        <f>AL88*(1+AM85/100)^INDEX(Data!$CY:$CY,$J$4)/(1+INDEX(Data!$H:$H,$J$4))</f>
        <v/>
      </c>
      <c r="AN88" s="17">
        <f>AM88*(1+AN85/100)^INDEX(Data!$CY:$CY,$J$4)/(1+INDEX(Data!$H:$H,$J$4))</f>
        <v/>
      </c>
    </row>
    <row r="89">
      <c r="A89" s="9" t="n">
        <v>3</v>
      </c>
      <c r="B89" s="9" t="inlineStr">
        <is>
          <t>die</t>
        </is>
      </c>
      <c r="C89" s="9" t="inlineStr">
        <is>
          <t>rod</t>
        </is>
      </c>
      <c r="D89" s="9" t="inlineStr">
        <is>
          <t>Energy service demand (ICE-equivalent fuel)</t>
        </is>
      </c>
      <c r="E89" s="9" t="inlineStr">
        <is>
          <t>PJ</t>
        </is>
      </c>
      <c r="F89" s="9" t="inlineStr">
        <is>
          <t>CPAT data</t>
        </is>
      </c>
      <c r="G89" s="18" t="n"/>
      <c r="H89" s="18" t="inlineStr">
        <is>
          <t>mit.act.die.rod</t>
        </is>
      </c>
      <c r="I89" s="9" t="n"/>
      <c r="J89" s="9" t="n"/>
      <c r="K89" s="17">
        <f>INDEX(Data!$AQ:$AQ,$J$4)</f>
        <v/>
      </c>
      <c r="L89" s="17">
        <f>INDEX(Data!$AR:$AR,$J$4)</f>
        <v/>
      </c>
      <c r="M89" s="17">
        <f>INDEX(Data!$AS:$AS,$J$4)</f>
        <v/>
      </c>
      <c r="N89" s="19">
        <f>INDEX(Data!$AP:$AP,$J$4)/(1-$J$19)</f>
        <v/>
      </c>
      <c r="O89" s="17">
        <f>N89*(1+O85/100)^INDEX(Data!$CV:$CV,$J$4)/(1+INDEX(Data!$E:$E,$J$4))</f>
        <v/>
      </c>
      <c r="P89" s="17">
        <f>O89*(1+P85/100)^INDEX(Data!$CV:$CV,$J$4)/(1+INDEX(Data!$E:$E,$J$4))</f>
        <v/>
      </c>
      <c r="Q89" s="17">
        <f>P89*(1+Q85/100)^INDEX(Data!$CV:$CV,$J$4)/(1+INDEX(Data!$E:$E,$J$4))</f>
        <v/>
      </c>
      <c r="R89" s="17">
        <f>Q89*(1+R85/100)^INDEX(Data!$CV:$CV,$J$4)/(1+INDEX(Data!$E:$E,$J$4))</f>
        <v/>
      </c>
      <c r="S89" s="17">
        <f>R89*(1+S85/100)^INDEX(Data!$CV:$CV,$J$4)/(1+INDEX(Data!$E:$E,$J$4))</f>
        <v/>
      </c>
      <c r="T89" s="17">
        <f>S89*(1+T85/100)^INDEX(Data!$CV:$CV,$J$4)/(1+INDEX(Data!$E:$E,$J$4))</f>
        <v/>
      </c>
      <c r="U89" s="17">
        <f>T89*(1+U85/100)^INDEX(Data!$CV:$CV,$J$4)/(1+INDEX(Data!$E:$E,$J$4))</f>
        <v/>
      </c>
      <c r="V89" s="17">
        <f>U89*(1+V85/100)^INDEX(Data!$CV:$CV,$J$4)/(1+INDEX(Data!$E:$E,$J$4))</f>
        <v/>
      </c>
      <c r="W89" s="17">
        <f>V89*(1+W85/100)^INDEX(Data!$CV:$CV,$J$4)/(1+INDEX(Data!$E:$E,$J$4))</f>
        <v/>
      </c>
      <c r="X89" s="17">
        <f>W89*(1+X85/100)^INDEX(Data!$CV:$CV,$J$4)/(1+INDEX(Data!$E:$E,$J$4))</f>
        <v/>
      </c>
      <c r="Y89" s="17">
        <f>X89*(1+Y85/100)^INDEX(Data!$CV:$CV,$J$4)/(1+INDEX(Data!$E:$E,$J$4))</f>
        <v/>
      </c>
      <c r="Z89" s="17">
        <f>Y89*(1+Z85/100)^INDEX(Data!$CV:$CV,$J$4)/(1+INDEX(Data!$E:$E,$J$4))</f>
        <v/>
      </c>
      <c r="AA89" s="17">
        <f>Z89*(1+AA85/100)^INDEX(Data!$CV:$CV,$J$4)/(1+INDEX(Data!$E:$E,$J$4))</f>
        <v/>
      </c>
      <c r="AB89" s="17">
        <f>AA89*(1+AB85/100)^INDEX(Data!$CV:$CV,$J$4)/(1+INDEX(Data!$E:$E,$J$4))</f>
        <v/>
      </c>
      <c r="AC89" s="17">
        <f>AB89*(1+AC85/100)^INDEX(Data!$CV:$CV,$J$4)/(1+INDEX(Data!$E:$E,$J$4))</f>
        <v/>
      </c>
      <c r="AD89" s="17">
        <f>AC89*(1+AD85/100)^INDEX(Data!$CV:$CV,$J$4)/(1+INDEX(Data!$E:$E,$J$4))</f>
        <v/>
      </c>
      <c r="AE89" s="17">
        <f>AD89*(1+AE85/100)^INDEX(Data!$CV:$CV,$J$4)/(1+INDEX(Data!$E:$E,$J$4))</f>
        <v/>
      </c>
      <c r="AF89" s="17">
        <f>AE89*(1+AF85/100)^INDEX(Data!$CV:$CV,$J$4)/(1+INDEX(Data!$E:$E,$J$4))</f>
        <v/>
      </c>
      <c r="AG89" s="17">
        <f>AF89*(1+AG85/100)^INDEX(Data!$CV:$CV,$J$4)/(1+INDEX(Data!$E:$E,$J$4))</f>
        <v/>
      </c>
      <c r="AH89" s="17">
        <f>AG89*(1+AH85/100)^INDEX(Data!$CV:$CV,$J$4)/(1+INDEX(Data!$E:$E,$J$4))</f>
        <v/>
      </c>
      <c r="AI89" s="17">
        <f>AH89*(1+AI85/100)^INDEX(Data!$CV:$CV,$J$4)/(1+INDEX(Data!$E:$E,$J$4))</f>
        <v/>
      </c>
      <c r="AJ89" s="17">
        <f>AI89*(1+AJ85/100)^INDEX(Data!$CV:$CV,$J$4)/(1+INDEX(Data!$E:$E,$J$4))</f>
        <v/>
      </c>
      <c r="AK89" s="17">
        <f>AJ89*(1+AK85/100)^INDEX(Data!$CV:$CV,$J$4)/(1+INDEX(Data!$E:$E,$J$4))</f>
        <v/>
      </c>
      <c r="AL89" s="17">
        <f>AK89*(1+AL85/100)^INDEX(Data!$CV:$CV,$J$4)/(1+INDEX(Data!$E:$E,$J$4))</f>
        <v/>
      </c>
      <c r="AM89" s="17">
        <f>AL89*(1+AM85/100)^INDEX(Data!$CV:$CV,$J$4)/(1+INDEX(Data!$E:$E,$J$4))</f>
        <v/>
      </c>
      <c r="AN89" s="17">
        <f>AM89*(1+AN85/100)^INDEX(Data!$CV:$CV,$J$4)/(1+INDEX(Data!$E:$E,$J$4))</f>
        <v/>
      </c>
    </row>
    <row r="90">
      <c r="A90" s="9" t="n">
        <v>3</v>
      </c>
      <c r="B90" s="9" t="inlineStr">
        <is>
          <t>coa</t>
        </is>
      </c>
      <c r="C90" s="9" t="inlineStr">
        <is>
          <t>res</t>
        </is>
      </c>
      <c r="D90" s="9" t="inlineStr">
        <is>
          <t>Energy service demand</t>
        </is>
      </c>
      <c r="E90" s="9" t="inlineStr">
        <is>
          <t>PJ</t>
        </is>
      </c>
      <c r="F90" s="9" t="inlineStr">
        <is>
          <t>CPAT data</t>
        </is>
      </c>
      <c r="G90" s="18" t="n"/>
      <c r="H90" s="18" t="inlineStr">
        <is>
          <t>mit.act.coa.res</t>
        </is>
      </c>
      <c r="I90" s="9" t="n"/>
      <c r="J90" s="9" t="n"/>
      <c r="K90" s="17">
        <f>INDEX(Data!$AM:$AM,$J$4)</f>
        <v/>
      </c>
      <c r="L90" s="17">
        <f>INDEX(Data!$AN:$AN,$J$4)</f>
        <v/>
      </c>
      <c r="M90" s="17">
        <f>INDEX(Data!$AO:$AO,$J$4)</f>
        <v/>
      </c>
      <c r="N90" s="19">
        <f>INDEX(Data!$AL:$AL,$J$4)</f>
        <v/>
      </c>
      <c r="O90" s="17">
        <f>N90*(1+O85/100)^INDEX(Data!$CU:$CU,$J$4)/(1+INDEX(Data!$D:$D,$J$4))</f>
        <v/>
      </c>
      <c r="P90" s="17">
        <f>O90*(1+P85/100)^INDEX(Data!$CU:$CU,$J$4)/(1+INDEX(Data!$D:$D,$J$4))</f>
        <v/>
      </c>
      <c r="Q90" s="17">
        <f>P90*(1+Q85/100)^INDEX(Data!$CU:$CU,$J$4)/(1+INDEX(Data!$D:$D,$J$4))</f>
        <v/>
      </c>
      <c r="R90" s="17">
        <f>Q90*(1+R85/100)^INDEX(Data!$CU:$CU,$J$4)/(1+INDEX(Data!$D:$D,$J$4))</f>
        <v/>
      </c>
      <c r="S90" s="17">
        <f>R90*(1+S85/100)^INDEX(Data!$CU:$CU,$J$4)/(1+INDEX(Data!$D:$D,$J$4))</f>
        <v/>
      </c>
      <c r="T90" s="17">
        <f>S90*(1+T85/100)^INDEX(Data!$CU:$CU,$J$4)/(1+INDEX(Data!$D:$D,$J$4))</f>
        <v/>
      </c>
      <c r="U90" s="17">
        <f>T90*(1+U85/100)^INDEX(Data!$CU:$CU,$J$4)/(1+INDEX(Data!$D:$D,$J$4))</f>
        <v/>
      </c>
      <c r="V90" s="17">
        <f>U90*(1+V85/100)^INDEX(Data!$CU:$CU,$J$4)/(1+INDEX(Data!$D:$D,$J$4))</f>
        <v/>
      </c>
      <c r="W90" s="17">
        <f>V90*(1+W85/100)^INDEX(Data!$CU:$CU,$J$4)/(1+INDEX(Data!$D:$D,$J$4))</f>
        <v/>
      </c>
      <c r="X90" s="17">
        <f>W90*(1+X85/100)^INDEX(Data!$CU:$CU,$J$4)/(1+INDEX(Data!$D:$D,$J$4))</f>
        <v/>
      </c>
      <c r="Y90" s="17">
        <f>X90*(1+Y85/100)^INDEX(Data!$CU:$CU,$J$4)/(1+INDEX(Data!$D:$D,$J$4))</f>
        <v/>
      </c>
      <c r="Z90" s="17">
        <f>Y90*(1+Z85/100)^INDEX(Data!$CU:$CU,$J$4)/(1+INDEX(Data!$D:$D,$J$4))</f>
        <v/>
      </c>
      <c r="AA90" s="17">
        <f>Z90*(1+AA85/100)^INDEX(Data!$CU:$CU,$J$4)/(1+INDEX(Data!$D:$D,$J$4))</f>
        <v/>
      </c>
      <c r="AB90" s="17">
        <f>AA90*(1+AB85/100)^INDEX(Data!$CU:$CU,$J$4)/(1+INDEX(Data!$D:$D,$J$4))</f>
        <v/>
      </c>
      <c r="AC90" s="17">
        <f>AB90*(1+AC85/100)^INDEX(Data!$CU:$CU,$J$4)/(1+INDEX(Data!$D:$D,$J$4))</f>
        <v/>
      </c>
      <c r="AD90" s="17">
        <f>AC90*(1+AD85/100)^INDEX(Data!$CU:$CU,$J$4)/(1+INDEX(Data!$D:$D,$J$4))</f>
        <v/>
      </c>
      <c r="AE90" s="17">
        <f>AD90*(1+AE85/100)^INDEX(Data!$CU:$CU,$J$4)/(1+INDEX(Data!$D:$D,$J$4))</f>
        <v/>
      </c>
      <c r="AF90" s="17">
        <f>AE90*(1+AF85/100)^INDEX(Data!$CU:$CU,$J$4)/(1+INDEX(Data!$D:$D,$J$4))</f>
        <v/>
      </c>
      <c r="AG90" s="17">
        <f>AF90*(1+AG85/100)^INDEX(Data!$CU:$CU,$J$4)/(1+INDEX(Data!$D:$D,$J$4))</f>
        <v/>
      </c>
      <c r="AH90" s="17">
        <f>AG90*(1+AH85/100)^INDEX(Data!$CU:$CU,$J$4)/(1+INDEX(Data!$D:$D,$J$4))</f>
        <v/>
      </c>
      <c r="AI90" s="17">
        <f>AH90*(1+AI85/100)^INDEX(Data!$CU:$CU,$J$4)/(1+INDEX(Data!$D:$D,$J$4))</f>
        <v/>
      </c>
      <c r="AJ90" s="17">
        <f>AI90*(1+AJ85/100)^INDEX(Data!$CU:$CU,$J$4)/(1+INDEX(Data!$D:$D,$J$4))</f>
        <v/>
      </c>
      <c r="AK90" s="17">
        <f>AJ90*(1+AK85/100)^INDEX(Data!$CU:$CU,$J$4)/(1+INDEX(Data!$D:$D,$J$4))</f>
        <v/>
      </c>
      <c r="AL90" s="17">
        <f>AK90*(1+AL85/100)^INDEX(Data!$CU:$CU,$J$4)/(1+INDEX(Data!$D:$D,$J$4))</f>
        <v/>
      </c>
      <c r="AM90" s="17">
        <f>AL90*(1+AM85/100)^INDEX(Data!$CU:$CU,$J$4)/(1+INDEX(Data!$D:$D,$J$4))</f>
        <v/>
      </c>
      <c r="AN90" s="17">
        <f>AM90*(1+AN85/100)^INDEX(Data!$CU:$CU,$J$4)/(1+INDEX(Data!$D:$D,$J$4))</f>
        <v/>
      </c>
    </row>
    <row r="91">
      <c r="A91" s="9" t="n">
        <v>3</v>
      </c>
      <c r="B91" s="9" t="inlineStr">
        <is>
          <t>nga</t>
        </is>
      </c>
      <c r="C91" s="9" t="inlineStr">
        <is>
          <t>res</t>
        </is>
      </c>
      <c r="D91" s="9" t="inlineStr">
        <is>
          <t>Energy service demand</t>
        </is>
      </c>
      <c r="E91" s="9" t="inlineStr">
        <is>
          <t>PJ</t>
        </is>
      </c>
      <c r="F91" s="9" t="inlineStr">
        <is>
          <t>CPAT data</t>
        </is>
      </c>
      <c r="G91" s="18" t="n"/>
      <c r="H91" s="18" t="inlineStr">
        <is>
          <t>mit.act.nga.res</t>
        </is>
      </c>
      <c r="I91" s="9" t="n"/>
      <c r="J91" s="9" t="n"/>
      <c r="K91" s="17">
        <f>INDEX(Data!$BT:$BT,$J$4)</f>
        <v/>
      </c>
      <c r="L91" s="17">
        <f>INDEX(Data!$BU:$BU,$J$4)</f>
        <v/>
      </c>
      <c r="M91" s="17">
        <f>INDEX(Data!$BV:$BV,$J$4)</f>
        <v/>
      </c>
      <c r="N91" s="19">
        <f>INDEX(Data!$BS:$BS,$J$4)</f>
        <v/>
      </c>
      <c r="O91" s="17">
        <f>N91*(1+O85/100)^INDEX(Data!$DC:$DC,$J$4)/(1+INDEX(Data!$L:$L,$J$4))</f>
        <v/>
      </c>
      <c r="P91" s="17">
        <f>O91*(1+P85/100)^INDEX(Data!$DC:$DC,$J$4)/(1+INDEX(Data!$L:$L,$J$4))</f>
        <v/>
      </c>
      <c r="Q91" s="17">
        <f>P91*(1+Q85/100)^INDEX(Data!$DC:$DC,$J$4)/(1+INDEX(Data!$L:$L,$J$4))</f>
        <v/>
      </c>
      <c r="R91" s="17">
        <f>Q91*(1+R85/100)^INDEX(Data!$DC:$DC,$J$4)/(1+INDEX(Data!$L:$L,$J$4))</f>
        <v/>
      </c>
      <c r="S91" s="17">
        <f>R91*(1+S85/100)^INDEX(Data!$DC:$DC,$J$4)/(1+INDEX(Data!$L:$L,$J$4))</f>
        <v/>
      </c>
      <c r="T91" s="17">
        <f>S91*(1+T85/100)^INDEX(Data!$DC:$DC,$J$4)/(1+INDEX(Data!$L:$L,$J$4))</f>
        <v/>
      </c>
      <c r="U91" s="17">
        <f>T91*(1+U85/100)^INDEX(Data!$DC:$DC,$J$4)/(1+INDEX(Data!$L:$L,$J$4))</f>
        <v/>
      </c>
      <c r="V91" s="17">
        <f>U91*(1+V85/100)^INDEX(Data!$DC:$DC,$J$4)/(1+INDEX(Data!$L:$L,$J$4))</f>
        <v/>
      </c>
      <c r="W91" s="17">
        <f>V91*(1+W85/100)^INDEX(Data!$DC:$DC,$J$4)/(1+INDEX(Data!$L:$L,$J$4))</f>
        <v/>
      </c>
      <c r="X91" s="17">
        <f>W91*(1+X85/100)^INDEX(Data!$DC:$DC,$J$4)/(1+INDEX(Data!$L:$L,$J$4))</f>
        <v/>
      </c>
      <c r="Y91" s="17">
        <f>X91*(1+Y85/100)^INDEX(Data!$DC:$DC,$J$4)/(1+INDEX(Data!$L:$L,$J$4))</f>
        <v/>
      </c>
      <c r="Z91" s="17">
        <f>Y91*(1+Z85/100)^INDEX(Data!$DC:$DC,$J$4)/(1+INDEX(Data!$L:$L,$J$4))</f>
        <v/>
      </c>
      <c r="AA91" s="17">
        <f>Z91*(1+AA85/100)^INDEX(Data!$DC:$DC,$J$4)/(1+INDEX(Data!$L:$L,$J$4))</f>
        <v/>
      </c>
      <c r="AB91" s="17">
        <f>AA91*(1+AB85/100)^INDEX(Data!$DC:$DC,$J$4)/(1+INDEX(Data!$L:$L,$J$4))</f>
        <v/>
      </c>
      <c r="AC91" s="17">
        <f>AB91*(1+AC85/100)^INDEX(Data!$DC:$DC,$J$4)/(1+INDEX(Data!$L:$L,$J$4))</f>
        <v/>
      </c>
      <c r="AD91" s="17">
        <f>AC91*(1+AD85/100)^INDEX(Data!$DC:$DC,$J$4)/(1+INDEX(Data!$L:$L,$J$4))</f>
        <v/>
      </c>
      <c r="AE91" s="17">
        <f>AD91*(1+AE85/100)^INDEX(Data!$DC:$DC,$J$4)/(1+INDEX(Data!$L:$L,$J$4))</f>
        <v/>
      </c>
      <c r="AF91" s="17">
        <f>AE91*(1+AF85/100)^INDEX(Data!$DC:$DC,$J$4)/(1+INDEX(Data!$L:$L,$J$4))</f>
        <v/>
      </c>
      <c r="AG91" s="17">
        <f>AF91*(1+AG85/100)^INDEX(Data!$DC:$DC,$J$4)/(1+INDEX(Data!$L:$L,$J$4))</f>
        <v/>
      </c>
      <c r="AH91" s="17">
        <f>AG91*(1+AH85/100)^INDEX(Data!$DC:$DC,$J$4)/(1+INDEX(Data!$L:$L,$J$4))</f>
        <v/>
      </c>
      <c r="AI91" s="17">
        <f>AH91*(1+AI85/100)^INDEX(Data!$DC:$DC,$J$4)/(1+INDEX(Data!$L:$L,$J$4))</f>
        <v/>
      </c>
      <c r="AJ91" s="17">
        <f>AI91*(1+AJ85/100)^INDEX(Data!$DC:$DC,$J$4)/(1+INDEX(Data!$L:$L,$J$4))</f>
        <v/>
      </c>
      <c r="AK91" s="17">
        <f>AJ91*(1+AK85/100)^INDEX(Data!$DC:$DC,$J$4)/(1+INDEX(Data!$L:$L,$J$4))</f>
        <v/>
      </c>
      <c r="AL91" s="17">
        <f>AK91*(1+AL85/100)^INDEX(Data!$DC:$DC,$J$4)/(1+INDEX(Data!$L:$L,$J$4))</f>
        <v/>
      </c>
      <c r="AM91" s="17">
        <f>AL91*(1+AM85/100)^INDEX(Data!$DC:$DC,$J$4)/(1+INDEX(Data!$L:$L,$J$4))</f>
        <v/>
      </c>
      <c r="AN91" s="17">
        <f>AM91*(1+AN85/100)^INDEX(Data!$DC:$DC,$J$4)/(1+INDEX(Data!$L:$L,$J$4))</f>
        <v/>
      </c>
    </row>
    <row r="92">
      <c r="A92" s="9" t="n">
        <v>3</v>
      </c>
      <c r="B92" s="9" t="inlineStr">
        <is>
          <t>lpg</t>
        </is>
      </c>
      <c r="C92" s="9" t="inlineStr">
        <is>
          <t>res</t>
        </is>
      </c>
      <c r="D92" s="9" t="inlineStr">
        <is>
          <t>Energy service demand</t>
        </is>
      </c>
      <c r="E92" s="9" t="inlineStr">
        <is>
          <t>PJ</t>
        </is>
      </c>
      <c r="F92" s="9" t="inlineStr">
        <is>
          <t>CPAT data</t>
        </is>
      </c>
      <c r="G92" s="18" t="n"/>
      <c r="H92" s="18" t="inlineStr">
        <is>
          <t>mit.act.lpg.res</t>
        </is>
      </c>
      <c r="I92" s="9" t="n"/>
      <c r="J92" s="9" t="n"/>
      <c r="K92" s="17">
        <f>INDEX(Data!$BK:$BK,$J$4)</f>
        <v/>
      </c>
      <c r="L92" s="17">
        <f>INDEX(Data!$BL:$BL,$J$4)</f>
        <v/>
      </c>
      <c r="M92" s="17">
        <f>INDEX(Data!$BM:$BM,$J$4)</f>
        <v/>
      </c>
      <c r="N92" s="19">
        <f>INDEX(Data!$BJ:$BJ,$J$4)</f>
        <v/>
      </c>
      <c r="O92" s="17">
        <f>N92*(1+O85/100)^INDEX(Data!$DA:$DA,$J$4)/(1+INDEX(Data!$J:$J,$J$4))</f>
        <v/>
      </c>
      <c r="P92" s="17">
        <f>O92*(1+P85/100)^INDEX(Data!$DA:$DA,$J$4)/(1+INDEX(Data!$J:$J,$J$4))</f>
        <v/>
      </c>
      <c r="Q92" s="17">
        <f>P92*(1+Q85/100)^INDEX(Data!$DA:$DA,$J$4)/(1+INDEX(Data!$J:$J,$J$4))</f>
        <v/>
      </c>
      <c r="R92" s="17">
        <f>Q92*(1+R85/100)^INDEX(Data!$DA:$DA,$J$4)/(1+INDEX(Data!$J:$J,$J$4))</f>
        <v/>
      </c>
      <c r="S92" s="17">
        <f>R92*(1+S85/100)^INDEX(Data!$DA:$DA,$J$4)/(1+INDEX(Data!$J:$J,$J$4))</f>
        <v/>
      </c>
      <c r="T92" s="17">
        <f>S92*(1+T85/100)^INDEX(Data!$DA:$DA,$J$4)/(1+INDEX(Data!$J:$J,$J$4))</f>
        <v/>
      </c>
      <c r="U92" s="17">
        <f>T92*(1+U85/100)^INDEX(Data!$DA:$DA,$J$4)/(1+INDEX(Data!$J:$J,$J$4))</f>
        <v/>
      </c>
      <c r="V92" s="17">
        <f>U92*(1+V85/100)^INDEX(Data!$DA:$DA,$J$4)/(1+INDEX(Data!$J:$J,$J$4))</f>
        <v/>
      </c>
      <c r="W92" s="17">
        <f>V92*(1+W85/100)^INDEX(Data!$DA:$DA,$J$4)/(1+INDEX(Data!$J:$J,$J$4))</f>
        <v/>
      </c>
      <c r="X92" s="17">
        <f>W92*(1+X85/100)^INDEX(Data!$DA:$DA,$J$4)/(1+INDEX(Data!$J:$J,$J$4))</f>
        <v/>
      </c>
      <c r="Y92" s="17">
        <f>X92*(1+Y85/100)^INDEX(Data!$DA:$DA,$J$4)/(1+INDEX(Data!$J:$J,$J$4))</f>
        <v/>
      </c>
      <c r="Z92" s="17">
        <f>Y92*(1+Z85/100)^INDEX(Data!$DA:$DA,$J$4)/(1+INDEX(Data!$J:$J,$J$4))</f>
        <v/>
      </c>
      <c r="AA92" s="17">
        <f>Z92*(1+AA85/100)^INDEX(Data!$DA:$DA,$J$4)/(1+INDEX(Data!$J:$J,$J$4))</f>
        <v/>
      </c>
      <c r="AB92" s="17">
        <f>AA92*(1+AB85/100)^INDEX(Data!$DA:$DA,$J$4)/(1+INDEX(Data!$J:$J,$J$4))</f>
        <v/>
      </c>
      <c r="AC92" s="17">
        <f>AB92*(1+AC85/100)^INDEX(Data!$DA:$DA,$J$4)/(1+INDEX(Data!$J:$J,$J$4))</f>
        <v/>
      </c>
      <c r="AD92" s="17">
        <f>AC92*(1+AD85/100)^INDEX(Data!$DA:$DA,$J$4)/(1+INDEX(Data!$J:$J,$J$4))</f>
        <v/>
      </c>
      <c r="AE92" s="17">
        <f>AD92*(1+AE85/100)^INDEX(Data!$DA:$DA,$J$4)/(1+INDEX(Data!$J:$J,$J$4))</f>
        <v/>
      </c>
      <c r="AF92" s="17">
        <f>AE92*(1+AF85/100)^INDEX(Data!$DA:$DA,$J$4)/(1+INDEX(Data!$J:$J,$J$4))</f>
        <v/>
      </c>
      <c r="AG92" s="17">
        <f>AF92*(1+AG85/100)^INDEX(Data!$DA:$DA,$J$4)/(1+INDEX(Data!$J:$J,$J$4))</f>
        <v/>
      </c>
      <c r="AH92" s="17">
        <f>AG92*(1+AH85/100)^INDEX(Data!$DA:$DA,$J$4)/(1+INDEX(Data!$J:$J,$J$4))</f>
        <v/>
      </c>
      <c r="AI92" s="17">
        <f>AH92*(1+AI85/100)^INDEX(Data!$DA:$DA,$J$4)/(1+INDEX(Data!$J:$J,$J$4))</f>
        <v/>
      </c>
      <c r="AJ92" s="17">
        <f>AI92*(1+AJ85/100)^INDEX(Data!$DA:$DA,$J$4)/(1+INDEX(Data!$J:$J,$J$4))</f>
        <v/>
      </c>
      <c r="AK92" s="17">
        <f>AJ92*(1+AK85/100)^INDEX(Data!$DA:$DA,$J$4)/(1+INDEX(Data!$J:$J,$J$4))</f>
        <v/>
      </c>
      <c r="AL92" s="17">
        <f>AK92*(1+AL85/100)^INDEX(Data!$DA:$DA,$J$4)/(1+INDEX(Data!$J:$J,$J$4))</f>
        <v/>
      </c>
      <c r="AM92" s="17">
        <f>AL92*(1+AM85/100)^INDEX(Data!$DA:$DA,$J$4)/(1+INDEX(Data!$J:$J,$J$4))</f>
        <v/>
      </c>
      <c r="AN92" s="17">
        <f>AM92*(1+AN85/100)^INDEX(Data!$DA:$DA,$J$4)/(1+INDEX(Data!$J:$J,$J$4))</f>
        <v/>
      </c>
    </row>
    <row r="93">
      <c r="A93" s="9" t="n">
        <v>3</v>
      </c>
      <c r="B93" s="9" t="inlineStr">
        <is>
          <t>ker</t>
        </is>
      </c>
      <c r="C93" s="9" t="inlineStr">
        <is>
          <t>res</t>
        </is>
      </c>
      <c r="D93" s="9" t="inlineStr">
        <is>
          <t>Energy service demand</t>
        </is>
      </c>
      <c r="E93" s="9" t="inlineStr">
        <is>
          <t>PJ</t>
        </is>
      </c>
      <c r="F93" s="9" t="inlineStr">
        <is>
          <t>CPAT data</t>
        </is>
      </c>
      <c r="G93" s="18" t="n"/>
      <c r="H93" s="18" t="inlineStr">
        <is>
          <t>mit.act.ker.res</t>
        </is>
      </c>
      <c r="I93" s="9" t="n"/>
      <c r="J93" s="9" t="n"/>
      <c r="K93" s="17">
        <f>INDEX(Data!$BG:$BG,$J$4)</f>
        <v/>
      </c>
      <c r="L93" s="17">
        <f>INDEX(Data!$BH:$BH,$J$4)</f>
        <v/>
      </c>
      <c r="M93" s="17">
        <f>INDEX(Data!$BI:$BI,$J$4)</f>
        <v/>
      </c>
      <c r="N93" s="19">
        <f>INDEX(Data!$BF:$BF,$J$4)</f>
        <v/>
      </c>
      <c r="O93" s="17">
        <f>N93*(1+O85/100)^INDEX(Data!$CZ:$CZ,$J$4)/(1+INDEX(Data!$I:$I,$J$4))</f>
        <v/>
      </c>
      <c r="P93" s="17">
        <f>O93*(1+P85/100)^INDEX(Data!$CZ:$CZ,$J$4)/(1+INDEX(Data!$I:$I,$J$4))</f>
        <v/>
      </c>
      <c r="Q93" s="17">
        <f>P93*(1+Q85/100)^INDEX(Data!$CZ:$CZ,$J$4)/(1+INDEX(Data!$I:$I,$J$4))</f>
        <v/>
      </c>
      <c r="R93" s="17">
        <f>Q93*(1+R85/100)^INDEX(Data!$CZ:$CZ,$J$4)/(1+INDEX(Data!$I:$I,$J$4))</f>
        <v/>
      </c>
      <c r="S93" s="17">
        <f>R93*(1+S85/100)^INDEX(Data!$CZ:$CZ,$J$4)/(1+INDEX(Data!$I:$I,$J$4))</f>
        <v/>
      </c>
      <c r="T93" s="17">
        <f>S93*(1+T85/100)^INDEX(Data!$CZ:$CZ,$J$4)/(1+INDEX(Data!$I:$I,$J$4))</f>
        <v/>
      </c>
      <c r="U93" s="17">
        <f>T93*(1+U85/100)^INDEX(Data!$CZ:$CZ,$J$4)/(1+INDEX(Data!$I:$I,$J$4))</f>
        <v/>
      </c>
      <c r="V93" s="17">
        <f>U93*(1+V85/100)^INDEX(Data!$CZ:$CZ,$J$4)/(1+INDEX(Data!$I:$I,$J$4))</f>
        <v/>
      </c>
      <c r="W93" s="17">
        <f>V93*(1+W85/100)^INDEX(Data!$CZ:$CZ,$J$4)/(1+INDEX(Data!$I:$I,$J$4))</f>
        <v/>
      </c>
      <c r="X93" s="17">
        <f>W93*(1+X85/100)^INDEX(Data!$CZ:$CZ,$J$4)/(1+INDEX(Data!$I:$I,$J$4))</f>
        <v/>
      </c>
      <c r="Y93" s="17">
        <f>X93*(1+Y85/100)^INDEX(Data!$CZ:$CZ,$J$4)/(1+INDEX(Data!$I:$I,$J$4))</f>
        <v/>
      </c>
      <c r="Z93" s="17">
        <f>Y93*(1+Z85/100)^INDEX(Data!$CZ:$CZ,$J$4)/(1+INDEX(Data!$I:$I,$J$4))</f>
        <v/>
      </c>
      <c r="AA93" s="17">
        <f>Z93*(1+AA85/100)^INDEX(Data!$CZ:$CZ,$J$4)/(1+INDEX(Data!$I:$I,$J$4))</f>
        <v/>
      </c>
      <c r="AB93" s="17">
        <f>AA93*(1+AB85/100)^INDEX(Data!$CZ:$CZ,$J$4)/(1+INDEX(Data!$I:$I,$J$4))</f>
        <v/>
      </c>
      <c r="AC93" s="17">
        <f>AB93*(1+AC85/100)^INDEX(Data!$CZ:$CZ,$J$4)/(1+INDEX(Data!$I:$I,$J$4))</f>
        <v/>
      </c>
      <c r="AD93" s="17">
        <f>AC93*(1+AD85/100)^INDEX(Data!$CZ:$CZ,$J$4)/(1+INDEX(Data!$I:$I,$J$4))</f>
        <v/>
      </c>
      <c r="AE93" s="17">
        <f>AD93*(1+AE85/100)^INDEX(Data!$CZ:$CZ,$J$4)/(1+INDEX(Data!$I:$I,$J$4))</f>
        <v/>
      </c>
      <c r="AF93" s="17">
        <f>AE93*(1+AF85/100)^INDEX(Data!$CZ:$CZ,$J$4)/(1+INDEX(Data!$I:$I,$J$4))</f>
        <v/>
      </c>
      <c r="AG93" s="17">
        <f>AF93*(1+AG85/100)^INDEX(Data!$CZ:$CZ,$J$4)/(1+INDEX(Data!$I:$I,$J$4))</f>
        <v/>
      </c>
      <c r="AH93" s="17">
        <f>AG93*(1+AH85/100)^INDEX(Data!$CZ:$CZ,$J$4)/(1+INDEX(Data!$I:$I,$J$4))</f>
        <v/>
      </c>
      <c r="AI93" s="17">
        <f>AH93*(1+AI85/100)^INDEX(Data!$CZ:$CZ,$J$4)/(1+INDEX(Data!$I:$I,$J$4))</f>
        <v/>
      </c>
      <c r="AJ93" s="17">
        <f>AI93*(1+AJ85/100)^INDEX(Data!$CZ:$CZ,$J$4)/(1+INDEX(Data!$I:$I,$J$4))</f>
        <v/>
      </c>
      <c r="AK93" s="17">
        <f>AJ93*(1+AK85/100)^INDEX(Data!$CZ:$CZ,$J$4)/(1+INDEX(Data!$I:$I,$J$4))</f>
        <v/>
      </c>
      <c r="AL93" s="17">
        <f>AK93*(1+AL85/100)^INDEX(Data!$CZ:$CZ,$J$4)/(1+INDEX(Data!$I:$I,$J$4))</f>
        <v/>
      </c>
      <c r="AM93" s="17">
        <f>AL93*(1+AM85/100)^INDEX(Data!$CZ:$CZ,$J$4)/(1+INDEX(Data!$I:$I,$J$4))</f>
        <v/>
      </c>
      <c r="AN93" s="17">
        <f>AM93*(1+AN85/100)^INDEX(Data!$CZ:$CZ,$J$4)/(1+INDEX(Data!$I:$I,$J$4))</f>
        <v/>
      </c>
    </row>
    <row r="94">
      <c r="A94" s="9" t="n">
        <v>3</v>
      </c>
      <c r="B94" s="9" t="inlineStr">
        <is>
          <t>ecy</t>
        </is>
      </c>
      <c r="C94" s="9" t="inlineStr">
        <is>
          <t>res</t>
        </is>
      </c>
      <c r="D94" s="9" t="inlineStr">
        <is>
          <t>Energy service demand</t>
        </is>
      </c>
      <c r="E94" s="9" t="inlineStr">
        <is>
          <t>PJ</t>
        </is>
      </c>
      <c r="F94" s="9" t="inlineStr">
        <is>
          <t>CPAT data</t>
        </is>
      </c>
      <c r="G94" s="18" t="n"/>
      <c r="H94" s="18" t="inlineStr">
        <is>
          <t>mit.act.ecy.res</t>
        </is>
      </c>
      <c r="I94" s="9" t="n"/>
      <c r="J94" s="9" t="n"/>
      <c r="K94" s="17">
        <f>INDEX(Data!$AY:$AY,$J$4)</f>
        <v/>
      </c>
      <c r="L94" s="17">
        <f>INDEX(Data!$AZ:$AZ,$J$4)</f>
        <v/>
      </c>
      <c r="M94" s="17">
        <f>INDEX(Data!$BA:$BA,$J$4)</f>
        <v/>
      </c>
      <c r="N94" s="19">
        <f>INDEX(Data!$AX:$AX,$J$4)</f>
        <v/>
      </c>
      <c r="O94" s="17">
        <f>N94*(1+O85/100)^INDEX(Data!$CX:$CX,$J$4)/(1+INDEX(Data!$G:$G,$J$4))</f>
        <v/>
      </c>
      <c r="P94" s="17">
        <f>O94*(1+P85/100)^INDEX(Data!$CX:$CX,$J$4)/(1+INDEX(Data!$G:$G,$J$4))</f>
        <v/>
      </c>
      <c r="Q94" s="17">
        <f>P94*(1+Q85/100)^INDEX(Data!$CX:$CX,$J$4)/(1+INDEX(Data!$G:$G,$J$4))</f>
        <v/>
      </c>
      <c r="R94" s="17">
        <f>Q94*(1+R85/100)^INDEX(Data!$CX:$CX,$J$4)/(1+INDEX(Data!$G:$G,$J$4))</f>
        <v/>
      </c>
      <c r="S94" s="17">
        <f>R94*(1+S85/100)^INDEX(Data!$CX:$CX,$J$4)/(1+INDEX(Data!$G:$G,$J$4))</f>
        <v/>
      </c>
      <c r="T94" s="17">
        <f>S94*(1+T85/100)^INDEX(Data!$CX:$CX,$J$4)/(1+INDEX(Data!$G:$G,$J$4))</f>
        <v/>
      </c>
      <c r="U94" s="17">
        <f>T94*(1+U85/100)^INDEX(Data!$CX:$CX,$J$4)/(1+INDEX(Data!$G:$G,$J$4))</f>
        <v/>
      </c>
      <c r="V94" s="17">
        <f>U94*(1+V85/100)^INDEX(Data!$CX:$CX,$J$4)/(1+INDEX(Data!$G:$G,$J$4))</f>
        <v/>
      </c>
      <c r="W94" s="17">
        <f>V94*(1+W85/100)^INDEX(Data!$CX:$CX,$J$4)/(1+INDEX(Data!$G:$G,$J$4))</f>
        <v/>
      </c>
      <c r="X94" s="17">
        <f>W94*(1+X85/100)^INDEX(Data!$CX:$CX,$J$4)/(1+INDEX(Data!$G:$G,$J$4))</f>
        <v/>
      </c>
      <c r="Y94" s="17">
        <f>X94*(1+Y85/100)^INDEX(Data!$CX:$CX,$J$4)/(1+INDEX(Data!$G:$G,$J$4))</f>
        <v/>
      </c>
      <c r="Z94" s="17">
        <f>Y94*(1+Z85/100)^INDEX(Data!$CX:$CX,$J$4)/(1+INDEX(Data!$G:$G,$J$4))</f>
        <v/>
      </c>
      <c r="AA94" s="17">
        <f>Z94*(1+AA85/100)^INDEX(Data!$CX:$CX,$J$4)/(1+INDEX(Data!$G:$G,$J$4))</f>
        <v/>
      </c>
      <c r="AB94" s="17">
        <f>AA94*(1+AB85/100)^INDEX(Data!$CX:$CX,$J$4)/(1+INDEX(Data!$G:$G,$J$4))</f>
        <v/>
      </c>
      <c r="AC94" s="17">
        <f>AB94*(1+AC85/100)^INDEX(Data!$CX:$CX,$J$4)/(1+INDEX(Data!$G:$G,$J$4))</f>
        <v/>
      </c>
      <c r="AD94" s="17">
        <f>AC94*(1+AD85/100)^INDEX(Data!$CX:$CX,$J$4)/(1+INDEX(Data!$G:$G,$J$4))</f>
        <v/>
      </c>
      <c r="AE94" s="17">
        <f>AD94*(1+AE85/100)^INDEX(Data!$CX:$CX,$J$4)/(1+INDEX(Data!$G:$G,$J$4))</f>
        <v/>
      </c>
      <c r="AF94" s="17">
        <f>AE94*(1+AF85/100)^INDEX(Data!$CX:$CX,$J$4)/(1+INDEX(Data!$G:$G,$J$4))</f>
        <v/>
      </c>
      <c r="AG94" s="17">
        <f>AF94*(1+AG85/100)^INDEX(Data!$CX:$CX,$J$4)/(1+INDEX(Data!$G:$G,$J$4))</f>
        <v/>
      </c>
      <c r="AH94" s="17">
        <f>AG94*(1+AH85/100)^INDEX(Data!$CX:$CX,$J$4)/(1+INDEX(Data!$G:$G,$J$4))</f>
        <v/>
      </c>
      <c r="AI94" s="17">
        <f>AH94*(1+AI85/100)^INDEX(Data!$CX:$CX,$J$4)/(1+INDEX(Data!$G:$G,$J$4))</f>
        <v/>
      </c>
      <c r="AJ94" s="17">
        <f>AI94*(1+AJ85/100)^INDEX(Data!$CX:$CX,$J$4)/(1+INDEX(Data!$G:$G,$J$4))</f>
        <v/>
      </c>
      <c r="AK94" s="17">
        <f>AJ94*(1+AK85/100)^INDEX(Data!$CX:$CX,$J$4)/(1+INDEX(Data!$G:$G,$J$4))</f>
        <v/>
      </c>
      <c r="AL94" s="17">
        <f>AK94*(1+AL85/100)^INDEX(Data!$CX:$CX,$J$4)/(1+INDEX(Data!$G:$G,$J$4))</f>
        <v/>
      </c>
      <c r="AM94" s="17">
        <f>AL94*(1+AM85/100)^INDEX(Data!$CX:$CX,$J$4)/(1+INDEX(Data!$G:$G,$J$4))</f>
        <v/>
      </c>
      <c r="AN94" s="17">
        <f>AM94*(1+AN85/100)^INDEX(Data!$CX:$CX,$J$4)/(1+INDEX(Data!$G:$G,$J$4))</f>
        <v/>
      </c>
    </row>
    <row r="95">
      <c r="A95" s="9" t="n">
        <v>3</v>
      </c>
      <c r="B95" s="9" t="inlineStr">
        <is>
          <t>coa</t>
        </is>
      </c>
      <c r="C95" s="9" t="inlineStr">
        <is>
          <t>ind</t>
        </is>
      </c>
      <c r="D95" s="9" t="inlineStr">
        <is>
          <t>Energy service demand</t>
        </is>
      </c>
      <c r="E95" s="9" t="inlineStr">
        <is>
          <t>PJ</t>
        </is>
      </c>
      <c r="F95" s="9" t="inlineStr">
        <is>
          <t>CPAT data</t>
        </is>
      </c>
      <c r="G95" s="18" t="n"/>
      <c r="H95" s="18" t="inlineStr">
        <is>
          <t>mit.act.coa.ind</t>
        </is>
      </c>
      <c r="I95" s="9" t="n"/>
      <c r="J95" s="9" t="n"/>
      <c r="K95" s="17">
        <f>INDEX(Data!$AH:$AH,$J$4)</f>
        <v/>
      </c>
      <c r="L95" s="17">
        <f>INDEX(Data!$AI:$AI,$J$4)</f>
        <v/>
      </c>
      <c r="M95" s="17">
        <f>INDEX(Data!$AJ:$AJ,$J$4)</f>
        <v/>
      </c>
      <c r="N95" s="19">
        <f>INDEX(Data!$AG:$AG,$J$4)</f>
        <v/>
      </c>
      <c r="O95" s="17">
        <f>N95*(1+O85/100)^INDEX(Data!$CT:$CT,$J$4)/(1+INDEX(Data!$C:$C,$J$4))</f>
        <v/>
      </c>
      <c r="P95" s="17">
        <f>O95*(1+P85/100)^INDEX(Data!$CT:$CT,$J$4)/(1+INDEX(Data!$C:$C,$J$4))</f>
        <v/>
      </c>
      <c r="Q95" s="17">
        <f>P95*(1+Q85/100)^INDEX(Data!$CT:$CT,$J$4)/(1+INDEX(Data!$C:$C,$J$4))</f>
        <v/>
      </c>
      <c r="R95" s="17">
        <f>Q95*(1+R85/100)^INDEX(Data!$CT:$CT,$J$4)/(1+INDEX(Data!$C:$C,$J$4))</f>
        <v/>
      </c>
      <c r="S95" s="17">
        <f>R95*(1+S85/100)^INDEX(Data!$CT:$CT,$J$4)/(1+INDEX(Data!$C:$C,$J$4))</f>
        <v/>
      </c>
      <c r="T95" s="17">
        <f>S95*(1+T85/100)^INDEX(Data!$CT:$CT,$J$4)/(1+INDEX(Data!$C:$C,$J$4))</f>
        <v/>
      </c>
      <c r="U95" s="17">
        <f>T95*(1+U85/100)^INDEX(Data!$CT:$CT,$J$4)/(1+INDEX(Data!$C:$C,$J$4))</f>
        <v/>
      </c>
      <c r="V95" s="17">
        <f>U95*(1+V85/100)^INDEX(Data!$CT:$CT,$J$4)/(1+INDEX(Data!$C:$C,$J$4))</f>
        <v/>
      </c>
      <c r="W95" s="17">
        <f>V95*(1+W85/100)^INDEX(Data!$CT:$CT,$J$4)/(1+INDEX(Data!$C:$C,$J$4))</f>
        <v/>
      </c>
      <c r="X95" s="17">
        <f>W95*(1+X85/100)^INDEX(Data!$CT:$CT,$J$4)/(1+INDEX(Data!$C:$C,$J$4))</f>
        <v/>
      </c>
      <c r="Y95" s="17">
        <f>X95*(1+Y85/100)^INDEX(Data!$CT:$CT,$J$4)/(1+INDEX(Data!$C:$C,$J$4))</f>
        <v/>
      </c>
      <c r="Z95" s="17">
        <f>Y95*(1+Z85/100)^INDEX(Data!$CT:$CT,$J$4)/(1+INDEX(Data!$C:$C,$J$4))</f>
        <v/>
      </c>
      <c r="AA95" s="17">
        <f>Z95*(1+AA85/100)^INDEX(Data!$CT:$CT,$J$4)/(1+INDEX(Data!$C:$C,$J$4))</f>
        <v/>
      </c>
      <c r="AB95" s="17">
        <f>AA95*(1+AB85/100)^INDEX(Data!$CT:$CT,$J$4)/(1+INDEX(Data!$C:$C,$J$4))</f>
        <v/>
      </c>
      <c r="AC95" s="17">
        <f>AB95*(1+AC85/100)^INDEX(Data!$CT:$CT,$J$4)/(1+INDEX(Data!$C:$C,$J$4))</f>
        <v/>
      </c>
      <c r="AD95" s="17">
        <f>AC95*(1+AD85/100)^INDEX(Data!$CT:$CT,$J$4)/(1+INDEX(Data!$C:$C,$J$4))</f>
        <v/>
      </c>
      <c r="AE95" s="17">
        <f>AD95*(1+AE85/100)^INDEX(Data!$CT:$CT,$J$4)/(1+INDEX(Data!$C:$C,$J$4))</f>
        <v/>
      </c>
      <c r="AF95" s="17">
        <f>AE95*(1+AF85/100)^INDEX(Data!$CT:$CT,$J$4)/(1+INDEX(Data!$C:$C,$J$4))</f>
        <v/>
      </c>
      <c r="AG95" s="17">
        <f>AF95*(1+AG85/100)^INDEX(Data!$CT:$CT,$J$4)/(1+INDEX(Data!$C:$C,$J$4))</f>
        <v/>
      </c>
      <c r="AH95" s="17">
        <f>AG95*(1+AH85/100)^INDEX(Data!$CT:$CT,$J$4)/(1+INDEX(Data!$C:$C,$J$4))</f>
        <v/>
      </c>
      <c r="AI95" s="17">
        <f>AH95*(1+AI85/100)^INDEX(Data!$CT:$CT,$J$4)/(1+INDEX(Data!$C:$C,$J$4))</f>
        <v/>
      </c>
      <c r="AJ95" s="17">
        <f>AI95*(1+AJ85/100)^INDEX(Data!$CT:$CT,$J$4)/(1+INDEX(Data!$C:$C,$J$4))</f>
        <v/>
      </c>
      <c r="AK95" s="17">
        <f>AJ95*(1+AK85/100)^INDEX(Data!$CT:$CT,$J$4)/(1+INDEX(Data!$C:$C,$J$4))</f>
        <v/>
      </c>
      <c r="AL95" s="17">
        <f>AK95*(1+AL85/100)^INDEX(Data!$CT:$CT,$J$4)/(1+INDEX(Data!$C:$C,$J$4))</f>
        <v/>
      </c>
      <c r="AM95" s="17">
        <f>AL95*(1+AM85/100)^INDEX(Data!$CT:$CT,$J$4)/(1+INDEX(Data!$C:$C,$J$4))</f>
        <v/>
      </c>
      <c r="AN95" s="17">
        <f>AM95*(1+AN85/100)^INDEX(Data!$CT:$CT,$J$4)/(1+INDEX(Data!$C:$C,$J$4))</f>
        <v/>
      </c>
    </row>
    <row r="96">
      <c r="A96" s="9" t="n">
        <v>3</v>
      </c>
      <c r="B96" s="9" t="inlineStr">
        <is>
          <t>nga</t>
        </is>
      </c>
      <c r="C96" s="9" t="inlineStr">
        <is>
          <t>ind</t>
        </is>
      </c>
      <c r="D96" s="9" t="inlineStr">
        <is>
          <t>Energy service demand</t>
        </is>
      </c>
      <c r="E96" s="9" t="inlineStr">
        <is>
          <t>PJ</t>
        </is>
      </c>
      <c r="F96" s="9" t="inlineStr">
        <is>
          <t>CPAT data</t>
        </is>
      </c>
      <c r="G96" s="18" t="n"/>
      <c r="H96" s="18" t="inlineStr">
        <is>
          <t>mit.act.nga.ind</t>
        </is>
      </c>
      <c r="I96" s="9" t="n"/>
      <c r="J96" s="9" t="n"/>
      <c r="K96" s="17">
        <f>INDEX(Data!$BO:$BO,$J$4)</f>
        <v/>
      </c>
      <c r="L96" s="17">
        <f>INDEX(Data!$BP:$BP,$J$4)</f>
        <v/>
      </c>
      <c r="M96" s="17">
        <f>INDEX(Data!$BQ:$BQ,$J$4)</f>
        <v/>
      </c>
      <c r="N96" s="19">
        <f>INDEX(Data!$BN:$BN,$J$4)</f>
        <v/>
      </c>
      <c r="O96" s="17">
        <f>N96*(1+O85/100)^INDEX(Data!$DB:$DB,$J$4)/(1+INDEX(Data!$K:$K,$J$4))</f>
        <v/>
      </c>
      <c r="P96" s="17">
        <f>O96*(1+P85/100)^INDEX(Data!$DB:$DB,$J$4)/(1+INDEX(Data!$K:$K,$J$4))</f>
        <v/>
      </c>
      <c r="Q96" s="17">
        <f>P96*(1+Q85/100)^INDEX(Data!$DB:$DB,$J$4)/(1+INDEX(Data!$K:$K,$J$4))</f>
        <v/>
      </c>
      <c r="R96" s="17">
        <f>Q96*(1+R85/100)^INDEX(Data!$DB:$DB,$J$4)/(1+INDEX(Data!$K:$K,$J$4))</f>
        <v/>
      </c>
      <c r="S96" s="17">
        <f>R96*(1+S85/100)^INDEX(Data!$DB:$DB,$J$4)/(1+INDEX(Data!$K:$K,$J$4))</f>
        <v/>
      </c>
      <c r="T96" s="17">
        <f>S96*(1+T85/100)^INDEX(Data!$DB:$DB,$J$4)/(1+INDEX(Data!$K:$K,$J$4))</f>
        <v/>
      </c>
      <c r="U96" s="17">
        <f>T96*(1+U85/100)^INDEX(Data!$DB:$DB,$J$4)/(1+INDEX(Data!$K:$K,$J$4))</f>
        <v/>
      </c>
      <c r="V96" s="17">
        <f>U96*(1+V85/100)^INDEX(Data!$DB:$DB,$J$4)/(1+INDEX(Data!$K:$K,$J$4))</f>
        <v/>
      </c>
      <c r="W96" s="17">
        <f>V96*(1+W85/100)^INDEX(Data!$DB:$DB,$J$4)/(1+INDEX(Data!$K:$K,$J$4))</f>
        <v/>
      </c>
      <c r="X96" s="17">
        <f>W96*(1+X85/100)^INDEX(Data!$DB:$DB,$J$4)/(1+INDEX(Data!$K:$K,$J$4))</f>
        <v/>
      </c>
      <c r="Y96" s="17">
        <f>X96*(1+Y85/100)^INDEX(Data!$DB:$DB,$J$4)/(1+INDEX(Data!$K:$K,$J$4))</f>
        <v/>
      </c>
      <c r="Z96" s="17">
        <f>Y96*(1+Z85/100)^INDEX(Data!$DB:$DB,$J$4)/(1+INDEX(Data!$K:$K,$J$4))</f>
        <v/>
      </c>
      <c r="AA96" s="17">
        <f>Z96*(1+AA85/100)^INDEX(Data!$DB:$DB,$J$4)/(1+INDEX(Data!$K:$K,$J$4))</f>
        <v/>
      </c>
      <c r="AB96" s="17">
        <f>AA96*(1+AB85/100)^INDEX(Data!$DB:$DB,$J$4)/(1+INDEX(Data!$K:$K,$J$4))</f>
        <v/>
      </c>
      <c r="AC96" s="17">
        <f>AB96*(1+AC85/100)^INDEX(Data!$DB:$DB,$J$4)/(1+INDEX(Data!$K:$K,$J$4))</f>
        <v/>
      </c>
      <c r="AD96" s="17">
        <f>AC96*(1+AD85/100)^INDEX(Data!$DB:$DB,$J$4)/(1+INDEX(Data!$K:$K,$J$4))</f>
        <v/>
      </c>
      <c r="AE96" s="17">
        <f>AD96*(1+AE85/100)^INDEX(Data!$DB:$DB,$J$4)/(1+INDEX(Data!$K:$K,$J$4))</f>
        <v/>
      </c>
      <c r="AF96" s="17">
        <f>AE96*(1+AF85/100)^INDEX(Data!$DB:$DB,$J$4)/(1+INDEX(Data!$K:$K,$J$4))</f>
        <v/>
      </c>
      <c r="AG96" s="17">
        <f>AF96*(1+AG85/100)^INDEX(Data!$DB:$DB,$J$4)/(1+INDEX(Data!$K:$K,$J$4))</f>
        <v/>
      </c>
      <c r="AH96" s="17">
        <f>AG96*(1+AH85/100)^INDEX(Data!$DB:$DB,$J$4)/(1+INDEX(Data!$K:$K,$J$4))</f>
        <v/>
      </c>
      <c r="AI96" s="17">
        <f>AH96*(1+AI85/100)^INDEX(Data!$DB:$DB,$J$4)/(1+INDEX(Data!$K:$K,$J$4))</f>
        <v/>
      </c>
      <c r="AJ96" s="17">
        <f>AI96*(1+AJ85/100)^INDEX(Data!$DB:$DB,$J$4)/(1+INDEX(Data!$K:$K,$J$4))</f>
        <v/>
      </c>
      <c r="AK96" s="17">
        <f>AJ96*(1+AK85/100)^INDEX(Data!$DB:$DB,$J$4)/(1+INDEX(Data!$K:$K,$J$4))</f>
        <v/>
      </c>
      <c r="AL96" s="17">
        <f>AK96*(1+AL85/100)^INDEX(Data!$DB:$DB,$J$4)/(1+INDEX(Data!$K:$K,$J$4))</f>
        <v/>
      </c>
      <c r="AM96" s="17">
        <f>AL96*(1+AM85/100)^INDEX(Data!$DB:$DB,$J$4)/(1+INDEX(Data!$K:$K,$J$4))</f>
        <v/>
      </c>
      <c r="AN96" s="17">
        <f>AM96*(1+AN85/100)^INDEX(Data!$DB:$DB,$J$4)/(1+INDEX(Data!$K:$K,$J$4))</f>
        <v/>
      </c>
    </row>
    <row r="97">
      <c r="A97" s="9" t="n">
        <v>3</v>
      </c>
      <c r="B97" s="9" t="inlineStr">
        <is>
          <t>oil</t>
        </is>
      </c>
      <c r="C97" s="9" t="inlineStr">
        <is>
          <t>ind</t>
        </is>
      </c>
      <c r="D97" s="9" t="inlineStr">
        <is>
          <t>Energy service demand</t>
        </is>
      </c>
      <c r="E97" s="9" t="inlineStr">
        <is>
          <t>PJ</t>
        </is>
      </c>
      <c r="F97" s="9" t="inlineStr">
        <is>
          <t>CPAT data</t>
        </is>
      </c>
      <c r="G97" s="18" t="n"/>
      <c r="H97" s="18" t="inlineStr">
        <is>
          <t>mit.act.oil.ind</t>
        </is>
      </c>
      <c r="I97" s="9" t="n"/>
      <c r="J97" s="9" t="n"/>
      <c r="K97" s="17">
        <f>INDEX(Data!$BX:$BX,$J$4)</f>
        <v/>
      </c>
      <c r="L97" s="17">
        <f>INDEX(Data!$BY:$BY,$J$4)</f>
        <v/>
      </c>
      <c r="M97" s="17">
        <f>INDEX(Data!$BZ:$BZ,$J$4)</f>
        <v/>
      </c>
      <c r="N97" s="19">
        <f>INDEX(Data!$BW:$BW,$J$4)</f>
        <v/>
      </c>
      <c r="O97" s="17">
        <f>N97*(1+O85/100)^INDEX(Data!$DD:$DD,$J$4)/(1+INDEX(Data!$M:$M,$J$4))</f>
        <v/>
      </c>
      <c r="P97" s="17">
        <f>O97*(1+P85/100)^INDEX(Data!$DD:$DD,$J$4)/(1+INDEX(Data!$M:$M,$J$4))</f>
        <v/>
      </c>
      <c r="Q97" s="17">
        <f>P97*(1+Q85/100)^INDEX(Data!$DD:$DD,$J$4)/(1+INDEX(Data!$M:$M,$J$4))</f>
        <v/>
      </c>
      <c r="R97" s="17">
        <f>Q97*(1+R85/100)^INDEX(Data!$DD:$DD,$J$4)/(1+INDEX(Data!$M:$M,$J$4))</f>
        <v/>
      </c>
      <c r="S97" s="17">
        <f>R97*(1+S85/100)^INDEX(Data!$DD:$DD,$J$4)/(1+INDEX(Data!$M:$M,$J$4))</f>
        <v/>
      </c>
      <c r="T97" s="17">
        <f>S97*(1+T85/100)^INDEX(Data!$DD:$DD,$J$4)/(1+INDEX(Data!$M:$M,$J$4))</f>
        <v/>
      </c>
      <c r="U97" s="17">
        <f>T97*(1+U85/100)^INDEX(Data!$DD:$DD,$J$4)/(1+INDEX(Data!$M:$M,$J$4))</f>
        <v/>
      </c>
      <c r="V97" s="17">
        <f>U97*(1+V85/100)^INDEX(Data!$DD:$DD,$J$4)/(1+INDEX(Data!$M:$M,$J$4))</f>
        <v/>
      </c>
      <c r="W97" s="17">
        <f>V97*(1+W85/100)^INDEX(Data!$DD:$DD,$J$4)/(1+INDEX(Data!$M:$M,$J$4))</f>
        <v/>
      </c>
      <c r="X97" s="17">
        <f>W97*(1+X85/100)^INDEX(Data!$DD:$DD,$J$4)/(1+INDEX(Data!$M:$M,$J$4))</f>
        <v/>
      </c>
      <c r="Y97" s="17">
        <f>X97*(1+Y85/100)^INDEX(Data!$DD:$DD,$J$4)/(1+INDEX(Data!$M:$M,$J$4))</f>
        <v/>
      </c>
      <c r="Z97" s="17">
        <f>Y97*(1+Z85/100)^INDEX(Data!$DD:$DD,$J$4)/(1+INDEX(Data!$M:$M,$J$4))</f>
        <v/>
      </c>
      <c r="AA97" s="17">
        <f>Z97*(1+AA85/100)^INDEX(Data!$DD:$DD,$J$4)/(1+INDEX(Data!$M:$M,$J$4))</f>
        <v/>
      </c>
      <c r="AB97" s="17">
        <f>AA97*(1+AB85/100)^INDEX(Data!$DD:$DD,$J$4)/(1+INDEX(Data!$M:$M,$J$4))</f>
        <v/>
      </c>
      <c r="AC97" s="17">
        <f>AB97*(1+AC85/100)^INDEX(Data!$DD:$DD,$J$4)/(1+INDEX(Data!$M:$M,$J$4))</f>
        <v/>
      </c>
      <c r="AD97" s="17">
        <f>AC97*(1+AD85/100)^INDEX(Data!$DD:$DD,$J$4)/(1+INDEX(Data!$M:$M,$J$4))</f>
        <v/>
      </c>
      <c r="AE97" s="17">
        <f>AD97*(1+AE85/100)^INDEX(Data!$DD:$DD,$J$4)/(1+INDEX(Data!$M:$M,$J$4))</f>
        <v/>
      </c>
      <c r="AF97" s="17">
        <f>AE97*(1+AF85/100)^INDEX(Data!$DD:$DD,$J$4)/(1+INDEX(Data!$M:$M,$J$4))</f>
        <v/>
      </c>
      <c r="AG97" s="17">
        <f>AF97*(1+AG85/100)^INDEX(Data!$DD:$DD,$J$4)/(1+INDEX(Data!$M:$M,$J$4))</f>
        <v/>
      </c>
      <c r="AH97" s="17">
        <f>AG97*(1+AH85/100)^INDEX(Data!$DD:$DD,$J$4)/(1+INDEX(Data!$M:$M,$J$4))</f>
        <v/>
      </c>
      <c r="AI97" s="17">
        <f>AH97*(1+AI85/100)^INDEX(Data!$DD:$DD,$J$4)/(1+INDEX(Data!$M:$M,$J$4))</f>
        <v/>
      </c>
      <c r="AJ97" s="17">
        <f>AI97*(1+AJ85/100)^INDEX(Data!$DD:$DD,$J$4)/(1+INDEX(Data!$M:$M,$J$4))</f>
        <v/>
      </c>
      <c r="AK97" s="17">
        <f>AJ97*(1+AK85/100)^INDEX(Data!$DD:$DD,$J$4)/(1+INDEX(Data!$M:$M,$J$4))</f>
        <v/>
      </c>
      <c r="AL97" s="17">
        <f>AK97*(1+AL85/100)^INDEX(Data!$DD:$DD,$J$4)/(1+INDEX(Data!$M:$M,$J$4))</f>
        <v/>
      </c>
      <c r="AM97" s="17">
        <f>AL97*(1+AM85/100)^INDEX(Data!$DD:$DD,$J$4)/(1+INDEX(Data!$M:$M,$J$4))</f>
        <v/>
      </c>
      <c r="AN97" s="17">
        <f>AM97*(1+AN85/100)^INDEX(Data!$DD:$DD,$J$4)/(1+INDEX(Data!$M:$M,$J$4))</f>
        <v/>
      </c>
    </row>
    <row r="98">
      <c r="A98" s="9" t="n">
        <v>3</v>
      </c>
      <c r="B98" s="9" t="inlineStr">
        <is>
          <t>ecy</t>
        </is>
      </c>
      <c r="C98" s="9" t="inlineStr">
        <is>
          <t>ind</t>
        </is>
      </c>
      <c r="D98" s="9" t="inlineStr">
        <is>
          <t>Energy service demand</t>
        </is>
      </c>
      <c r="E98" s="9" t="inlineStr">
        <is>
          <t>PJ</t>
        </is>
      </c>
      <c r="F98" s="9" t="inlineStr">
        <is>
          <t>CPAT data</t>
        </is>
      </c>
      <c r="G98" s="18" t="n"/>
      <c r="H98" s="18" t="inlineStr">
        <is>
          <t>mit.act.ecy.ind</t>
        </is>
      </c>
      <c r="I98" s="9" t="n"/>
      <c r="J98" s="9" t="n"/>
      <c r="K98" s="17">
        <f>INDEX(Data!$AU:$AU,$J$4)</f>
        <v/>
      </c>
      <c r="L98" s="17">
        <f>INDEX(Data!$AV:$AV,$J$4)</f>
        <v/>
      </c>
      <c r="M98" s="17">
        <f>INDEX(Data!$AW:$AW,$J$4)</f>
        <v/>
      </c>
      <c r="N98" s="19">
        <f>INDEX(Data!$AT:$AT,$J$4)</f>
        <v/>
      </c>
      <c r="O98" s="17">
        <f>N98*(1+O85/100)^INDEX(Data!$CW:$CW,$J$4)/(1+INDEX(Data!$F:$F,$J$4))</f>
        <v/>
      </c>
      <c r="P98" s="17">
        <f>O98*(1+P85/100)^INDEX(Data!$CW:$CW,$J$4)/(1+INDEX(Data!$F:$F,$J$4))</f>
        <v/>
      </c>
      <c r="Q98" s="17">
        <f>P98*(1+Q85/100)^INDEX(Data!$CW:$CW,$J$4)/(1+INDEX(Data!$F:$F,$J$4))</f>
        <v/>
      </c>
      <c r="R98" s="17">
        <f>Q98*(1+R85/100)^INDEX(Data!$CW:$CW,$J$4)/(1+INDEX(Data!$F:$F,$J$4))</f>
        <v/>
      </c>
      <c r="S98" s="17">
        <f>R98*(1+S85/100)^INDEX(Data!$CW:$CW,$J$4)/(1+INDEX(Data!$F:$F,$J$4))</f>
        <v/>
      </c>
      <c r="T98" s="17">
        <f>S98*(1+T85/100)^INDEX(Data!$CW:$CW,$J$4)/(1+INDEX(Data!$F:$F,$J$4))</f>
        <v/>
      </c>
      <c r="U98" s="17">
        <f>T98*(1+U85/100)^INDEX(Data!$CW:$CW,$J$4)/(1+INDEX(Data!$F:$F,$J$4))</f>
        <v/>
      </c>
      <c r="V98" s="17">
        <f>U98*(1+V85/100)^INDEX(Data!$CW:$CW,$J$4)/(1+INDEX(Data!$F:$F,$J$4))</f>
        <v/>
      </c>
      <c r="W98" s="17">
        <f>V98*(1+W85/100)^INDEX(Data!$CW:$CW,$J$4)/(1+INDEX(Data!$F:$F,$J$4))</f>
        <v/>
      </c>
      <c r="X98" s="17">
        <f>W98*(1+X85/100)^INDEX(Data!$CW:$CW,$J$4)/(1+INDEX(Data!$F:$F,$J$4))</f>
        <v/>
      </c>
      <c r="Y98" s="17">
        <f>X98*(1+Y85/100)^INDEX(Data!$CW:$CW,$J$4)/(1+INDEX(Data!$F:$F,$J$4))</f>
        <v/>
      </c>
      <c r="Z98" s="17">
        <f>Y98*(1+Z85/100)^INDEX(Data!$CW:$CW,$J$4)/(1+INDEX(Data!$F:$F,$J$4))</f>
        <v/>
      </c>
      <c r="AA98" s="17">
        <f>Z98*(1+AA85/100)^INDEX(Data!$CW:$CW,$J$4)/(1+INDEX(Data!$F:$F,$J$4))</f>
        <v/>
      </c>
      <c r="AB98" s="17">
        <f>AA98*(1+AB85/100)^INDEX(Data!$CW:$CW,$J$4)/(1+INDEX(Data!$F:$F,$J$4))</f>
        <v/>
      </c>
      <c r="AC98" s="17">
        <f>AB98*(1+AC85/100)^INDEX(Data!$CW:$CW,$J$4)/(1+INDEX(Data!$F:$F,$J$4))</f>
        <v/>
      </c>
      <c r="AD98" s="17">
        <f>AC98*(1+AD85/100)^INDEX(Data!$CW:$CW,$J$4)/(1+INDEX(Data!$F:$F,$J$4))</f>
        <v/>
      </c>
      <c r="AE98" s="17">
        <f>AD98*(1+AE85/100)^INDEX(Data!$CW:$CW,$J$4)/(1+INDEX(Data!$F:$F,$J$4))</f>
        <v/>
      </c>
      <c r="AF98" s="17">
        <f>AE98*(1+AF85/100)^INDEX(Data!$CW:$CW,$J$4)/(1+INDEX(Data!$F:$F,$J$4))</f>
        <v/>
      </c>
      <c r="AG98" s="17">
        <f>AF98*(1+AG85/100)^INDEX(Data!$CW:$CW,$J$4)/(1+INDEX(Data!$F:$F,$J$4))</f>
        <v/>
      </c>
      <c r="AH98" s="17">
        <f>AG98*(1+AH85/100)^INDEX(Data!$CW:$CW,$J$4)/(1+INDEX(Data!$F:$F,$J$4))</f>
        <v/>
      </c>
      <c r="AI98" s="17">
        <f>AH98*(1+AI85/100)^INDEX(Data!$CW:$CW,$J$4)/(1+INDEX(Data!$F:$F,$J$4))</f>
        <v/>
      </c>
      <c r="AJ98" s="17">
        <f>AI98*(1+AJ85/100)^INDEX(Data!$CW:$CW,$J$4)/(1+INDEX(Data!$F:$F,$J$4))</f>
        <v/>
      </c>
      <c r="AK98" s="17">
        <f>AJ98*(1+AK85/100)^INDEX(Data!$CW:$CW,$J$4)/(1+INDEX(Data!$F:$F,$J$4))</f>
        <v/>
      </c>
      <c r="AL98" s="17">
        <f>AK98*(1+AL85/100)^INDEX(Data!$CW:$CW,$J$4)/(1+INDEX(Data!$F:$F,$J$4))</f>
        <v/>
      </c>
      <c r="AM98" s="17">
        <f>AL98*(1+AM85/100)^INDEX(Data!$CW:$CW,$J$4)/(1+INDEX(Data!$F:$F,$J$4))</f>
        <v/>
      </c>
      <c r="AN98" s="17">
        <f>AM98*(1+AN85/100)^INDEX(Data!$CW:$CW,$J$4)/(1+INDEX(Data!$F:$F,$J$4))</f>
        <v/>
      </c>
    </row>
    <row r="99">
      <c r="A99" s="12" t="inlineStr">
        <is>
          <t>4. Road transport</t>
        </is>
      </c>
      <c r="B99" s="13" t="n"/>
      <c r="C99" s="13" t="n"/>
      <c r="D99" s="13" t="n"/>
      <c r="E99" s="13" t="n"/>
      <c r="F99" s="13" t="n"/>
      <c r="G99" s="13" t="n"/>
      <c r="H99" s="13" t="n"/>
      <c r="I99" s="13" t="n"/>
      <c r="J99" s="13"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c r="AE99" s="16" t="n"/>
      <c r="AF99" s="16" t="n"/>
      <c r="AG99" s="16" t="n"/>
      <c r="AH99" s="16" t="n"/>
      <c r="AI99" s="16" t="n"/>
      <c r="AJ99" s="16" t="n"/>
      <c r="AK99" s="16" t="n"/>
      <c r="AL99" s="16" t="n"/>
      <c r="AM99" s="16" t="n"/>
      <c r="AN99" s="16" t="n"/>
    </row>
    <row r="100">
      <c r="A100" s="9" t="n">
        <v>4</v>
      </c>
      <c r="B100" s="9" t="inlineStr"/>
      <c r="C100" s="9" t="inlineStr">
        <is>
          <t>rod</t>
        </is>
      </c>
      <c r="D100" s="9" t="inlineStr">
        <is>
          <t>Vehicle stock (car-equivalent)</t>
        </is>
      </c>
      <c r="E100" s="9" t="inlineStr">
        <is>
          <t>million</t>
        </is>
      </c>
      <c r="F100" s="9" t="inlineStr">
        <is>
          <t>Model</t>
        </is>
      </c>
      <c r="G100" s="18" t="n"/>
      <c r="H100" s="18" t="inlineStr">
        <is>
          <t>mit.veh.stock</t>
        </is>
      </c>
      <c r="I100" s="9" t="n"/>
      <c r="J100" s="9" t="n"/>
      <c r="K100" s="17" t="n"/>
      <c r="L100" s="17" t="n"/>
      <c r="M100" s="17" t="n"/>
      <c r="N100" s="19">
        <f>(N88+N89)/p_veh_gj</f>
        <v/>
      </c>
      <c r="O100" s="17">
        <f>(O88+O89)/p_veh_gj</f>
        <v/>
      </c>
      <c r="P100" s="17">
        <f>(P88+P89)/p_veh_gj</f>
        <v/>
      </c>
      <c r="Q100" s="17">
        <f>(Q88+Q89)/p_veh_gj</f>
        <v/>
      </c>
      <c r="R100" s="17">
        <f>(R88+R89)/p_veh_gj</f>
        <v/>
      </c>
      <c r="S100" s="17">
        <f>(S88+S89)/p_veh_gj</f>
        <v/>
      </c>
      <c r="T100" s="17">
        <f>(T88+T89)/p_veh_gj</f>
        <v/>
      </c>
      <c r="U100" s="17">
        <f>(U88+U89)/p_veh_gj</f>
        <v/>
      </c>
      <c r="V100" s="17">
        <f>(V88+V89)/p_veh_gj</f>
        <v/>
      </c>
      <c r="W100" s="17">
        <f>(W88+W89)/p_veh_gj</f>
        <v/>
      </c>
      <c r="X100" s="17">
        <f>(X88+X89)/p_veh_gj</f>
        <v/>
      </c>
      <c r="Y100" s="17">
        <f>(Y88+Y89)/p_veh_gj</f>
        <v/>
      </c>
      <c r="Z100" s="17">
        <f>(Z88+Z89)/p_veh_gj</f>
        <v/>
      </c>
      <c r="AA100" s="17">
        <f>(AA88+AA89)/p_veh_gj</f>
        <v/>
      </c>
      <c r="AB100" s="17">
        <f>(AB88+AB89)/p_veh_gj</f>
        <v/>
      </c>
      <c r="AC100" s="17">
        <f>(AC88+AC89)/p_veh_gj</f>
        <v/>
      </c>
      <c r="AD100" s="17">
        <f>(AD88+AD89)/p_veh_gj</f>
        <v/>
      </c>
      <c r="AE100" s="17">
        <f>(AE88+AE89)/p_veh_gj</f>
        <v/>
      </c>
      <c r="AF100" s="17">
        <f>(AF88+AF89)/p_veh_gj</f>
        <v/>
      </c>
      <c r="AG100" s="17">
        <f>(AG88+AG89)/p_veh_gj</f>
        <v/>
      </c>
      <c r="AH100" s="17">
        <f>(AH88+AH89)/p_veh_gj</f>
        <v/>
      </c>
      <c r="AI100" s="17">
        <f>(AI88+AI89)/p_veh_gj</f>
        <v/>
      </c>
      <c r="AJ100" s="17">
        <f>(AJ88+AJ89)/p_veh_gj</f>
        <v/>
      </c>
      <c r="AK100" s="17">
        <f>(AK88+AK89)/p_veh_gj</f>
        <v/>
      </c>
      <c r="AL100" s="17">
        <f>(AL88+AL89)/p_veh_gj</f>
        <v/>
      </c>
      <c r="AM100" s="17">
        <f>(AM88+AM89)/p_veh_gj</f>
        <v/>
      </c>
      <c r="AN100" s="17">
        <f>(AN88+AN89)/p_veh_gj</f>
        <v/>
      </c>
    </row>
    <row r="101">
      <c r="A101" s="9" t="n">
        <v>4</v>
      </c>
      <c r="B101" s="9" t="inlineStr"/>
      <c r="C101" s="9" t="inlineStr">
        <is>
          <t>rod</t>
        </is>
      </c>
      <c r="D101" s="9" t="inlineStr">
        <is>
          <t>Vehicle sales</t>
        </is>
      </c>
      <c r="E101" s="9" t="inlineStr">
        <is>
          <t>million</t>
        </is>
      </c>
      <c r="F101" s="9" t="inlineStr">
        <is>
          <t>Model</t>
        </is>
      </c>
      <c r="G101" s="18" t="n"/>
      <c r="H101" s="18" t="inlineStr">
        <is>
          <t>mit.veh.sales</t>
        </is>
      </c>
      <c r="I101" s="9" t="n"/>
      <c r="J101" s="9" t="n"/>
      <c r="K101" s="17" t="n"/>
      <c r="L101" s="17" t="n"/>
      <c r="M101" s="17" t="n"/>
      <c r="N101" s="19">
        <f>N100/p_veh_life</f>
        <v/>
      </c>
      <c r="O101" s="17">
        <f>O100/p_veh_life+MAX(0,O100-N100)</f>
        <v/>
      </c>
      <c r="P101" s="17">
        <f>P100/p_veh_life+MAX(0,P100-O100)</f>
        <v/>
      </c>
      <c r="Q101" s="17">
        <f>Q100/p_veh_life+MAX(0,Q100-P100)</f>
        <v/>
      </c>
      <c r="R101" s="17">
        <f>R100/p_veh_life+MAX(0,R100-Q100)</f>
        <v/>
      </c>
      <c r="S101" s="17">
        <f>S100/p_veh_life+MAX(0,S100-R100)</f>
        <v/>
      </c>
      <c r="T101" s="17">
        <f>T100/p_veh_life+MAX(0,T100-S100)</f>
        <v/>
      </c>
      <c r="U101" s="17">
        <f>U100/p_veh_life+MAX(0,U100-T100)</f>
        <v/>
      </c>
      <c r="V101" s="17">
        <f>V100/p_veh_life+MAX(0,V100-U100)</f>
        <v/>
      </c>
      <c r="W101" s="17">
        <f>W100/p_veh_life+MAX(0,W100-V100)</f>
        <v/>
      </c>
      <c r="X101" s="17">
        <f>X100/p_veh_life+MAX(0,X100-W100)</f>
        <v/>
      </c>
      <c r="Y101" s="17">
        <f>Y100/p_veh_life+MAX(0,Y100-X100)</f>
        <v/>
      </c>
      <c r="Z101" s="17">
        <f>Z100/p_veh_life+MAX(0,Z100-Y100)</f>
        <v/>
      </c>
      <c r="AA101" s="17">
        <f>AA100/p_veh_life+MAX(0,AA100-Z100)</f>
        <v/>
      </c>
      <c r="AB101" s="17">
        <f>AB100/p_veh_life+MAX(0,AB100-AA100)</f>
        <v/>
      </c>
      <c r="AC101" s="17">
        <f>AC100/p_veh_life+MAX(0,AC100-AB100)</f>
        <v/>
      </c>
      <c r="AD101" s="17">
        <f>AD100/p_veh_life+MAX(0,AD100-AC100)</f>
        <v/>
      </c>
      <c r="AE101" s="17">
        <f>AE100/p_veh_life+MAX(0,AE100-AD100)</f>
        <v/>
      </c>
      <c r="AF101" s="17">
        <f>AF100/p_veh_life+MAX(0,AF100-AE100)</f>
        <v/>
      </c>
      <c r="AG101" s="17">
        <f>AG100/p_veh_life+MAX(0,AG100-AF100)</f>
        <v/>
      </c>
      <c r="AH101" s="17">
        <f>AH100/p_veh_life+MAX(0,AH100-AG100)</f>
        <v/>
      </c>
      <c r="AI101" s="17">
        <f>AI100/p_veh_life+MAX(0,AI100-AH100)</f>
        <v/>
      </c>
      <c r="AJ101" s="17">
        <f>AJ100/p_veh_life+MAX(0,AJ100-AI100)</f>
        <v/>
      </c>
      <c r="AK101" s="17">
        <f>AK100/p_veh_life+MAX(0,AK100-AJ100)</f>
        <v/>
      </c>
      <c r="AL101" s="17">
        <f>AL100/p_veh_life+MAX(0,AL100-AK100)</f>
        <v/>
      </c>
      <c r="AM101" s="17">
        <f>AM100/p_veh_life+MAX(0,AM100-AL100)</f>
        <v/>
      </c>
      <c r="AN101" s="17">
        <f>AN100/p_veh_life+MAX(0,AN100-AM100)</f>
        <v/>
      </c>
    </row>
    <row r="102">
      <c r="A102" s="9" t="n">
        <v>4</v>
      </c>
      <c r="B102" s="9" t="inlineStr"/>
      <c r="C102" s="9" t="inlineStr">
        <is>
          <t>rod</t>
        </is>
      </c>
      <c r="D102" s="9" t="inlineStr">
        <is>
          <t>EV premium incl. nothing for charging</t>
        </is>
      </c>
      <c r="E102" s="9" t="inlineStr">
        <is>
          <t>USD/vehicle</t>
        </is>
      </c>
      <c r="F102" s="9" t="inlineStr">
        <is>
          <t>Model</t>
        </is>
      </c>
      <c r="G102" s="18" t="n"/>
      <c r="H102" s="18" t="inlineStr">
        <is>
          <t>mit.ev.prem</t>
        </is>
      </c>
      <c r="I102" s="9" t="n"/>
      <c r="J102" s="9" t="n"/>
      <c r="K102" s="17" t="n"/>
      <c r="L102" s="17" t="n"/>
      <c r="M102" s="17" t="n"/>
      <c r="N102" s="19">
        <f>p_ev_prem24</f>
        <v/>
      </c>
      <c r="O102" s="17">
        <f>MAX(0,p_ev_prem24*(1-(O$1-2024)/(p_ev_parity-2024)))</f>
        <v/>
      </c>
      <c r="P102" s="17">
        <f>MAX(0,p_ev_prem24*(1-(P$1-2024)/(p_ev_parity-2024)))</f>
        <v/>
      </c>
      <c r="Q102" s="17">
        <f>MAX(0,p_ev_prem24*(1-(Q$1-2024)/(p_ev_parity-2024)))</f>
        <v/>
      </c>
      <c r="R102" s="17">
        <f>MAX(0,p_ev_prem24*(1-(R$1-2024)/(p_ev_parity-2024)))</f>
        <v/>
      </c>
      <c r="S102" s="17">
        <f>MAX(0,p_ev_prem24*(1-(S$1-2024)/(p_ev_parity-2024)))</f>
        <v/>
      </c>
      <c r="T102" s="17">
        <f>MAX(0,p_ev_prem24*(1-(T$1-2024)/(p_ev_parity-2024)))</f>
        <v/>
      </c>
      <c r="U102" s="17">
        <f>MAX(0,p_ev_prem24*(1-(U$1-2024)/(p_ev_parity-2024)))</f>
        <v/>
      </c>
      <c r="V102" s="17">
        <f>MAX(0,p_ev_prem24*(1-(V$1-2024)/(p_ev_parity-2024)))</f>
        <v/>
      </c>
      <c r="W102" s="17">
        <f>MAX(0,p_ev_prem24*(1-(W$1-2024)/(p_ev_parity-2024)))</f>
        <v/>
      </c>
      <c r="X102" s="17">
        <f>MAX(0,p_ev_prem24*(1-(X$1-2024)/(p_ev_parity-2024)))</f>
        <v/>
      </c>
      <c r="Y102" s="17">
        <f>MAX(0,p_ev_prem24*(1-(Y$1-2024)/(p_ev_parity-2024)))</f>
        <v/>
      </c>
      <c r="Z102" s="17">
        <f>MAX(0,p_ev_prem24*(1-(Z$1-2024)/(p_ev_parity-2024)))</f>
        <v/>
      </c>
      <c r="AA102" s="17">
        <f>MAX(0,p_ev_prem24*(1-(AA$1-2024)/(p_ev_parity-2024)))</f>
        <v/>
      </c>
      <c r="AB102" s="17">
        <f>MAX(0,p_ev_prem24*(1-(AB$1-2024)/(p_ev_parity-2024)))</f>
        <v/>
      </c>
      <c r="AC102" s="17">
        <f>MAX(0,p_ev_prem24*(1-(AC$1-2024)/(p_ev_parity-2024)))</f>
        <v/>
      </c>
      <c r="AD102" s="17">
        <f>MAX(0,p_ev_prem24*(1-(AD$1-2024)/(p_ev_parity-2024)))</f>
        <v/>
      </c>
      <c r="AE102" s="17">
        <f>MAX(0,p_ev_prem24*(1-(AE$1-2024)/(p_ev_parity-2024)))</f>
        <v/>
      </c>
      <c r="AF102" s="17">
        <f>MAX(0,p_ev_prem24*(1-(AF$1-2024)/(p_ev_parity-2024)))</f>
        <v/>
      </c>
      <c r="AG102" s="17">
        <f>MAX(0,p_ev_prem24*(1-(AG$1-2024)/(p_ev_parity-2024)))</f>
        <v/>
      </c>
      <c r="AH102" s="17">
        <f>MAX(0,p_ev_prem24*(1-(AH$1-2024)/(p_ev_parity-2024)))</f>
        <v/>
      </c>
      <c r="AI102" s="17">
        <f>MAX(0,p_ev_prem24*(1-(AI$1-2024)/(p_ev_parity-2024)))</f>
        <v/>
      </c>
      <c r="AJ102" s="17">
        <f>MAX(0,p_ev_prem24*(1-(AJ$1-2024)/(p_ev_parity-2024)))</f>
        <v/>
      </c>
      <c r="AK102" s="17">
        <f>MAX(0,p_ev_prem24*(1-(AK$1-2024)/(p_ev_parity-2024)))</f>
        <v/>
      </c>
      <c r="AL102" s="17">
        <f>MAX(0,p_ev_prem24*(1-(AL$1-2024)/(p_ev_parity-2024)))</f>
        <v/>
      </c>
      <c r="AM102" s="17">
        <f>MAX(0,p_ev_prem24*(1-(AM$1-2024)/(p_ev_parity-2024)))</f>
        <v/>
      </c>
      <c r="AN102" s="17">
        <f>MAX(0,p_ev_prem24*(1-(AN$1-2024)/(p_ev_parity-2024)))</f>
        <v/>
      </c>
    </row>
    <row r="103">
      <c r="A103" s="9" t="n">
        <v>4</v>
      </c>
      <c r="B103" s="9" t="inlineStr">
        <is>
          <t>ecy</t>
        </is>
      </c>
      <c r="C103" s="9" t="inlineStr">
        <is>
          <t>rod</t>
        </is>
      </c>
      <c r="D103" s="9" t="inlineStr">
        <is>
          <t>EV share of sales</t>
        </is>
      </c>
      <c r="E103" s="9" t="inlineStr">
        <is>
          <t>share</t>
        </is>
      </c>
      <c r="F103" s="9" t="inlineStr">
        <is>
          <t>Model</t>
        </is>
      </c>
      <c r="G103" s="18" t="n"/>
      <c r="H103" s="18" t="inlineStr">
        <is>
          <t>mit.ev.shs.1</t>
        </is>
      </c>
      <c r="I103" s="9" t="n"/>
      <c r="J103" s="9" t="n"/>
      <c r="K103" s="17" t="n"/>
      <c r="L103" s="17" t="n"/>
      <c r="M103" s="17" t="n"/>
      <c r="N103" s="19">
        <f>$J$17</f>
        <v/>
      </c>
      <c r="O103" s="17">
        <f>IF(O$1&gt;=2035,$J$18,$J$17+($J$18-$J$17)*(O$1-2024)/11)</f>
        <v/>
      </c>
      <c r="P103" s="17">
        <f>IF(P$1&gt;=2035,$J$18,$J$17+($J$18-$J$17)*(P$1-2024)/11)</f>
        <v/>
      </c>
      <c r="Q103" s="17">
        <f>IF(Q$1&gt;=2035,$J$18,$J$17+($J$18-$J$17)*(Q$1-2024)/11)</f>
        <v/>
      </c>
      <c r="R103" s="17">
        <f>IF(R$1&gt;=2035,$J$18,$J$17+($J$18-$J$17)*(R$1-2024)/11)</f>
        <v/>
      </c>
      <c r="S103" s="17">
        <f>IF(S$1&gt;=2035,$J$18,$J$17+($J$18-$J$17)*(S$1-2024)/11)</f>
        <v/>
      </c>
      <c r="T103" s="17">
        <f>IF(T$1&gt;=2035,$J$18,$J$17+($J$18-$J$17)*(T$1-2024)/11)</f>
        <v/>
      </c>
      <c r="U103" s="17">
        <f>IF(U$1&gt;=2035,$J$18,$J$17+($J$18-$J$17)*(U$1-2024)/11)</f>
        <v/>
      </c>
      <c r="V103" s="17">
        <f>IF(V$1&gt;=2035,$J$18,$J$17+($J$18-$J$17)*(V$1-2024)/11)</f>
        <v/>
      </c>
      <c r="W103" s="17">
        <f>IF(W$1&gt;=2035,$J$18,$J$17+($J$18-$J$17)*(W$1-2024)/11)</f>
        <v/>
      </c>
      <c r="X103" s="17">
        <f>IF(X$1&gt;=2035,$J$18,$J$17+($J$18-$J$17)*(X$1-2024)/11)</f>
        <v/>
      </c>
      <c r="Y103" s="17">
        <f>IF(Y$1&gt;=2035,$J$18,$J$17+($J$18-$J$17)*(Y$1-2024)/11)</f>
        <v/>
      </c>
      <c r="Z103" s="17">
        <f>IF(Z$1&gt;=2035,$J$18,$J$17+($J$18-$J$17)*(Z$1-2024)/11)</f>
        <v/>
      </c>
      <c r="AA103" s="17">
        <f>IF(AA$1&gt;=2035,$J$18,$J$17+($J$18-$J$17)*(AA$1-2024)/11)</f>
        <v/>
      </c>
      <c r="AB103" s="17">
        <f>IF(AB$1&gt;=2035,$J$18,$J$17+($J$18-$J$17)*(AB$1-2024)/11)</f>
        <v/>
      </c>
      <c r="AC103" s="17">
        <f>IF(AC$1&gt;=2035,$J$18,$J$17+($J$18-$J$17)*(AC$1-2024)/11)</f>
        <v/>
      </c>
      <c r="AD103" s="17">
        <f>IF(AD$1&gt;=2035,$J$18,$J$17+($J$18-$J$17)*(AD$1-2024)/11)</f>
        <v/>
      </c>
      <c r="AE103" s="17">
        <f>IF(AE$1&gt;=2035,$J$18,$J$17+($J$18-$J$17)*(AE$1-2024)/11)</f>
        <v/>
      </c>
      <c r="AF103" s="17">
        <f>IF(AF$1&gt;=2035,$J$18,$J$17+($J$18-$J$17)*(AF$1-2024)/11)</f>
        <v/>
      </c>
      <c r="AG103" s="17">
        <f>IF(AG$1&gt;=2035,$J$18,$J$17+($J$18-$J$17)*(AG$1-2024)/11)</f>
        <v/>
      </c>
      <c r="AH103" s="17">
        <f>IF(AH$1&gt;=2035,$J$18,$J$17+($J$18-$J$17)*(AH$1-2024)/11)</f>
        <v/>
      </c>
      <c r="AI103" s="17">
        <f>IF(AI$1&gt;=2035,$J$18,$J$17+($J$18-$J$17)*(AI$1-2024)/11)</f>
        <v/>
      </c>
      <c r="AJ103" s="17">
        <f>IF(AJ$1&gt;=2035,$J$18,$J$17+($J$18-$J$17)*(AJ$1-2024)/11)</f>
        <v/>
      </c>
      <c r="AK103" s="17">
        <f>IF(AK$1&gt;=2035,$J$18,$J$17+($J$18-$J$17)*(AK$1-2024)/11)</f>
        <v/>
      </c>
      <c r="AL103" s="17">
        <f>IF(AL$1&gt;=2035,$J$18,$J$17+($J$18-$J$17)*(AL$1-2024)/11)</f>
        <v/>
      </c>
      <c r="AM103" s="17">
        <f>IF(AM$1&gt;=2035,$J$18,$J$17+($J$18-$J$17)*(AM$1-2024)/11)</f>
        <v/>
      </c>
      <c r="AN103" s="17">
        <f>IF(AN$1&gt;=2035,$J$18,$J$17+($J$18-$J$17)*(AN$1-2024)/11)</f>
        <v/>
      </c>
    </row>
    <row r="104">
      <c r="A104" s="9" t="n">
        <v>4</v>
      </c>
      <c r="B104" s="9" t="inlineStr">
        <is>
          <t>ecy</t>
        </is>
      </c>
      <c r="C104" s="9" t="inlineStr">
        <is>
          <t>rod</t>
        </is>
      </c>
      <c r="D104" s="9" t="inlineStr">
        <is>
          <t>EV share of stock</t>
        </is>
      </c>
      <c r="E104" s="9" t="inlineStr">
        <is>
          <t>share</t>
        </is>
      </c>
      <c r="F104" s="9" t="inlineStr">
        <is>
          <t>Model</t>
        </is>
      </c>
      <c r="G104" s="18" t="n"/>
      <c r="H104" s="18" t="inlineStr">
        <is>
          <t>mit.ev.stk.1</t>
        </is>
      </c>
      <c r="I104" s="9" t="n"/>
      <c r="J104" s="9" t="n"/>
      <c r="K104" s="17" t="n"/>
      <c r="L104" s="17" t="n"/>
      <c r="M104" s="17" t="n"/>
      <c r="N104" s="19">
        <f>$J$19</f>
        <v/>
      </c>
      <c r="O104" s="17">
        <f>N104*(1-1/p_veh_life)+O103/p_veh_life</f>
        <v/>
      </c>
      <c r="P104" s="17">
        <f>O104*(1-1/p_veh_life)+P103/p_veh_life</f>
        <v/>
      </c>
      <c r="Q104" s="17">
        <f>P104*(1-1/p_veh_life)+Q103/p_veh_life</f>
        <v/>
      </c>
      <c r="R104" s="17">
        <f>Q104*(1-1/p_veh_life)+R103/p_veh_life</f>
        <v/>
      </c>
      <c r="S104" s="17">
        <f>R104*(1-1/p_veh_life)+S103/p_veh_life</f>
        <v/>
      </c>
      <c r="T104" s="17">
        <f>S104*(1-1/p_veh_life)+T103/p_veh_life</f>
        <v/>
      </c>
      <c r="U104" s="17">
        <f>T104*(1-1/p_veh_life)+U103/p_veh_life</f>
        <v/>
      </c>
      <c r="V104" s="17">
        <f>U104*(1-1/p_veh_life)+V103/p_veh_life</f>
        <v/>
      </c>
      <c r="W104" s="17">
        <f>V104*(1-1/p_veh_life)+W103/p_veh_life</f>
        <v/>
      </c>
      <c r="X104" s="17">
        <f>W104*(1-1/p_veh_life)+X103/p_veh_life</f>
        <v/>
      </c>
      <c r="Y104" s="17">
        <f>X104*(1-1/p_veh_life)+Y103/p_veh_life</f>
        <v/>
      </c>
      <c r="Z104" s="17">
        <f>Y104*(1-1/p_veh_life)+Z103/p_veh_life</f>
        <v/>
      </c>
      <c r="AA104" s="17">
        <f>Z104*(1-1/p_veh_life)+AA103/p_veh_life</f>
        <v/>
      </c>
      <c r="AB104" s="17">
        <f>AA104*(1-1/p_veh_life)+AB103/p_veh_life</f>
        <v/>
      </c>
      <c r="AC104" s="17">
        <f>AB104*(1-1/p_veh_life)+AC103/p_veh_life</f>
        <v/>
      </c>
      <c r="AD104" s="17">
        <f>AC104*(1-1/p_veh_life)+AD103/p_veh_life</f>
        <v/>
      </c>
      <c r="AE104" s="17">
        <f>AD104*(1-1/p_veh_life)+AE103/p_veh_life</f>
        <v/>
      </c>
      <c r="AF104" s="17">
        <f>AE104*(1-1/p_veh_life)+AF103/p_veh_life</f>
        <v/>
      </c>
      <c r="AG104" s="17">
        <f>AF104*(1-1/p_veh_life)+AG103/p_veh_life</f>
        <v/>
      </c>
      <c r="AH104" s="17">
        <f>AG104*(1-1/p_veh_life)+AH103/p_veh_life</f>
        <v/>
      </c>
      <c r="AI104" s="17">
        <f>AH104*(1-1/p_veh_life)+AI103/p_veh_life</f>
        <v/>
      </c>
      <c r="AJ104" s="17">
        <f>AI104*(1-1/p_veh_life)+AJ103/p_veh_life</f>
        <v/>
      </c>
      <c r="AK104" s="17">
        <f>AJ104*(1-1/p_veh_life)+AK103/p_veh_life</f>
        <v/>
      </c>
      <c r="AL104" s="17">
        <f>AK104*(1-1/p_veh_life)+AL103/p_veh_life</f>
        <v/>
      </c>
      <c r="AM104" s="17">
        <f>AL104*(1-1/p_veh_life)+AM103/p_veh_life</f>
        <v/>
      </c>
      <c r="AN104" s="17">
        <f>AM104*(1-1/p_veh_life)+AN103/p_veh_life</f>
        <v/>
      </c>
    </row>
    <row r="105">
      <c r="A105" s="9" t="n">
        <v>4</v>
      </c>
      <c r="B105" s="9" t="inlineStr">
        <is>
          <t>gso</t>
        </is>
      </c>
      <c r="C105" s="9" t="inlineStr">
        <is>
          <t>rod</t>
        </is>
      </c>
      <c r="D105" s="9" t="inlineStr">
        <is>
          <t>Fossil fuel use</t>
        </is>
      </c>
      <c r="E105" s="9" t="inlineStr">
        <is>
          <t>PJ</t>
        </is>
      </c>
      <c r="F105" s="9" t="inlineStr">
        <is>
          <t>Model</t>
        </is>
      </c>
      <c r="G105" s="18" t="n"/>
      <c r="H105" s="18" t="inlineStr">
        <is>
          <t>mit.con.gso.rod.1</t>
        </is>
      </c>
      <c r="I105" s="9" t="n"/>
      <c r="J105" s="9" t="n"/>
      <c r="K105" s="17" t="n"/>
      <c r="L105" s="17" t="n"/>
      <c r="M105" s="17" t="n"/>
      <c r="N105" s="19">
        <f>N88*(1-N104)</f>
        <v/>
      </c>
      <c r="O105" s="17">
        <f>O88*(1-O104)</f>
        <v/>
      </c>
      <c r="P105" s="17">
        <f>P88*(1-P104)</f>
        <v/>
      </c>
      <c r="Q105" s="17">
        <f>Q88*(1-Q104)</f>
        <v/>
      </c>
      <c r="R105" s="17">
        <f>R88*(1-R104)</f>
        <v/>
      </c>
      <c r="S105" s="17">
        <f>S88*(1-S104)</f>
        <v/>
      </c>
      <c r="T105" s="17">
        <f>T88*(1-T104)</f>
        <v/>
      </c>
      <c r="U105" s="17">
        <f>U88*(1-U104)</f>
        <v/>
      </c>
      <c r="V105" s="17">
        <f>V88*(1-V104)</f>
        <v/>
      </c>
      <c r="W105" s="17">
        <f>W88*(1-W104)</f>
        <v/>
      </c>
      <c r="X105" s="17">
        <f>X88*(1-X104)</f>
        <v/>
      </c>
      <c r="Y105" s="17">
        <f>Y88*(1-Y104)</f>
        <v/>
      </c>
      <c r="Z105" s="17">
        <f>Z88*(1-Z104)</f>
        <v/>
      </c>
      <c r="AA105" s="17">
        <f>AA88*(1-AA104)</f>
        <v/>
      </c>
      <c r="AB105" s="17">
        <f>AB88*(1-AB104)</f>
        <v/>
      </c>
      <c r="AC105" s="17">
        <f>AC88*(1-AC104)</f>
        <v/>
      </c>
      <c r="AD105" s="17">
        <f>AD88*(1-AD104)</f>
        <v/>
      </c>
      <c r="AE105" s="17">
        <f>AE88*(1-AE104)</f>
        <v/>
      </c>
      <c r="AF105" s="17">
        <f>AF88*(1-AF104)</f>
        <v/>
      </c>
      <c r="AG105" s="17">
        <f>AG88*(1-AG104)</f>
        <v/>
      </c>
      <c r="AH105" s="17">
        <f>AH88*(1-AH104)</f>
        <v/>
      </c>
      <c r="AI105" s="17">
        <f>AI88*(1-AI104)</f>
        <v/>
      </c>
      <c r="AJ105" s="17">
        <f>AJ88*(1-AJ104)</f>
        <v/>
      </c>
      <c r="AK105" s="17">
        <f>AK88*(1-AK104)</f>
        <v/>
      </c>
      <c r="AL105" s="17">
        <f>AL88*(1-AL104)</f>
        <v/>
      </c>
      <c r="AM105" s="17">
        <f>AM88*(1-AM104)</f>
        <v/>
      </c>
      <c r="AN105" s="17">
        <f>AN88*(1-AN104)</f>
        <v/>
      </c>
    </row>
    <row r="106">
      <c r="A106" s="9" t="n">
        <v>4</v>
      </c>
      <c r="B106" s="9" t="inlineStr">
        <is>
          <t>die</t>
        </is>
      </c>
      <c r="C106" s="9" t="inlineStr">
        <is>
          <t>rod</t>
        </is>
      </c>
      <c r="D106" s="9" t="inlineStr">
        <is>
          <t>Fossil fuel use</t>
        </is>
      </c>
      <c r="E106" s="9" t="inlineStr">
        <is>
          <t>PJ</t>
        </is>
      </c>
      <c r="F106" s="9" t="inlineStr">
        <is>
          <t>Model</t>
        </is>
      </c>
      <c r="G106" s="18" t="n"/>
      <c r="H106" s="18" t="inlineStr">
        <is>
          <t>mit.con.die.rod.1</t>
        </is>
      </c>
      <c r="I106" s="9" t="n"/>
      <c r="J106" s="9" t="n"/>
      <c r="K106" s="17" t="n"/>
      <c r="L106" s="17" t="n"/>
      <c r="M106" s="17" t="n"/>
      <c r="N106" s="19">
        <f>N89*(1-N104)</f>
        <v/>
      </c>
      <c r="O106" s="17">
        <f>O89*(1-O104)</f>
        <v/>
      </c>
      <c r="P106" s="17">
        <f>P89*(1-P104)</f>
        <v/>
      </c>
      <c r="Q106" s="17">
        <f>Q89*(1-Q104)</f>
        <v/>
      </c>
      <c r="R106" s="17">
        <f>R89*(1-R104)</f>
        <v/>
      </c>
      <c r="S106" s="17">
        <f>S89*(1-S104)</f>
        <v/>
      </c>
      <c r="T106" s="17">
        <f>T89*(1-T104)</f>
        <v/>
      </c>
      <c r="U106" s="17">
        <f>U89*(1-U104)</f>
        <v/>
      </c>
      <c r="V106" s="17">
        <f>V89*(1-V104)</f>
        <v/>
      </c>
      <c r="W106" s="17">
        <f>W89*(1-W104)</f>
        <v/>
      </c>
      <c r="X106" s="17">
        <f>X89*(1-X104)</f>
        <v/>
      </c>
      <c r="Y106" s="17">
        <f>Y89*(1-Y104)</f>
        <v/>
      </c>
      <c r="Z106" s="17">
        <f>Z89*(1-Z104)</f>
        <v/>
      </c>
      <c r="AA106" s="17">
        <f>AA89*(1-AA104)</f>
        <v/>
      </c>
      <c r="AB106" s="17">
        <f>AB89*(1-AB104)</f>
        <v/>
      </c>
      <c r="AC106" s="17">
        <f>AC89*(1-AC104)</f>
        <v/>
      </c>
      <c r="AD106" s="17">
        <f>AD89*(1-AD104)</f>
        <v/>
      </c>
      <c r="AE106" s="17">
        <f>AE89*(1-AE104)</f>
        <v/>
      </c>
      <c r="AF106" s="17">
        <f>AF89*(1-AF104)</f>
        <v/>
      </c>
      <c r="AG106" s="17">
        <f>AG89*(1-AG104)</f>
        <v/>
      </c>
      <c r="AH106" s="17">
        <f>AH89*(1-AH104)</f>
        <v/>
      </c>
      <c r="AI106" s="17">
        <f>AI89*(1-AI104)</f>
        <v/>
      </c>
      <c r="AJ106" s="17">
        <f>AJ89*(1-AJ104)</f>
        <v/>
      </c>
      <c r="AK106" s="17">
        <f>AK89*(1-AK104)</f>
        <v/>
      </c>
      <c r="AL106" s="17">
        <f>AL89*(1-AL104)</f>
        <v/>
      </c>
      <c r="AM106" s="17">
        <f>AM89*(1-AM104)</f>
        <v/>
      </c>
      <c r="AN106" s="17">
        <f>AN89*(1-AN104)</f>
        <v/>
      </c>
    </row>
    <row r="107">
      <c r="A107" s="9" t="n">
        <v>4</v>
      </c>
      <c r="B107" s="9" t="inlineStr">
        <is>
          <t>ecy</t>
        </is>
      </c>
      <c r="C107" s="9" t="inlineStr">
        <is>
          <t>rod</t>
        </is>
      </c>
      <c r="D107" s="9" t="inlineStr">
        <is>
          <t>EV electricity</t>
        </is>
      </c>
      <c r="E107" s="9" t="inlineStr">
        <is>
          <t>PJ</t>
        </is>
      </c>
      <c r="F107" s="9" t="inlineStr">
        <is>
          <t>Model</t>
        </is>
      </c>
      <c r="G107" s="18" t="n"/>
      <c r="H107" s="18" t="inlineStr">
        <is>
          <t>mit.con.ecy.ev.1</t>
        </is>
      </c>
      <c r="I107" s="9" t="n"/>
      <c r="J107" s="9" t="n"/>
      <c r="K107" s="17" t="n"/>
      <c r="L107" s="17" t="n"/>
      <c r="M107" s="17" t="n"/>
      <c r="N107" s="19">
        <f>(N88+N89)*N104*p_ev_ratio</f>
        <v/>
      </c>
      <c r="O107" s="17">
        <f>(O88+O89)*O104*p_ev_ratio</f>
        <v/>
      </c>
      <c r="P107" s="17">
        <f>(P88+P89)*P104*p_ev_ratio</f>
        <v/>
      </c>
      <c r="Q107" s="17">
        <f>(Q88+Q89)*Q104*p_ev_ratio</f>
        <v/>
      </c>
      <c r="R107" s="17">
        <f>(R88+R89)*R104*p_ev_ratio</f>
        <v/>
      </c>
      <c r="S107" s="17">
        <f>(S88+S89)*S104*p_ev_ratio</f>
        <v/>
      </c>
      <c r="T107" s="17">
        <f>(T88+T89)*T104*p_ev_ratio</f>
        <v/>
      </c>
      <c r="U107" s="17">
        <f>(U88+U89)*U104*p_ev_ratio</f>
        <v/>
      </c>
      <c r="V107" s="17">
        <f>(V88+V89)*V104*p_ev_ratio</f>
        <v/>
      </c>
      <c r="W107" s="17">
        <f>(W88+W89)*W104*p_ev_ratio</f>
        <v/>
      </c>
      <c r="X107" s="17">
        <f>(X88+X89)*X104*p_ev_ratio</f>
        <v/>
      </c>
      <c r="Y107" s="17">
        <f>(Y88+Y89)*Y104*p_ev_ratio</f>
        <v/>
      </c>
      <c r="Z107" s="17">
        <f>(Z88+Z89)*Z104*p_ev_ratio</f>
        <v/>
      </c>
      <c r="AA107" s="17">
        <f>(AA88+AA89)*AA104*p_ev_ratio</f>
        <v/>
      </c>
      <c r="AB107" s="17">
        <f>(AB88+AB89)*AB104*p_ev_ratio</f>
        <v/>
      </c>
      <c r="AC107" s="17">
        <f>(AC88+AC89)*AC104*p_ev_ratio</f>
        <v/>
      </c>
      <c r="AD107" s="17">
        <f>(AD88+AD89)*AD104*p_ev_ratio</f>
        <v/>
      </c>
      <c r="AE107" s="17">
        <f>(AE88+AE89)*AE104*p_ev_ratio</f>
        <v/>
      </c>
      <c r="AF107" s="17">
        <f>(AF88+AF89)*AF104*p_ev_ratio</f>
        <v/>
      </c>
      <c r="AG107" s="17">
        <f>(AG88+AG89)*AG104*p_ev_ratio</f>
        <v/>
      </c>
      <c r="AH107" s="17">
        <f>(AH88+AH89)*AH104*p_ev_ratio</f>
        <v/>
      </c>
      <c r="AI107" s="17">
        <f>(AI88+AI89)*AI104*p_ev_ratio</f>
        <v/>
      </c>
      <c r="AJ107" s="17">
        <f>(AJ88+AJ89)*AJ104*p_ev_ratio</f>
        <v/>
      </c>
      <c r="AK107" s="17">
        <f>(AK88+AK89)*AK104*p_ev_ratio</f>
        <v/>
      </c>
      <c r="AL107" s="17">
        <f>(AL88+AL89)*AL104*p_ev_ratio</f>
        <v/>
      </c>
      <c r="AM107" s="17">
        <f>(AM88+AM89)*AM104*p_ev_ratio</f>
        <v/>
      </c>
      <c r="AN107" s="17">
        <f>(AN88+AN89)*AN104*p_ev_ratio</f>
        <v/>
      </c>
    </row>
    <row r="108">
      <c r="A108" s="9" t="n">
        <v>4</v>
      </c>
      <c r="B108" s="9" t="inlineStr"/>
      <c r="C108" s="9" t="inlineStr">
        <is>
          <t>rod</t>
        </is>
      </c>
      <c r="D108" s="9" t="inlineStr">
        <is>
          <t>Investment: EV premium and chargers</t>
        </is>
      </c>
      <c r="E108" s="9" t="inlineStr">
        <is>
          <t>USD bn</t>
        </is>
      </c>
      <c r="F108" s="9" t="inlineStr">
        <is>
          <t>Model</t>
        </is>
      </c>
      <c r="G108" s="18" t="n"/>
      <c r="H108" s="18" t="inlineStr">
        <is>
          <t>mit.inv.trn.1</t>
        </is>
      </c>
      <c r="I108" s="9" t="n"/>
      <c r="J108" s="9" t="n"/>
      <c r="K108" s="17" t="n"/>
      <c r="L108" s="17" t="n"/>
      <c r="M108" s="17" t="n"/>
      <c r="N108" s="19">
        <f>0</f>
        <v/>
      </c>
      <c r="O108" s="17">
        <f>O101*O103*(O102+p_charger)*$J$11/1000</f>
        <v/>
      </c>
      <c r="P108" s="17">
        <f>P101*P103*(P102+p_charger)*$J$11/1000</f>
        <v/>
      </c>
      <c r="Q108" s="17">
        <f>Q101*Q103*(Q102+p_charger)*$J$11/1000</f>
        <v/>
      </c>
      <c r="R108" s="17">
        <f>R101*R103*(R102+p_charger)*$J$11/1000</f>
        <v/>
      </c>
      <c r="S108" s="17">
        <f>S101*S103*(S102+p_charger)*$J$11/1000</f>
        <v/>
      </c>
      <c r="T108" s="17">
        <f>T101*T103*(T102+p_charger)*$J$11/1000</f>
        <v/>
      </c>
      <c r="U108" s="17">
        <f>U101*U103*(U102+p_charger)*$J$11/1000</f>
        <v/>
      </c>
      <c r="V108" s="17">
        <f>V101*V103*(V102+p_charger)*$J$11/1000</f>
        <v/>
      </c>
      <c r="W108" s="17">
        <f>W101*W103*(W102+p_charger)*$J$11/1000</f>
        <v/>
      </c>
      <c r="X108" s="17">
        <f>X101*X103*(X102+p_charger)*$J$11/1000</f>
        <v/>
      </c>
      <c r="Y108" s="17">
        <f>Y101*Y103*(Y102+p_charger)*$J$11/1000</f>
        <v/>
      </c>
      <c r="Z108" s="17">
        <f>Z101*Z103*(Z102+p_charger)*$J$11/1000</f>
        <v/>
      </c>
      <c r="AA108" s="17">
        <f>AA101*AA103*(AA102+p_charger)*$J$11/1000</f>
        <v/>
      </c>
      <c r="AB108" s="17">
        <f>AB101*AB103*(AB102+p_charger)*$J$11/1000</f>
        <v/>
      </c>
      <c r="AC108" s="17">
        <f>AC101*AC103*(AC102+p_charger)*$J$11/1000</f>
        <v/>
      </c>
      <c r="AD108" s="17">
        <f>AD101*AD103*(AD102+p_charger)*$J$11/1000</f>
        <v/>
      </c>
      <c r="AE108" s="17">
        <f>AE101*AE103*(AE102+p_charger)*$J$11/1000</f>
        <v/>
      </c>
      <c r="AF108" s="17">
        <f>AF101*AF103*(AF102+p_charger)*$J$11/1000</f>
        <v/>
      </c>
      <c r="AG108" s="17">
        <f>AG101*AG103*(AG102+p_charger)*$J$11/1000</f>
        <v/>
      </c>
      <c r="AH108" s="17">
        <f>AH101*AH103*(AH102+p_charger)*$J$11/1000</f>
        <v/>
      </c>
      <c r="AI108" s="17">
        <f>AI101*AI103*(AI102+p_charger)*$J$11/1000</f>
        <v/>
      </c>
      <c r="AJ108" s="17">
        <f>AJ101*AJ103*(AJ102+p_charger)*$J$11/1000</f>
        <v/>
      </c>
      <c r="AK108" s="17">
        <f>AK101*AK103*(AK102+p_charger)*$J$11/1000</f>
        <v/>
      </c>
      <c r="AL108" s="17">
        <f>AL101*AL103*(AL102+p_charger)*$J$11/1000</f>
        <v/>
      </c>
      <c r="AM108" s="17">
        <f>AM101*AM103*(AM102+p_charger)*$J$11/1000</f>
        <v/>
      </c>
      <c r="AN108" s="17">
        <f>AN101*AN103*(AN102+p_charger)*$J$11/1000</f>
        <v/>
      </c>
    </row>
    <row r="109">
      <c r="A109" s="9" t="n">
        <v>4</v>
      </c>
      <c r="B109" s="9" t="inlineStr"/>
      <c r="C109" s="9" t="inlineStr">
        <is>
          <t>rod</t>
        </is>
      </c>
      <c r="D109" s="9" t="inlineStr">
        <is>
          <t>EV maintenance saving (negative cost)</t>
        </is>
      </c>
      <c r="E109" s="9" t="inlineStr">
        <is>
          <t>USD bn</t>
        </is>
      </c>
      <c r="F109" s="9" t="inlineStr">
        <is>
          <t>Model</t>
        </is>
      </c>
      <c r="G109" s="18" t="n"/>
      <c r="H109" s="18" t="inlineStr">
        <is>
          <t>mit.om.trn.1</t>
        </is>
      </c>
      <c r="I109" s="9" t="n"/>
      <c r="J109" s="9" t="n"/>
      <c r="K109" s="17" t="n"/>
      <c r="L109" s="17" t="n"/>
      <c r="M109" s="17" t="n"/>
      <c r="N109" s="19">
        <f>-N104*N100*p_veh_km*p_ev_maint/1000</f>
        <v/>
      </c>
      <c r="O109" s="17">
        <f>-O104*O100*p_veh_km*p_ev_maint/1000</f>
        <v/>
      </c>
      <c r="P109" s="17">
        <f>-P104*P100*p_veh_km*p_ev_maint/1000</f>
        <v/>
      </c>
      <c r="Q109" s="17">
        <f>-Q104*Q100*p_veh_km*p_ev_maint/1000</f>
        <v/>
      </c>
      <c r="R109" s="17">
        <f>-R104*R100*p_veh_km*p_ev_maint/1000</f>
        <v/>
      </c>
      <c r="S109" s="17">
        <f>-S104*S100*p_veh_km*p_ev_maint/1000</f>
        <v/>
      </c>
      <c r="T109" s="17">
        <f>-T104*T100*p_veh_km*p_ev_maint/1000</f>
        <v/>
      </c>
      <c r="U109" s="17">
        <f>-U104*U100*p_veh_km*p_ev_maint/1000</f>
        <v/>
      </c>
      <c r="V109" s="17">
        <f>-V104*V100*p_veh_km*p_ev_maint/1000</f>
        <v/>
      </c>
      <c r="W109" s="17">
        <f>-W104*W100*p_veh_km*p_ev_maint/1000</f>
        <v/>
      </c>
      <c r="X109" s="17">
        <f>-X104*X100*p_veh_km*p_ev_maint/1000</f>
        <v/>
      </c>
      <c r="Y109" s="17">
        <f>-Y104*Y100*p_veh_km*p_ev_maint/1000</f>
        <v/>
      </c>
      <c r="Z109" s="17">
        <f>-Z104*Z100*p_veh_km*p_ev_maint/1000</f>
        <v/>
      </c>
      <c r="AA109" s="17">
        <f>-AA104*AA100*p_veh_km*p_ev_maint/1000</f>
        <v/>
      </c>
      <c r="AB109" s="17">
        <f>-AB104*AB100*p_veh_km*p_ev_maint/1000</f>
        <v/>
      </c>
      <c r="AC109" s="17">
        <f>-AC104*AC100*p_veh_km*p_ev_maint/1000</f>
        <v/>
      </c>
      <c r="AD109" s="17">
        <f>-AD104*AD100*p_veh_km*p_ev_maint/1000</f>
        <v/>
      </c>
      <c r="AE109" s="17">
        <f>-AE104*AE100*p_veh_km*p_ev_maint/1000</f>
        <v/>
      </c>
      <c r="AF109" s="17">
        <f>-AF104*AF100*p_veh_km*p_ev_maint/1000</f>
        <v/>
      </c>
      <c r="AG109" s="17">
        <f>-AG104*AG100*p_veh_km*p_ev_maint/1000</f>
        <v/>
      </c>
      <c r="AH109" s="17">
        <f>-AH104*AH100*p_veh_km*p_ev_maint/1000</f>
        <v/>
      </c>
      <c r="AI109" s="17">
        <f>-AI104*AI100*p_veh_km*p_ev_maint/1000</f>
        <v/>
      </c>
      <c r="AJ109" s="17">
        <f>-AJ104*AJ100*p_veh_km*p_ev_maint/1000</f>
        <v/>
      </c>
      <c r="AK109" s="17">
        <f>-AK104*AK100*p_veh_km*p_ev_maint/1000</f>
        <v/>
      </c>
      <c r="AL109" s="17">
        <f>-AL104*AL100*p_veh_km*p_ev_maint/1000</f>
        <v/>
      </c>
      <c r="AM109" s="17">
        <f>-AM104*AM100*p_veh_km*p_ev_maint/1000</f>
        <v/>
      </c>
      <c r="AN109" s="17">
        <f>-AN104*AN100*p_veh_km*p_ev_maint/1000</f>
        <v/>
      </c>
    </row>
    <row r="110">
      <c r="A110" s="9" t="n">
        <v>4</v>
      </c>
      <c r="B110" s="9" t="inlineStr">
        <is>
          <t>ecy</t>
        </is>
      </c>
      <c r="C110" s="9" t="inlineStr">
        <is>
          <t>rod</t>
        </is>
      </c>
      <c r="D110" s="9" t="inlineStr">
        <is>
          <t>EV share of sales</t>
        </is>
      </c>
      <c r="E110" s="9" t="inlineStr">
        <is>
          <t>share</t>
        </is>
      </c>
      <c r="F110" s="9" t="inlineStr">
        <is>
          <t>Model</t>
        </is>
      </c>
      <c r="G110" s="18" t="n"/>
      <c r="H110" s="18" t="inlineStr">
        <is>
          <t>mit.ev.shs.2</t>
        </is>
      </c>
      <c r="I110" s="9" t="n"/>
      <c r="J110" s="9" t="n"/>
      <c r="K110" s="17" t="n"/>
      <c r="L110" s="17" t="n"/>
      <c r="M110" s="17" t="n"/>
      <c r="N110" s="19">
        <f>$J$17</f>
        <v/>
      </c>
      <c r="O110" s="17">
        <f>MIN(1,$J$17+(1-$J$17)*(O$1-2024)/($J$14-2024))</f>
        <v/>
      </c>
      <c r="P110" s="17">
        <f>MIN(1,$J$17+(1-$J$17)*(P$1-2024)/($J$14-2024))</f>
        <v/>
      </c>
      <c r="Q110" s="17">
        <f>MIN(1,$J$17+(1-$J$17)*(Q$1-2024)/($J$14-2024))</f>
        <v/>
      </c>
      <c r="R110" s="17">
        <f>MIN(1,$J$17+(1-$J$17)*(R$1-2024)/($J$14-2024))</f>
        <v/>
      </c>
      <c r="S110" s="17">
        <f>MIN(1,$J$17+(1-$J$17)*(S$1-2024)/($J$14-2024))</f>
        <v/>
      </c>
      <c r="T110" s="17">
        <f>MIN(1,$J$17+(1-$J$17)*(T$1-2024)/($J$14-2024))</f>
        <v/>
      </c>
      <c r="U110" s="17">
        <f>MIN(1,$J$17+(1-$J$17)*(U$1-2024)/($J$14-2024))</f>
        <v/>
      </c>
      <c r="V110" s="17">
        <f>MIN(1,$J$17+(1-$J$17)*(V$1-2024)/($J$14-2024))</f>
        <v/>
      </c>
      <c r="W110" s="17">
        <f>MIN(1,$J$17+(1-$J$17)*(W$1-2024)/($J$14-2024))</f>
        <v/>
      </c>
      <c r="X110" s="17">
        <f>MIN(1,$J$17+(1-$J$17)*(X$1-2024)/($J$14-2024))</f>
        <v/>
      </c>
      <c r="Y110" s="17">
        <f>MIN(1,$J$17+(1-$J$17)*(Y$1-2024)/($J$14-2024))</f>
        <v/>
      </c>
      <c r="Z110" s="17">
        <f>MIN(1,$J$17+(1-$J$17)*(Z$1-2024)/($J$14-2024))</f>
        <v/>
      </c>
      <c r="AA110" s="17">
        <f>MIN(1,$J$17+(1-$J$17)*(AA$1-2024)/($J$14-2024))</f>
        <v/>
      </c>
      <c r="AB110" s="17">
        <f>MIN(1,$J$17+(1-$J$17)*(AB$1-2024)/($J$14-2024))</f>
        <v/>
      </c>
      <c r="AC110" s="17">
        <f>MIN(1,$J$17+(1-$J$17)*(AC$1-2024)/($J$14-2024))</f>
        <v/>
      </c>
      <c r="AD110" s="17">
        <f>MIN(1,$J$17+(1-$J$17)*(AD$1-2024)/($J$14-2024))</f>
        <v/>
      </c>
      <c r="AE110" s="17">
        <f>MIN(1,$J$17+(1-$J$17)*(AE$1-2024)/($J$14-2024))</f>
        <v/>
      </c>
      <c r="AF110" s="17">
        <f>MIN(1,$J$17+(1-$J$17)*(AF$1-2024)/($J$14-2024))</f>
        <v/>
      </c>
      <c r="AG110" s="17">
        <f>MIN(1,$J$17+(1-$J$17)*(AG$1-2024)/($J$14-2024))</f>
        <v/>
      </c>
      <c r="AH110" s="17">
        <f>MIN(1,$J$17+(1-$J$17)*(AH$1-2024)/($J$14-2024))</f>
        <v/>
      </c>
      <c r="AI110" s="17">
        <f>MIN(1,$J$17+(1-$J$17)*(AI$1-2024)/($J$14-2024))</f>
        <v/>
      </c>
      <c r="AJ110" s="17">
        <f>MIN(1,$J$17+(1-$J$17)*(AJ$1-2024)/($J$14-2024))</f>
        <v/>
      </c>
      <c r="AK110" s="17">
        <f>MIN(1,$J$17+(1-$J$17)*(AK$1-2024)/($J$14-2024))</f>
        <v/>
      </c>
      <c r="AL110" s="17">
        <f>MIN(1,$J$17+(1-$J$17)*(AL$1-2024)/($J$14-2024))</f>
        <v/>
      </c>
      <c r="AM110" s="17">
        <f>MIN(1,$J$17+(1-$J$17)*(AM$1-2024)/($J$14-2024))</f>
        <v/>
      </c>
      <c r="AN110" s="17">
        <f>MIN(1,$J$17+(1-$J$17)*(AN$1-2024)/($J$14-2024))</f>
        <v/>
      </c>
    </row>
    <row r="111">
      <c r="A111" s="9" t="n">
        <v>4</v>
      </c>
      <c r="B111" s="9" t="inlineStr">
        <is>
          <t>ecy</t>
        </is>
      </c>
      <c r="C111" s="9" t="inlineStr">
        <is>
          <t>rod</t>
        </is>
      </c>
      <c r="D111" s="9" t="inlineStr">
        <is>
          <t>EV share of stock</t>
        </is>
      </c>
      <c r="E111" s="9" t="inlineStr">
        <is>
          <t>share</t>
        </is>
      </c>
      <c r="F111" s="9" t="inlineStr">
        <is>
          <t>Model</t>
        </is>
      </c>
      <c r="G111" s="18" t="n"/>
      <c r="H111" s="18" t="inlineStr">
        <is>
          <t>mit.ev.stk.2</t>
        </is>
      </c>
      <c r="I111" s="9" t="n"/>
      <c r="J111" s="9" t="n"/>
      <c r="K111" s="17" t="n"/>
      <c r="L111" s="17" t="n"/>
      <c r="M111" s="17" t="n"/>
      <c r="N111" s="19">
        <f>$J$19</f>
        <v/>
      </c>
      <c r="O111" s="17">
        <f>N111*(1-1/p_veh_life)+O110/p_veh_life</f>
        <v/>
      </c>
      <c r="P111" s="17">
        <f>O111*(1-1/p_veh_life)+P110/p_veh_life</f>
        <v/>
      </c>
      <c r="Q111" s="17">
        <f>P111*(1-1/p_veh_life)+Q110/p_veh_life</f>
        <v/>
      </c>
      <c r="R111" s="17">
        <f>Q111*(1-1/p_veh_life)+R110/p_veh_life</f>
        <v/>
      </c>
      <c r="S111" s="17">
        <f>R111*(1-1/p_veh_life)+S110/p_veh_life</f>
        <v/>
      </c>
      <c r="T111" s="17">
        <f>S111*(1-1/p_veh_life)+T110/p_veh_life</f>
        <v/>
      </c>
      <c r="U111" s="17">
        <f>T111*(1-1/p_veh_life)+U110/p_veh_life</f>
        <v/>
      </c>
      <c r="V111" s="17">
        <f>U111*(1-1/p_veh_life)+V110/p_veh_life</f>
        <v/>
      </c>
      <c r="W111" s="17">
        <f>V111*(1-1/p_veh_life)+W110/p_veh_life</f>
        <v/>
      </c>
      <c r="X111" s="17">
        <f>W111*(1-1/p_veh_life)+X110/p_veh_life</f>
        <v/>
      </c>
      <c r="Y111" s="17">
        <f>X111*(1-1/p_veh_life)+Y110/p_veh_life</f>
        <v/>
      </c>
      <c r="Z111" s="17">
        <f>Y111*(1-1/p_veh_life)+Z110/p_veh_life</f>
        <v/>
      </c>
      <c r="AA111" s="17">
        <f>Z111*(1-1/p_veh_life)+AA110/p_veh_life</f>
        <v/>
      </c>
      <c r="AB111" s="17">
        <f>AA111*(1-1/p_veh_life)+AB110/p_veh_life</f>
        <v/>
      </c>
      <c r="AC111" s="17">
        <f>AB111*(1-1/p_veh_life)+AC110/p_veh_life</f>
        <v/>
      </c>
      <c r="AD111" s="17">
        <f>AC111*(1-1/p_veh_life)+AD110/p_veh_life</f>
        <v/>
      </c>
      <c r="AE111" s="17">
        <f>AD111*(1-1/p_veh_life)+AE110/p_veh_life</f>
        <v/>
      </c>
      <c r="AF111" s="17">
        <f>AE111*(1-1/p_veh_life)+AF110/p_veh_life</f>
        <v/>
      </c>
      <c r="AG111" s="17">
        <f>AF111*(1-1/p_veh_life)+AG110/p_veh_life</f>
        <v/>
      </c>
      <c r="AH111" s="17">
        <f>AG111*(1-1/p_veh_life)+AH110/p_veh_life</f>
        <v/>
      </c>
      <c r="AI111" s="17">
        <f>AH111*(1-1/p_veh_life)+AI110/p_veh_life</f>
        <v/>
      </c>
      <c r="AJ111" s="17">
        <f>AI111*(1-1/p_veh_life)+AJ110/p_veh_life</f>
        <v/>
      </c>
      <c r="AK111" s="17">
        <f>AJ111*(1-1/p_veh_life)+AK110/p_veh_life</f>
        <v/>
      </c>
      <c r="AL111" s="17">
        <f>AK111*(1-1/p_veh_life)+AL110/p_veh_life</f>
        <v/>
      </c>
      <c r="AM111" s="17">
        <f>AL111*(1-1/p_veh_life)+AM110/p_veh_life</f>
        <v/>
      </c>
      <c r="AN111" s="17">
        <f>AM111*(1-1/p_veh_life)+AN110/p_veh_life</f>
        <v/>
      </c>
    </row>
    <row r="112">
      <c r="A112" s="9" t="n">
        <v>4</v>
      </c>
      <c r="B112" s="9" t="inlineStr">
        <is>
          <t>gso</t>
        </is>
      </c>
      <c r="C112" s="9" t="inlineStr">
        <is>
          <t>rod</t>
        </is>
      </c>
      <c r="D112" s="9" t="inlineStr">
        <is>
          <t>Fossil fuel use</t>
        </is>
      </c>
      <c r="E112" s="9" t="inlineStr">
        <is>
          <t>PJ</t>
        </is>
      </c>
      <c r="F112" s="9" t="inlineStr">
        <is>
          <t>Model</t>
        </is>
      </c>
      <c r="G112" s="18" t="n"/>
      <c r="H112" s="18" t="inlineStr">
        <is>
          <t>mit.con.gso.rod.2</t>
        </is>
      </c>
      <c r="I112" s="9" t="n"/>
      <c r="J112" s="9" t="n"/>
      <c r="K112" s="17" t="n"/>
      <c r="L112" s="17" t="n"/>
      <c r="M112" s="17" t="n"/>
      <c r="N112" s="19">
        <f>N88*(1-N111)</f>
        <v/>
      </c>
      <c r="O112" s="17">
        <f>O88*(1-O111)</f>
        <v/>
      </c>
      <c r="P112" s="17">
        <f>P88*(1-P111)</f>
        <v/>
      </c>
      <c r="Q112" s="17">
        <f>Q88*(1-Q111)</f>
        <v/>
      </c>
      <c r="R112" s="17">
        <f>R88*(1-R111)</f>
        <v/>
      </c>
      <c r="S112" s="17">
        <f>S88*(1-S111)</f>
        <v/>
      </c>
      <c r="T112" s="17">
        <f>T88*(1-T111)</f>
        <v/>
      </c>
      <c r="U112" s="17">
        <f>U88*(1-U111)</f>
        <v/>
      </c>
      <c r="V112" s="17">
        <f>V88*(1-V111)</f>
        <v/>
      </c>
      <c r="W112" s="17">
        <f>W88*(1-W111)</f>
        <v/>
      </c>
      <c r="X112" s="17">
        <f>X88*(1-X111)</f>
        <v/>
      </c>
      <c r="Y112" s="17">
        <f>Y88*(1-Y111)</f>
        <v/>
      </c>
      <c r="Z112" s="17">
        <f>Z88*(1-Z111)</f>
        <v/>
      </c>
      <c r="AA112" s="17">
        <f>AA88*(1-AA111)</f>
        <v/>
      </c>
      <c r="AB112" s="17">
        <f>AB88*(1-AB111)</f>
        <v/>
      </c>
      <c r="AC112" s="17">
        <f>AC88*(1-AC111)</f>
        <v/>
      </c>
      <c r="AD112" s="17">
        <f>AD88*(1-AD111)</f>
        <v/>
      </c>
      <c r="AE112" s="17">
        <f>AE88*(1-AE111)</f>
        <v/>
      </c>
      <c r="AF112" s="17">
        <f>AF88*(1-AF111)</f>
        <v/>
      </c>
      <c r="AG112" s="17">
        <f>AG88*(1-AG111)</f>
        <v/>
      </c>
      <c r="AH112" s="17">
        <f>AH88*(1-AH111)</f>
        <v/>
      </c>
      <c r="AI112" s="17">
        <f>AI88*(1-AI111)</f>
        <v/>
      </c>
      <c r="AJ112" s="17">
        <f>AJ88*(1-AJ111)</f>
        <v/>
      </c>
      <c r="AK112" s="17">
        <f>AK88*(1-AK111)</f>
        <v/>
      </c>
      <c r="AL112" s="17">
        <f>AL88*(1-AL111)</f>
        <v/>
      </c>
      <c r="AM112" s="17">
        <f>AM88*(1-AM111)</f>
        <v/>
      </c>
      <c r="AN112" s="17">
        <f>AN88*(1-AN111)</f>
        <v/>
      </c>
    </row>
    <row r="113">
      <c r="A113" s="9" t="n">
        <v>4</v>
      </c>
      <c r="B113" s="9" t="inlineStr">
        <is>
          <t>die</t>
        </is>
      </c>
      <c r="C113" s="9" t="inlineStr">
        <is>
          <t>rod</t>
        </is>
      </c>
      <c r="D113" s="9" t="inlineStr">
        <is>
          <t>Fossil fuel use</t>
        </is>
      </c>
      <c r="E113" s="9" t="inlineStr">
        <is>
          <t>PJ</t>
        </is>
      </c>
      <c r="F113" s="9" t="inlineStr">
        <is>
          <t>Model</t>
        </is>
      </c>
      <c r="G113" s="18" t="n"/>
      <c r="H113" s="18" t="inlineStr">
        <is>
          <t>mit.con.die.rod.2</t>
        </is>
      </c>
      <c r="I113" s="9" t="n"/>
      <c r="J113" s="9" t="n"/>
      <c r="K113" s="17" t="n"/>
      <c r="L113" s="17" t="n"/>
      <c r="M113" s="17" t="n"/>
      <c r="N113" s="19">
        <f>N89*(1-N111)</f>
        <v/>
      </c>
      <c r="O113" s="17">
        <f>O89*(1-O111)</f>
        <v/>
      </c>
      <c r="P113" s="17">
        <f>P89*(1-P111)</f>
        <v/>
      </c>
      <c r="Q113" s="17">
        <f>Q89*(1-Q111)</f>
        <v/>
      </c>
      <c r="R113" s="17">
        <f>R89*(1-R111)</f>
        <v/>
      </c>
      <c r="S113" s="17">
        <f>S89*(1-S111)</f>
        <v/>
      </c>
      <c r="T113" s="17">
        <f>T89*(1-T111)</f>
        <v/>
      </c>
      <c r="U113" s="17">
        <f>U89*(1-U111)</f>
        <v/>
      </c>
      <c r="V113" s="17">
        <f>V89*(1-V111)</f>
        <v/>
      </c>
      <c r="W113" s="17">
        <f>W89*(1-W111)</f>
        <v/>
      </c>
      <c r="X113" s="17">
        <f>X89*(1-X111)</f>
        <v/>
      </c>
      <c r="Y113" s="17">
        <f>Y89*(1-Y111)</f>
        <v/>
      </c>
      <c r="Z113" s="17">
        <f>Z89*(1-Z111)</f>
        <v/>
      </c>
      <c r="AA113" s="17">
        <f>AA89*(1-AA111)</f>
        <v/>
      </c>
      <c r="AB113" s="17">
        <f>AB89*(1-AB111)</f>
        <v/>
      </c>
      <c r="AC113" s="17">
        <f>AC89*(1-AC111)</f>
        <v/>
      </c>
      <c r="AD113" s="17">
        <f>AD89*(1-AD111)</f>
        <v/>
      </c>
      <c r="AE113" s="17">
        <f>AE89*(1-AE111)</f>
        <v/>
      </c>
      <c r="AF113" s="17">
        <f>AF89*(1-AF111)</f>
        <v/>
      </c>
      <c r="AG113" s="17">
        <f>AG89*(1-AG111)</f>
        <v/>
      </c>
      <c r="AH113" s="17">
        <f>AH89*(1-AH111)</f>
        <v/>
      </c>
      <c r="AI113" s="17">
        <f>AI89*(1-AI111)</f>
        <v/>
      </c>
      <c r="AJ113" s="17">
        <f>AJ89*(1-AJ111)</f>
        <v/>
      </c>
      <c r="AK113" s="17">
        <f>AK89*(1-AK111)</f>
        <v/>
      </c>
      <c r="AL113" s="17">
        <f>AL89*(1-AL111)</f>
        <v/>
      </c>
      <c r="AM113" s="17">
        <f>AM89*(1-AM111)</f>
        <v/>
      </c>
      <c r="AN113" s="17">
        <f>AN89*(1-AN111)</f>
        <v/>
      </c>
    </row>
    <row r="114">
      <c r="A114" s="9" t="n">
        <v>4</v>
      </c>
      <c r="B114" s="9" t="inlineStr">
        <is>
          <t>ecy</t>
        </is>
      </c>
      <c r="C114" s="9" t="inlineStr">
        <is>
          <t>rod</t>
        </is>
      </c>
      <c r="D114" s="9" t="inlineStr">
        <is>
          <t>EV electricity</t>
        </is>
      </c>
      <c r="E114" s="9" t="inlineStr">
        <is>
          <t>PJ</t>
        </is>
      </c>
      <c r="F114" s="9" t="inlineStr">
        <is>
          <t>Model</t>
        </is>
      </c>
      <c r="G114" s="18" t="n"/>
      <c r="H114" s="18" t="inlineStr">
        <is>
          <t>mit.con.ecy.ev.2</t>
        </is>
      </c>
      <c r="I114" s="9" t="n"/>
      <c r="J114" s="9" t="n"/>
      <c r="K114" s="17" t="n"/>
      <c r="L114" s="17" t="n"/>
      <c r="M114" s="17" t="n"/>
      <c r="N114" s="19">
        <f>(N88+N89)*N111*p_ev_ratio</f>
        <v/>
      </c>
      <c r="O114" s="17">
        <f>(O88+O89)*O111*p_ev_ratio</f>
        <v/>
      </c>
      <c r="P114" s="17">
        <f>(P88+P89)*P111*p_ev_ratio</f>
        <v/>
      </c>
      <c r="Q114" s="17">
        <f>(Q88+Q89)*Q111*p_ev_ratio</f>
        <v/>
      </c>
      <c r="R114" s="17">
        <f>(R88+R89)*R111*p_ev_ratio</f>
        <v/>
      </c>
      <c r="S114" s="17">
        <f>(S88+S89)*S111*p_ev_ratio</f>
        <v/>
      </c>
      <c r="T114" s="17">
        <f>(T88+T89)*T111*p_ev_ratio</f>
        <v/>
      </c>
      <c r="U114" s="17">
        <f>(U88+U89)*U111*p_ev_ratio</f>
        <v/>
      </c>
      <c r="V114" s="17">
        <f>(V88+V89)*V111*p_ev_ratio</f>
        <v/>
      </c>
      <c r="W114" s="17">
        <f>(W88+W89)*W111*p_ev_ratio</f>
        <v/>
      </c>
      <c r="X114" s="17">
        <f>(X88+X89)*X111*p_ev_ratio</f>
        <v/>
      </c>
      <c r="Y114" s="17">
        <f>(Y88+Y89)*Y111*p_ev_ratio</f>
        <v/>
      </c>
      <c r="Z114" s="17">
        <f>(Z88+Z89)*Z111*p_ev_ratio</f>
        <v/>
      </c>
      <c r="AA114" s="17">
        <f>(AA88+AA89)*AA111*p_ev_ratio</f>
        <v/>
      </c>
      <c r="AB114" s="17">
        <f>(AB88+AB89)*AB111*p_ev_ratio</f>
        <v/>
      </c>
      <c r="AC114" s="17">
        <f>(AC88+AC89)*AC111*p_ev_ratio</f>
        <v/>
      </c>
      <c r="AD114" s="17">
        <f>(AD88+AD89)*AD111*p_ev_ratio</f>
        <v/>
      </c>
      <c r="AE114" s="17">
        <f>(AE88+AE89)*AE111*p_ev_ratio</f>
        <v/>
      </c>
      <c r="AF114" s="17">
        <f>(AF88+AF89)*AF111*p_ev_ratio</f>
        <v/>
      </c>
      <c r="AG114" s="17">
        <f>(AG88+AG89)*AG111*p_ev_ratio</f>
        <v/>
      </c>
      <c r="AH114" s="17">
        <f>(AH88+AH89)*AH111*p_ev_ratio</f>
        <v/>
      </c>
      <c r="AI114" s="17">
        <f>(AI88+AI89)*AI111*p_ev_ratio</f>
        <v/>
      </c>
      <c r="AJ114" s="17">
        <f>(AJ88+AJ89)*AJ111*p_ev_ratio</f>
        <v/>
      </c>
      <c r="AK114" s="17">
        <f>(AK88+AK89)*AK111*p_ev_ratio</f>
        <v/>
      </c>
      <c r="AL114" s="17">
        <f>(AL88+AL89)*AL111*p_ev_ratio</f>
        <v/>
      </c>
      <c r="AM114" s="17">
        <f>(AM88+AM89)*AM111*p_ev_ratio</f>
        <v/>
      </c>
      <c r="AN114" s="17">
        <f>(AN88+AN89)*AN111*p_ev_ratio</f>
        <v/>
      </c>
    </row>
    <row r="115">
      <c r="A115" s="9" t="n">
        <v>4</v>
      </c>
      <c r="B115" s="9" t="inlineStr"/>
      <c r="C115" s="9" t="inlineStr">
        <is>
          <t>rod</t>
        </is>
      </c>
      <c r="D115" s="9" t="inlineStr">
        <is>
          <t>Investment: EV premium and chargers</t>
        </is>
      </c>
      <c r="E115" s="9" t="inlineStr">
        <is>
          <t>USD bn</t>
        </is>
      </c>
      <c r="F115" s="9" t="inlineStr">
        <is>
          <t>Model</t>
        </is>
      </c>
      <c r="G115" s="18" t="n"/>
      <c r="H115" s="18" t="inlineStr">
        <is>
          <t>mit.inv.trn.2</t>
        </is>
      </c>
      <c r="I115" s="9" t="n"/>
      <c r="J115" s="9" t="n"/>
      <c r="K115" s="17" t="n"/>
      <c r="L115" s="17" t="n"/>
      <c r="M115" s="17" t="n"/>
      <c r="N115" s="19">
        <f>0</f>
        <v/>
      </c>
      <c r="O115" s="17">
        <f>O101*O110*(O102+p_charger)*$J$11/1000</f>
        <v/>
      </c>
      <c r="P115" s="17">
        <f>P101*P110*(P102+p_charger)*$J$11/1000</f>
        <v/>
      </c>
      <c r="Q115" s="17">
        <f>Q101*Q110*(Q102+p_charger)*$J$11/1000</f>
        <v/>
      </c>
      <c r="R115" s="17">
        <f>R101*R110*(R102+p_charger)*$J$11/1000</f>
        <v/>
      </c>
      <c r="S115" s="17">
        <f>S101*S110*(S102+p_charger)*$J$11/1000</f>
        <v/>
      </c>
      <c r="T115" s="17">
        <f>T101*T110*(T102+p_charger)*$J$11/1000</f>
        <v/>
      </c>
      <c r="U115" s="17">
        <f>U101*U110*(U102+p_charger)*$J$11/1000</f>
        <v/>
      </c>
      <c r="V115" s="17">
        <f>V101*V110*(V102+p_charger)*$J$11/1000</f>
        <v/>
      </c>
      <c r="W115" s="17">
        <f>W101*W110*(W102+p_charger)*$J$11/1000</f>
        <v/>
      </c>
      <c r="X115" s="17">
        <f>X101*X110*(X102+p_charger)*$J$11/1000</f>
        <v/>
      </c>
      <c r="Y115" s="17">
        <f>Y101*Y110*(Y102+p_charger)*$J$11/1000</f>
        <v/>
      </c>
      <c r="Z115" s="17">
        <f>Z101*Z110*(Z102+p_charger)*$J$11/1000</f>
        <v/>
      </c>
      <c r="AA115" s="17">
        <f>AA101*AA110*(AA102+p_charger)*$J$11/1000</f>
        <v/>
      </c>
      <c r="AB115" s="17">
        <f>AB101*AB110*(AB102+p_charger)*$J$11/1000</f>
        <v/>
      </c>
      <c r="AC115" s="17">
        <f>AC101*AC110*(AC102+p_charger)*$J$11/1000</f>
        <v/>
      </c>
      <c r="AD115" s="17">
        <f>AD101*AD110*(AD102+p_charger)*$J$11/1000</f>
        <v/>
      </c>
      <c r="AE115" s="17">
        <f>AE101*AE110*(AE102+p_charger)*$J$11/1000</f>
        <v/>
      </c>
      <c r="AF115" s="17">
        <f>AF101*AF110*(AF102+p_charger)*$J$11/1000</f>
        <v/>
      </c>
      <c r="AG115" s="17">
        <f>AG101*AG110*(AG102+p_charger)*$J$11/1000</f>
        <v/>
      </c>
      <c r="AH115" s="17">
        <f>AH101*AH110*(AH102+p_charger)*$J$11/1000</f>
        <v/>
      </c>
      <c r="AI115" s="17">
        <f>AI101*AI110*(AI102+p_charger)*$J$11/1000</f>
        <v/>
      </c>
      <c r="AJ115" s="17">
        <f>AJ101*AJ110*(AJ102+p_charger)*$J$11/1000</f>
        <v/>
      </c>
      <c r="AK115" s="17">
        <f>AK101*AK110*(AK102+p_charger)*$J$11/1000</f>
        <v/>
      </c>
      <c r="AL115" s="17">
        <f>AL101*AL110*(AL102+p_charger)*$J$11/1000</f>
        <v/>
      </c>
      <c r="AM115" s="17">
        <f>AM101*AM110*(AM102+p_charger)*$J$11/1000</f>
        <v/>
      </c>
      <c r="AN115" s="17">
        <f>AN101*AN110*(AN102+p_charger)*$J$11/1000</f>
        <v/>
      </c>
    </row>
    <row r="116">
      <c r="A116" s="9" t="n">
        <v>4</v>
      </c>
      <c r="B116" s="9" t="inlineStr"/>
      <c r="C116" s="9" t="inlineStr">
        <is>
          <t>rod</t>
        </is>
      </c>
      <c r="D116" s="9" t="inlineStr">
        <is>
          <t>EV maintenance saving (negative cost)</t>
        </is>
      </c>
      <c r="E116" s="9" t="inlineStr">
        <is>
          <t>USD bn</t>
        </is>
      </c>
      <c r="F116" s="9" t="inlineStr">
        <is>
          <t>Model</t>
        </is>
      </c>
      <c r="G116" s="18" t="n"/>
      <c r="H116" s="18" t="inlineStr">
        <is>
          <t>mit.om.trn.2</t>
        </is>
      </c>
      <c r="I116" s="9" t="n"/>
      <c r="J116" s="9" t="n"/>
      <c r="K116" s="17" t="n"/>
      <c r="L116" s="17" t="n"/>
      <c r="M116" s="17" t="n"/>
      <c r="N116" s="19">
        <f>-N111*N100*p_veh_km*p_ev_maint/1000</f>
        <v/>
      </c>
      <c r="O116" s="17">
        <f>-O111*O100*p_veh_km*p_ev_maint/1000</f>
        <v/>
      </c>
      <c r="P116" s="17">
        <f>-P111*P100*p_veh_km*p_ev_maint/1000</f>
        <v/>
      </c>
      <c r="Q116" s="17">
        <f>-Q111*Q100*p_veh_km*p_ev_maint/1000</f>
        <v/>
      </c>
      <c r="R116" s="17">
        <f>-R111*R100*p_veh_km*p_ev_maint/1000</f>
        <v/>
      </c>
      <c r="S116" s="17">
        <f>-S111*S100*p_veh_km*p_ev_maint/1000</f>
        <v/>
      </c>
      <c r="T116" s="17">
        <f>-T111*T100*p_veh_km*p_ev_maint/1000</f>
        <v/>
      </c>
      <c r="U116" s="17">
        <f>-U111*U100*p_veh_km*p_ev_maint/1000</f>
        <v/>
      </c>
      <c r="V116" s="17">
        <f>-V111*V100*p_veh_km*p_ev_maint/1000</f>
        <v/>
      </c>
      <c r="W116" s="17">
        <f>-W111*W100*p_veh_km*p_ev_maint/1000</f>
        <v/>
      </c>
      <c r="X116" s="17">
        <f>-X111*X100*p_veh_km*p_ev_maint/1000</f>
        <v/>
      </c>
      <c r="Y116" s="17">
        <f>-Y111*Y100*p_veh_km*p_ev_maint/1000</f>
        <v/>
      </c>
      <c r="Z116" s="17">
        <f>-Z111*Z100*p_veh_km*p_ev_maint/1000</f>
        <v/>
      </c>
      <c r="AA116" s="17">
        <f>-AA111*AA100*p_veh_km*p_ev_maint/1000</f>
        <v/>
      </c>
      <c r="AB116" s="17">
        <f>-AB111*AB100*p_veh_km*p_ev_maint/1000</f>
        <v/>
      </c>
      <c r="AC116" s="17">
        <f>-AC111*AC100*p_veh_km*p_ev_maint/1000</f>
        <v/>
      </c>
      <c r="AD116" s="17">
        <f>-AD111*AD100*p_veh_km*p_ev_maint/1000</f>
        <v/>
      </c>
      <c r="AE116" s="17">
        <f>-AE111*AE100*p_veh_km*p_ev_maint/1000</f>
        <v/>
      </c>
      <c r="AF116" s="17">
        <f>-AF111*AF100*p_veh_km*p_ev_maint/1000</f>
        <v/>
      </c>
      <c r="AG116" s="17">
        <f>-AG111*AG100*p_veh_km*p_ev_maint/1000</f>
        <v/>
      </c>
      <c r="AH116" s="17">
        <f>-AH111*AH100*p_veh_km*p_ev_maint/1000</f>
        <v/>
      </c>
      <c r="AI116" s="17">
        <f>-AI111*AI100*p_veh_km*p_ev_maint/1000</f>
        <v/>
      </c>
      <c r="AJ116" s="17">
        <f>-AJ111*AJ100*p_veh_km*p_ev_maint/1000</f>
        <v/>
      </c>
      <c r="AK116" s="17">
        <f>-AK111*AK100*p_veh_km*p_ev_maint/1000</f>
        <v/>
      </c>
      <c r="AL116" s="17">
        <f>-AL111*AL100*p_veh_km*p_ev_maint/1000</f>
        <v/>
      </c>
      <c r="AM116" s="17">
        <f>-AM111*AM100*p_veh_km*p_ev_maint/1000</f>
        <v/>
      </c>
      <c r="AN116" s="17">
        <f>-AN111*AN100*p_veh_km*p_ev_maint/1000</f>
        <v/>
      </c>
    </row>
    <row r="117">
      <c r="A117" s="12" t="inlineStr">
        <is>
          <t>5. Buildings</t>
        </is>
      </c>
      <c r="B117" s="13" t="n"/>
      <c r="C117" s="13" t="n"/>
      <c r="D117" s="13" t="n"/>
      <c r="E117" s="13" t="n"/>
      <c r="F117" s="13" t="n"/>
      <c r="G117" s="13" t="n"/>
      <c r="H117" s="13" t="n"/>
      <c r="I117" s="13" t="n"/>
      <c r="J117" s="13"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c r="AE117" s="16" t="n"/>
      <c r="AF117" s="16" t="n"/>
      <c r="AG117" s="16" t="n"/>
      <c r="AH117" s="16" t="n"/>
      <c r="AI117" s="16" t="n"/>
      <c r="AJ117" s="16" t="n"/>
      <c r="AK117" s="16" t="n"/>
      <c r="AL117" s="16" t="n"/>
      <c r="AM117" s="16" t="n"/>
      <c r="AN117" s="16" t="n"/>
    </row>
    <row r="118">
      <c r="A118" s="9" t="n">
        <v>5</v>
      </c>
      <c r="B118" s="9" t="inlineStr"/>
      <c r="C118" s="9" t="inlineStr">
        <is>
          <t>res</t>
        </is>
      </c>
      <c r="D118" s="9" t="inlineStr">
        <is>
          <t>Share of fossil heat replaced (net zero)</t>
        </is>
      </c>
      <c r="E118" s="9" t="inlineStr">
        <is>
          <t>share</t>
        </is>
      </c>
      <c r="F118" s="9" t="inlineStr">
        <is>
          <t>Model</t>
        </is>
      </c>
      <c r="G118" s="18" t="n"/>
      <c r="H118" s="18" t="inlineStr">
        <is>
          <t>mit.bld.h.2</t>
        </is>
      </c>
      <c r="I118" s="9" t="n"/>
      <c r="J118" s="9" t="n"/>
      <c r="K118" s="17" t="n"/>
      <c r="L118" s="17" t="n"/>
      <c r="M118" s="17" t="n"/>
      <c r="N118" s="19">
        <f>0</f>
        <v/>
      </c>
      <c r="O118" s="17">
        <f>MIN(1,(O$1-2024)/($J$15-2024))</f>
        <v/>
      </c>
      <c r="P118" s="17">
        <f>MIN(1,(P$1-2024)/($J$15-2024))</f>
        <v/>
      </c>
      <c r="Q118" s="17">
        <f>MIN(1,(Q$1-2024)/($J$15-2024))</f>
        <v/>
      </c>
      <c r="R118" s="17">
        <f>MIN(1,(R$1-2024)/($J$15-2024))</f>
        <v/>
      </c>
      <c r="S118" s="17">
        <f>MIN(1,(S$1-2024)/($J$15-2024))</f>
        <v/>
      </c>
      <c r="T118" s="17">
        <f>MIN(1,(T$1-2024)/($J$15-2024))</f>
        <v/>
      </c>
      <c r="U118" s="17">
        <f>MIN(1,(U$1-2024)/($J$15-2024))</f>
        <v/>
      </c>
      <c r="V118" s="17">
        <f>MIN(1,(V$1-2024)/($J$15-2024))</f>
        <v/>
      </c>
      <c r="W118" s="17">
        <f>MIN(1,(W$1-2024)/($J$15-2024))</f>
        <v/>
      </c>
      <c r="X118" s="17">
        <f>MIN(1,(X$1-2024)/($J$15-2024))</f>
        <v/>
      </c>
      <c r="Y118" s="17">
        <f>MIN(1,(Y$1-2024)/($J$15-2024))</f>
        <v/>
      </c>
      <c r="Z118" s="17">
        <f>MIN(1,(Z$1-2024)/($J$15-2024))</f>
        <v/>
      </c>
      <c r="AA118" s="17">
        <f>MIN(1,(AA$1-2024)/($J$15-2024))</f>
        <v/>
      </c>
      <c r="AB118" s="17">
        <f>MIN(1,(AB$1-2024)/($J$15-2024))</f>
        <v/>
      </c>
      <c r="AC118" s="17">
        <f>MIN(1,(AC$1-2024)/($J$15-2024))</f>
        <v/>
      </c>
      <c r="AD118" s="17">
        <f>MIN(1,(AD$1-2024)/($J$15-2024))</f>
        <v/>
      </c>
      <c r="AE118" s="17">
        <f>MIN(1,(AE$1-2024)/($J$15-2024))</f>
        <v/>
      </c>
      <c r="AF118" s="17">
        <f>MIN(1,(AF$1-2024)/($J$15-2024))</f>
        <v/>
      </c>
      <c r="AG118" s="17">
        <f>MIN(1,(AG$1-2024)/($J$15-2024))</f>
        <v/>
      </c>
      <c r="AH118" s="17">
        <f>MIN(1,(AH$1-2024)/($J$15-2024))</f>
        <v/>
      </c>
      <c r="AI118" s="17">
        <f>MIN(1,(AI$1-2024)/($J$15-2024))</f>
        <v/>
      </c>
      <c r="AJ118" s="17">
        <f>MIN(1,(AJ$1-2024)/($J$15-2024))</f>
        <v/>
      </c>
      <c r="AK118" s="17">
        <f>MIN(1,(AK$1-2024)/($J$15-2024))</f>
        <v/>
      </c>
      <c r="AL118" s="17">
        <f>MIN(1,(AL$1-2024)/($J$15-2024))</f>
        <v/>
      </c>
      <c r="AM118" s="17">
        <f>MIN(1,(AM$1-2024)/($J$15-2024))</f>
        <v/>
      </c>
      <c r="AN118" s="17">
        <f>MIN(1,(AN$1-2024)/($J$15-2024))</f>
        <v/>
      </c>
    </row>
    <row r="119">
      <c r="A119" s="9" t="n">
        <v>5</v>
      </c>
      <c r="B119" s="9" t="inlineStr">
        <is>
          <t>coa</t>
        </is>
      </c>
      <c r="C119" s="9" t="inlineStr">
        <is>
          <t>res</t>
        </is>
      </c>
      <c r="D119" s="9" t="inlineStr">
        <is>
          <t>Fossil fuel use</t>
        </is>
      </c>
      <c r="E119" s="9" t="inlineStr">
        <is>
          <t>PJ</t>
        </is>
      </c>
      <c r="F119" s="9" t="inlineStr">
        <is>
          <t>Model</t>
        </is>
      </c>
      <c r="G119" s="18" t="n"/>
      <c r="H119" s="18" t="inlineStr">
        <is>
          <t>mit.con.coa.res.1</t>
        </is>
      </c>
      <c r="I119" s="9" t="n"/>
      <c r="J119" s="9" t="n"/>
      <c r="K119" s="17" t="n"/>
      <c r="L119" s="17" t="n"/>
      <c r="M119" s="17" t="n"/>
      <c r="N119" s="19">
        <f>N90</f>
        <v/>
      </c>
      <c r="O119" s="17">
        <f>O90</f>
        <v/>
      </c>
      <c r="P119" s="17">
        <f>P90</f>
        <v/>
      </c>
      <c r="Q119" s="17">
        <f>Q90</f>
        <v/>
      </c>
      <c r="R119" s="17">
        <f>R90</f>
        <v/>
      </c>
      <c r="S119" s="17">
        <f>S90</f>
        <v/>
      </c>
      <c r="T119" s="17">
        <f>T90</f>
        <v/>
      </c>
      <c r="U119" s="17">
        <f>U90</f>
        <v/>
      </c>
      <c r="V119" s="17">
        <f>V90</f>
        <v/>
      </c>
      <c r="W119" s="17">
        <f>W90</f>
        <v/>
      </c>
      <c r="X119" s="17">
        <f>X90</f>
        <v/>
      </c>
      <c r="Y119" s="17">
        <f>Y90</f>
        <v/>
      </c>
      <c r="Z119" s="17">
        <f>Z90</f>
        <v/>
      </c>
      <c r="AA119" s="17">
        <f>AA90</f>
        <v/>
      </c>
      <c r="AB119" s="17">
        <f>AB90</f>
        <v/>
      </c>
      <c r="AC119" s="17">
        <f>AC90</f>
        <v/>
      </c>
      <c r="AD119" s="17">
        <f>AD90</f>
        <v/>
      </c>
      <c r="AE119" s="17">
        <f>AE90</f>
        <v/>
      </c>
      <c r="AF119" s="17">
        <f>AF90</f>
        <v/>
      </c>
      <c r="AG119" s="17">
        <f>AG90</f>
        <v/>
      </c>
      <c r="AH119" s="17">
        <f>AH90</f>
        <v/>
      </c>
      <c r="AI119" s="17">
        <f>AI90</f>
        <v/>
      </c>
      <c r="AJ119" s="17">
        <f>AJ90</f>
        <v/>
      </c>
      <c r="AK119" s="17">
        <f>AK90</f>
        <v/>
      </c>
      <c r="AL119" s="17">
        <f>AL90</f>
        <v/>
      </c>
      <c r="AM119" s="17">
        <f>AM90</f>
        <v/>
      </c>
      <c r="AN119" s="17">
        <f>AN90</f>
        <v/>
      </c>
    </row>
    <row r="120">
      <c r="A120" s="9" t="n">
        <v>5</v>
      </c>
      <c r="B120" s="9" t="inlineStr">
        <is>
          <t>nga</t>
        </is>
      </c>
      <c r="C120" s="9" t="inlineStr">
        <is>
          <t>res</t>
        </is>
      </c>
      <c r="D120" s="9" t="inlineStr">
        <is>
          <t>Fossil fuel use</t>
        </is>
      </c>
      <c r="E120" s="9" t="inlineStr">
        <is>
          <t>PJ</t>
        </is>
      </c>
      <c r="F120" s="9" t="inlineStr">
        <is>
          <t>Model</t>
        </is>
      </c>
      <c r="G120" s="18" t="n"/>
      <c r="H120" s="18" t="inlineStr">
        <is>
          <t>mit.con.nga.res.1</t>
        </is>
      </c>
      <c r="I120" s="9" t="n"/>
      <c r="J120" s="9" t="n"/>
      <c r="K120" s="17" t="n"/>
      <c r="L120" s="17" t="n"/>
      <c r="M120" s="17" t="n"/>
      <c r="N120" s="19">
        <f>N91</f>
        <v/>
      </c>
      <c r="O120" s="17">
        <f>O91</f>
        <v/>
      </c>
      <c r="P120" s="17">
        <f>P91</f>
        <v/>
      </c>
      <c r="Q120" s="17">
        <f>Q91</f>
        <v/>
      </c>
      <c r="R120" s="17">
        <f>R91</f>
        <v/>
      </c>
      <c r="S120" s="17">
        <f>S91</f>
        <v/>
      </c>
      <c r="T120" s="17">
        <f>T91</f>
        <v/>
      </c>
      <c r="U120" s="17">
        <f>U91</f>
        <v/>
      </c>
      <c r="V120" s="17">
        <f>V91</f>
        <v/>
      </c>
      <c r="W120" s="17">
        <f>W91</f>
        <v/>
      </c>
      <c r="X120" s="17">
        <f>X91</f>
        <v/>
      </c>
      <c r="Y120" s="17">
        <f>Y91</f>
        <v/>
      </c>
      <c r="Z120" s="17">
        <f>Z91</f>
        <v/>
      </c>
      <c r="AA120" s="17">
        <f>AA91</f>
        <v/>
      </c>
      <c r="AB120" s="17">
        <f>AB91</f>
        <v/>
      </c>
      <c r="AC120" s="17">
        <f>AC91</f>
        <v/>
      </c>
      <c r="AD120" s="17">
        <f>AD91</f>
        <v/>
      </c>
      <c r="AE120" s="17">
        <f>AE91</f>
        <v/>
      </c>
      <c r="AF120" s="17">
        <f>AF91</f>
        <v/>
      </c>
      <c r="AG120" s="17">
        <f>AG91</f>
        <v/>
      </c>
      <c r="AH120" s="17">
        <f>AH91</f>
        <v/>
      </c>
      <c r="AI120" s="17">
        <f>AI91</f>
        <v/>
      </c>
      <c r="AJ120" s="17">
        <f>AJ91</f>
        <v/>
      </c>
      <c r="AK120" s="17">
        <f>AK91</f>
        <v/>
      </c>
      <c r="AL120" s="17">
        <f>AL91</f>
        <v/>
      </c>
      <c r="AM120" s="17">
        <f>AM91</f>
        <v/>
      </c>
      <c r="AN120" s="17">
        <f>AN91</f>
        <v/>
      </c>
    </row>
    <row r="121">
      <c r="A121" s="9" t="n">
        <v>5</v>
      </c>
      <c r="B121" s="9" t="inlineStr">
        <is>
          <t>lpg</t>
        </is>
      </c>
      <c r="C121" s="9" t="inlineStr">
        <is>
          <t>res</t>
        </is>
      </c>
      <c r="D121" s="9" t="inlineStr">
        <is>
          <t>Fossil fuel use</t>
        </is>
      </c>
      <c r="E121" s="9" t="inlineStr">
        <is>
          <t>PJ</t>
        </is>
      </c>
      <c r="F121" s="9" t="inlineStr">
        <is>
          <t>Model</t>
        </is>
      </c>
      <c r="G121" s="18" t="n"/>
      <c r="H121" s="18" t="inlineStr">
        <is>
          <t>mit.con.lpg.res.1</t>
        </is>
      </c>
      <c r="I121" s="9" t="n"/>
      <c r="J121" s="9" t="n"/>
      <c r="K121" s="17" t="n"/>
      <c r="L121" s="17" t="n"/>
      <c r="M121" s="17" t="n"/>
      <c r="N121" s="19">
        <f>N92</f>
        <v/>
      </c>
      <c r="O121" s="17">
        <f>O92</f>
        <v/>
      </c>
      <c r="P121" s="17">
        <f>P92</f>
        <v/>
      </c>
      <c r="Q121" s="17">
        <f>Q92</f>
        <v/>
      </c>
      <c r="R121" s="17">
        <f>R92</f>
        <v/>
      </c>
      <c r="S121" s="17">
        <f>S92</f>
        <v/>
      </c>
      <c r="T121" s="17">
        <f>T92</f>
        <v/>
      </c>
      <c r="U121" s="17">
        <f>U92</f>
        <v/>
      </c>
      <c r="V121" s="17">
        <f>V92</f>
        <v/>
      </c>
      <c r="W121" s="17">
        <f>W92</f>
        <v/>
      </c>
      <c r="X121" s="17">
        <f>X92</f>
        <v/>
      </c>
      <c r="Y121" s="17">
        <f>Y92</f>
        <v/>
      </c>
      <c r="Z121" s="17">
        <f>Z92</f>
        <v/>
      </c>
      <c r="AA121" s="17">
        <f>AA92</f>
        <v/>
      </c>
      <c r="AB121" s="17">
        <f>AB92</f>
        <v/>
      </c>
      <c r="AC121" s="17">
        <f>AC92</f>
        <v/>
      </c>
      <c r="AD121" s="17">
        <f>AD92</f>
        <v/>
      </c>
      <c r="AE121" s="17">
        <f>AE92</f>
        <v/>
      </c>
      <c r="AF121" s="17">
        <f>AF92</f>
        <v/>
      </c>
      <c r="AG121" s="17">
        <f>AG92</f>
        <v/>
      </c>
      <c r="AH121" s="17">
        <f>AH92</f>
        <v/>
      </c>
      <c r="AI121" s="17">
        <f>AI92</f>
        <v/>
      </c>
      <c r="AJ121" s="17">
        <f>AJ92</f>
        <v/>
      </c>
      <c r="AK121" s="17">
        <f>AK92</f>
        <v/>
      </c>
      <c r="AL121" s="17">
        <f>AL92</f>
        <v/>
      </c>
      <c r="AM121" s="17">
        <f>AM92</f>
        <v/>
      </c>
      <c r="AN121" s="17">
        <f>AN92</f>
        <v/>
      </c>
    </row>
    <row r="122">
      <c r="A122" s="9" t="n">
        <v>5</v>
      </c>
      <c r="B122" s="9" t="inlineStr">
        <is>
          <t>ker</t>
        </is>
      </c>
      <c r="C122" s="9" t="inlineStr">
        <is>
          <t>res</t>
        </is>
      </c>
      <c r="D122" s="9" t="inlineStr">
        <is>
          <t>Fossil fuel use</t>
        </is>
      </c>
      <c r="E122" s="9" t="inlineStr">
        <is>
          <t>PJ</t>
        </is>
      </c>
      <c r="F122" s="9" t="inlineStr">
        <is>
          <t>Model</t>
        </is>
      </c>
      <c r="G122" s="18" t="n"/>
      <c r="H122" s="18" t="inlineStr">
        <is>
          <t>mit.con.ker.res.1</t>
        </is>
      </c>
      <c r="I122" s="9" t="n"/>
      <c r="J122" s="9" t="n"/>
      <c r="K122" s="17" t="n"/>
      <c r="L122" s="17" t="n"/>
      <c r="M122" s="17" t="n"/>
      <c r="N122" s="19">
        <f>N93</f>
        <v/>
      </c>
      <c r="O122" s="17">
        <f>O93</f>
        <v/>
      </c>
      <c r="P122" s="17">
        <f>P93</f>
        <v/>
      </c>
      <c r="Q122" s="17">
        <f>Q93</f>
        <v/>
      </c>
      <c r="R122" s="17">
        <f>R93</f>
        <v/>
      </c>
      <c r="S122" s="17">
        <f>S93</f>
        <v/>
      </c>
      <c r="T122" s="17">
        <f>T93</f>
        <v/>
      </c>
      <c r="U122" s="17">
        <f>U93</f>
        <v/>
      </c>
      <c r="V122" s="17">
        <f>V93</f>
        <v/>
      </c>
      <c r="W122" s="17">
        <f>W93</f>
        <v/>
      </c>
      <c r="X122" s="17">
        <f>X93</f>
        <v/>
      </c>
      <c r="Y122" s="17">
        <f>Y93</f>
        <v/>
      </c>
      <c r="Z122" s="17">
        <f>Z93</f>
        <v/>
      </c>
      <c r="AA122" s="17">
        <f>AA93</f>
        <v/>
      </c>
      <c r="AB122" s="17">
        <f>AB93</f>
        <v/>
      </c>
      <c r="AC122" s="17">
        <f>AC93</f>
        <v/>
      </c>
      <c r="AD122" s="17">
        <f>AD93</f>
        <v/>
      </c>
      <c r="AE122" s="17">
        <f>AE93</f>
        <v/>
      </c>
      <c r="AF122" s="17">
        <f>AF93</f>
        <v/>
      </c>
      <c r="AG122" s="17">
        <f>AG93</f>
        <v/>
      </c>
      <c r="AH122" s="17">
        <f>AH93</f>
        <v/>
      </c>
      <c r="AI122" s="17">
        <f>AI93</f>
        <v/>
      </c>
      <c r="AJ122" s="17">
        <f>AJ93</f>
        <v/>
      </c>
      <c r="AK122" s="17">
        <f>AK93</f>
        <v/>
      </c>
      <c r="AL122" s="17">
        <f>AL93</f>
        <v/>
      </c>
      <c r="AM122" s="17">
        <f>AM93</f>
        <v/>
      </c>
      <c r="AN122" s="17">
        <f>AN93</f>
        <v/>
      </c>
    </row>
    <row r="123">
      <c r="A123" s="9" t="n">
        <v>5</v>
      </c>
      <c r="B123" s="9" t="inlineStr">
        <is>
          <t>coa</t>
        </is>
      </c>
      <c r="C123" s="9" t="inlineStr">
        <is>
          <t>res</t>
        </is>
      </c>
      <c r="D123" s="9" t="inlineStr">
        <is>
          <t>Fossil fuel use</t>
        </is>
      </c>
      <c r="E123" s="9" t="inlineStr">
        <is>
          <t>PJ</t>
        </is>
      </c>
      <c r="F123" s="9" t="inlineStr">
        <is>
          <t>Model</t>
        </is>
      </c>
      <c r="G123" s="18" t="n"/>
      <c r="H123" s="18" t="inlineStr">
        <is>
          <t>mit.con.coa.res.2</t>
        </is>
      </c>
      <c r="I123" s="9" t="n"/>
      <c r="J123" s="9" t="n"/>
      <c r="K123" s="17" t="n"/>
      <c r="L123" s="17" t="n"/>
      <c r="M123" s="17" t="n"/>
      <c r="N123" s="19">
        <f>N90</f>
        <v/>
      </c>
      <c r="O123" s="17">
        <f>O90*(1-O118)</f>
        <v/>
      </c>
      <c r="P123" s="17">
        <f>P90*(1-P118)</f>
        <v/>
      </c>
      <c r="Q123" s="17">
        <f>Q90*(1-Q118)</f>
        <v/>
      </c>
      <c r="R123" s="17">
        <f>R90*(1-R118)</f>
        <v/>
      </c>
      <c r="S123" s="17">
        <f>S90*(1-S118)</f>
        <v/>
      </c>
      <c r="T123" s="17">
        <f>T90*(1-T118)</f>
        <v/>
      </c>
      <c r="U123" s="17">
        <f>U90*(1-U118)</f>
        <v/>
      </c>
      <c r="V123" s="17">
        <f>V90*(1-V118)</f>
        <v/>
      </c>
      <c r="W123" s="17">
        <f>W90*(1-W118)</f>
        <v/>
      </c>
      <c r="X123" s="17">
        <f>X90*(1-X118)</f>
        <v/>
      </c>
      <c r="Y123" s="17">
        <f>Y90*(1-Y118)</f>
        <v/>
      </c>
      <c r="Z123" s="17">
        <f>Z90*(1-Z118)</f>
        <v/>
      </c>
      <c r="AA123" s="17">
        <f>AA90*(1-AA118)</f>
        <v/>
      </c>
      <c r="AB123" s="17">
        <f>AB90*(1-AB118)</f>
        <v/>
      </c>
      <c r="AC123" s="17">
        <f>AC90*(1-AC118)</f>
        <v/>
      </c>
      <c r="AD123" s="17">
        <f>AD90*(1-AD118)</f>
        <v/>
      </c>
      <c r="AE123" s="17">
        <f>AE90*(1-AE118)</f>
        <v/>
      </c>
      <c r="AF123" s="17">
        <f>AF90*(1-AF118)</f>
        <v/>
      </c>
      <c r="AG123" s="17">
        <f>AG90*(1-AG118)</f>
        <v/>
      </c>
      <c r="AH123" s="17">
        <f>AH90*(1-AH118)</f>
        <v/>
      </c>
      <c r="AI123" s="17">
        <f>AI90*(1-AI118)</f>
        <v/>
      </c>
      <c r="AJ123" s="17">
        <f>AJ90*(1-AJ118)</f>
        <v/>
      </c>
      <c r="AK123" s="17">
        <f>AK90*(1-AK118)</f>
        <v/>
      </c>
      <c r="AL123" s="17">
        <f>AL90*(1-AL118)</f>
        <v/>
      </c>
      <c r="AM123" s="17">
        <f>AM90*(1-AM118)</f>
        <v/>
      </c>
      <c r="AN123" s="17">
        <f>AN90*(1-AN118)</f>
        <v/>
      </c>
    </row>
    <row r="124">
      <c r="A124" s="9" t="n">
        <v>5</v>
      </c>
      <c r="B124" s="9" t="inlineStr">
        <is>
          <t>nga</t>
        </is>
      </c>
      <c r="C124" s="9" t="inlineStr">
        <is>
          <t>res</t>
        </is>
      </c>
      <c r="D124" s="9" t="inlineStr">
        <is>
          <t>Fossil fuel use</t>
        </is>
      </c>
      <c r="E124" s="9" t="inlineStr">
        <is>
          <t>PJ</t>
        </is>
      </c>
      <c r="F124" s="9" t="inlineStr">
        <is>
          <t>Model</t>
        </is>
      </c>
      <c r="G124" s="18" t="n"/>
      <c r="H124" s="18" t="inlineStr">
        <is>
          <t>mit.con.nga.res.2</t>
        </is>
      </c>
      <c r="I124" s="9" t="n"/>
      <c r="J124" s="9" t="n"/>
      <c r="K124" s="17" t="n"/>
      <c r="L124" s="17" t="n"/>
      <c r="M124" s="17" t="n"/>
      <c r="N124" s="19">
        <f>N91</f>
        <v/>
      </c>
      <c r="O124" s="17">
        <f>O91*(1-O118)</f>
        <v/>
      </c>
      <c r="P124" s="17">
        <f>P91*(1-P118)</f>
        <v/>
      </c>
      <c r="Q124" s="17">
        <f>Q91*(1-Q118)</f>
        <v/>
      </c>
      <c r="R124" s="17">
        <f>R91*(1-R118)</f>
        <v/>
      </c>
      <c r="S124" s="17">
        <f>S91*(1-S118)</f>
        <v/>
      </c>
      <c r="T124" s="17">
        <f>T91*(1-T118)</f>
        <v/>
      </c>
      <c r="U124" s="17">
        <f>U91*(1-U118)</f>
        <v/>
      </c>
      <c r="V124" s="17">
        <f>V91*(1-V118)</f>
        <v/>
      </c>
      <c r="W124" s="17">
        <f>W91*(1-W118)</f>
        <v/>
      </c>
      <c r="X124" s="17">
        <f>X91*(1-X118)</f>
        <v/>
      </c>
      <c r="Y124" s="17">
        <f>Y91*(1-Y118)</f>
        <v/>
      </c>
      <c r="Z124" s="17">
        <f>Z91*(1-Z118)</f>
        <v/>
      </c>
      <c r="AA124" s="17">
        <f>AA91*(1-AA118)</f>
        <v/>
      </c>
      <c r="AB124" s="17">
        <f>AB91*(1-AB118)</f>
        <v/>
      </c>
      <c r="AC124" s="17">
        <f>AC91*(1-AC118)</f>
        <v/>
      </c>
      <c r="AD124" s="17">
        <f>AD91*(1-AD118)</f>
        <v/>
      </c>
      <c r="AE124" s="17">
        <f>AE91*(1-AE118)</f>
        <v/>
      </c>
      <c r="AF124" s="17">
        <f>AF91*(1-AF118)</f>
        <v/>
      </c>
      <c r="AG124" s="17">
        <f>AG91*(1-AG118)</f>
        <v/>
      </c>
      <c r="AH124" s="17">
        <f>AH91*(1-AH118)</f>
        <v/>
      </c>
      <c r="AI124" s="17">
        <f>AI91*(1-AI118)</f>
        <v/>
      </c>
      <c r="AJ124" s="17">
        <f>AJ91*(1-AJ118)</f>
        <v/>
      </c>
      <c r="AK124" s="17">
        <f>AK91*(1-AK118)</f>
        <v/>
      </c>
      <c r="AL124" s="17">
        <f>AL91*(1-AL118)</f>
        <v/>
      </c>
      <c r="AM124" s="17">
        <f>AM91*(1-AM118)</f>
        <v/>
      </c>
      <c r="AN124" s="17">
        <f>AN91*(1-AN118)</f>
        <v/>
      </c>
    </row>
    <row r="125">
      <c r="A125" s="9" t="n">
        <v>5</v>
      </c>
      <c r="B125" s="9" t="inlineStr">
        <is>
          <t>lpg</t>
        </is>
      </c>
      <c r="C125" s="9" t="inlineStr">
        <is>
          <t>res</t>
        </is>
      </c>
      <c r="D125" s="9" t="inlineStr">
        <is>
          <t>Fossil fuel use</t>
        </is>
      </c>
      <c r="E125" s="9" t="inlineStr">
        <is>
          <t>PJ</t>
        </is>
      </c>
      <c r="F125" s="9" t="inlineStr">
        <is>
          <t>Model</t>
        </is>
      </c>
      <c r="G125" s="18" t="n"/>
      <c r="H125" s="18" t="inlineStr">
        <is>
          <t>mit.con.lpg.res.2</t>
        </is>
      </c>
      <c r="I125" s="9" t="n"/>
      <c r="J125" s="9" t="n"/>
      <c r="K125" s="17" t="n"/>
      <c r="L125" s="17" t="n"/>
      <c r="M125" s="17" t="n"/>
      <c r="N125" s="19">
        <f>N92</f>
        <v/>
      </c>
      <c r="O125" s="17">
        <f>O92*(1-O118)</f>
        <v/>
      </c>
      <c r="P125" s="17">
        <f>P92*(1-P118)</f>
        <v/>
      </c>
      <c r="Q125" s="17">
        <f>Q92*(1-Q118)</f>
        <v/>
      </c>
      <c r="R125" s="17">
        <f>R92*(1-R118)</f>
        <v/>
      </c>
      <c r="S125" s="17">
        <f>S92*(1-S118)</f>
        <v/>
      </c>
      <c r="T125" s="17">
        <f>T92*(1-T118)</f>
        <v/>
      </c>
      <c r="U125" s="17">
        <f>U92*(1-U118)</f>
        <v/>
      </c>
      <c r="V125" s="17">
        <f>V92*(1-V118)</f>
        <v/>
      </c>
      <c r="W125" s="17">
        <f>W92*(1-W118)</f>
        <v/>
      </c>
      <c r="X125" s="17">
        <f>X92*(1-X118)</f>
        <v/>
      </c>
      <c r="Y125" s="17">
        <f>Y92*(1-Y118)</f>
        <v/>
      </c>
      <c r="Z125" s="17">
        <f>Z92*(1-Z118)</f>
        <v/>
      </c>
      <c r="AA125" s="17">
        <f>AA92*(1-AA118)</f>
        <v/>
      </c>
      <c r="AB125" s="17">
        <f>AB92*(1-AB118)</f>
        <v/>
      </c>
      <c r="AC125" s="17">
        <f>AC92*(1-AC118)</f>
        <v/>
      </c>
      <c r="AD125" s="17">
        <f>AD92*(1-AD118)</f>
        <v/>
      </c>
      <c r="AE125" s="17">
        <f>AE92*(1-AE118)</f>
        <v/>
      </c>
      <c r="AF125" s="17">
        <f>AF92*(1-AF118)</f>
        <v/>
      </c>
      <c r="AG125" s="17">
        <f>AG92*(1-AG118)</f>
        <v/>
      </c>
      <c r="AH125" s="17">
        <f>AH92*(1-AH118)</f>
        <v/>
      </c>
      <c r="AI125" s="17">
        <f>AI92*(1-AI118)</f>
        <v/>
      </c>
      <c r="AJ125" s="17">
        <f>AJ92*(1-AJ118)</f>
        <v/>
      </c>
      <c r="AK125" s="17">
        <f>AK92*(1-AK118)</f>
        <v/>
      </c>
      <c r="AL125" s="17">
        <f>AL92*(1-AL118)</f>
        <v/>
      </c>
      <c r="AM125" s="17">
        <f>AM92*(1-AM118)</f>
        <v/>
      </c>
      <c r="AN125" s="17">
        <f>AN92*(1-AN118)</f>
        <v/>
      </c>
    </row>
    <row r="126">
      <c r="A126" s="9" t="n">
        <v>5</v>
      </c>
      <c r="B126" s="9" t="inlineStr">
        <is>
          <t>ker</t>
        </is>
      </c>
      <c r="C126" s="9" t="inlineStr">
        <is>
          <t>res</t>
        </is>
      </c>
      <c r="D126" s="9" t="inlineStr">
        <is>
          <t>Fossil fuel use</t>
        </is>
      </c>
      <c r="E126" s="9" t="inlineStr">
        <is>
          <t>PJ</t>
        </is>
      </c>
      <c r="F126" s="9" t="inlineStr">
        <is>
          <t>Model</t>
        </is>
      </c>
      <c r="G126" s="18" t="n"/>
      <c r="H126" s="18" t="inlineStr">
        <is>
          <t>mit.con.ker.res.2</t>
        </is>
      </c>
      <c r="I126" s="9" t="n"/>
      <c r="J126" s="9" t="n"/>
      <c r="K126" s="17" t="n"/>
      <c r="L126" s="17" t="n"/>
      <c r="M126" s="17" t="n"/>
      <c r="N126" s="19">
        <f>N93</f>
        <v/>
      </c>
      <c r="O126" s="17">
        <f>O93*(1-O118)</f>
        <v/>
      </c>
      <c r="P126" s="17">
        <f>P93*(1-P118)</f>
        <v/>
      </c>
      <c r="Q126" s="17">
        <f>Q93*(1-Q118)</f>
        <v/>
      </c>
      <c r="R126" s="17">
        <f>R93*(1-R118)</f>
        <v/>
      </c>
      <c r="S126" s="17">
        <f>S93*(1-S118)</f>
        <v/>
      </c>
      <c r="T126" s="17">
        <f>T93*(1-T118)</f>
        <v/>
      </c>
      <c r="U126" s="17">
        <f>U93*(1-U118)</f>
        <v/>
      </c>
      <c r="V126" s="17">
        <f>V93*(1-V118)</f>
        <v/>
      </c>
      <c r="W126" s="17">
        <f>W93*(1-W118)</f>
        <v/>
      </c>
      <c r="X126" s="17">
        <f>X93*(1-X118)</f>
        <v/>
      </c>
      <c r="Y126" s="17">
        <f>Y93*(1-Y118)</f>
        <v/>
      </c>
      <c r="Z126" s="17">
        <f>Z93*(1-Z118)</f>
        <v/>
      </c>
      <c r="AA126" s="17">
        <f>AA93*(1-AA118)</f>
        <v/>
      </c>
      <c r="AB126" s="17">
        <f>AB93*(1-AB118)</f>
        <v/>
      </c>
      <c r="AC126" s="17">
        <f>AC93*(1-AC118)</f>
        <v/>
      </c>
      <c r="AD126" s="17">
        <f>AD93*(1-AD118)</f>
        <v/>
      </c>
      <c r="AE126" s="17">
        <f>AE93*(1-AE118)</f>
        <v/>
      </c>
      <c r="AF126" s="17">
        <f>AF93*(1-AF118)</f>
        <v/>
      </c>
      <c r="AG126" s="17">
        <f>AG93*(1-AG118)</f>
        <v/>
      </c>
      <c r="AH126" s="17">
        <f>AH93*(1-AH118)</f>
        <v/>
      </c>
      <c r="AI126" s="17">
        <f>AI93*(1-AI118)</f>
        <v/>
      </c>
      <c r="AJ126" s="17">
        <f>AJ93*(1-AJ118)</f>
        <v/>
      </c>
      <c r="AK126" s="17">
        <f>AK93*(1-AK118)</f>
        <v/>
      </c>
      <c r="AL126" s="17">
        <f>AL93*(1-AL118)</f>
        <v/>
      </c>
      <c r="AM126" s="17">
        <f>AM93*(1-AM118)</f>
        <v/>
      </c>
      <c r="AN126" s="17">
        <f>AN93*(1-AN118)</f>
        <v/>
      </c>
    </row>
    <row r="127">
      <c r="A127" s="9" t="n">
        <v>5</v>
      </c>
      <c r="B127" s="9" t="inlineStr"/>
      <c r="C127" s="9" t="inlineStr">
        <is>
          <t>res</t>
        </is>
      </c>
      <c r="D127" s="9" t="inlineStr">
        <is>
          <t>Fossil heat fuel displaced</t>
        </is>
      </c>
      <c r="E127" s="9" t="inlineStr">
        <is>
          <t>PJ</t>
        </is>
      </c>
      <c r="F127" s="9" t="inlineStr">
        <is>
          <t>Model</t>
        </is>
      </c>
      <c r="G127" s="18" t="n"/>
      <c r="H127" s="18" t="inlineStr">
        <is>
          <t>mit.bld.disp.2</t>
        </is>
      </c>
      <c r="I127" s="9" t="n"/>
      <c r="J127" s="9" t="n"/>
      <c r="K127" s="17" t="n"/>
      <c r="L127" s="17" t="n"/>
      <c r="M127" s="17" t="n"/>
      <c r="N127" s="19">
        <f>0</f>
        <v/>
      </c>
      <c r="O127" s="17">
        <f>(O90+O91+O92+O93)*O118</f>
        <v/>
      </c>
      <c r="P127" s="17">
        <f>(P90+P91+P92+P93)*P118</f>
        <v/>
      </c>
      <c r="Q127" s="17">
        <f>(Q90+Q91+Q92+Q93)*Q118</f>
        <v/>
      </c>
      <c r="R127" s="17">
        <f>(R90+R91+R92+R93)*R118</f>
        <v/>
      </c>
      <c r="S127" s="17">
        <f>(S90+S91+S92+S93)*S118</f>
        <v/>
      </c>
      <c r="T127" s="17">
        <f>(T90+T91+T92+T93)*T118</f>
        <v/>
      </c>
      <c r="U127" s="17">
        <f>(U90+U91+U92+U93)*U118</f>
        <v/>
      </c>
      <c r="V127" s="17">
        <f>(V90+V91+V92+V93)*V118</f>
        <v/>
      </c>
      <c r="W127" s="17">
        <f>(W90+W91+W92+W93)*W118</f>
        <v/>
      </c>
      <c r="X127" s="17">
        <f>(X90+X91+X92+X93)*X118</f>
        <v/>
      </c>
      <c r="Y127" s="17">
        <f>(Y90+Y91+Y92+Y93)*Y118</f>
        <v/>
      </c>
      <c r="Z127" s="17">
        <f>(Z90+Z91+Z92+Z93)*Z118</f>
        <v/>
      </c>
      <c r="AA127" s="17">
        <f>(AA90+AA91+AA92+AA93)*AA118</f>
        <v/>
      </c>
      <c r="AB127" s="17">
        <f>(AB90+AB91+AB92+AB93)*AB118</f>
        <v/>
      </c>
      <c r="AC127" s="17">
        <f>(AC90+AC91+AC92+AC93)*AC118</f>
        <v/>
      </c>
      <c r="AD127" s="17">
        <f>(AD90+AD91+AD92+AD93)*AD118</f>
        <v/>
      </c>
      <c r="AE127" s="17">
        <f>(AE90+AE91+AE92+AE93)*AE118</f>
        <v/>
      </c>
      <c r="AF127" s="17">
        <f>(AF90+AF91+AF92+AF93)*AF118</f>
        <v/>
      </c>
      <c r="AG127" s="17">
        <f>(AG90+AG91+AG92+AG93)*AG118</f>
        <v/>
      </c>
      <c r="AH127" s="17">
        <f>(AH90+AH91+AH92+AH93)*AH118</f>
        <v/>
      </c>
      <c r="AI127" s="17">
        <f>(AI90+AI91+AI92+AI93)*AI118</f>
        <v/>
      </c>
      <c r="AJ127" s="17">
        <f>(AJ90+AJ91+AJ92+AJ93)*AJ118</f>
        <v/>
      </c>
      <c r="AK127" s="17">
        <f>(AK90+AK91+AK92+AK93)*AK118</f>
        <v/>
      </c>
      <c r="AL127" s="17">
        <f>(AL90+AL91+AL92+AL93)*AL118</f>
        <v/>
      </c>
      <c r="AM127" s="17">
        <f>(AM90+AM91+AM92+AM93)*AM118</f>
        <v/>
      </c>
      <c r="AN127" s="17">
        <f>(AN90+AN91+AN92+AN93)*AN118</f>
        <v/>
      </c>
    </row>
    <row r="128">
      <c r="A128" s="9" t="n">
        <v>5</v>
      </c>
      <c r="B128" s="9" t="inlineStr">
        <is>
          <t>ecy</t>
        </is>
      </c>
      <c r="C128" s="9" t="inlineStr">
        <is>
          <t>res</t>
        </is>
      </c>
      <c r="D128" s="9" t="inlineStr">
        <is>
          <t>Heat pump electricity</t>
        </is>
      </c>
      <c r="E128" s="9" t="inlineStr">
        <is>
          <t>PJ</t>
        </is>
      </c>
      <c r="F128" s="9" t="inlineStr">
        <is>
          <t>Model</t>
        </is>
      </c>
      <c r="G128" s="18" t="n"/>
      <c r="H128" s="18" t="inlineStr">
        <is>
          <t>mit.con.ecy.hp.2</t>
        </is>
      </c>
      <c r="I128" s="9" t="n"/>
      <c r="J128" s="9" t="n"/>
      <c r="K128" s="17" t="n"/>
      <c r="L128" s="17" t="n"/>
      <c r="M128" s="17" t="n"/>
      <c r="N128" s="19">
        <f>0</f>
        <v/>
      </c>
      <c r="O128" s="17">
        <f>O127*p_hp_ratio</f>
        <v/>
      </c>
      <c r="P128" s="17">
        <f>P127*p_hp_ratio</f>
        <v/>
      </c>
      <c r="Q128" s="17">
        <f>Q127*p_hp_ratio</f>
        <v/>
      </c>
      <c r="R128" s="17">
        <f>R127*p_hp_ratio</f>
        <v/>
      </c>
      <c r="S128" s="17">
        <f>S127*p_hp_ratio</f>
        <v/>
      </c>
      <c r="T128" s="17">
        <f>T127*p_hp_ratio</f>
        <v/>
      </c>
      <c r="U128" s="17">
        <f>U127*p_hp_ratio</f>
        <v/>
      </c>
      <c r="V128" s="17">
        <f>V127*p_hp_ratio</f>
        <v/>
      </c>
      <c r="W128" s="17">
        <f>W127*p_hp_ratio</f>
        <v/>
      </c>
      <c r="X128" s="17">
        <f>X127*p_hp_ratio</f>
        <v/>
      </c>
      <c r="Y128" s="17">
        <f>Y127*p_hp_ratio</f>
        <v/>
      </c>
      <c r="Z128" s="17">
        <f>Z127*p_hp_ratio</f>
        <v/>
      </c>
      <c r="AA128" s="17">
        <f>AA127*p_hp_ratio</f>
        <v/>
      </c>
      <c r="AB128" s="17">
        <f>AB127*p_hp_ratio</f>
        <v/>
      </c>
      <c r="AC128" s="17">
        <f>AC127*p_hp_ratio</f>
        <v/>
      </c>
      <c r="AD128" s="17">
        <f>AD127*p_hp_ratio</f>
        <v/>
      </c>
      <c r="AE128" s="17">
        <f>AE127*p_hp_ratio</f>
        <v/>
      </c>
      <c r="AF128" s="17">
        <f>AF127*p_hp_ratio</f>
        <v/>
      </c>
      <c r="AG128" s="17">
        <f>AG127*p_hp_ratio</f>
        <v/>
      </c>
      <c r="AH128" s="17">
        <f>AH127*p_hp_ratio</f>
        <v/>
      </c>
      <c r="AI128" s="17">
        <f>AI127*p_hp_ratio</f>
        <v/>
      </c>
      <c r="AJ128" s="17">
        <f>AJ127*p_hp_ratio</f>
        <v/>
      </c>
      <c r="AK128" s="17">
        <f>AK127*p_hp_ratio</f>
        <v/>
      </c>
      <c r="AL128" s="17">
        <f>AL127*p_hp_ratio</f>
        <v/>
      </c>
      <c r="AM128" s="17">
        <f>AM127*p_hp_ratio</f>
        <v/>
      </c>
      <c r="AN128" s="17">
        <f>AN127*p_hp_ratio</f>
        <v/>
      </c>
    </row>
    <row r="129">
      <c r="A129" s="9" t="n">
        <v>5</v>
      </c>
      <c r="B129" s="9" t="inlineStr"/>
      <c r="C129" s="9" t="inlineStr">
        <is>
          <t>res</t>
        </is>
      </c>
      <c r="D129" s="9" t="inlineStr">
        <is>
          <t>Investment: heat pumps and efficiency</t>
        </is>
      </c>
      <c r="E129" s="9" t="inlineStr">
        <is>
          <t>USD bn</t>
        </is>
      </c>
      <c r="F129" s="9" t="inlineStr">
        <is>
          <t>Model</t>
        </is>
      </c>
      <c r="G129" s="18" t="n"/>
      <c r="H129" s="18" t="inlineStr">
        <is>
          <t>mit.inv.bld.2</t>
        </is>
      </c>
      <c r="I129" s="9" t="n"/>
      <c r="J129" s="9" t="n"/>
      <c r="K129" s="17" t="n"/>
      <c r="L129" s="17" t="n"/>
      <c r="M129" s="17" t="n"/>
      <c r="N129" s="19">
        <f>0</f>
        <v/>
      </c>
      <c r="O129" s="17">
        <f>p_k_bld*MAX(0,O127-N127)*$J$11/1000</f>
        <v/>
      </c>
      <c r="P129" s="17">
        <f>p_k_bld*MAX(0,P127-O127)*$J$11/1000</f>
        <v/>
      </c>
      <c r="Q129" s="17">
        <f>p_k_bld*MAX(0,Q127-P127)*$J$11/1000</f>
        <v/>
      </c>
      <c r="R129" s="17">
        <f>p_k_bld*MAX(0,R127-Q127)*$J$11/1000</f>
        <v/>
      </c>
      <c r="S129" s="17">
        <f>p_k_bld*MAX(0,S127-R127)*$J$11/1000</f>
        <v/>
      </c>
      <c r="T129" s="17">
        <f>p_k_bld*MAX(0,T127-S127)*$J$11/1000</f>
        <v/>
      </c>
      <c r="U129" s="17">
        <f>p_k_bld*MAX(0,U127-T127)*$J$11/1000</f>
        <v/>
      </c>
      <c r="V129" s="17">
        <f>p_k_bld*MAX(0,V127-U127)*$J$11/1000</f>
        <v/>
      </c>
      <c r="W129" s="17">
        <f>p_k_bld*MAX(0,W127-V127)*$J$11/1000</f>
        <v/>
      </c>
      <c r="X129" s="17">
        <f>p_k_bld*MAX(0,X127-W127)*$J$11/1000</f>
        <v/>
      </c>
      <c r="Y129" s="17">
        <f>p_k_bld*MAX(0,Y127-X127)*$J$11/1000</f>
        <v/>
      </c>
      <c r="Z129" s="17">
        <f>p_k_bld*MAX(0,Z127-Y127)*$J$11/1000</f>
        <v/>
      </c>
      <c r="AA129" s="17">
        <f>p_k_bld*MAX(0,AA127-Z127)*$J$11/1000</f>
        <v/>
      </c>
      <c r="AB129" s="17">
        <f>p_k_bld*MAX(0,AB127-AA127)*$J$11/1000</f>
        <v/>
      </c>
      <c r="AC129" s="17">
        <f>p_k_bld*MAX(0,AC127-AB127)*$J$11/1000</f>
        <v/>
      </c>
      <c r="AD129" s="17">
        <f>p_k_bld*MAX(0,AD127-AC127)*$J$11/1000</f>
        <v/>
      </c>
      <c r="AE129" s="17">
        <f>p_k_bld*MAX(0,AE127-AD127)*$J$11/1000</f>
        <v/>
      </c>
      <c r="AF129" s="17">
        <f>p_k_bld*MAX(0,AF127-AE127)*$J$11/1000</f>
        <v/>
      </c>
      <c r="AG129" s="17">
        <f>p_k_bld*MAX(0,AG127-AF127)*$J$11/1000</f>
        <v/>
      </c>
      <c r="AH129" s="17">
        <f>p_k_bld*MAX(0,AH127-AG127)*$J$11/1000</f>
        <v/>
      </c>
      <c r="AI129" s="17">
        <f>p_k_bld*MAX(0,AI127-AH127)*$J$11/1000</f>
        <v/>
      </c>
      <c r="AJ129" s="17">
        <f>p_k_bld*MAX(0,AJ127-AI127)*$J$11/1000</f>
        <v/>
      </c>
      <c r="AK129" s="17">
        <f>p_k_bld*MAX(0,AK127-AJ127)*$J$11/1000</f>
        <v/>
      </c>
      <c r="AL129" s="17">
        <f>p_k_bld*MAX(0,AL127-AK127)*$J$11/1000</f>
        <v/>
      </c>
      <c r="AM129" s="17">
        <f>p_k_bld*MAX(0,AM127-AL127)*$J$11/1000</f>
        <v/>
      </c>
      <c r="AN129" s="17">
        <f>p_k_bld*MAX(0,AN127-AM127)*$J$11/1000</f>
        <v/>
      </c>
    </row>
    <row r="130">
      <c r="A130" s="12" t="inlineStr">
        <is>
          <t>6. Industry</t>
        </is>
      </c>
      <c r="B130" s="13" t="n"/>
      <c r="C130" s="13" t="n"/>
      <c r="D130" s="13" t="n"/>
      <c r="E130" s="13" t="n"/>
      <c r="F130" s="13" t="n"/>
      <c r="G130" s="13" t="n"/>
      <c r="H130" s="13" t="n"/>
      <c r="I130" s="13" t="n"/>
      <c r="J130" s="13"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c r="AG130" s="16" t="n"/>
      <c r="AH130" s="16" t="n"/>
      <c r="AI130" s="16" t="n"/>
      <c r="AJ130" s="16" t="n"/>
      <c r="AK130" s="16" t="n"/>
      <c r="AL130" s="16" t="n"/>
      <c r="AM130" s="16" t="n"/>
      <c r="AN130" s="16" t="n"/>
    </row>
    <row r="131">
      <c r="A131" s="9" t="n">
        <v>6</v>
      </c>
      <c r="B131" s="9" t="inlineStr"/>
      <c r="C131" s="9" t="inlineStr">
        <is>
          <t>ind</t>
        </is>
      </c>
      <c r="D131" s="9" t="inlineStr">
        <is>
          <t>Share of industrial fossil use abated (net zero)</t>
        </is>
      </c>
      <c r="E131" s="9" t="inlineStr">
        <is>
          <t>share</t>
        </is>
      </c>
      <c r="F131" s="9" t="inlineStr">
        <is>
          <t>Model</t>
        </is>
      </c>
      <c r="G131" s="18" t="n"/>
      <c r="H131" s="18" t="inlineStr">
        <is>
          <t>mit.ind.a.2</t>
        </is>
      </c>
      <c r="I131" s="9" t="n"/>
      <c r="J131" s="9" t="n"/>
      <c r="K131" s="17" t="n"/>
      <c r="L131" s="17" t="n"/>
      <c r="M131" s="17" t="n"/>
      <c r="N131" s="19">
        <f>0</f>
        <v/>
      </c>
      <c r="O131" s="17">
        <f>$J$16*(O$1-2024)/26</f>
        <v/>
      </c>
      <c r="P131" s="17">
        <f>$J$16*(P$1-2024)/26</f>
        <v/>
      </c>
      <c r="Q131" s="17">
        <f>$J$16*(Q$1-2024)/26</f>
        <v/>
      </c>
      <c r="R131" s="17">
        <f>$J$16*(R$1-2024)/26</f>
        <v/>
      </c>
      <c r="S131" s="17">
        <f>$J$16*(S$1-2024)/26</f>
        <v/>
      </c>
      <c r="T131" s="17">
        <f>$J$16*(T$1-2024)/26</f>
        <v/>
      </c>
      <c r="U131" s="17">
        <f>$J$16*(U$1-2024)/26</f>
        <v/>
      </c>
      <c r="V131" s="17">
        <f>$J$16*(V$1-2024)/26</f>
        <v/>
      </c>
      <c r="W131" s="17">
        <f>$J$16*(W$1-2024)/26</f>
        <v/>
      </c>
      <c r="X131" s="17">
        <f>$J$16*(X$1-2024)/26</f>
        <v/>
      </c>
      <c r="Y131" s="17">
        <f>$J$16*(Y$1-2024)/26</f>
        <v/>
      </c>
      <c r="Z131" s="17">
        <f>$J$16*(Z$1-2024)/26</f>
        <v/>
      </c>
      <c r="AA131" s="17">
        <f>$J$16*(AA$1-2024)/26</f>
        <v/>
      </c>
      <c r="AB131" s="17">
        <f>$J$16*(AB$1-2024)/26</f>
        <v/>
      </c>
      <c r="AC131" s="17">
        <f>$J$16*(AC$1-2024)/26</f>
        <v/>
      </c>
      <c r="AD131" s="17">
        <f>$J$16*(AD$1-2024)/26</f>
        <v/>
      </c>
      <c r="AE131" s="17">
        <f>$J$16*(AE$1-2024)/26</f>
        <v/>
      </c>
      <c r="AF131" s="17">
        <f>$J$16*(AF$1-2024)/26</f>
        <v/>
      </c>
      <c r="AG131" s="17">
        <f>$J$16*(AG$1-2024)/26</f>
        <v/>
      </c>
      <c r="AH131" s="17">
        <f>$J$16*(AH$1-2024)/26</f>
        <v/>
      </c>
      <c r="AI131" s="17">
        <f>$J$16*(AI$1-2024)/26</f>
        <v/>
      </c>
      <c r="AJ131" s="17">
        <f>$J$16*(AJ$1-2024)/26</f>
        <v/>
      </c>
      <c r="AK131" s="17">
        <f>$J$16*(AK$1-2024)/26</f>
        <v/>
      </c>
      <c r="AL131" s="17">
        <f>$J$16*(AL$1-2024)/26</f>
        <v/>
      </c>
      <c r="AM131" s="17">
        <f>$J$16*(AM$1-2024)/26</f>
        <v/>
      </c>
      <c r="AN131" s="17">
        <f>$J$16*(AN$1-2024)/26</f>
        <v/>
      </c>
    </row>
    <row r="132">
      <c r="A132" s="9" t="n">
        <v>6</v>
      </c>
      <c r="B132" s="9" t="inlineStr">
        <is>
          <t>coa</t>
        </is>
      </c>
      <c r="C132" s="9" t="inlineStr">
        <is>
          <t>ind</t>
        </is>
      </c>
      <c r="D132" s="9" t="inlineStr">
        <is>
          <t>Fossil fuel use</t>
        </is>
      </c>
      <c r="E132" s="9" t="inlineStr">
        <is>
          <t>PJ</t>
        </is>
      </c>
      <c r="F132" s="9" t="inlineStr">
        <is>
          <t>Model</t>
        </is>
      </c>
      <c r="G132" s="18" t="n"/>
      <c r="H132" s="18" t="inlineStr">
        <is>
          <t>mit.con.coa.ind.1</t>
        </is>
      </c>
      <c r="I132" s="9" t="n"/>
      <c r="J132" s="9" t="n"/>
      <c r="K132" s="17" t="n"/>
      <c r="L132" s="17" t="n"/>
      <c r="M132" s="17" t="n"/>
      <c r="N132" s="19">
        <f>N95</f>
        <v/>
      </c>
      <c r="O132" s="17">
        <f>O95</f>
        <v/>
      </c>
      <c r="P132" s="17">
        <f>P95</f>
        <v/>
      </c>
      <c r="Q132" s="17">
        <f>Q95</f>
        <v/>
      </c>
      <c r="R132" s="17">
        <f>R95</f>
        <v/>
      </c>
      <c r="S132" s="17">
        <f>S95</f>
        <v/>
      </c>
      <c r="T132" s="17">
        <f>T95</f>
        <v/>
      </c>
      <c r="U132" s="17">
        <f>U95</f>
        <v/>
      </c>
      <c r="V132" s="17">
        <f>V95</f>
        <v/>
      </c>
      <c r="W132" s="17">
        <f>W95</f>
        <v/>
      </c>
      <c r="X132" s="17">
        <f>X95</f>
        <v/>
      </c>
      <c r="Y132" s="17">
        <f>Y95</f>
        <v/>
      </c>
      <c r="Z132" s="17">
        <f>Z95</f>
        <v/>
      </c>
      <c r="AA132" s="17">
        <f>AA95</f>
        <v/>
      </c>
      <c r="AB132" s="17">
        <f>AB95</f>
        <v/>
      </c>
      <c r="AC132" s="17">
        <f>AC95</f>
        <v/>
      </c>
      <c r="AD132" s="17">
        <f>AD95</f>
        <v/>
      </c>
      <c r="AE132" s="17">
        <f>AE95</f>
        <v/>
      </c>
      <c r="AF132" s="17">
        <f>AF95</f>
        <v/>
      </c>
      <c r="AG132" s="17">
        <f>AG95</f>
        <v/>
      </c>
      <c r="AH132" s="17">
        <f>AH95</f>
        <v/>
      </c>
      <c r="AI132" s="17">
        <f>AI95</f>
        <v/>
      </c>
      <c r="AJ132" s="17">
        <f>AJ95</f>
        <v/>
      </c>
      <c r="AK132" s="17">
        <f>AK95</f>
        <v/>
      </c>
      <c r="AL132" s="17">
        <f>AL95</f>
        <v/>
      </c>
      <c r="AM132" s="17">
        <f>AM95</f>
        <v/>
      </c>
      <c r="AN132" s="17">
        <f>AN95</f>
        <v/>
      </c>
    </row>
    <row r="133">
      <c r="A133" s="9" t="n">
        <v>6</v>
      </c>
      <c r="B133" s="9" t="inlineStr">
        <is>
          <t>nga</t>
        </is>
      </c>
      <c r="C133" s="9" t="inlineStr">
        <is>
          <t>ind</t>
        </is>
      </c>
      <c r="D133" s="9" t="inlineStr">
        <is>
          <t>Fossil fuel use</t>
        </is>
      </c>
      <c r="E133" s="9" t="inlineStr">
        <is>
          <t>PJ</t>
        </is>
      </c>
      <c r="F133" s="9" t="inlineStr">
        <is>
          <t>Model</t>
        </is>
      </c>
      <c r="G133" s="18" t="n"/>
      <c r="H133" s="18" t="inlineStr">
        <is>
          <t>mit.con.nga.ind.1</t>
        </is>
      </c>
      <c r="I133" s="9" t="n"/>
      <c r="J133" s="9" t="n"/>
      <c r="K133" s="17" t="n"/>
      <c r="L133" s="17" t="n"/>
      <c r="M133" s="17" t="n"/>
      <c r="N133" s="19">
        <f>N96</f>
        <v/>
      </c>
      <c r="O133" s="17">
        <f>O96</f>
        <v/>
      </c>
      <c r="P133" s="17">
        <f>P96</f>
        <v/>
      </c>
      <c r="Q133" s="17">
        <f>Q96</f>
        <v/>
      </c>
      <c r="R133" s="17">
        <f>R96</f>
        <v/>
      </c>
      <c r="S133" s="17">
        <f>S96</f>
        <v/>
      </c>
      <c r="T133" s="17">
        <f>T96</f>
        <v/>
      </c>
      <c r="U133" s="17">
        <f>U96</f>
        <v/>
      </c>
      <c r="V133" s="17">
        <f>V96</f>
        <v/>
      </c>
      <c r="W133" s="17">
        <f>W96</f>
        <v/>
      </c>
      <c r="X133" s="17">
        <f>X96</f>
        <v/>
      </c>
      <c r="Y133" s="17">
        <f>Y96</f>
        <v/>
      </c>
      <c r="Z133" s="17">
        <f>Z96</f>
        <v/>
      </c>
      <c r="AA133" s="17">
        <f>AA96</f>
        <v/>
      </c>
      <c r="AB133" s="17">
        <f>AB96</f>
        <v/>
      </c>
      <c r="AC133" s="17">
        <f>AC96</f>
        <v/>
      </c>
      <c r="AD133" s="17">
        <f>AD96</f>
        <v/>
      </c>
      <c r="AE133" s="17">
        <f>AE96</f>
        <v/>
      </c>
      <c r="AF133" s="17">
        <f>AF96</f>
        <v/>
      </c>
      <c r="AG133" s="17">
        <f>AG96</f>
        <v/>
      </c>
      <c r="AH133" s="17">
        <f>AH96</f>
        <v/>
      </c>
      <c r="AI133" s="17">
        <f>AI96</f>
        <v/>
      </c>
      <c r="AJ133" s="17">
        <f>AJ96</f>
        <v/>
      </c>
      <c r="AK133" s="17">
        <f>AK96</f>
        <v/>
      </c>
      <c r="AL133" s="17">
        <f>AL96</f>
        <v/>
      </c>
      <c r="AM133" s="17">
        <f>AM96</f>
        <v/>
      </c>
      <c r="AN133" s="17">
        <f>AN96</f>
        <v/>
      </c>
    </row>
    <row r="134">
      <c r="A134" s="9" t="n">
        <v>6</v>
      </c>
      <c r="B134" s="9" t="inlineStr">
        <is>
          <t>oil</t>
        </is>
      </c>
      <c r="C134" s="9" t="inlineStr">
        <is>
          <t>ind</t>
        </is>
      </c>
      <c r="D134" s="9" t="inlineStr">
        <is>
          <t>Fossil fuel use</t>
        </is>
      </c>
      <c r="E134" s="9" t="inlineStr">
        <is>
          <t>PJ</t>
        </is>
      </c>
      <c r="F134" s="9" t="inlineStr">
        <is>
          <t>Model</t>
        </is>
      </c>
      <c r="G134" s="18" t="n"/>
      <c r="H134" s="18" t="inlineStr">
        <is>
          <t>mit.con.oil.ind.1</t>
        </is>
      </c>
      <c r="I134" s="9" t="n"/>
      <c r="J134" s="9" t="n"/>
      <c r="K134" s="17" t="n"/>
      <c r="L134" s="17" t="n"/>
      <c r="M134" s="17" t="n"/>
      <c r="N134" s="19">
        <f>N97</f>
        <v/>
      </c>
      <c r="O134" s="17">
        <f>O97</f>
        <v/>
      </c>
      <c r="P134" s="17">
        <f>P97</f>
        <v/>
      </c>
      <c r="Q134" s="17">
        <f>Q97</f>
        <v/>
      </c>
      <c r="R134" s="17">
        <f>R97</f>
        <v/>
      </c>
      <c r="S134" s="17">
        <f>S97</f>
        <v/>
      </c>
      <c r="T134" s="17">
        <f>T97</f>
        <v/>
      </c>
      <c r="U134" s="17">
        <f>U97</f>
        <v/>
      </c>
      <c r="V134" s="17">
        <f>V97</f>
        <v/>
      </c>
      <c r="W134" s="17">
        <f>W97</f>
        <v/>
      </c>
      <c r="X134" s="17">
        <f>X97</f>
        <v/>
      </c>
      <c r="Y134" s="17">
        <f>Y97</f>
        <v/>
      </c>
      <c r="Z134" s="17">
        <f>Z97</f>
        <v/>
      </c>
      <c r="AA134" s="17">
        <f>AA97</f>
        <v/>
      </c>
      <c r="AB134" s="17">
        <f>AB97</f>
        <v/>
      </c>
      <c r="AC134" s="17">
        <f>AC97</f>
        <v/>
      </c>
      <c r="AD134" s="17">
        <f>AD97</f>
        <v/>
      </c>
      <c r="AE134" s="17">
        <f>AE97</f>
        <v/>
      </c>
      <c r="AF134" s="17">
        <f>AF97</f>
        <v/>
      </c>
      <c r="AG134" s="17">
        <f>AG97</f>
        <v/>
      </c>
      <c r="AH134" s="17">
        <f>AH97</f>
        <v/>
      </c>
      <c r="AI134" s="17">
        <f>AI97</f>
        <v/>
      </c>
      <c r="AJ134" s="17">
        <f>AJ97</f>
        <v/>
      </c>
      <c r="AK134" s="17">
        <f>AK97</f>
        <v/>
      </c>
      <c r="AL134" s="17">
        <f>AL97</f>
        <v/>
      </c>
      <c r="AM134" s="17">
        <f>AM97</f>
        <v/>
      </c>
      <c r="AN134" s="17">
        <f>AN97</f>
        <v/>
      </c>
    </row>
    <row r="135">
      <c r="A135" s="9" t="n">
        <v>6</v>
      </c>
      <c r="B135" s="9" t="inlineStr">
        <is>
          <t>coa</t>
        </is>
      </c>
      <c r="C135" s="9" t="inlineStr">
        <is>
          <t>ind</t>
        </is>
      </c>
      <c r="D135" s="9" t="inlineStr">
        <is>
          <t>Fossil fuel use</t>
        </is>
      </c>
      <c r="E135" s="9" t="inlineStr">
        <is>
          <t>PJ</t>
        </is>
      </c>
      <c r="F135" s="9" t="inlineStr">
        <is>
          <t>Model</t>
        </is>
      </c>
      <c r="G135" s="18" t="n"/>
      <c r="H135" s="18" t="inlineStr">
        <is>
          <t>mit.con.coa.ind.2</t>
        </is>
      </c>
      <c r="I135" s="9" t="n"/>
      <c r="J135" s="9" t="n"/>
      <c r="K135" s="17" t="n"/>
      <c r="L135" s="17" t="n"/>
      <c r="M135" s="17" t="n"/>
      <c r="N135" s="19">
        <f>N95</f>
        <v/>
      </c>
      <c r="O135" s="17">
        <f>O95*(1-O131)</f>
        <v/>
      </c>
      <c r="P135" s="17">
        <f>P95*(1-P131)</f>
        <v/>
      </c>
      <c r="Q135" s="17">
        <f>Q95*(1-Q131)</f>
        <v/>
      </c>
      <c r="R135" s="17">
        <f>R95*(1-R131)</f>
        <v/>
      </c>
      <c r="S135" s="17">
        <f>S95*(1-S131)</f>
        <v/>
      </c>
      <c r="T135" s="17">
        <f>T95*(1-T131)</f>
        <v/>
      </c>
      <c r="U135" s="17">
        <f>U95*(1-U131)</f>
        <v/>
      </c>
      <c r="V135" s="17">
        <f>V95*(1-V131)</f>
        <v/>
      </c>
      <c r="W135" s="17">
        <f>W95*(1-W131)</f>
        <v/>
      </c>
      <c r="X135" s="17">
        <f>X95*(1-X131)</f>
        <v/>
      </c>
      <c r="Y135" s="17">
        <f>Y95*(1-Y131)</f>
        <v/>
      </c>
      <c r="Z135" s="17">
        <f>Z95*(1-Z131)</f>
        <v/>
      </c>
      <c r="AA135" s="17">
        <f>AA95*(1-AA131)</f>
        <v/>
      </c>
      <c r="AB135" s="17">
        <f>AB95*(1-AB131)</f>
        <v/>
      </c>
      <c r="AC135" s="17">
        <f>AC95*(1-AC131)</f>
        <v/>
      </c>
      <c r="AD135" s="17">
        <f>AD95*(1-AD131)</f>
        <v/>
      </c>
      <c r="AE135" s="17">
        <f>AE95*(1-AE131)</f>
        <v/>
      </c>
      <c r="AF135" s="17">
        <f>AF95*(1-AF131)</f>
        <v/>
      </c>
      <c r="AG135" s="17">
        <f>AG95*(1-AG131)</f>
        <v/>
      </c>
      <c r="AH135" s="17">
        <f>AH95*(1-AH131)</f>
        <v/>
      </c>
      <c r="AI135" s="17">
        <f>AI95*(1-AI131)</f>
        <v/>
      </c>
      <c r="AJ135" s="17">
        <f>AJ95*(1-AJ131)</f>
        <v/>
      </c>
      <c r="AK135" s="17">
        <f>AK95*(1-AK131)</f>
        <v/>
      </c>
      <c r="AL135" s="17">
        <f>AL95*(1-AL131)</f>
        <v/>
      </c>
      <c r="AM135" s="17">
        <f>AM95*(1-AM131)</f>
        <v/>
      </c>
      <c r="AN135" s="17">
        <f>AN95*(1-AN131)</f>
        <v/>
      </c>
    </row>
    <row r="136">
      <c r="A136" s="9" t="n">
        <v>6</v>
      </c>
      <c r="B136" s="9" t="inlineStr">
        <is>
          <t>nga</t>
        </is>
      </c>
      <c r="C136" s="9" t="inlineStr">
        <is>
          <t>ind</t>
        </is>
      </c>
      <c r="D136" s="9" t="inlineStr">
        <is>
          <t>Fossil fuel use</t>
        </is>
      </c>
      <c r="E136" s="9" t="inlineStr">
        <is>
          <t>PJ</t>
        </is>
      </c>
      <c r="F136" s="9" t="inlineStr">
        <is>
          <t>Model</t>
        </is>
      </c>
      <c r="G136" s="18" t="n"/>
      <c r="H136" s="18" t="inlineStr">
        <is>
          <t>mit.con.nga.ind.2</t>
        </is>
      </c>
      <c r="I136" s="9" t="n"/>
      <c r="J136" s="9" t="n"/>
      <c r="K136" s="17" t="n"/>
      <c r="L136" s="17" t="n"/>
      <c r="M136" s="17" t="n"/>
      <c r="N136" s="19">
        <f>N96</f>
        <v/>
      </c>
      <c r="O136" s="17">
        <f>O96*(1-O131)</f>
        <v/>
      </c>
      <c r="P136" s="17">
        <f>P96*(1-P131)</f>
        <v/>
      </c>
      <c r="Q136" s="17">
        <f>Q96*(1-Q131)</f>
        <v/>
      </c>
      <c r="R136" s="17">
        <f>R96*(1-R131)</f>
        <v/>
      </c>
      <c r="S136" s="17">
        <f>S96*(1-S131)</f>
        <v/>
      </c>
      <c r="T136" s="17">
        <f>T96*(1-T131)</f>
        <v/>
      </c>
      <c r="U136" s="17">
        <f>U96*(1-U131)</f>
        <v/>
      </c>
      <c r="V136" s="17">
        <f>V96*(1-V131)</f>
        <v/>
      </c>
      <c r="W136" s="17">
        <f>W96*(1-W131)</f>
        <v/>
      </c>
      <c r="X136" s="17">
        <f>X96*(1-X131)</f>
        <v/>
      </c>
      <c r="Y136" s="17">
        <f>Y96*(1-Y131)</f>
        <v/>
      </c>
      <c r="Z136" s="17">
        <f>Z96*(1-Z131)</f>
        <v/>
      </c>
      <c r="AA136" s="17">
        <f>AA96*(1-AA131)</f>
        <v/>
      </c>
      <c r="AB136" s="17">
        <f>AB96*(1-AB131)</f>
        <v/>
      </c>
      <c r="AC136" s="17">
        <f>AC96*(1-AC131)</f>
        <v/>
      </c>
      <c r="AD136" s="17">
        <f>AD96*(1-AD131)</f>
        <v/>
      </c>
      <c r="AE136" s="17">
        <f>AE96*(1-AE131)</f>
        <v/>
      </c>
      <c r="AF136" s="17">
        <f>AF96*(1-AF131)</f>
        <v/>
      </c>
      <c r="AG136" s="17">
        <f>AG96*(1-AG131)</f>
        <v/>
      </c>
      <c r="AH136" s="17">
        <f>AH96*(1-AH131)</f>
        <v/>
      </c>
      <c r="AI136" s="17">
        <f>AI96*(1-AI131)</f>
        <v/>
      </c>
      <c r="AJ136" s="17">
        <f>AJ96*(1-AJ131)</f>
        <v/>
      </c>
      <c r="AK136" s="17">
        <f>AK96*(1-AK131)</f>
        <v/>
      </c>
      <c r="AL136" s="17">
        <f>AL96*(1-AL131)</f>
        <v/>
      </c>
      <c r="AM136" s="17">
        <f>AM96*(1-AM131)</f>
        <v/>
      </c>
      <c r="AN136" s="17">
        <f>AN96*(1-AN131)</f>
        <v/>
      </c>
    </row>
    <row r="137">
      <c r="A137" s="9" t="n">
        <v>6</v>
      </c>
      <c r="B137" s="9" t="inlineStr">
        <is>
          <t>oil</t>
        </is>
      </c>
      <c r="C137" s="9" t="inlineStr">
        <is>
          <t>ind</t>
        </is>
      </c>
      <c r="D137" s="9" t="inlineStr">
        <is>
          <t>Fossil fuel use</t>
        </is>
      </c>
      <c r="E137" s="9" t="inlineStr">
        <is>
          <t>PJ</t>
        </is>
      </c>
      <c r="F137" s="9" t="inlineStr">
        <is>
          <t>Model</t>
        </is>
      </c>
      <c r="G137" s="18" t="n"/>
      <c r="H137" s="18" t="inlineStr">
        <is>
          <t>mit.con.oil.ind.2</t>
        </is>
      </c>
      <c r="I137" s="9" t="n"/>
      <c r="J137" s="9" t="n"/>
      <c r="K137" s="17" t="n"/>
      <c r="L137" s="17" t="n"/>
      <c r="M137" s="17" t="n"/>
      <c r="N137" s="19">
        <f>N97</f>
        <v/>
      </c>
      <c r="O137" s="17">
        <f>O97*(1-O131)</f>
        <v/>
      </c>
      <c r="P137" s="17">
        <f>P97*(1-P131)</f>
        <v/>
      </c>
      <c r="Q137" s="17">
        <f>Q97*(1-Q131)</f>
        <v/>
      </c>
      <c r="R137" s="17">
        <f>R97*(1-R131)</f>
        <v/>
      </c>
      <c r="S137" s="17">
        <f>S97*(1-S131)</f>
        <v/>
      </c>
      <c r="T137" s="17">
        <f>T97*(1-T131)</f>
        <v/>
      </c>
      <c r="U137" s="17">
        <f>U97*(1-U131)</f>
        <v/>
      </c>
      <c r="V137" s="17">
        <f>V97*(1-V131)</f>
        <v/>
      </c>
      <c r="W137" s="17">
        <f>W97*(1-W131)</f>
        <v/>
      </c>
      <c r="X137" s="17">
        <f>X97*(1-X131)</f>
        <v/>
      </c>
      <c r="Y137" s="17">
        <f>Y97*(1-Y131)</f>
        <v/>
      </c>
      <c r="Z137" s="17">
        <f>Z97*(1-Z131)</f>
        <v/>
      </c>
      <c r="AA137" s="17">
        <f>AA97*(1-AA131)</f>
        <v/>
      </c>
      <c r="AB137" s="17">
        <f>AB97*(1-AB131)</f>
        <v/>
      </c>
      <c r="AC137" s="17">
        <f>AC97*(1-AC131)</f>
        <v/>
      </c>
      <c r="AD137" s="17">
        <f>AD97*(1-AD131)</f>
        <v/>
      </c>
      <c r="AE137" s="17">
        <f>AE97*(1-AE131)</f>
        <v/>
      </c>
      <c r="AF137" s="17">
        <f>AF97*(1-AF131)</f>
        <v/>
      </c>
      <c r="AG137" s="17">
        <f>AG97*(1-AG131)</f>
        <v/>
      </c>
      <c r="AH137" s="17">
        <f>AH97*(1-AH131)</f>
        <v/>
      </c>
      <c r="AI137" s="17">
        <f>AI97*(1-AI131)</f>
        <v/>
      </c>
      <c r="AJ137" s="17">
        <f>AJ97*(1-AJ131)</f>
        <v/>
      </c>
      <c r="AK137" s="17">
        <f>AK97*(1-AK131)</f>
        <v/>
      </c>
      <c r="AL137" s="17">
        <f>AL97*(1-AL131)</f>
        <v/>
      </c>
      <c r="AM137" s="17">
        <f>AM97*(1-AM131)</f>
        <v/>
      </c>
      <c r="AN137" s="17">
        <f>AN97*(1-AN131)</f>
        <v/>
      </c>
    </row>
    <row r="138">
      <c r="A138" s="9" t="n">
        <v>6</v>
      </c>
      <c r="B138" s="9" t="inlineStr"/>
      <c r="C138" s="9" t="inlineStr">
        <is>
          <t>ind</t>
        </is>
      </c>
      <c r="D138" s="9" t="inlineStr">
        <is>
          <t>Industrial fossil use abated</t>
        </is>
      </c>
      <c r="E138" s="9" t="inlineStr">
        <is>
          <t>PJ</t>
        </is>
      </c>
      <c r="F138" s="9" t="inlineStr">
        <is>
          <t>Model</t>
        </is>
      </c>
      <c r="G138" s="18" t="n"/>
      <c r="H138" s="18" t="inlineStr">
        <is>
          <t>mit.ind.abt.2</t>
        </is>
      </c>
      <c r="I138" s="9" t="n"/>
      <c r="J138" s="9" t="n"/>
      <c r="K138" s="17" t="n"/>
      <c r="L138" s="17" t="n"/>
      <c r="M138" s="17" t="n"/>
      <c r="N138" s="19">
        <f>0</f>
        <v/>
      </c>
      <c r="O138" s="17">
        <f>(O95+O96+O97)*O131</f>
        <v/>
      </c>
      <c r="P138" s="17">
        <f>(P95+P96+P97)*P131</f>
        <v/>
      </c>
      <c r="Q138" s="17">
        <f>(Q95+Q96+Q97)*Q131</f>
        <v/>
      </c>
      <c r="R138" s="17">
        <f>(R95+R96+R97)*R131</f>
        <v/>
      </c>
      <c r="S138" s="17">
        <f>(S95+S96+S97)*S131</f>
        <v/>
      </c>
      <c r="T138" s="17">
        <f>(T95+T96+T97)*T131</f>
        <v/>
      </c>
      <c r="U138" s="17">
        <f>(U95+U96+U97)*U131</f>
        <v/>
      </c>
      <c r="V138" s="17">
        <f>(V95+V96+V97)*V131</f>
        <v/>
      </c>
      <c r="W138" s="17">
        <f>(W95+W96+W97)*W131</f>
        <v/>
      </c>
      <c r="X138" s="17">
        <f>(X95+X96+X97)*X131</f>
        <v/>
      </c>
      <c r="Y138" s="17">
        <f>(Y95+Y96+Y97)*Y131</f>
        <v/>
      </c>
      <c r="Z138" s="17">
        <f>(Z95+Z96+Z97)*Z131</f>
        <v/>
      </c>
      <c r="AA138" s="17">
        <f>(AA95+AA96+AA97)*AA131</f>
        <v/>
      </c>
      <c r="AB138" s="17">
        <f>(AB95+AB96+AB97)*AB131</f>
        <v/>
      </c>
      <c r="AC138" s="17">
        <f>(AC95+AC96+AC97)*AC131</f>
        <v/>
      </c>
      <c r="AD138" s="17">
        <f>(AD95+AD96+AD97)*AD131</f>
        <v/>
      </c>
      <c r="AE138" s="17">
        <f>(AE95+AE96+AE97)*AE131</f>
        <v/>
      </c>
      <c r="AF138" s="17">
        <f>(AF95+AF96+AF97)*AF131</f>
        <v/>
      </c>
      <c r="AG138" s="17">
        <f>(AG95+AG96+AG97)*AG131</f>
        <v/>
      </c>
      <c r="AH138" s="17">
        <f>(AH95+AH96+AH97)*AH131</f>
        <v/>
      </c>
      <c r="AI138" s="17">
        <f>(AI95+AI96+AI97)*AI131</f>
        <v/>
      </c>
      <c r="AJ138" s="17">
        <f>(AJ95+AJ96+AJ97)*AJ131</f>
        <v/>
      </c>
      <c r="AK138" s="17">
        <f>(AK95+AK96+AK97)*AK131</f>
        <v/>
      </c>
      <c r="AL138" s="17">
        <f>(AL95+AL96+AL97)*AL131</f>
        <v/>
      </c>
      <c r="AM138" s="17">
        <f>(AM95+AM96+AM97)*AM131</f>
        <v/>
      </c>
      <c r="AN138" s="17">
        <f>(AN95+AN96+AN97)*AN131</f>
        <v/>
      </c>
    </row>
    <row r="139">
      <c r="A139" s="9" t="n">
        <v>6</v>
      </c>
      <c r="B139" s="9" t="inlineStr">
        <is>
          <t>ecy</t>
        </is>
      </c>
      <c r="C139" s="9" t="inlineStr">
        <is>
          <t>ind</t>
        </is>
      </c>
      <c r="D139" s="9" t="inlineStr">
        <is>
          <t>Electricity for electrified industry</t>
        </is>
      </c>
      <c r="E139" s="9" t="inlineStr">
        <is>
          <t>PJ</t>
        </is>
      </c>
      <c r="F139" s="9" t="inlineStr">
        <is>
          <t>Model</t>
        </is>
      </c>
      <c r="G139" s="18" t="n"/>
      <c r="H139" s="18" t="inlineStr">
        <is>
          <t>mit.con.ecy.ix.2</t>
        </is>
      </c>
      <c r="I139" s="9" t="n"/>
      <c r="J139" s="9" t="n"/>
      <c r="K139" s="17" t="n"/>
      <c r="L139" s="17" t="n"/>
      <c r="M139" s="17" t="n"/>
      <c r="N139" s="19">
        <f>0</f>
        <v/>
      </c>
      <c r="O139" s="17">
        <f>O138*p_ind_elec_sh*p_ind_ratio</f>
        <v/>
      </c>
      <c r="P139" s="17">
        <f>P138*p_ind_elec_sh*p_ind_ratio</f>
        <v/>
      </c>
      <c r="Q139" s="17">
        <f>Q138*p_ind_elec_sh*p_ind_ratio</f>
        <v/>
      </c>
      <c r="R139" s="17">
        <f>R138*p_ind_elec_sh*p_ind_ratio</f>
        <v/>
      </c>
      <c r="S139" s="17">
        <f>S138*p_ind_elec_sh*p_ind_ratio</f>
        <v/>
      </c>
      <c r="T139" s="17">
        <f>T138*p_ind_elec_sh*p_ind_ratio</f>
        <v/>
      </c>
      <c r="U139" s="17">
        <f>U138*p_ind_elec_sh*p_ind_ratio</f>
        <v/>
      </c>
      <c r="V139" s="17">
        <f>V138*p_ind_elec_sh*p_ind_ratio</f>
        <v/>
      </c>
      <c r="W139" s="17">
        <f>W138*p_ind_elec_sh*p_ind_ratio</f>
        <v/>
      </c>
      <c r="X139" s="17">
        <f>X138*p_ind_elec_sh*p_ind_ratio</f>
        <v/>
      </c>
      <c r="Y139" s="17">
        <f>Y138*p_ind_elec_sh*p_ind_ratio</f>
        <v/>
      </c>
      <c r="Z139" s="17">
        <f>Z138*p_ind_elec_sh*p_ind_ratio</f>
        <v/>
      </c>
      <c r="AA139" s="17">
        <f>AA138*p_ind_elec_sh*p_ind_ratio</f>
        <v/>
      </c>
      <c r="AB139" s="17">
        <f>AB138*p_ind_elec_sh*p_ind_ratio</f>
        <v/>
      </c>
      <c r="AC139" s="17">
        <f>AC138*p_ind_elec_sh*p_ind_ratio</f>
        <v/>
      </c>
      <c r="AD139" s="17">
        <f>AD138*p_ind_elec_sh*p_ind_ratio</f>
        <v/>
      </c>
      <c r="AE139" s="17">
        <f>AE138*p_ind_elec_sh*p_ind_ratio</f>
        <v/>
      </c>
      <c r="AF139" s="17">
        <f>AF138*p_ind_elec_sh*p_ind_ratio</f>
        <v/>
      </c>
      <c r="AG139" s="17">
        <f>AG138*p_ind_elec_sh*p_ind_ratio</f>
        <v/>
      </c>
      <c r="AH139" s="17">
        <f>AH138*p_ind_elec_sh*p_ind_ratio</f>
        <v/>
      </c>
      <c r="AI139" s="17">
        <f>AI138*p_ind_elec_sh*p_ind_ratio</f>
        <v/>
      </c>
      <c r="AJ139" s="17">
        <f>AJ138*p_ind_elec_sh*p_ind_ratio</f>
        <v/>
      </c>
      <c r="AK139" s="17">
        <f>AK138*p_ind_elec_sh*p_ind_ratio</f>
        <v/>
      </c>
      <c r="AL139" s="17">
        <f>AL138*p_ind_elec_sh*p_ind_ratio</f>
        <v/>
      </c>
      <c r="AM139" s="17">
        <f>AM138*p_ind_elec_sh*p_ind_ratio</f>
        <v/>
      </c>
      <c r="AN139" s="17">
        <f>AN138*p_ind_elec_sh*p_ind_ratio</f>
        <v/>
      </c>
    </row>
    <row r="140">
      <c r="A140" s="9" t="n">
        <v>6</v>
      </c>
      <c r="B140" s="9" t="inlineStr"/>
      <c r="C140" s="9" t="inlineStr">
        <is>
          <t>ind</t>
        </is>
      </c>
      <c r="D140" s="9" t="inlineStr">
        <is>
          <t>CBAM-goods process CO2 (CBAM tool output)</t>
        </is>
      </c>
      <c r="E140" s="9" t="inlineStr">
        <is>
          <t>MtCO2</t>
        </is>
      </c>
      <c r="F140" s="9" t="inlineStr">
        <is>
          <t>Model</t>
        </is>
      </c>
      <c r="G140" s="18" t="n"/>
      <c r="H140" s="18" t="inlineStr">
        <is>
          <t>mit.cbam.co2.1</t>
        </is>
      </c>
      <c r="I140" s="9" t="n"/>
      <c r="J140" s="9" t="n"/>
      <c r="K140" s="17" t="n"/>
      <c r="L140" s="17" t="n"/>
      <c r="M140" s="17" t="n"/>
      <c r="N140" s="19">
        <f>$J$34</f>
        <v/>
      </c>
      <c r="O140" s="17">
        <f>$J$34*(1+$J$35/100)^MIN(O$1-2024,6)</f>
        <v/>
      </c>
      <c r="P140" s="17">
        <f>$J$34*(1+$J$35/100)^MIN(P$1-2024,6)</f>
        <v/>
      </c>
      <c r="Q140" s="17">
        <f>$J$34*(1+$J$35/100)^MIN(Q$1-2024,6)</f>
        <v/>
      </c>
      <c r="R140" s="17">
        <f>$J$34*(1+$J$35/100)^MIN(R$1-2024,6)</f>
        <v/>
      </c>
      <c r="S140" s="17">
        <f>$J$34*(1+$J$35/100)^MIN(S$1-2024,6)</f>
        <v/>
      </c>
      <c r="T140" s="17">
        <f>$J$34*(1+$J$35/100)^MIN(T$1-2024,6)</f>
        <v/>
      </c>
      <c r="U140" s="17">
        <f>$J$34*(1+$J$35/100)^MIN(U$1-2024,6)</f>
        <v/>
      </c>
      <c r="V140" s="17">
        <f>$J$34*(1+$J$35/100)^MIN(V$1-2024,6)</f>
        <v/>
      </c>
      <c r="W140" s="17">
        <f>$J$34*(1+$J$35/100)^MIN(W$1-2024,6)</f>
        <v/>
      </c>
      <c r="X140" s="17">
        <f>$J$34*(1+$J$35/100)^MIN(X$1-2024,6)</f>
        <v/>
      </c>
      <c r="Y140" s="17">
        <f>$J$34*(1+$J$35/100)^MIN(Y$1-2024,6)</f>
        <v/>
      </c>
      <c r="Z140" s="17">
        <f>$J$34*(1+$J$35/100)^MIN(Z$1-2024,6)</f>
        <v/>
      </c>
      <c r="AA140" s="17">
        <f>$J$34*(1+$J$35/100)^MIN(AA$1-2024,6)</f>
        <v/>
      </c>
      <c r="AB140" s="17">
        <f>$J$34*(1+$J$35/100)^MIN(AB$1-2024,6)</f>
        <v/>
      </c>
      <c r="AC140" s="17">
        <f>$J$34*(1+$J$35/100)^MIN(AC$1-2024,6)</f>
        <v/>
      </c>
      <c r="AD140" s="17">
        <f>$J$34*(1+$J$35/100)^MIN(AD$1-2024,6)</f>
        <v/>
      </c>
      <c r="AE140" s="17">
        <f>$J$34*(1+$J$35/100)^MIN(AE$1-2024,6)</f>
        <v/>
      </c>
      <c r="AF140" s="17">
        <f>$J$34*(1+$J$35/100)^MIN(AF$1-2024,6)</f>
        <v/>
      </c>
      <c r="AG140" s="17">
        <f>$J$34*(1+$J$35/100)^MIN(AG$1-2024,6)</f>
        <v/>
      </c>
      <c r="AH140" s="17">
        <f>$J$34*(1+$J$35/100)^MIN(AH$1-2024,6)</f>
        <v/>
      </c>
      <c r="AI140" s="17">
        <f>$J$34*(1+$J$35/100)^MIN(AI$1-2024,6)</f>
        <v/>
      </c>
      <c r="AJ140" s="17">
        <f>$J$34*(1+$J$35/100)^MIN(AJ$1-2024,6)</f>
        <v/>
      </c>
      <c r="AK140" s="17">
        <f>$J$34*(1+$J$35/100)^MIN(AK$1-2024,6)</f>
        <v/>
      </c>
      <c r="AL140" s="17">
        <f>$J$34*(1+$J$35/100)^MIN(AL$1-2024,6)</f>
        <v/>
      </c>
      <c r="AM140" s="17">
        <f>$J$34*(1+$J$35/100)^MIN(AM$1-2024,6)</f>
        <v/>
      </c>
      <c r="AN140" s="17">
        <f>$J$34*(1+$J$35/100)^MIN(AN$1-2024,6)</f>
        <v/>
      </c>
    </row>
    <row r="141">
      <c r="A141" s="9" t="n">
        <v>6</v>
      </c>
      <c r="B141" s="9" t="inlineStr"/>
      <c r="C141" s="9" t="inlineStr">
        <is>
          <t>ind</t>
        </is>
      </c>
      <c r="D141" s="9" t="inlineStr">
        <is>
          <t>CBAM-goods process CO2 abated (net zero)</t>
        </is>
      </c>
      <c r="E141" s="9" t="inlineStr">
        <is>
          <t>MtCO2</t>
        </is>
      </c>
      <c r="F141" s="9" t="inlineStr">
        <is>
          <t>Model</t>
        </is>
      </c>
      <c r="G141" s="18" t="n"/>
      <c r="H141" s="18" t="inlineStr">
        <is>
          <t>mit.cbam.abt.2</t>
        </is>
      </c>
      <c r="I141" s="9" t="n"/>
      <c r="J141" s="9" t="n"/>
      <c r="K141" s="17" t="n"/>
      <c r="L141" s="17" t="n"/>
      <c r="M141" s="17" t="n"/>
      <c r="N141" s="19">
        <f>0</f>
        <v/>
      </c>
      <c r="O141" s="17">
        <f>O140*p_cbam_a_2050*(O$1-2024)/26</f>
        <v/>
      </c>
      <c r="P141" s="17">
        <f>P140*p_cbam_a_2050*(P$1-2024)/26</f>
        <v/>
      </c>
      <c r="Q141" s="17">
        <f>Q140*p_cbam_a_2050*(Q$1-2024)/26</f>
        <v/>
      </c>
      <c r="R141" s="17">
        <f>R140*p_cbam_a_2050*(R$1-2024)/26</f>
        <v/>
      </c>
      <c r="S141" s="17">
        <f>S140*p_cbam_a_2050*(S$1-2024)/26</f>
        <v/>
      </c>
      <c r="T141" s="17">
        <f>T140*p_cbam_a_2050*(T$1-2024)/26</f>
        <v/>
      </c>
      <c r="U141" s="17">
        <f>U140*p_cbam_a_2050*(U$1-2024)/26</f>
        <v/>
      </c>
      <c r="V141" s="17">
        <f>V140*p_cbam_a_2050*(V$1-2024)/26</f>
        <v/>
      </c>
      <c r="W141" s="17">
        <f>W140*p_cbam_a_2050*(W$1-2024)/26</f>
        <v/>
      </c>
      <c r="X141" s="17">
        <f>X140*p_cbam_a_2050*(X$1-2024)/26</f>
        <v/>
      </c>
      <c r="Y141" s="17">
        <f>Y140*p_cbam_a_2050*(Y$1-2024)/26</f>
        <v/>
      </c>
      <c r="Z141" s="17">
        <f>Z140*p_cbam_a_2050*(Z$1-2024)/26</f>
        <v/>
      </c>
      <c r="AA141" s="17">
        <f>AA140*p_cbam_a_2050*(AA$1-2024)/26</f>
        <v/>
      </c>
      <c r="AB141" s="17">
        <f>AB140*p_cbam_a_2050*(AB$1-2024)/26</f>
        <v/>
      </c>
      <c r="AC141" s="17">
        <f>AC140*p_cbam_a_2050*(AC$1-2024)/26</f>
        <v/>
      </c>
      <c r="AD141" s="17">
        <f>AD140*p_cbam_a_2050*(AD$1-2024)/26</f>
        <v/>
      </c>
      <c r="AE141" s="17">
        <f>AE140*p_cbam_a_2050*(AE$1-2024)/26</f>
        <v/>
      </c>
      <c r="AF141" s="17">
        <f>AF140*p_cbam_a_2050*(AF$1-2024)/26</f>
        <v/>
      </c>
      <c r="AG141" s="17">
        <f>AG140*p_cbam_a_2050*(AG$1-2024)/26</f>
        <v/>
      </c>
      <c r="AH141" s="17">
        <f>AH140*p_cbam_a_2050*(AH$1-2024)/26</f>
        <v/>
      </c>
      <c r="AI141" s="17">
        <f>AI140*p_cbam_a_2050*(AI$1-2024)/26</f>
        <v/>
      </c>
      <c r="AJ141" s="17">
        <f>AJ140*p_cbam_a_2050*(AJ$1-2024)/26</f>
        <v/>
      </c>
      <c r="AK141" s="17">
        <f>AK140*p_cbam_a_2050*(AK$1-2024)/26</f>
        <v/>
      </c>
      <c r="AL141" s="17">
        <f>AL140*p_cbam_a_2050*(AL$1-2024)/26</f>
        <v/>
      </c>
      <c r="AM141" s="17">
        <f>AM140*p_cbam_a_2050*(AM$1-2024)/26</f>
        <v/>
      </c>
      <c r="AN141" s="17">
        <f>AN140*p_cbam_a_2050*(AN$1-2024)/26</f>
        <v/>
      </c>
    </row>
    <row r="142">
      <c r="A142" s="9" t="n">
        <v>6</v>
      </c>
      <c r="B142" s="9" t="inlineStr"/>
      <c r="C142" s="9" t="inlineStr">
        <is>
          <t>ind</t>
        </is>
      </c>
      <c r="D142" s="9" t="inlineStr">
        <is>
          <t>Investment: industrial fuel switch</t>
        </is>
      </c>
      <c r="E142" s="9" t="inlineStr">
        <is>
          <t>USD bn</t>
        </is>
      </c>
      <c r="F142" s="9" t="inlineStr">
        <is>
          <t>Model</t>
        </is>
      </c>
      <c r="G142" s="18" t="n"/>
      <c r="H142" s="18" t="inlineStr">
        <is>
          <t>mit.inv.ixh.2</t>
        </is>
      </c>
      <c r="I142" s="9" t="n"/>
      <c r="J142" s="9" t="n"/>
      <c r="K142" s="17" t="n"/>
      <c r="L142" s="17" t="n"/>
      <c r="M142" s="17" t="n"/>
      <c r="N142" s="19">
        <f>0</f>
        <v/>
      </c>
      <c r="O142" s="17">
        <f>p_k_ind*MAX(0,O138-N138)*$J$11/1000</f>
        <v/>
      </c>
      <c r="P142" s="17">
        <f>p_k_ind*MAX(0,P138-O138)*$J$11/1000</f>
        <v/>
      </c>
      <c r="Q142" s="17">
        <f>p_k_ind*MAX(0,Q138-P138)*$J$11/1000</f>
        <v/>
      </c>
      <c r="R142" s="17">
        <f>p_k_ind*MAX(0,R138-Q138)*$J$11/1000</f>
        <v/>
      </c>
      <c r="S142" s="17">
        <f>p_k_ind*MAX(0,S138-R138)*$J$11/1000</f>
        <v/>
      </c>
      <c r="T142" s="17">
        <f>p_k_ind*MAX(0,T138-S138)*$J$11/1000</f>
        <v/>
      </c>
      <c r="U142" s="17">
        <f>p_k_ind*MAX(0,U138-T138)*$J$11/1000</f>
        <v/>
      </c>
      <c r="V142" s="17">
        <f>p_k_ind*MAX(0,V138-U138)*$J$11/1000</f>
        <v/>
      </c>
      <c r="W142" s="17">
        <f>p_k_ind*MAX(0,W138-V138)*$J$11/1000</f>
        <v/>
      </c>
      <c r="X142" s="17">
        <f>p_k_ind*MAX(0,X138-W138)*$J$11/1000</f>
        <v/>
      </c>
      <c r="Y142" s="17">
        <f>p_k_ind*MAX(0,Y138-X138)*$J$11/1000</f>
        <v/>
      </c>
      <c r="Z142" s="17">
        <f>p_k_ind*MAX(0,Z138-Y138)*$J$11/1000</f>
        <v/>
      </c>
      <c r="AA142" s="17">
        <f>p_k_ind*MAX(0,AA138-Z138)*$J$11/1000</f>
        <v/>
      </c>
      <c r="AB142" s="17">
        <f>p_k_ind*MAX(0,AB138-AA138)*$J$11/1000</f>
        <v/>
      </c>
      <c r="AC142" s="17">
        <f>p_k_ind*MAX(0,AC138-AB138)*$J$11/1000</f>
        <v/>
      </c>
      <c r="AD142" s="17">
        <f>p_k_ind*MAX(0,AD138-AC138)*$J$11/1000</f>
        <v/>
      </c>
      <c r="AE142" s="17">
        <f>p_k_ind*MAX(0,AE138-AD138)*$J$11/1000</f>
        <v/>
      </c>
      <c r="AF142" s="17">
        <f>p_k_ind*MAX(0,AF138-AE138)*$J$11/1000</f>
        <v/>
      </c>
      <c r="AG142" s="17">
        <f>p_k_ind*MAX(0,AG138-AF138)*$J$11/1000</f>
        <v/>
      </c>
      <c r="AH142" s="17">
        <f>p_k_ind*MAX(0,AH138-AG138)*$J$11/1000</f>
        <v/>
      </c>
      <c r="AI142" s="17">
        <f>p_k_ind*MAX(0,AI138-AH138)*$J$11/1000</f>
        <v/>
      </c>
      <c r="AJ142" s="17">
        <f>p_k_ind*MAX(0,AJ138-AI138)*$J$11/1000</f>
        <v/>
      </c>
      <c r="AK142" s="17">
        <f>p_k_ind*MAX(0,AK138-AJ138)*$J$11/1000</f>
        <v/>
      </c>
      <c r="AL142" s="17">
        <f>p_k_ind*MAX(0,AL138-AK138)*$J$11/1000</f>
        <v/>
      </c>
      <c r="AM142" s="17">
        <f>p_k_ind*MAX(0,AM138-AL138)*$J$11/1000</f>
        <v/>
      </c>
      <c r="AN142" s="17">
        <f>p_k_ind*MAX(0,AN138-AM138)*$J$11/1000</f>
        <v/>
      </c>
    </row>
    <row r="143">
      <c r="A143" s="9" t="n">
        <v>6</v>
      </c>
      <c r="B143" s="9" t="inlineStr"/>
      <c r="C143" s="9" t="inlineStr">
        <is>
          <t>ind</t>
        </is>
      </c>
      <c r="D143" s="9" t="inlineStr">
        <is>
          <t>Investment: CCS on CBAM-goods process CO2</t>
        </is>
      </c>
      <c r="E143" s="9" t="inlineStr">
        <is>
          <t>USD bn</t>
        </is>
      </c>
      <c r="F143" s="9" t="inlineStr">
        <is>
          <t>Model</t>
        </is>
      </c>
      <c r="G143" s="18" t="n"/>
      <c r="H143" s="18" t="inlineStr">
        <is>
          <t>mit.inv.ccs.2</t>
        </is>
      </c>
      <c r="I143" s="9" t="n"/>
      <c r="J143" s="9" t="n"/>
      <c r="K143" s="17" t="n"/>
      <c r="L143" s="17" t="n"/>
      <c r="M143" s="17" t="n"/>
      <c r="N143" s="19">
        <f>0</f>
        <v/>
      </c>
      <c r="O143" s="17">
        <f>p_k_ccs*MAX(0,O141-N141)*$J$11/1000</f>
        <v/>
      </c>
      <c r="P143" s="17">
        <f>p_k_ccs*MAX(0,P141-O141)*$J$11/1000</f>
        <v/>
      </c>
      <c r="Q143" s="17">
        <f>p_k_ccs*MAX(0,Q141-P141)*$J$11/1000</f>
        <v/>
      </c>
      <c r="R143" s="17">
        <f>p_k_ccs*MAX(0,R141-Q141)*$J$11/1000</f>
        <v/>
      </c>
      <c r="S143" s="17">
        <f>p_k_ccs*MAX(0,S141-R141)*$J$11/1000</f>
        <v/>
      </c>
      <c r="T143" s="17">
        <f>p_k_ccs*MAX(0,T141-S141)*$J$11/1000</f>
        <v/>
      </c>
      <c r="U143" s="17">
        <f>p_k_ccs*MAX(0,U141-T141)*$J$11/1000</f>
        <v/>
      </c>
      <c r="V143" s="17">
        <f>p_k_ccs*MAX(0,V141-U141)*$J$11/1000</f>
        <v/>
      </c>
      <c r="W143" s="17">
        <f>p_k_ccs*MAX(0,W141-V141)*$J$11/1000</f>
        <v/>
      </c>
      <c r="X143" s="17">
        <f>p_k_ccs*MAX(0,X141-W141)*$J$11/1000</f>
        <v/>
      </c>
      <c r="Y143" s="17">
        <f>p_k_ccs*MAX(0,Y141-X141)*$J$11/1000</f>
        <v/>
      </c>
      <c r="Z143" s="17">
        <f>p_k_ccs*MAX(0,Z141-Y141)*$J$11/1000</f>
        <v/>
      </c>
      <c r="AA143" s="17">
        <f>p_k_ccs*MAX(0,AA141-Z141)*$J$11/1000</f>
        <v/>
      </c>
      <c r="AB143" s="17">
        <f>p_k_ccs*MAX(0,AB141-AA141)*$J$11/1000</f>
        <v/>
      </c>
      <c r="AC143" s="17">
        <f>p_k_ccs*MAX(0,AC141-AB141)*$J$11/1000</f>
        <v/>
      </c>
      <c r="AD143" s="17">
        <f>p_k_ccs*MAX(0,AD141-AC141)*$J$11/1000</f>
        <v/>
      </c>
      <c r="AE143" s="17">
        <f>p_k_ccs*MAX(0,AE141-AD141)*$J$11/1000</f>
        <v/>
      </c>
      <c r="AF143" s="17">
        <f>p_k_ccs*MAX(0,AF141-AE141)*$J$11/1000</f>
        <v/>
      </c>
      <c r="AG143" s="17">
        <f>p_k_ccs*MAX(0,AG141-AF141)*$J$11/1000</f>
        <v/>
      </c>
      <c r="AH143" s="17">
        <f>p_k_ccs*MAX(0,AH141-AG141)*$J$11/1000</f>
        <v/>
      </c>
      <c r="AI143" s="17">
        <f>p_k_ccs*MAX(0,AI141-AH141)*$J$11/1000</f>
        <v/>
      </c>
      <c r="AJ143" s="17">
        <f>p_k_ccs*MAX(0,AJ141-AI141)*$J$11/1000</f>
        <v/>
      </c>
      <c r="AK143" s="17">
        <f>p_k_ccs*MAX(0,AK141-AJ141)*$J$11/1000</f>
        <v/>
      </c>
      <c r="AL143" s="17">
        <f>p_k_ccs*MAX(0,AL141-AK141)*$J$11/1000</f>
        <v/>
      </c>
      <c r="AM143" s="17">
        <f>p_k_ccs*MAX(0,AM141-AL141)*$J$11/1000</f>
        <v/>
      </c>
      <c r="AN143" s="17">
        <f>p_k_ccs*MAX(0,AN141-AM141)*$J$11/1000</f>
        <v/>
      </c>
    </row>
    <row r="144">
      <c r="A144" s="9" t="n">
        <v>6</v>
      </c>
      <c r="B144" s="9" t="inlineStr"/>
      <c r="C144" s="9" t="inlineStr">
        <is>
          <t>ind</t>
        </is>
      </c>
      <c r="D144" s="9" t="inlineStr">
        <is>
          <t>Investment: industrial fuel switch and CCS</t>
        </is>
      </c>
      <c r="E144" s="9" t="inlineStr">
        <is>
          <t>USD bn</t>
        </is>
      </c>
      <c r="F144" s="9" t="inlineStr">
        <is>
          <t>Model</t>
        </is>
      </c>
      <c r="G144" s="18" t="n"/>
      <c r="H144" s="18" t="inlineStr">
        <is>
          <t>mit.inv.ind.2</t>
        </is>
      </c>
      <c r="I144" s="9" t="n"/>
      <c r="J144" s="9" t="n"/>
      <c r="K144" s="17" t="n"/>
      <c r="L144" s="17" t="n"/>
      <c r="M144" s="17" t="n"/>
      <c r="N144" s="19">
        <f>0</f>
        <v/>
      </c>
      <c r="O144" s="17">
        <f>O142+O143</f>
        <v/>
      </c>
      <c r="P144" s="17">
        <f>P142+P143</f>
        <v/>
      </c>
      <c r="Q144" s="17">
        <f>Q142+Q143</f>
        <v/>
      </c>
      <c r="R144" s="17">
        <f>R142+R143</f>
        <v/>
      </c>
      <c r="S144" s="17">
        <f>S142+S143</f>
        <v/>
      </c>
      <c r="T144" s="17">
        <f>T142+T143</f>
        <v/>
      </c>
      <c r="U144" s="17">
        <f>U142+U143</f>
        <v/>
      </c>
      <c r="V144" s="17">
        <f>V142+V143</f>
        <v/>
      </c>
      <c r="W144" s="17">
        <f>W142+W143</f>
        <v/>
      </c>
      <c r="X144" s="17">
        <f>X142+X143</f>
        <v/>
      </c>
      <c r="Y144" s="17">
        <f>Y142+Y143</f>
        <v/>
      </c>
      <c r="Z144" s="17">
        <f>Z142+Z143</f>
        <v/>
      </c>
      <c r="AA144" s="17">
        <f>AA142+AA143</f>
        <v/>
      </c>
      <c r="AB144" s="17">
        <f>AB142+AB143</f>
        <v/>
      </c>
      <c r="AC144" s="17">
        <f>AC142+AC143</f>
        <v/>
      </c>
      <c r="AD144" s="17">
        <f>AD142+AD143</f>
        <v/>
      </c>
      <c r="AE144" s="17">
        <f>AE142+AE143</f>
        <v/>
      </c>
      <c r="AF144" s="17">
        <f>AF142+AF143</f>
        <v/>
      </c>
      <c r="AG144" s="17">
        <f>AG142+AG143</f>
        <v/>
      </c>
      <c r="AH144" s="17">
        <f>AH142+AH143</f>
        <v/>
      </c>
      <c r="AI144" s="17">
        <f>AI142+AI143</f>
        <v/>
      </c>
      <c r="AJ144" s="17">
        <f>AJ142+AJ143</f>
        <v/>
      </c>
      <c r="AK144" s="17">
        <f>AK142+AK143</f>
        <v/>
      </c>
      <c r="AL144" s="17">
        <f>AL142+AL143</f>
        <v/>
      </c>
      <c r="AM144" s="17">
        <f>AM142+AM143</f>
        <v/>
      </c>
      <c r="AN144" s="17">
        <f>AN142+AN143</f>
        <v/>
      </c>
    </row>
    <row r="145">
      <c r="A145" s="12" t="inlineStr">
        <is>
          <t>7. Power</t>
        </is>
      </c>
      <c r="B145" s="13" t="n"/>
      <c r="C145" s="13" t="n"/>
      <c r="D145" s="13" t="n"/>
      <c r="E145" s="13" t="n"/>
      <c r="F145" s="13" t="n"/>
      <c r="G145" s="13" t="n"/>
      <c r="H145" s="13" t="n"/>
      <c r="I145" s="13" t="n"/>
      <c r="J145" s="13"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c r="AE145" s="16" t="n"/>
      <c r="AF145" s="16" t="n"/>
      <c r="AG145" s="16" t="n"/>
      <c r="AH145" s="16" t="n"/>
      <c r="AI145" s="16" t="n"/>
      <c r="AJ145" s="16" t="n"/>
      <c r="AK145" s="16" t="n"/>
      <c r="AL145" s="16" t="n"/>
      <c r="AM145" s="16" t="n"/>
      <c r="AN145" s="16" t="n"/>
    </row>
    <row r="146">
      <c r="A146" s="9" t="n">
        <v>7</v>
      </c>
      <c r="B146" s="9" t="inlineStr"/>
      <c r="C146" s="9" t="inlineStr">
        <is>
          <t>pow</t>
        </is>
      </c>
      <c r="D146" s="9" t="inlineStr">
        <is>
          <t>Solar capital cost</t>
        </is>
      </c>
      <c r="E146" s="9" t="inlineStr">
        <is>
          <t>USD/kW</t>
        </is>
      </c>
      <c r="F146" s="9" t="inlineStr">
        <is>
          <t>Model</t>
        </is>
      </c>
      <c r="G146" s="18" t="n"/>
      <c r="H146" s="18" t="inlineStr">
        <is>
          <t>mit.cap.sol.cost</t>
        </is>
      </c>
      <c r="I146" s="9" t="n"/>
      <c r="J146" s="9" t="n"/>
      <c r="K146" s="17" t="n"/>
      <c r="L146" s="17" t="n"/>
      <c r="M146" s="17" t="n"/>
      <c r="N146" s="19">
        <f>p_capex_sol24</f>
        <v/>
      </c>
      <c r="O146" s="17">
        <f>p_capex_sol24*(1-p_lr_sol)^(O$1-2024)</f>
        <v/>
      </c>
      <c r="P146" s="17">
        <f>p_capex_sol24*(1-p_lr_sol)^(P$1-2024)</f>
        <v/>
      </c>
      <c r="Q146" s="17">
        <f>p_capex_sol24*(1-p_lr_sol)^(Q$1-2024)</f>
        <v/>
      </c>
      <c r="R146" s="17">
        <f>p_capex_sol24*(1-p_lr_sol)^(R$1-2024)</f>
        <v/>
      </c>
      <c r="S146" s="17">
        <f>p_capex_sol24*(1-p_lr_sol)^(S$1-2024)</f>
        <v/>
      </c>
      <c r="T146" s="17">
        <f>p_capex_sol24*(1-p_lr_sol)^(T$1-2024)</f>
        <v/>
      </c>
      <c r="U146" s="17">
        <f>p_capex_sol24*(1-p_lr_sol)^(U$1-2024)</f>
        <v/>
      </c>
      <c r="V146" s="17">
        <f>p_capex_sol24*(1-p_lr_sol)^(V$1-2024)</f>
        <v/>
      </c>
      <c r="W146" s="17">
        <f>p_capex_sol24*(1-p_lr_sol)^(W$1-2024)</f>
        <v/>
      </c>
      <c r="X146" s="17">
        <f>p_capex_sol24*(1-p_lr_sol)^(X$1-2024)</f>
        <v/>
      </c>
      <c r="Y146" s="17">
        <f>p_capex_sol24*(1-p_lr_sol)^(Y$1-2024)</f>
        <v/>
      </c>
      <c r="Z146" s="17">
        <f>p_capex_sol24*(1-p_lr_sol)^(Z$1-2024)</f>
        <v/>
      </c>
      <c r="AA146" s="17">
        <f>p_capex_sol24*(1-p_lr_sol)^(AA$1-2024)</f>
        <v/>
      </c>
      <c r="AB146" s="17">
        <f>p_capex_sol24*(1-p_lr_sol)^(AB$1-2024)</f>
        <v/>
      </c>
      <c r="AC146" s="17">
        <f>p_capex_sol24*(1-p_lr_sol)^(AC$1-2024)</f>
        <v/>
      </c>
      <c r="AD146" s="17">
        <f>p_capex_sol24*(1-p_lr_sol)^(AD$1-2024)</f>
        <v/>
      </c>
      <c r="AE146" s="17">
        <f>p_capex_sol24*(1-p_lr_sol)^(AE$1-2024)</f>
        <v/>
      </c>
      <c r="AF146" s="17">
        <f>p_capex_sol24*(1-p_lr_sol)^(AF$1-2024)</f>
        <v/>
      </c>
      <c r="AG146" s="17">
        <f>p_capex_sol24*(1-p_lr_sol)^(AG$1-2024)</f>
        <v/>
      </c>
      <c r="AH146" s="17">
        <f>p_capex_sol24*(1-p_lr_sol)^(AH$1-2024)</f>
        <v/>
      </c>
      <c r="AI146" s="17">
        <f>p_capex_sol24*(1-p_lr_sol)^(AI$1-2024)</f>
        <v/>
      </c>
      <c r="AJ146" s="17">
        <f>p_capex_sol24*(1-p_lr_sol)^(AJ$1-2024)</f>
        <v/>
      </c>
      <c r="AK146" s="17">
        <f>p_capex_sol24*(1-p_lr_sol)^(AK$1-2024)</f>
        <v/>
      </c>
      <c r="AL146" s="17">
        <f>p_capex_sol24*(1-p_lr_sol)^(AL$1-2024)</f>
        <v/>
      </c>
      <c r="AM146" s="17">
        <f>p_capex_sol24*(1-p_lr_sol)^(AM$1-2024)</f>
        <v/>
      </c>
      <c r="AN146" s="17">
        <f>p_capex_sol24*(1-p_lr_sol)^(AN$1-2024)</f>
        <v/>
      </c>
    </row>
    <row r="147">
      <c r="A147" s="9" t="n">
        <v>7</v>
      </c>
      <c r="B147" s="9" t="inlineStr"/>
      <c r="C147" s="9" t="inlineStr">
        <is>
          <t>pow</t>
        </is>
      </c>
      <c r="D147" s="9" t="inlineStr">
        <is>
          <t>Wind capital cost</t>
        </is>
      </c>
      <c r="E147" s="9" t="inlineStr">
        <is>
          <t>USD/kW</t>
        </is>
      </c>
      <c r="F147" s="9" t="inlineStr">
        <is>
          <t>Model</t>
        </is>
      </c>
      <c r="G147" s="18" t="n"/>
      <c r="H147" s="18" t="inlineStr">
        <is>
          <t>mit.cap.wnd.cost</t>
        </is>
      </c>
      <c r="I147" s="9" t="n"/>
      <c r="J147" s="9" t="n"/>
      <c r="K147" s="17" t="n"/>
      <c r="L147" s="17" t="n"/>
      <c r="M147" s="17" t="n"/>
      <c r="N147" s="19">
        <f>p_capex_wnd24</f>
        <v/>
      </c>
      <c r="O147" s="17">
        <f>p_capex_wnd24*(1-p_lr_wnd)^(O$1-2024)</f>
        <v/>
      </c>
      <c r="P147" s="17">
        <f>p_capex_wnd24*(1-p_lr_wnd)^(P$1-2024)</f>
        <v/>
      </c>
      <c r="Q147" s="17">
        <f>p_capex_wnd24*(1-p_lr_wnd)^(Q$1-2024)</f>
        <v/>
      </c>
      <c r="R147" s="17">
        <f>p_capex_wnd24*(1-p_lr_wnd)^(R$1-2024)</f>
        <v/>
      </c>
      <c r="S147" s="17">
        <f>p_capex_wnd24*(1-p_lr_wnd)^(S$1-2024)</f>
        <v/>
      </c>
      <c r="T147" s="17">
        <f>p_capex_wnd24*(1-p_lr_wnd)^(T$1-2024)</f>
        <v/>
      </c>
      <c r="U147" s="17">
        <f>p_capex_wnd24*(1-p_lr_wnd)^(U$1-2024)</f>
        <v/>
      </c>
      <c r="V147" s="17">
        <f>p_capex_wnd24*(1-p_lr_wnd)^(V$1-2024)</f>
        <v/>
      </c>
      <c r="W147" s="17">
        <f>p_capex_wnd24*(1-p_lr_wnd)^(W$1-2024)</f>
        <v/>
      </c>
      <c r="X147" s="17">
        <f>p_capex_wnd24*(1-p_lr_wnd)^(X$1-2024)</f>
        <v/>
      </c>
      <c r="Y147" s="17">
        <f>p_capex_wnd24*(1-p_lr_wnd)^(Y$1-2024)</f>
        <v/>
      </c>
      <c r="Z147" s="17">
        <f>p_capex_wnd24*(1-p_lr_wnd)^(Z$1-2024)</f>
        <v/>
      </c>
      <c r="AA147" s="17">
        <f>p_capex_wnd24*(1-p_lr_wnd)^(AA$1-2024)</f>
        <v/>
      </c>
      <c r="AB147" s="17">
        <f>p_capex_wnd24*(1-p_lr_wnd)^(AB$1-2024)</f>
        <v/>
      </c>
      <c r="AC147" s="17">
        <f>p_capex_wnd24*(1-p_lr_wnd)^(AC$1-2024)</f>
        <v/>
      </c>
      <c r="AD147" s="17">
        <f>p_capex_wnd24*(1-p_lr_wnd)^(AD$1-2024)</f>
        <v/>
      </c>
      <c r="AE147" s="17">
        <f>p_capex_wnd24*(1-p_lr_wnd)^(AE$1-2024)</f>
        <v/>
      </c>
      <c r="AF147" s="17">
        <f>p_capex_wnd24*(1-p_lr_wnd)^(AF$1-2024)</f>
        <v/>
      </c>
      <c r="AG147" s="17">
        <f>p_capex_wnd24*(1-p_lr_wnd)^(AG$1-2024)</f>
        <v/>
      </c>
      <c r="AH147" s="17">
        <f>p_capex_wnd24*(1-p_lr_wnd)^(AH$1-2024)</f>
        <v/>
      </c>
      <c r="AI147" s="17">
        <f>p_capex_wnd24*(1-p_lr_wnd)^(AI$1-2024)</f>
        <v/>
      </c>
      <c r="AJ147" s="17">
        <f>p_capex_wnd24*(1-p_lr_wnd)^(AJ$1-2024)</f>
        <v/>
      </c>
      <c r="AK147" s="17">
        <f>p_capex_wnd24*(1-p_lr_wnd)^(AK$1-2024)</f>
        <v/>
      </c>
      <c r="AL147" s="17">
        <f>p_capex_wnd24*(1-p_lr_wnd)^(AL$1-2024)</f>
        <v/>
      </c>
      <c r="AM147" s="17">
        <f>p_capex_wnd24*(1-p_lr_wnd)^(AM$1-2024)</f>
        <v/>
      </c>
      <c r="AN147" s="17">
        <f>p_capex_wnd24*(1-p_lr_wnd)^(AN$1-2024)</f>
        <v/>
      </c>
    </row>
    <row r="148">
      <c r="A148" s="9" t="n">
        <v>7</v>
      </c>
      <c r="B148" s="9" t="inlineStr"/>
      <c r="C148" s="9" t="inlineStr">
        <is>
          <t>pow</t>
        </is>
      </c>
      <c r="D148" s="9" t="inlineStr">
        <is>
          <t>Storage capital cost</t>
        </is>
      </c>
      <c r="E148" s="9" t="inlineStr">
        <is>
          <t>USD/kWh</t>
        </is>
      </c>
      <c r="F148" s="9" t="inlineStr">
        <is>
          <t>Model</t>
        </is>
      </c>
      <c r="G148" s="18" t="n"/>
      <c r="H148" s="18" t="inlineStr">
        <is>
          <t>mit.cap.st.cost</t>
        </is>
      </c>
      <c r="I148" s="9" t="n"/>
      <c r="J148" s="9" t="n"/>
      <c r="K148" s="17" t="n"/>
      <c r="L148" s="17" t="n"/>
      <c r="M148" s="17" t="n"/>
      <c r="N148" s="19">
        <f>p_capex_st24</f>
        <v/>
      </c>
      <c r="O148" s="17">
        <f>p_capex_st24*(1-p_lr_st)^(O$1-2024)</f>
        <v/>
      </c>
      <c r="P148" s="17">
        <f>p_capex_st24*(1-p_lr_st)^(P$1-2024)</f>
        <v/>
      </c>
      <c r="Q148" s="17">
        <f>p_capex_st24*(1-p_lr_st)^(Q$1-2024)</f>
        <v/>
      </c>
      <c r="R148" s="17">
        <f>p_capex_st24*(1-p_lr_st)^(R$1-2024)</f>
        <v/>
      </c>
      <c r="S148" s="17">
        <f>p_capex_st24*(1-p_lr_st)^(S$1-2024)</f>
        <v/>
      </c>
      <c r="T148" s="17">
        <f>p_capex_st24*(1-p_lr_st)^(T$1-2024)</f>
        <v/>
      </c>
      <c r="U148" s="17">
        <f>p_capex_st24*(1-p_lr_st)^(U$1-2024)</f>
        <v/>
      </c>
      <c r="V148" s="17">
        <f>p_capex_st24*(1-p_lr_st)^(V$1-2024)</f>
        <v/>
      </c>
      <c r="W148" s="17">
        <f>p_capex_st24*(1-p_lr_st)^(W$1-2024)</f>
        <v/>
      </c>
      <c r="X148" s="17">
        <f>p_capex_st24*(1-p_lr_st)^(X$1-2024)</f>
        <v/>
      </c>
      <c r="Y148" s="17">
        <f>p_capex_st24*(1-p_lr_st)^(Y$1-2024)</f>
        <v/>
      </c>
      <c r="Z148" s="17">
        <f>p_capex_st24*(1-p_lr_st)^(Z$1-2024)</f>
        <v/>
      </c>
      <c r="AA148" s="17">
        <f>p_capex_st24*(1-p_lr_st)^(AA$1-2024)</f>
        <v/>
      </c>
      <c r="AB148" s="17">
        <f>p_capex_st24*(1-p_lr_st)^(AB$1-2024)</f>
        <v/>
      </c>
      <c r="AC148" s="17">
        <f>p_capex_st24*(1-p_lr_st)^(AC$1-2024)</f>
        <v/>
      </c>
      <c r="AD148" s="17">
        <f>p_capex_st24*(1-p_lr_st)^(AD$1-2024)</f>
        <v/>
      </c>
      <c r="AE148" s="17">
        <f>p_capex_st24*(1-p_lr_st)^(AE$1-2024)</f>
        <v/>
      </c>
      <c r="AF148" s="17">
        <f>p_capex_st24*(1-p_lr_st)^(AF$1-2024)</f>
        <v/>
      </c>
      <c r="AG148" s="17">
        <f>p_capex_st24*(1-p_lr_st)^(AG$1-2024)</f>
        <v/>
      </c>
      <c r="AH148" s="17">
        <f>p_capex_st24*(1-p_lr_st)^(AH$1-2024)</f>
        <v/>
      </c>
      <c r="AI148" s="17">
        <f>p_capex_st24*(1-p_lr_st)^(AI$1-2024)</f>
        <v/>
      </c>
      <c r="AJ148" s="17">
        <f>p_capex_st24*(1-p_lr_st)^(AJ$1-2024)</f>
        <v/>
      </c>
      <c r="AK148" s="17">
        <f>p_capex_st24*(1-p_lr_st)^(AK$1-2024)</f>
        <v/>
      </c>
      <c r="AL148" s="17">
        <f>p_capex_st24*(1-p_lr_st)^(AL$1-2024)</f>
        <v/>
      </c>
      <c r="AM148" s="17">
        <f>p_capex_st24*(1-p_lr_st)^(AM$1-2024)</f>
        <v/>
      </c>
      <c r="AN148" s="17">
        <f>p_capex_st24*(1-p_lr_st)^(AN$1-2024)</f>
        <v/>
      </c>
    </row>
    <row r="149">
      <c r="A149" s="9" t="n">
        <v>7</v>
      </c>
      <c r="B149" s="9" t="inlineStr">
        <is>
          <t>ecy</t>
        </is>
      </c>
      <c r="C149" s="9" t="inlineStr">
        <is>
          <t>pow</t>
        </is>
      </c>
      <c r="D149" s="9" t="inlineStr">
        <is>
          <t>End-use electricity demand</t>
        </is>
      </c>
      <c r="E149" s="9" t="inlineStr">
        <is>
          <t>PJ</t>
        </is>
      </c>
      <c r="F149" s="9" t="inlineStr">
        <is>
          <t>Model</t>
        </is>
      </c>
      <c r="G149" s="18" t="n"/>
      <c r="H149" s="18" t="inlineStr">
        <is>
          <t>mit.dem.ecy.1</t>
        </is>
      </c>
      <c r="I149" s="9" t="n"/>
      <c r="J149" s="9" t="n"/>
      <c r="K149" s="17" t="n"/>
      <c r="L149" s="17" t="n"/>
      <c r="M149" s="17" t="n"/>
      <c r="N149" s="19">
        <f>N94+N98+N107</f>
        <v/>
      </c>
      <c r="O149" s="17">
        <f>O94+O98+O107</f>
        <v/>
      </c>
      <c r="P149" s="17">
        <f>P94+P98+P107</f>
        <v/>
      </c>
      <c r="Q149" s="17">
        <f>Q94+Q98+Q107</f>
        <v/>
      </c>
      <c r="R149" s="17">
        <f>R94+R98+R107</f>
        <v/>
      </c>
      <c r="S149" s="17">
        <f>S94+S98+S107</f>
        <v/>
      </c>
      <c r="T149" s="17">
        <f>T94+T98+T107</f>
        <v/>
      </c>
      <c r="U149" s="17">
        <f>U94+U98+U107</f>
        <v/>
      </c>
      <c r="V149" s="17">
        <f>V94+V98+V107</f>
        <v/>
      </c>
      <c r="W149" s="17">
        <f>W94+W98+W107</f>
        <v/>
      </c>
      <c r="X149" s="17">
        <f>X94+X98+X107</f>
        <v/>
      </c>
      <c r="Y149" s="17">
        <f>Y94+Y98+Y107</f>
        <v/>
      </c>
      <c r="Z149" s="17">
        <f>Z94+Z98+Z107</f>
        <v/>
      </c>
      <c r="AA149" s="17">
        <f>AA94+AA98+AA107</f>
        <v/>
      </c>
      <c r="AB149" s="17">
        <f>AB94+AB98+AB107</f>
        <v/>
      </c>
      <c r="AC149" s="17">
        <f>AC94+AC98+AC107</f>
        <v/>
      </c>
      <c r="AD149" s="17">
        <f>AD94+AD98+AD107</f>
        <v/>
      </c>
      <c r="AE149" s="17">
        <f>AE94+AE98+AE107</f>
        <v/>
      </c>
      <c r="AF149" s="17">
        <f>AF94+AF98+AF107</f>
        <v/>
      </c>
      <c r="AG149" s="17">
        <f>AG94+AG98+AG107</f>
        <v/>
      </c>
      <c r="AH149" s="17">
        <f>AH94+AH98+AH107</f>
        <v/>
      </c>
      <c r="AI149" s="17">
        <f>AI94+AI98+AI107</f>
        <v/>
      </c>
      <c r="AJ149" s="17">
        <f>AJ94+AJ98+AJ107</f>
        <v/>
      </c>
      <c r="AK149" s="17">
        <f>AK94+AK98+AK107</f>
        <v/>
      </c>
      <c r="AL149" s="17">
        <f>AL94+AL98+AL107</f>
        <v/>
      </c>
      <c r="AM149" s="17">
        <f>AM94+AM98+AM107</f>
        <v/>
      </c>
      <c r="AN149" s="17">
        <f>AN94+AN98+AN107</f>
        <v/>
      </c>
    </row>
    <row r="150">
      <c r="A150" s="9" t="n">
        <v>7</v>
      </c>
      <c r="B150" s="9" t="inlineStr">
        <is>
          <t>ecy</t>
        </is>
      </c>
      <c r="C150" s="9" t="inlineStr">
        <is>
          <t>pow</t>
        </is>
      </c>
      <c r="D150" s="9" t="inlineStr">
        <is>
          <t>Generation</t>
        </is>
      </c>
      <c r="E150" s="9" t="inlineStr">
        <is>
          <t>TWh</t>
        </is>
      </c>
      <c r="F150" s="9" t="inlineStr">
        <is>
          <t>Model</t>
        </is>
      </c>
      <c r="G150" s="18" t="n"/>
      <c r="H150" s="18" t="inlineStr">
        <is>
          <t>mit.gen.tot.1</t>
        </is>
      </c>
      <c r="I150" s="9" t="n"/>
      <c r="J150" s="9" t="n"/>
      <c r="K150" s="17" t="n"/>
      <c r="L150" s="17" t="n"/>
      <c r="M150" s="17" t="n"/>
      <c r="N150" s="19">
        <f>$J$20*N149/3.6</f>
        <v/>
      </c>
      <c r="O150" s="17">
        <f>$J$20*O149/3.6</f>
        <v/>
      </c>
      <c r="P150" s="17">
        <f>$J$20*P149/3.6</f>
        <v/>
      </c>
      <c r="Q150" s="17">
        <f>$J$20*Q149/3.6</f>
        <v/>
      </c>
      <c r="R150" s="17">
        <f>$J$20*R149/3.6</f>
        <v/>
      </c>
      <c r="S150" s="17">
        <f>$J$20*S149/3.6</f>
        <v/>
      </c>
      <c r="T150" s="17">
        <f>$J$20*T149/3.6</f>
        <v/>
      </c>
      <c r="U150" s="17">
        <f>$J$20*U149/3.6</f>
        <v/>
      </c>
      <c r="V150" s="17">
        <f>$J$20*V149/3.6</f>
        <v/>
      </c>
      <c r="W150" s="17">
        <f>$J$20*W149/3.6</f>
        <v/>
      </c>
      <c r="X150" s="17">
        <f>$J$20*X149/3.6</f>
        <v/>
      </c>
      <c r="Y150" s="17">
        <f>$J$20*Y149/3.6</f>
        <v/>
      </c>
      <c r="Z150" s="17">
        <f>$J$20*Z149/3.6</f>
        <v/>
      </c>
      <c r="AA150" s="17">
        <f>$J$20*AA149/3.6</f>
        <v/>
      </c>
      <c r="AB150" s="17">
        <f>$J$20*AB149/3.6</f>
        <v/>
      </c>
      <c r="AC150" s="17">
        <f>$J$20*AC149/3.6</f>
        <v/>
      </c>
      <c r="AD150" s="17">
        <f>$J$20*AD149/3.6</f>
        <v/>
      </c>
      <c r="AE150" s="17">
        <f>$J$20*AE149/3.6</f>
        <v/>
      </c>
      <c r="AF150" s="17">
        <f>$J$20*AF149/3.6</f>
        <v/>
      </c>
      <c r="AG150" s="17">
        <f>$J$20*AG149/3.6</f>
        <v/>
      </c>
      <c r="AH150" s="17">
        <f>$J$20*AH149/3.6</f>
        <v/>
      </c>
      <c r="AI150" s="17">
        <f>$J$20*AI149/3.6</f>
        <v/>
      </c>
      <c r="AJ150" s="17">
        <f>$J$20*AJ149/3.6</f>
        <v/>
      </c>
      <c r="AK150" s="17">
        <f>$J$20*AK149/3.6</f>
        <v/>
      </c>
      <c r="AL150" s="17">
        <f>$J$20*AL149/3.6</f>
        <v/>
      </c>
      <c r="AM150" s="17">
        <f>$J$20*AM149/3.6</f>
        <v/>
      </c>
      <c r="AN150" s="17">
        <f>$J$20*AN149/3.6</f>
        <v/>
      </c>
    </row>
    <row r="151">
      <c r="A151" s="9" t="n">
        <v>7</v>
      </c>
      <c r="B151" s="9" t="inlineStr"/>
      <c r="C151" s="9" t="inlineStr">
        <is>
          <t>pow</t>
        </is>
      </c>
      <c r="D151" s="9" t="inlineStr">
        <is>
          <t>Fossil share of generation</t>
        </is>
      </c>
      <c r="E151" s="9" t="inlineStr">
        <is>
          <t>share</t>
        </is>
      </c>
      <c r="F151" s="9" t="inlineStr">
        <is>
          <t>Model</t>
        </is>
      </c>
      <c r="G151" s="18" t="n"/>
      <c r="H151" s="18" t="inlineStr">
        <is>
          <t>mit.gen.fsh.1</t>
        </is>
      </c>
      <c r="I151" s="9" t="n"/>
      <c r="J151" s="9" t="n"/>
      <c r="K151" s="17" t="n"/>
      <c r="L151" s="17" t="n"/>
      <c r="M151" s="17" t="n"/>
      <c r="N151" s="19">
        <f>$J$21</f>
        <v/>
      </c>
      <c r="O151" s="17">
        <f>MAX(0,N151-$J$22)</f>
        <v/>
      </c>
      <c r="P151" s="17">
        <f>MAX(0,O151-$J$22)</f>
        <v/>
      </c>
      <c r="Q151" s="17">
        <f>MAX(0,P151-$J$22)</f>
        <v/>
      </c>
      <c r="R151" s="17">
        <f>MAX(0,Q151-$J$22)</f>
        <v/>
      </c>
      <c r="S151" s="17">
        <f>MAX(0,R151-$J$22)</f>
        <v/>
      </c>
      <c r="T151" s="17">
        <f>MAX(0,S151-$J$22)</f>
        <v/>
      </c>
      <c r="U151" s="17">
        <f>MAX(0,T151-$J$22)</f>
        <v/>
      </c>
      <c r="V151" s="17">
        <f>MAX(0,U151-$J$22)</f>
        <v/>
      </c>
      <c r="W151" s="17">
        <f>MAX(0,V151-$J$22)</f>
        <v/>
      </c>
      <c r="X151" s="17">
        <f>MAX(0,W151-$J$22)</f>
        <v/>
      </c>
      <c r="Y151" s="17">
        <f>MAX(0,X151-$J$22)</f>
        <v/>
      </c>
      <c r="Z151" s="17">
        <f>MAX(0,Y151-$J$22)</f>
        <v/>
      </c>
      <c r="AA151" s="17">
        <f>MAX(0,Z151-$J$22)</f>
        <v/>
      </c>
      <c r="AB151" s="17">
        <f>MAX(0,AA151-$J$22)</f>
        <v/>
      </c>
      <c r="AC151" s="17">
        <f>MAX(0,AB151-$J$22)</f>
        <v/>
      </c>
      <c r="AD151" s="17">
        <f>MAX(0,AC151-$J$22)</f>
        <v/>
      </c>
      <c r="AE151" s="17">
        <f>MAX(0,AD151-$J$22)</f>
        <v/>
      </c>
      <c r="AF151" s="17">
        <f>MAX(0,AE151-$J$22)</f>
        <v/>
      </c>
      <c r="AG151" s="17">
        <f>MAX(0,AF151-$J$22)</f>
        <v/>
      </c>
      <c r="AH151" s="17">
        <f>MAX(0,AG151-$J$22)</f>
        <v/>
      </c>
      <c r="AI151" s="17">
        <f>MAX(0,AH151-$J$22)</f>
        <v/>
      </c>
      <c r="AJ151" s="17">
        <f>MAX(0,AI151-$J$22)</f>
        <v/>
      </c>
      <c r="AK151" s="17">
        <f>MAX(0,AJ151-$J$22)</f>
        <v/>
      </c>
      <c r="AL151" s="17">
        <f>MAX(0,AK151-$J$22)</f>
        <v/>
      </c>
      <c r="AM151" s="17">
        <f>MAX(0,AL151-$J$22)</f>
        <v/>
      </c>
      <c r="AN151" s="17">
        <f>MAX(0,AM151-$J$22)</f>
        <v/>
      </c>
    </row>
    <row r="152">
      <c r="A152" s="9" t="n">
        <v>7</v>
      </c>
      <c r="B152" s="9" t="inlineStr"/>
      <c r="C152" s="9" t="inlineStr">
        <is>
          <t>pow</t>
        </is>
      </c>
      <c r="D152" s="9" t="inlineStr">
        <is>
          <t>Fossil generation</t>
        </is>
      </c>
      <c r="E152" s="9" t="inlineStr">
        <is>
          <t>TWh</t>
        </is>
      </c>
      <c r="F152" s="9" t="inlineStr">
        <is>
          <t>Model</t>
        </is>
      </c>
      <c r="G152" s="18" t="n"/>
      <c r="H152" s="18" t="inlineStr">
        <is>
          <t>mit.gen.fos.1</t>
        </is>
      </c>
      <c r="I152" s="9" t="n"/>
      <c r="J152" s="9" t="n"/>
      <c r="K152" s="17" t="n"/>
      <c r="L152" s="17" t="n"/>
      <c r="M152" s="17" t="n"/>
      <c r="N152" s="19">
        <f>MIN(N150*N151,MAX(0,N150-$J$23))</f>
        <v/>
      </c>
      <c r="O152" s="17">
        <f>MIN(O150*O151,MAX(0,O150-$J$23))</f>
        <v/>
      </c>
      <c r="P152" s="17">
        <f>MIN(P150*P151,MAX(0,P150-$J$23))</f>
        <v/>
      </c>
      <c r="Q152" s="17">
        <f>MIN(Q150*Q151,MAX(0,Q150-$J$23))</f>
        <v/>
      </c>
      <c r="R152" s="17">
        <f>MIN(R150*R151,MAX(0,R150-$J$23))</f>
        <v/>
      </c>
      <c r="S152" s="17">
        <f>MIN(S150*S151,MAX(0,S150-$J$23))</f>
        <v/>
      </c>
      <c r="T152" s="17">
        <f>MIN(T150*T151,MAX(0,T150-$J$23))</f>
        <v/>
      </c>
      <c r="U152" s="17">
        <f>MIN(U150*U151,MAX(0,U150-$J$23))</f>
        <v/>
      </c>
      <c r="V152" s="17">
        <f>MIN(V150*V151,MAX(0,V150-$J$23))</f>
        <v/>
      </c>
      <c r="W152" s="17">
        <f>MIN(W150*W151,MAX(0,W150-$J$23))</f>
        <v/>
      </c>
      <c r="X152" s="17">
        <f>MIN(X150*X151,MAX(0,X150-$J$23))</f>
        <v/>
      </c>
      <c r="Y152" s="17">
        <f>MIN(Y150*Y151,MAX(0,Y150-$J$23))</f>
        <v/>
      </c>
      <c r="Z152" s="17">
        <f>MIN(Z150*Z151,MAX(0,Z150-$J$23))</f>
        <v/>
      </c>
      <c r="AA152" s="17">
        <f>MIN(AA150*AA151,MAX(0,AA150-$J$23))</f>
        <v/>
      </c>
      <c r="AB152" s="17">
        <f>MIN(AB150*AB151,MAX(0,AB150-$J$23))</f>
        <v/>
      </c>
      <c r="AC152" s="17">
        <f>MIN(AC150*AC151,MAX(0,AC150-$J$23))</f>
        <v/>
      </c>
      <c r="AD152" s="17">
        <f>MIN(AD150*AD151,MAX(0,AD150-$J$23))</f>
        <v/>
      </c>
      <c r="AE152" s="17">
        <f>MIN(AE150*AE151,MAX(0,AE150-$J$23))</f>
        <v/>
      </c>
      <c r="AF152" s="17">
        <f>MIN(AF150*AF151,MAX(0,AF150-$J$23))</f>
        <v/>
      </c>
      <c r="AG152" s="17">
        <f>MIN(AG150*AG151,MAX(0,AG150-$J$23))</f>
        <v/>
      </c>
      <c r="AH152" s="17">
        <f>MIN(AH150*AH151,MAX(0,AH150-$J$23))</f>
        <v/>
      </c>
      <c r="AI152" s="17">
        <f>MIN(AI150*AI151,MAX(0,AI150-$J$23))</f>
        <v/>
      </c>
      <c r="AJ152" s="17">
        <f>MIN(AJ150*AJ151,MAX(0,AJ150-$J$23))</f>
        <v/>
      </c>
      <c r="AK152" s="17">
        <f>MIN(AK150*AK151,MAX(0,AK150-$J$23))</f>
        <v/>
      </c>
      <c r="AL152" s="17">
        <f>MIN(AL150*AL151,MAX(0,AL150-$J$23))</f>
        <v/>
      </c>
      <c r="AM152" s="17">
        <f>MIN(AM150*AM151,MAX(0,AM150-$J$23))</f>
        <v/>
      </c>
      <c r="AN152" s="17">
        <f>MIN(AN150*AN151,MAX(0,AN150-$J$23))</f>
        <v/>
      </c>
    </row>
    <row r="153">
      <c r="A153" s="9" t="n">
        <v>7</v>
      </c>
      <c r="B153" s="9" t="inlineStr"/>
      <c r="C153" s="9" t="inlineStr">
        <is>
          <t>pow</t>
        </is>
      </c>
      <c r="D153" s="9" t="inlineStr">
        <is>
          <t>VRE generation needed</t>
        </is>
      </c>
      <c r="E153" s="9" t="inlineStr">
        <is>
          <t>TWh</t>
        </is>
      </c>
      <c r="F153" s="9" t="inlineStr">
        <is>
          <t>Model</t>
        </is>
      </c>
      <c r="G153" s="18" t="n"/>
      <c r="H153" s="18" t="inlineStr">
        <is>
          <t>mit.gen.vre.1</t>
        </is>
      </c>
      <c r="I153" s="9" t="n"/>
      <c r="J153" s="9" t="n"/>
      <c r="K153" s="17" t="n"/>
      <c r="L153" s="17" t="n"/>
      <c r="M153" s="17" t="n"/>
      <c r="N153" s="19">
        <f>MAX(0,N150-$J$23-N152)</f>
        <v/>
      </c>
      <c r="O153" s="17">
        <f>MAX(0,O150-$J$23-O152)</f>
        <v/>
      </c>
      <c r="P153" s="17">
        <f>MAX(0,P150-$J$23-P152)</f>
        <v/>
      </c>
      <c r="Q153" s="17">
        <f>MAX(0,Q150-$J$23-Q152)</f>
        <v/>
      </c>
      <c r="R153" s="17">
        <f>MAX(0,R150-$J$23-R152)</f>
        <v/>
      </c>
      <c r="S153" s="17">
        <f>MAX(0,S150-$J$23-S152)</f>
        <v/>
      </c>
      <c r="T153" s="17">
        <f>MAX(0,T150-$J$23-T152)</f>
        <v/>
      </c>
      <c r="U153" s="17">
        <f>MAX(0,U150-$J$23-U152)</f>
        <v/>
      </c>
      <c r="V153" s="17">
        <f>MAX(0,V150-$J$23-V152)</f>
        <v/>
      </c>
      <c r="W153" s="17">
        <f>MAX(0,W150-$J$23-W152)</f>
        <v/>
      </c>
      <c r="X153" s="17">
        <f>MAX(0,X150-$J$23-X152)</f>
        <v/>
      </c>
      <c r="Y153" s="17">
        <f>MAX(0,Y150-$J$23-Y152)</f>
        <v/>
      </c>
      <c r="Z153" s="17">
        <f>MAX(0,Z150-$J$23-Z152)</f>
        <v/>
      </c>
      <c r="AA153" s="17">
        <f>MAX(0,AA150-$J$23-AA152)</f>
        <v/>
      </c>
      <c r="AB153" s="17">
        <f>MAX(0,AB150-$J$23-AB152)</f>
        <v/>
      </c>
      <c r="AC153" s="17">
        <f>MAX(0,AC150-$J$23-AC152)</f>
        <v/>
      </c>
      <c r="AD153" s="17">
        <f>MAX(0,AD150-$J$23-AD152)</f>
        <v/>
      </c>
      <c r="AE153" s="17">
        <f>MAX(0,AE150-$J$23-AE152)</f>
        <v/>
      </c>
      <c r="AF153" s="17">
        <f>MAX(0,AF150-$J$23-AF152)</f>
        <v/>
      </c>
      <c r="AG153" s="17">
        <f>MAX(0,AG150-$J$23-AG152)</f>
        <v/>
      </c>
      <c r="AH153" s="17">
        <f>MAX(0,AH150-$J$23-AH152)</f>
        <v/>
      </c>
      <c r="AI153" s="17">
        <f>MAX(0,AI150-$J$23-AI152)</f>
        <v/>
      </c>
      <c r="AJ153" s="17">
        <f>MAX(0,AJ150-$J$23-AJ152)</f>
        <v/>
      </c>
      <c r="AK153" s="17">
        <f>MAX(0,AK150-$J$23-AK152)</f>
        <v/>
      </c>
      <c r="AL153" s="17">
        <f>MAX(0,AL150-$J$23-AL152)</f>
        <v/>
      </c>
      <c r="AM153" s="17">
        <f>MAX(0,AM150-$J$23-AM152)</f>
        <v/>
      </c>
      <c r="AN153" s="17">
        <f>MAX(0,AN150-$J$23-AN152)</f>
        <v/>
      </c>
    </row>
    <row r="154">
      <c r="A154" s="9" t="n">
        <v>7</v>
      </c>
      <c r="B154" s="9" t="inlineStr"/>
      <c r="C154" s="9" t="inlineStr">
        <is>
          <t>pow</t>
        </is>
      </c>
      <c r="D154" s="9" t="inlineStr">
        <is>
          <t>Solar generation</t>
        </is>
      </c>
      <c r="E154" s="9" t="inlineStr">
        <is>
          <t>TWh</t>
        </is>
      </c>
      <c r="F154" s="9" t="inlineStr">
        <is>
          <t>Model</t>
        </is>
      </c>
      <c r="G154" s="18" t="n"/>
      <c r="H154" s="18" t="inlineStr">
        <is>
          <t>mit.gen.sol.1</t>
        </is>
      </c>
      <c r="I154" s="9" t="n"/>
      <c r="J154" s="9" t="n"/>
      <c r="K154" s="17" t="n"/>
      <c r="L154" s="17" t="n"/>
      <c r="M154" s="17" t="n"/>
      <c r="N154" s="19">
        <f>INDEX(Data!$CM:$CM,$J$4)</f>
        <v/>
      </c>
      <c r="O154" s="17">
        <f>N154+p_sh_sol*MAX(0,O153-N153)</f>
        <v/>
      </c>
      <c r="P154" s="17">
        <f>O154+p_sh_sol*MAX(0,P153-O153)</f>
        <v/>
      </c>
      <c r="Q154" s="17">
        <f>P154+p_sh_sol*MAX(0,Q153-P153)</f>
        <v/>
      </c>
      <c r="R154" s="17">
        <f>Q154+p_sh_sol*MAX(0,R153-Q153)</f>
        <v/>
      </c>
      <c r="S154" s="17">
        <f>R154+p_sh_sol*MAX(0,S153-R153)</f>
        <v/>
      </c>
      <c r="T154" s="17">
        <f>S154+p_sh_sol*MAX(0,T153-S153)</f>
        <v/>
      </c>
      <c r="U154" s="17">
        <f>T154+p_sh_sol*MAX(0,U153-T153)</f>
        <v/>
      </c>
      <c r="V154" s="17">
        <f>U154+p_sh_sol*MAX(0,V153-U153)</f>
        <v/>
      </c>
      <c r="W154" s="17">
        <f>V154+p_sh_sol*MAX(0,W153-V153)</f>
        <v/>
      </c>
      <c r="X154" s="17">
        <f>W154+p_sh_sol*MAX(0,X153-W153)</f>
        <v/>
      </c>
      <c r="Y154" s="17">
        <f>X154+p_sh_sol*MAX(0,Y153-X153)</f>
        <v/>
      </c>
      <c r="Z154" s="17">
        <f>Y154+p_sh_sol*MAX(0,Z153-Y153)</f>
        <v/>
      </c>
      <c r="AA154" s="17">
        <f>Z154+p_sh_sol*MAX(0,AA153-Z153)</f>
        <v/>
      </c>
      <c r="AB154" s="17">
        <f>AA154+p_sh_sol*MAX(0,AB153-AA153)</f>
        <v/>
      </c>
      <c r="AC154" s="17">
        <f>AB154+p_sh_sol*MAX(0,AC153-AB153)</f>
        <v/>
      </c>
      <c r="AD154" s="17">
        <f>AC154+p_sh_sol*MAX(0,AD153-AC153)</f>
        <v/>
      </c>
      <c r="AE154" s="17">
        <f>AD154+p_sh_sol*MAX(0,AE153-AD153)</f>
        <v/>
      </c>
      <c r="AF154" s="17">
        <f>AE154+p_sh_sol*MAX(0,AF153-AE153)</f>
        <v/>
      </c>
      <c r="AG154" s="17">
        <f>AF154+p_sh_sol*MAX(0,AG153-AF153)</f>
        <v/>
      </c>
      <c r="AH154" s="17">
        <f>AG154+p_sh_sol*MAX(0,AH153-AG153)</f>
        <v/>
      </c>
      <c r="AI154" s="17">
        <f>AH154+p_sh_sol*MAX(0,AI153-AH153)</f>
        <v/>
      </c>
      <c r="AJ154" s="17">
        <f>AI154+p_sh_sol*MAX(0,AJ153-AI153)</f>
        <v/>
      </c>
      <c r="AK154" s="17">
        <f>AJ154+p_sh_sol*MAX(0,AK153-AJ153)</f>
        <v/>
      </c>
      <c r="AL154" s="17">
        <f>AK154+p_sh_sol*MAX(0,AL153-AK153)</f>
        <v/>
      </c>
      <c r="AM154" s="17">
        <f>AL154+p_sh_sol*MAX(0,AM153-AL153)</f>
        <v/>
      </c>
      <c r="AN154" s="17">
        <f>AM154+p_sh_sol*MAX(0,AN153-AM153)</f>
        <v/>
      </c>
    </row>
    <row r="155">
      <c r="A155" s="9" t="n">
        <v>7</v>
      </c>
      <c r="B155" s="9" t="inlineStr"/>
      <c r="C155" s="9" t="inlineStr">
        <is>
          <t>pow</t>
        </is>
      </c>
      <c r="D155" s="9" t="inlineStr">
        <is>
          <t>Wind generation</t>
        </is>
      </c>
      <c r="E155" s="9" t="inlineStr">
        <is>
          <t>TWh</t>
        </is>
      </c>
      <c r="F155" s="9" t="inlineStr">
        <is>
          <t>Model</t>
        </is>
      </c>
      <c r="G155" s="18" t="n"/>
      <c r="H155" s="18" t="inlineStr">
        <is>
          <t>mit.gen.wnd.1</t>
        </is>
      </c>
      <c r="I155" s="9" t="n"/>
      <c r="J155" s="9" t="n"/>
      <c r="K155" s="17" t="n"/>
      <c r="L155" s="17" t="n"/>
      <c r="M155" s="17" t="n"/>
      <c r="N155" s="19">
        <f>INDEX(Data!$CO:$CO,$J$4)</f>
        <v/>
      </c>
      <c r="O155" s="17">
        <f>N155+(1-p_sh_sol)*MAX(0,O153-N153)</f>
        <v/>
      </c>
      <c r="P155" s="17">
        <f>O155+(1-p_sh_sol)*MAX(0,P153-O153)</f>
        <v/>
      </c>
      <c r="Q155" s="17">
        <f>P155+(1-p_sh_sol)*MAX(0,Q153-P153)</f>
        <v/>
      </c>
      <c r="R155" s="17">
        <f>Q155+(1-p_sh_sol)*MAX(0,R153-Q153)</f>
        <v/>
      </c>
      <c r="S155" s="17">
        <f>R155+(1-p_sh_sol)*MAX(0,S153-R153)</f>
        <v/>
      </c>
      <c r="T155" s="17">
        <f>S155+(1-p_sh_sol)*MAX(0,T153-S153)</f>
        <v/>
      </c>
      <c r="U155" s="17">
        <f>T155+(1-p_sh_sol)*MAX(0,U153-T153)</f>
        <v/>
      </c>
      <c r="V155" s="17">
        <f>U155+(1-p_sh_sol)*MAX(0,V153-U153)</f>
        <v/>
      </c>
      <c r="W155" s="17">
        <f>V155+(1-p_sh_sol)*MAX(0,W153-V153)</f>
        <v/>
      </c>
      <c r="X155" s="17">
        <f>W155+(1-p_sh_sol)*MAX(0,X153-W153)</f>
        <v/>
      </c>
      <c r="Y155" s="17">
        <f>X155+(1-p_sh_sol)*MAX(0,Y153-X153)</f>
        <v/>
      </c>
      <c r="Z155" s="17">
        <f>Y155+(1-p_sh_sol)*MAX(0,Z153-Y153)</f>
        <v/>
      </c>
      <c r="AA155" s="17">
        <f>Z155+(1-p_sh_sol)*MAX(0,AA153-Z153)</f>
        <v/>
      </c>
      <c r="AB155" s="17">
        <f>AA155+(1-p_sh_sol)*MAX(0,AB153-AA153)</f>
        <v/>
      </c>
      <c r="AC155" s="17">
        <f>AB155+(1-p_sh_sol)*MAX(0,AC153-AB153)</f>
        <v/>
      </c>
      <c r="AD155" s="17">
        <f>AC155+(1-p_sh_sol)*MAX(0,AD153-AC153)</f>
        <v/>
      </c>
      <c r="AE155" s="17">
        <f>AD155+(1-p_sh_sol)*MAX(0,AE153-AD153)</f>
        <v/>
      </c>
      <c r="AF155" s="17">
        <f>AE155+(1-p_sh_sol)*MAX(0,AF153-AE153)</f>
        <v/>
      </c>
      <c r="AG155" s="17">
        <f>AF155+(1-p_sh_sol)*MAX(0,AG153-AF153)</f>
        <v/>
      </c>
      <c r="AH155" s="17">
        <f>AG155+(1-p_sh_sol)*MAX(0,AH153-AG153)</f>
        <v/>
      </c>
      <c r="AI155" s="17">
        <f>AH155+(1-p_sh_sol)*MAX(0,AI153-AH153)</f>
        <v/>
      </c>
      <c r="AJ155" s="17">
        <f>AI155+(1-p_sh_sol)*MAX(0,AJ153-AI153)</f>
        <v/>
      </c>
      <c r="AK155" s="17">
        <f>AJ155+(1-p_sh_sol)*MAX(0,AK153-AJ153)</f>
        <v/>
      </c>
      <c r="AL155" s="17">
        <f>AK155+(1-p_sh_sol)*MAX(0,AL153-AK153)</f>
        <v/>
      </c>
      <c r="AM155" s="17">
        <f>AL155+(1-p_sh_sol)*MAX(0,AM153-AL153)</f>
        <v/>
      </c>
      <c r="AN155" s="17">
        <f>AM155+(1-p_sh_sol)*MAX(0,AN153-AM153)</f>
        <v/>
      </c>
    </row>
    <row r="156">
      <c r="A156" s="9" t="n">
        <v>7</v>
      </c>
      <c r="B156" s="9" t="inlineStr"/>
      <c r="C156" s="9" t="inlineStr">
        <is>
          <t>pow</t>
        </is>
      </c>
      <c r="D156" s="9" t="inlineStr">
        <is>
          <t>Solar capacity</t>
        </is>
      </c>
      <c r="E156" s="9" t="inlineStr">
        <is>
          <t>GW</t>
        </is>
      </c>
      <c r="F156" s="9" t="inlineStr">
        <is>
          <t>Model</t>
        </is>
      </c>
      <c r="G156" s="18" t="n"/>
      <c r="H156" s="18" t="inlineStr">
        <is>
          <t>mit.cap.sol.1</t>
        </is>
      </c>
      <c r="I156" s="9" t="n"/>
      <c r="J156" s="9" t="n"/>
      <c r="K156" s="17" t="n"/>
      <c r="L156" s="17" t="n"/>
      <c r="M156" s="17" t="n"/>
      <c r="N156" s="19">
        <f>N154/($J$29*8.76)</f>
        <v/>
      </c>
      <c r="O156" s="17">
        <f>O154/($J$29*8.76)</f>
        <v/>
      </c>
      <c r="P156" s="17">
        <f>P154/($J$29*8.76)</f>
        <v/>
      </c>
      <c r="Q156" s="17">
        <f>Q154/($J$29*8.76)</f>
        <v/>
      </c>
      <c r="R156" s="17">
        <f>R154/($J$29*8.76)</f>
        <v/>
      </c>
      <c r="S156" s="17">
        <f>S154/($J$29*8.76)</f>
        <v/>
      </c>
      <c r="T156" s="17">
        <f>T154/($J$29*8.76)</f>
        <v/>
      </c>
      <c r="U156" s="17">
        <f>U154/($J$29*8.76)</f>
        <v/>
      </c>
      <c r="V156" s="17">
        <f>V154/($J$29*8.76)</f>
        <v/>
      </c>
      <c r="W156" s="17">
        <f>W154/($J$29*8.76)</f>
        <v/>
      </c>
      <c r="X156" s="17">
        <f>X154/($J$29*8.76)</f>
        <v/>
      </c>
      <c r="Y156" s="17">
        <f>Y154/($J$29*8.76)</f>
        <v/>
      </c>
      <c r="Z156" s="17">
        <f>Z154/($J$29*8.76)</f>
        <v/>
      </c>
      <c r="AA156" s="17">
        <f>AA154/($J$29*8.76)</f>
        <v/>
      </c>
      <c r="AB156" s="17">
        <f>AB154/($J$29*8.76)</f>
        <v/>
      </c>
      <c r="AC156" s="17">
        <f>AC154/($J$29*8.76)</f>
        <v/>
      </c>
      <c r="AD156" s="17">
        <f>AD154/($J$29*8.76)</f>
        <v/>
      </c>
      <c r="AE156" s="17">
        <f>AE154/($J$29*8.76)</f>
        <v/>
      </c>
      <c r="AF156" s="17">
        <f>AF154/($J$29*8.76)</f>
        <v/>
      </c>
      <c r="AG156" s="17">
        <f>AG154/($J$29*8.76)</f>
        <v/>
      </c>
      <c r="AH156" s="17">
        <f>AH154/($J$29*8.76)</f>
        <v/>
      </c>
      <c r="AI156" s="17">
        <f>AI154/($J$29*8.76)</f>
        <v/>
      </c>
      <c r="AJ156" s="17">
        <f>AJ154/($J$29*8.76)</f>
        <v/>
      </c>
      <c r="AK156" s="17">
        <f>AK154/($J$29*8.76)</f>
        <v/>
      </c>
      <c r="AL156" s="17">
        <f>AL154/($J$29*8.76)</f>
        <v/>
      </c>
      <c r="AM156" s="17">
        <f>AM154/($J$29*8.76)</f>
        <v/>
      </c>
      <c r="AN156" s="17">
        <f>AN154/($J$29*8.76)</f>
        <v/>
      </c>
    </row>
    <row r="157">
      <c r="A157" s="9" t="n">
        <v>7</v>
      </c>
      <c r="B157" s="9" t="inlineStr"/>
      <c r="C157" s="9" t="inlineStr">
        <is>
          <t>pow</t>
        </is>
      </c>
      <c r="D157" s="9" t="inlineStr">
        <is>
          <t>Solar additions incl. replacement</t>
        </is>
      </c>
      <c r="E157" s="9" t="inlineStr">
        <is>
          <t>GW</t>
        </is>
      </c>
      <c r="F157" s="9" t="inlineStr">
        <is>
          <t>Model</t>
        </is>
      </c>
      <c r="G157" s="18" t="n"/>
      <c r="H157" s="18" t="inlineStr">
        <is>
          <t>mit.add.sol.1</t>
        </is>
      </c>
      <c r="I157" s="9" t="n"/>
      <c r="J157" s="9" t="n"/>
      <c r="K157" s="17" t="n"/>
      <c r="L157" s="17" t="n"/>
      <c r="M157" s="17" t="n"/>
      <c r="N157" s="19">
        <f>0</f>
        <v/>
      </c>
      <c r="O157" s="17">
        <f>MAX(0,O156-N156)+N156/p_life_vre</f>
        <v/>
      </c>
      <c r="P157" s="17">
        <f>MAX(0,P156-O156)+O156/p_life_vre</f>
        <v/>
      </c>
      <c r="Q157" s="17">
        <f>MAX(0,Q156-P156)+P156/p_life_vre</f>
        <v/>
      </c>
      <c r="R157" s="17">
        <f>MAX(0,R156-Q156)+Q156/p_life_vre</f>
        <v/>
      </c>
      <c r="S157" s="17">
        <f>MAX(0,S156-R156)+R156/p_life_vre</f>
        <v/>
      </c>
      <c r="T157" s="17">
        <f>MAX(0,T156-S156)+S156/p_life_vre</f>
        <v/>
      </c>
      <c r="U157" s="17">
        <f>MAX(0,U156-T156)+T156/p_life_vre</f>
        <v/>
      </c>
      <c r="V157" s="17">
        <f>MAX(0,V156-U156)+U156/p_life_vre</f>
        <v/>
      </c>
      <c r="W157" s="17">
        <f>MAX(0,W156-V156)+V156/p_life_vre</f>
        <v/>
      </c>
      <c r="X157" s="17">
        <f>MAX(0,X156-W156)+W156/p_life_vre</f>
        <v/>
      </c>
      <c r="Y157" s="17">
        <f>MAX(0,Y156-X156)+X156/p_life_vre</f>
        <v/>
      </c>
      <c r="Z157" s="17">
        <f>MAX(0,Z156-Y156)+Y156/p_life_vre</f>
        <v/>
      </c>
      <c r="AA157" s="17">
        <f>MAX(0,AA156-Z156)+Z156/p_life_vre</f>
        <v/>
      </c>
      <c r="AB157" s="17">
        <f>MAX(0,AB156-AA156)+AA156/p_life_vre</f>
        <v/>
      </c>
      <c r="AC157" s="17">
        <f>MAX(0,AC156-AB156)+AB156/p_life_vre</f>
        <v/>
      </c>
      <c r="AD157" s="17">
        <f>MAX(0,AD156-AC156)+AC156/p_life_vre</f>
        <v/>
      </c>
      <c r="AE157" s="17">
        <f>MAX(0,AE156-AD156)+AD156/p_life_vre</f>
        <v/>
      </c>
      <c r="AF157" s="17">
        <f>MAX(0,AF156-AE156)+AE156/p_life_vre</f>
        <v/>
      </c>
      <c r="AG157" s="17">
        <f>MAX(0,AG156-AF156)+AF156/p_life_vre</f>
        <v/>
      </c>
      <c r="AH157" s="17">
        <f>MAX(0,AH156-AG156)+AG156/p_life_vre</f>
        <v/>
      </c>
      <c r="AI157" s="17">
        <f>MAX(0,AI156-AH156)+AH156/p_life_vre</f>
        <v/>
      </c>
      <c r="AJ157" s="17">
        <f>MAX(0,AJ156-AI156)+AI156/p_life_vre</f>
        <v/>
      </c>
      <c r="AK157" s="17">
        <f>MAX(0,AK156-AJ156)+AJ156/p_life_vre</f>
        <v/>
      </c>
      <c r="AL157" s="17">
        <f>MAX(0,AL156-AK156)+AK156/p_life_vre</f>
        <v/>
      </c>
      <c r="AM157" s="17">
        <f>MAX(0,AM156-AL156)+AL156/p_life_vre</f>
        <v/>
      </c>
      <c r="AN157" s="17">
        <f>MAX(0,AN156-AM156)+AM156/p_life_vre</f>
        <v/>
      </c>
    </row>
    <row r="158">
      <c r="A158" s="9" t="n">
        <v>7</v>
      </c>
      <c r="B158" s="9" t="inlineStr"/>
      <c r="C158" s="9" t="inlineStr">
        <is>
          <t>pow</t>
        </is>
      </c>
      <c r="D158" s="9" t="inlineStr">
        <is>
          <t>Wind capacity</t>
        </is>
      </c>
      <c r="E158" s="9" t="inlineStr">
        <is>
          <t>GW</t>
        </is>
      </c>
      <c r="F158" s="9" t="inlineStr">
        <is>
          <t>Model</t>
        </is>
      </c>
      <c r="G158" s="18" t="n"/>
      <c r="H158" s="18" t="inlineStr">
        <is>
          <t>mit.cap.wnd.1</t>
        </is>
      </c>
      <c r="I158" s="9" t="n"/>
      <c r="J158" s="9" t="n"/>
      <c r="K158" s="17" t="n"/>
      <c r="L158" s="17" t="n"/>
      <c r="M158" s="17" t="n"/>
      <c r="N158" s="19">
        <f>N155/($J$30*8.76)</f>
        <v/>
      </c>
      <c r="O158" s="17">
        <f>O155/($J$30*8.76)</f>
        <v/>
      </c>
      <c r="P158" s="17">
        <f>P155/($J$30*8.76)</f>
        <v/>
      </c>
      <c r="Q158" s="17">
        <f>Q155/($J$30*8.76)</f>
        <v/>
      </c>
      <c r="R158" s="17">
        <f>R155/($J$30*8.76)</f>
        <v/>
      </c>
      <c r="S158" s="17">
        <f>S155/($J$30*8.76)</f>
        <v/>
      </c>
      <c r="T158" s="17">
        <f>T155/($J$30*8.76)</f>
        <v/>
      </c>
      <c r="U158" s="17">
        <f>U155/($J$30*8.76)</f>
        <v/>
      </c>
      <c r="V158" s="17">
        <f>V155/($J$30*8.76)</f>
        <v/>
      </c>
      <c r="W158" s="17">
        <f>W155/($J$30*8.76)</f>
        <v/>
      </c>
      <c r="X158" s="17">
        <f>X155/($J$30*8.76)</f>
        <v/>
      </c>
      <c r="Y158" s="17">
        <f>Y155/($J$30*8.76)</f>
        <v/>
      </c>
      <c r="Z158" s="17">
        <f>Z155/($J$30*8.76)</f>
        <v/>
      </c>
      <c r="AA158" s="17">
        <f>AA155/($J$30*8.76)</f>
        <v/>
      </c>
      <c r="AB158" s="17">
        <f>AB155/($J$30*8.76)</f>
        <v/>
      </c>
      <c r="AC158" s="17">
        <f>AC155/($J$30*8.76)</f>
        <v/>
      </c>
      <c r="AD158" s="17">
        <f>AD155/($J$30*8.76)</f>
        <v/>
      </c>
      <c r="AE158" s="17">
        <f>AE155/($J$30*8.76)</f>
        <v/>
      </c>
      <c r="AF158" s="17">
        <f>AF155/($J$30*8.76)</f>
        <v/>
      </c>
      <c r="AG158" s="17">
        <f>AG155/($J$30*8.76)</f>
        <v/>
      </c>
      <c r="AH158" s="17">
        <f>AH155/($J$30*8.76)</f>
        <v/>
      </c>
      <c r="AI158" s="17">
        <f>AI155/($J$30*8.76)</f>
        <v/>
      </c>
      <c r="AJ158" s="17">
        <f>AJ155/($J$30*8.76)</f>
        <v/>
      </c>
      <c r="AK158" s="17">
        <f>AK155/($J$30*8.76)</f>
        <v/>
      </c>
      <c r="AL158" s="17">
        <f>AL155/($J$30*8.76)</f>
        <v/>
      </c>
      <c r="AM158" s="17">
        <f>AM155/($J$30*8.76)</f>
        <v/>
      </c>
      <c r="AN158" s="17">
        <f>AN155/($J$30*8.76)</f>
        <v/>
      </c>
    </row>
    <row r="159">
      <c r="A159" s="9" t="n">
        <v>7</v>
      </c>
      <c r="B159" s="9" t="inlineStr"/>
      <c r="C159" s="9" t="inlineStr">
        <is>
          <t>pow</t>
        </is>
      </c>
      <c r="D159" s="9" t="inlineStr">
        <is>
          <t>Wind additions incl. replacement</t>
        </is>
      </c>
      <c r="E159" s="9" t="inlineStr">
        <is>
          <t>GW</t>
        </is>
      </c>
      <c r="F159" s="9" t="inlineStr">
        <is>
          <t>Model</t>
        </is>
      </c>
      <c r="G159" s="18" t="n"/>
      <c r="H159" s="18" t="inlineStr">
        <is>
          <t>mit.add.wnd.1</t>
        </is>
      </c>
      <c r="I159" s="9" t="n"/>
      <c r="J159" s="9" t="n"/>
      <c r="K159" s="17" t="n"/>
      <c r="L159" s="17" t="n"/>
      <c r="M159" s="17" t="n"/>
      <c r="N159" s="19">
        <f>0</f>
        <v/>
      </c>
      <c r="O159" s="17">
        <f>MAX(0,O158-N158)+N158/p_life_vre</f>
        <v/>
      </c>
      <c r="P159" s="17">
        <f>MAX(0,P158-O158)+O158/p_life_vre</f>
        <v/>
      </c>
      <c r="Q159" s="17">
        <f>MAX(0,Q158-P158)+P158/p_life_vre</f>
        <v/>
      </c>
      <c r="R159" s="17">
        <f>MAX(0,R158-Q158)+Q158/p_life_vre</f>
        <v/>
      </c>
      <c r="S159" s="17">
        <f>MAX(0,S158-R158)+R158/p_life_vre</f>
        <v/>
      </c>
      <c r="T159" s="17">
        <f>MAX(0,T158-S158)+S158/p_life_vre</f>
        <v/>
      </c>
      <c r="U159" s="17">
        <f>MAX(0,U158-T158)+T158/p_life_vre</f>
        <v/>
      </c>
      <c r="V159" s="17">
        <f>MAX(0,V158-U158)+U158/p_life_vre</f>
        <v/>
      </c>
      <c r="W159" s="17">
        <f>MAX(0,W158-V158)+V158/p_life_vre</f>
        <v/>
      </c>
      <c r="X159" s="17">
        <f>MAX(0,X158-W158)+W158/p_life_vre</f>
        <v/>
      </c>
      <c r="Y159" s="17">
        <f>MAX(0,Y158-X158)+X158/p_life_vre</f>
        <v/>
      </c>
      <c r="Z159" s="17">
        <f>MAX(0,Z158-Y158)+Y158/p_life_vre</f>
        <v/>
      </c>
      <c r="AA159" s="17">
        <f>MAX(0,AA158-Z158)+Z158/p_life_vre</f>
        <v/>
      </c>
      <c r="AB159" s="17">
        <f>MAX(0,AB158-AA158)+AA158/p_life_vre</f>
        <v/>
      </c>
      <c r="AC159" s="17">
        <f>MAX(0,AC158-AB158)+AB158/p_life_vre</f>
        <v/>
      </c>
      <c r="AD159" s="17">
        <f>MAX(0,AD158-AC158)+AC158/p_life_vre</f>
        <v/>
      </c>
      <c r="AE159" s="17">
        <f>MAX(0,AE158-AD158)+AD158/p_life_vre</f>
        <v/>
      </c>
      <c r="AF159" s="17">
        <f>MAX(0,AF158-AE158)+AE158/p_life_vre</f>
        <v/>
      </c>
      <c r="AG159" s="17">
        <f>MAX(0,AG158-AF158)+AF158/p_life_vre</f>
        <v/>
      </c>
      <c r="AH159" s="17">
        <f>MAX(0,AH158-AG158)+AG158/p_life_vre</f>
        <v/>
      </c>
      <c r="AI159" s="17">
        <f>MAX(0,AI158-AH158)+AH158/p_life_vre</f>
        <v/>
      </c>
      <c r="AJ159" s="17">
        <f>MAX(0,AJ158-AI158)+AI158/p_life_vre</f>
        <v/>
      </c>
      <c r="AK159" s="17">
        <f>MAX(0,AK158-AJ158)+AJ158/p_life_vre</f>
        <v/>
      </c>
      <c r="AL159" s="17">
        <f>MAX(0,AL158-AK158)+AK158/p_life_vre</f>
        <v/>
      </c>
      <c r="AM159" s="17">
        <f>MAX(0,AM158-AL158)+AL158/p_life_vre</f>
        <v/>
      </c>
      <c r="AN159" s="17">
        <f>MAX(0,AN158-AM158)+AM158/p_life_vre</f>
        <v/>
      </c>
    </row>
    <row r="160">
      <c r="A160" s="9" t="n">
        <v>7</v>
      </c>
      <c r="B160" s="9" t="inlineStr"/>
      <c r="C160" s="9" t="inlineStr">
        <is>
          <t>pow</t>
        </is>
      </c>
      <c r="D160" s="9" t="inlineStr">
        <is>
          <t>Fossil capacity needed</t>
        </is>
      </c>
      <c r="E160" s="9" t="inlineStr">
        <is>
          <t>GW</t>
        </is>
      </c>
      <c r="F160" s="9" t="inlineStr">
        <is>
          <t>Model</t>
        </is>
      </c>
      <c r="G160" s="18" t="n"/>
      <c r="H160" s="18" t="inlineStr">
        <is>
          <t>mit.cap.fos.need.1</t>
        </is>
      </c>
      <c r="I160" s="9" t="n"/>
      <c r="J160" s="9" t="n"/>
      <c r="K160" s="17" t="n"/>
      <c r="L160" s="17" t="n"/>
      <c r="M160" s="17" t="n"/>
      <c r="N160" s="19">
        <f>N152/($J$31*8.76)</f>
        <v/>
      </c>
      <c r="O160" s="17">
        <f>O152/($J$31*8.76)</f>
        <v/>
      </c>
      <c r="P160" s="17">
        <f>P152/($J$31*8.76)</f>
        <v/>
      </c>
      <c r="Q160" s="17">
        <f>Q152/($J$31*8.76)</f>
        <v/>
      </c>
      <c r="R160" s="17">
        <f>R152/($J$31*8.76)</f>
        <v/>
      </c>
      <c r="S160" s="17">
        <f>S152/($J$31*8.76)</f>
        <v/>
      </c>
      <c r="T160" s="17">
        <f>T152/($J$31*8.76)</f>
        <v/>
      </c>
      <c r="U160" s="17">
        <f>U152/($J$31*8.76)</f>
        <v/>
      </c>
      <c r="V160" s="17">
        <f>V152/($J$31*8.76)</f>
        <v/>
      </c>
      <c r="W160" s="17">
        <f>W152/($J$31*8.76)</f>
        <v/>
      </c>
      <c r="X160" s="17">
        <f>X152/($J$31*8.76)</f>
        <v/>
      </c>
      <c r="Y160" s="17">
        <f>Y152/($J$31*8.76)</f>
        <v/>
      </c>
      <c r="Z160" s="17">
        <f>Z152/($J$31*8.76)</f>
        <v/>
      </c>
      <c r="AA160" s="17">
        <f>AA152/($J$31*8.76)</f>
        <v/>
      </c>
      <c r="AB160" s="17">
        <f>AB152/($J$31*8.76)</f>
        <v/>
      </c>
      <c r="AC160" s="17">
        <f>AC152/($J$31*8.76)</f>
        <v/>
      </c>
      <c r="AD160" s="17">
        <f>AD152/($J$31*8.76)</f>
        <v/>
      </c>
      <c r="AE160" s="17">
        <f>AE152/($J$31*8.76)</f>
        <v/>
      </c>
      <c r="AF160" s="17">
        <f>AF152/($J$31*8.76)</f>
        <v/>
      </c>
      <c r="AG160" s="17">
        <f>AG152/($J$31*8.76)</f>
        <v/>
      </c>
      <c r="AH160" s="17">
        <f>AH152/($J$31*8.76)</f>
        <v/>
      </c>
      <c r="AI160" s="17">
        <f>AI152/($J$31*8.76)</f>
        <v/>
      </c>
      <c r="AJ160" s="17">
        <f>AJ152/($J$31*8.76)</f>
        <v/>
      </c>
      <c r="AK160" s="17">
        <f>AK152/($J$31*8.76)</f>
        <v/>
      </c>
      <c r="AL160" s="17">
        <f>AL152/($J$31*8.76)</f>
        <v/>
      </c>
      <c r="AM160" s="17">
        <f>AM152/($J$31*8.76)</f>
        <v/>
      </c>
      <c r="AN160" s="17">
        <f>AN152/($J$31*8.76)</f>
        <v/>
      </c>
    </row>
    <row r="161">
      <c r="A161" s="9" t="n">
        <v>7</v>
      </c>
      <c r="B161" s="9" t="inlineStr"/>
      <c r="C161" s="9" t="inlineStr">
        <is>
          <t>pow</t>
        </is>
      </c>
      <c r="D161" s="9" t="inlineStr">
        <is>
          <t>Fossil additions (gas)</t>
        </is>
      </c>
      <c r="E161" s="9" t="inlineStr">
        <is>
          <t>GW</t>
        </is>
      </c>
      <c r="F161" s="9" t="inlineStr">
        <is>
          <t>Model</t>
        </is>
      </c>
      <c r="G161" s="18" t="n"/>
      <c r="H161" s="18" t="inlineStr">
        <is>
          <t>mit.add.fos.1</t>
        </is>
      </c>
      <c r="I161" s="9" t="n"/>
      <c r="J161" s="9" t="n"/>
      <c r="K161" s="17" t="n"/>
      <c r="L161" s="17" t="n"/>
      <c r="M161" s="17" t="n"/>
      <c r="N161" s="19">
        <f>0</f>
        <v/>
      </c>
      <c r="O161" s="17">
        <f>MAX(0,O160-N162*(1-1/p_life_fos))</f>
        <v/>
      </c>
      <c r="P161" s="17">
        <f>MAX(0,P160-O162*(1-1/p_life_fos))</f>
        <v/>
      </c>
      <c r="Q161" s="17">
        <f>MAX(0,Q160-P162*(1-1/p_life_fos))</f>
        <v/>
      </c>
      <c r="R161" s="17">
        <f>MAX(0,R160-Q162*(1-1/p_life_fos))</f>
        <v/>
      </c>
      <c r="S161" s="17">
        <f>MAX(0,S160-R162*(1-1/p_life_fos))</f>
        <v/>
      </c>
      <c r="T161" s="17">
        <f>MAX(0,T160-S162*(1-1/p_life_fos))</f>
        <v/>
      </c>
      <c r="U161" s="17">
        <f>MAX(0,U160-T162*(1-1/p_life_fos))</f>
        <v/>
      </c>
      <c r="V161" s="17">
        <f>MAX(0,V160-U162*(1-1/p_life_fos))</f>
        <v/>
      </c>
      <c r="W161" s="17">
        <f>MAX(0,W160-V162*(1-1/p_life_fos))</f>
        <v/>
      </c>
      <c r="X161" s="17">
        <f>MAX(0,X160-W162*(1-1/p_life_fos))</f>
        <v/>
      </c>
      <c r="Y161" s="17">
        <f>MAX(0,Y160-X162*(1-1/p_life_fos))</f>
        <v/>
      </c>
      <c r="Z161" s="17">
        <f>MAX(0,Z160-Y162*(1-1/p_life_fos))</f>
        <v/>
      </c>
      <c r="AA161" s="17">
        <f>MAX(0,AA160-Z162*(1-1/p_life_fos))</f>
        <v/>
      </c>
      <c r="AB161" s="17">
        <f>MAX(0,AB160-AA162*(1-1/p_life_fos))</f>
        <v/>
      </c>
      <c r="AC161" s="17">
        <f>MAX(0,AC160-AB162*(1-1/p_life_fos))</f>
        <v/>
      </c>
      <c r="AD161" s="17">
        <f>MAX(0,AD160-AC162*(1-1/p_life_fos))</f>
        <v/>
      </c>
      <c r="AE161" s="17">
        <f>MAX(0,AE160-AD162*(1-1/p_life_fos))</f>
        <v/>
      </c>
      <c r="AF161" s="17">
        <f>MAX(0,AF160-AE162*(1-1/p_life_fos))</f>
        <v/>
      </c>
      <c r="AG161" s="17">
        <f>MAX(0,AG160-AF162*(1-1/p_life_fos))</f>
        <v/>
      </c>
      <c r="AH161" s="17">
        <f>MAX(0,AH160-AG162*(1-1/p_life_fos))</f>
        <v/>
      </c>
      <c r="AI161" s="17">
        <f>MAX(0,AI160-AH162*(1-1/p_life_fos))</f>
        <v/>
      </c>
      <c r="AJ161" s="17">
        <f>MAX(0,AJ160-AI162*(1-1/p_life_fos))</f>
        <v/>
      </c>
      <c r="AK161" s="17">
        <f>MAX(0,AK160-AJ162*(1-1/p_life_fos))</f>
        <v/>
      </c>
      <c r="AL161" s="17">
        <f>MAX(0,AL160-AK162*(1-1/p_life_fos))</f>
        <v/>
      </c>
      <c r="AM161" s="17">
        <f>MAX(0,AM160-AL162*(1-1/p_life_fos))</f>
        <v/>
      </c>
      <c r="AN161" s="17">
        <f>MAX(0,AN160-AM162*(1-1/p_life_fos))</f>
        <v/>
      </c>
    </row>
    <row r="162">
      <c r="A162" s="9" t="n">
        <v>7</v>
      </c>
      <c r="B162" s="9" t="inlineStr"/>
      <c r="C162" s="9" t="inlineStr">
        <is>
          <t>pow</t>
        </is>
      </c>
      <c r="D162" s="9" t="inlineStr">
        <is>
          <t>Fossil capacity in service</t>
        </is>
      </c>
      <c r="E162" s="9" t="inlineStr">
        <is>
          <t>GW</t>
        </is>
      </c>
      <c r="F162" s="9" t="inlineStr">
        <is>
          <t>Model</t>
        </is>
      </c>
      <c r="G162" s="18" t="n"/>
      <c r="H162" s="18" t="inlineStr">
        <is>
          <t>mit.cap.fos.stk.1</t>
        </is>
      </c>
      <c r="I162" s="9" t="n"/>
      <c r="J162" s="9" t="n"/>
      <c r="K162" s="17" t="n"/>
      <c r="L162" s="17" t="n"/>
      <c r="M162" s="17" t="n"/>
      <c r="N162" s="19">
        <f>N160</f>
        <v/>
      </c>
      <c r="O162" s="17">
        <f>N162*(1-1/p_life_fos)+O161</f>
        <v/>
      </c>
      <c r="P162" s="17">
        <f>O162*(1-1/p_life_fos)+P161</f>
        <v/>
      </c>
      <c r="Q162" s="17">
        <f>P162*(1-1/p_life_fos)+Q161</f>
        <v/>
      </c>
      <c r="R162" s="17">
        <f>Q162*(1-1/p_life_fos)+R161</f>
        <v/>
      </c>
      <c r="S162" s="17">
        <f>R162*(1-1/p_life_fos)+S161</f>
        <v/>
      </c>
      <c r="T162" s="17">
        <f>S162*(1-1/p_life_fos)+T161</f>
        <v/>
      </c>
      <c r="U162" s="17">
        <f>T162*(1-1/p_life_fos)+U161</f>
        <v/>
      </c>
      <c r="V162" s="17">
        <f>U162*(1-1/p_life_fos)+V161</f>
        <v/>
      </c>
      <c r="W162" s="17">
        <f>V162*(1-1/p_life_fos)+W161</f>
        <v/>
      </c>
      <c r="X162" s="17">
        <f>W162*(1-1/p_life_fos)+X161</f>
        <v/>
      </c>
      <c r="Y162" s="17">
        <f>X162*(1-1/p_life_fos)+Y161</f>
        <v/>
      </c>
      <c r="Z162" s="17">
        <f>Y162*(1-1/p_life_fos)+Z161</f>
        <v/>
      </c>
      <c r="AA162" s="17">
        <f>Z162*(1-1/p_life_fos)+AA161</f>
        <v/>
      </c>
      <c r="AB162" s="17">
        <f>AA162*(1-1/p_life_fos)+AB161</f>
        <v/>
      </c>
      <c r="AC162" s="17">
        <f>AB162*(1-1/p_life_fos)+AC161</f>
        <v/>
      </c>
      <c r="AD162" s="17">
        <f>AC162*(1-1/p_life_fos)+AD161</f>
        <v/>
      </c>
      <c r="AE162" s="17">
        <f>AD162*(1-1/p_life_fos)+AE161</f>
        <v/>
      </c>
      <c r="AF162" s="17">
        <f>AE162*(1-1/p_life_fos)+AF161</f>
        <v/>
      </c>
      <c r="AG162" s="17">
        <f>AF162*(1-1/p_life_fos)+AG161</f>
        <v/>
      </c>
      <c r="AH162" s="17">
        <f>AG162*(1-1/p_life_fos)+AH161</f>
        <v/>
      </c>
      <c r="AI162" s="17">
        <f>AH162*(1-1/p_life_fos)+AI161</f>
        <v/>
      </c>
      <c r="AJ162" s="17">
        <f>AI162*(1-1/p_life_fos)+AJ161</f>
        <v/>
      </c>
      <c r="AK162" s="17">
        <f>AJ162*(1-1/p_life_fos)+AK161</f>
        <v/>
      </c>
      <c r="AL162" s="17">
        <f>AK162*(1-1/p_life_fos)+AL161</f>
        <v/>
      </c>
      <c r="AM162" s="17">
        <f>AL162*(1-1/p_life_fos)+AM161</f>
        <v/>
      </c>
      <c r="AN162" s="17">
        <f>AM162*(1-1/p_life_fos)+AN161</f>
        <v/>
      </c>
    </row>
    <row r="163">
      <c r="A163" s="9" t="n">
        <v>7</v>
      </c>
      <c r="B163" s="9" t="inlineStr"/>
      <c r="C163" s="9" t="inlineStr">
        <is>
          <t>pow</t>
        </is>
      </c>
      <c r="D163" s="9" t="inlineStr">
        <is>
          <t>Investment: generation</t>
        </is>
      </c>
      <c r="E163" s="9" t="inlineStr">
        <is>
          <t>USD bn</t>
        </is>
      </c>
      <c r="F163" s="9" t="inlineStr">
        <is>
          <t>Model</t>
        </is>
      </c>
      <c r="G163" s="18" t="n"/>
      <c r="H163" s="18" t="inlineStr">
        <is>
          <t>mit.inv.gen.1</t>
        </is>
      </c>
      <c r="I163" s="9" t="n"/>
      <c r="J163" s="9" t="n"/>
      <c r="K163" s="17" t="n"/>
      <c r="L163" s="17" t="n"/>
      <c r="M163" s="17" t="n"/>
      <c r="N163" s="19">
        <f>0</f>
        <v/>
      </c>
      <c r="O163" s="17">
        <f>(O157*O146+O159*O147+O161*p_capex_gas)*$J$11/1000</f>
        <v/>
      </c>
      <c r="P163" s="17">
        <f>(P157*P146+P159*P147+P161*p_capex_gas)*$J$11/1000</f>
        <v/>
      </c>
      <c r="Q163" s="17">
        <f>(Q157*Q146+Q159*Q147+Q161*p_capex_gas)*$J$11/1000</f>
        <v/>
      </c>
      <c r="R163" s="17">
        <f>(R157*R146+R159*R147+R161*p_capex_gas)*$J$11/1000</f>
        <v/>
      </c>
      <c r="S163" s="17">
        <f>(S157*S146+S159*S147+S161*p_capex_gas)*$J$11/1000</f>
        <v/>
      </c>
      <c r="T163" s="17">
        <f>(T157*T146+T159*T147+T161*p_capex_gas)*$J$11/1000</f>
        <v/>
      </c>
      <c r="U163" s="17">
        <f>(U157*U146+U159*U147+U161*p_capex_gas)*$J$11/1000</f>
        <v/>
      </c>
      <c r="V163" s="17">
        <f>(V157*V146+V159*V147+V161*p_capex_gas)*$J$11/1000</f>
        <v/>
      </c>
      <c r="W163" s="17">
        <f>(W157*W146+W159*W147+W161*p_capex_gas)*$J$11/1000</f>
        <v/>
      </c>
      <c r="X163" s="17">
        <f>(X157*X146+X159*X147+X161*p_capex_gas)*$J$11/1000</f>
        <v/>
      </c>
      <c r="Y163" s="17">
        <f>(Y157*Y146+Y159*Y147+Y161*p_capex_gas)*$J$11/1000</f>
        <v/>
      </c>
      <c r="Z163" s="17">
        <f>(Z157*Z146+Z159*Z147+Z161*p_capex_gas)*$J$11/1000</f>
        <v/>
      </c>
      <c r="AA163" s="17">
        <f>(AA157*AA146+AA159*AA147+AA161*p_capex_gas)*$J$11/1000</f>
        <v/>
      </c>
      <c r="AB163" s="17">
        <f>(AB157*AB146+AB159*AB147+AB161*p_capex_gas)*$J$11/1000</f>
        <v/>
      </c>
      <c r="AC163" s="17">
        <f>(AC157*AC146+AC159*AC147+AC161*p_capex_gas)*$J$11/1000</f>
        <v/>
      </c>
      <c r="AD163" s="17">
        <f>(AD157*AD146+AD159*AD147+AD161*p_capex_gas)*$J$11/1000</f>
        <v/>
      </c>
      <c r="AE163" s="17">
        <f>(AE157*AE146+AE159*AE147+AE161*p_capex_gas)*$J$11/1000</f>
        <v/>
      </c>
      <c r="AF163" s="17">
        <f>(AF157*AF146+AF159*AF147+AF161*p_capex_gas)*$J$11/1000</f>
        <v/>
      </c>
      <c r="AG163" s="17">
        <f>(AG157*AG146+AG159*AG147+AG161*p_capex_gas)*$J$11/1000</f>
        <v/>
      </c>
      <c r="AH163" s="17">
        <f>(AH157*AH146+AH159*AH147+AH161*p_capex_gas)*$J$11/1000</f>
        <v/>
      </c>
      <c r="AI163" s="17">
        <f>(AI157*AI146+AI159*AI147+AI161*p_capex_gas)*$J$11/1000</f>
        <v/>
      </c>
      <c r="AJ163" s="17">
        <f>(AJ157*AJ146+AJ159*AJ147+AJ161*p_capex_gas)*$J$11/1000</f>
        <v/>
      </c>
      <c r="AK163" s="17">
        <f>(AK157*AK146+AK159*AK147+AK161*p_capex_gas)*$J$11/1000</f>
        <v/>
      </c>
      <c r="AL163" s="17">
        <f>(AL157*AL146+AL159*AL147+AL161*p_capex_gas)*$J$11/1000</f>
        <v/>
      </c>
      <c r="AM163" s="17">
        <f>(AM157*AM146+AM159*AM147+AM161*p_capex_gas)*$J$11/1000</f>
        <v/>
      </c>
      <c r="AN163" s="17">
        <f>(AN157*AN146+AN159*AN147+AN161*p_capex_gas)*$J$11/1000</f>
        <v/>
      </c>
    </row>
    <row r="164">
      <c r="A164" s="9" t="n">
        <v>7</v>
      </c>
      <c r="B164" s="9" t="inlineStr"/>
      <c r="C164" s="9" t="inlineStr">
        <is>
          <t>pow</t>
        </is>
      </c>
      <c r="D164" s="9" t="inlineStr">
        <is>
          <t>VRE share of generation</t>
        </is>
      </c>
      <c r="E164" s="9" t="inlineStr">
        <is>
          <t>share</t>
        </is>
      </c>
      <c r="F164" s="9" t="inlineStr">
        <is>
          <t>Model</t>
        </is>
      </c>
      <c r="G164" s="18" t="n"/>
      <c r="H164" s="18" t="inlineStr">
        <is>
          <t>mit.gen.vsh.1</t>
        </is>
      </c>
      <c r="I164" s="9" t="n"/>
      <c r="J164" s="9" t="n"/>
      <c r="K164" s="17" t="n"/>
      <c r="L164" s="17" t="n"/>
      <c r="M164" s="17" t="n"/>
      <c r="N164" s="19">
        <f>IF(N150&gt;0,(N154+N155)/N150,0)</f>
        <v/>
      </c>
      <c r="O164" s="17">
        <f>IF(O150&gt;0,(O154+O155)/O150,0)</f>
        <v/>
      </c>
      <c r="P164" s="17">
        <f>IF(P150&gt;0,(P154+P155)/P150,0)</f>
        <v/>
      </c>
      <c r="Q164" s="17">
        <f>IF(Q150&gt;0,(Q154+Q155)/Q150,0)</f>
        <v/>
      </c>
      <c r="R164" s="17">
        <f>IF(R150&gt;0,(R154+R155)/R150,0)</f>
        <v/>
      </c>
      <c r="S164" s="17">
        <f>IF(S150&gt;0,(S154+S155)/S150,0)</f>
        <v/>
      </c>
      <c r="T164" s="17">
        <f>IF(T150&gt;0,(T154+T155)/T150,0)</f>
        <v/>
      </c>
      <c r="U164" s="17">
        <f>IF(U150&gt;0,(U154+U155)/U150,0)</f>
        <v/>
      </c>
      <c r="V164" s="17">
        <f>IF(V150&gt;0,(V154+V155)/V150,0)</f>
        <v/>
      </c>
      <c r="W164" s="17">
        <f>IF(W150&gt;0,(W154+W155)/W150,0)</f>
        <v/>
      </c>
      <c r="X164" s="17">
        <f>IF(X150&gt;0,(X154+X155)/X150,0)</f>
        <v/>
      </c>
      <c r="Y164" s="17">
        <f>IF(Y150&gt;0,(Y154+Y155)/Y150,0)</f>
        <v/>
      </c>
      <c r="Z164" s="17">
        <f>IF(Z150&gt;0,(Z154+Z155)/Z150,0)</f>
        <v/>
      </c>
      <c r="AA164" s="17">
        <f>IF(AA150&gt;0,(AA154+AA155)/AA150,0)</f>
        <v/>
      </c>
      <c r="AB164" s="17">
        <f>IF(AB150&gt;0,(AB154+AB155)/AB150,0)</f>
        <v/>
      </c>
      <c r="AC164" s="17">
        <f>IF(AC150&gt;0,(AC154+AC155)/AC150,0)</f>
        <v/>
      </c>
      <c r="AD164" s="17">
        <f>IF(AD150&gt;0,(AD154+AD155)/AD150,0)</f>
        <v/>
      </c>
      <c r="AE164" s="17">
        <f>IF(AE150&gt;0,(AE154+AE155)/AE150,0)</f>
        <v/>
      </c>
      <c r="AF164" s="17">
        <f>IF(AF150&gt;0,(AF154+AF155)/AF150,0)</f>
        <v/>
      </c>
      <c r="AG164" s="17">
        <f>IF(AG150&gt;0,(AG154+AG155)/AG150,0)</f>
        <v/>
      </c>
      <c r="AH164" s="17">
        <f>IF(AH150&gt;0,(AH154+AH155)/AH150,0)</f>
        <v/>
      </c>
      <c r="AI164" s="17">
        <f>IF(AI150&gt;0,(AI154+AI155)/AI150,0)</f>
        <v/>
      </c>
      <c r="AJ164" s="17">
        <f>IF(AJ150&gt;0,(AJ154+AJ155)/AJ150,0)</f>
        <v/>
      </c>
      <c r="AK164" s="17">
        <f>IF(AK150&gt;0,(AK154+AK155)/AK150,0)</f>
        <v/>
      </c>
      <c r="AL164" s="17">
        <f>IF(AL150&gt;0,(AL154+AL155)/AL150,0)</f>
        <v/>
      </c>
      <c r="AM164" s="17">
        <f>IF(AM150&gt;0,(AM154+AM155)/AM150,0)</f>
        <v/>
      </c>
      <c r="AN164" s="17">
        <f>IF(AN150&gt;0,(AN154+AN155)/AN150,0)</f>
        <v/>
      </c>
    </row>
    <row r="165">
      <c r="A165" s="9" t="n">
        <v>7</v>
      </c>
      <c r="B165" s="9" t="inlineStr"/>
      <c r="C165" s="9" t="inlineStr">
        <is>
          <t>pow</t>
        </is>
      </c>
      <c r="D165" s="9" t="inlineStr">
        <is>
          <t>Investment: grids and storage</t>
        </is>
      </c>
      <c r="E165" s="9" t="inlineStr">
        <is>
          <t>USD bn</t>
        </is>
      </c>
      <c r="F165" s="9" t="inlineStr">
        <is>
          <t>Model</t>
        </is>
      </c>
      <c r="G165" s="18" t="n"/>
      <c r="H165" s="18" t="inlineStr">
        <is>
          <t>mit.inv.grid.1</t>
        </is>
      </c>
      <c r="I165" s="9" t="n"/>
      <c r="J165" s="9" t="n"/>
      <c r="K165" s="17" t="n"/>
      <c r="L165" s="17" t="n"/>
      <c r="M165" s="17" t="n"/>
      <c r="N165" s="19">
        <f>0</f>
        <v/>
      </c>
      <c r="O165" s="17">
        <f>p_grid_ratio*O163+(O157+O159)*p_st_h*MIN(1,MAX(0,(O164-0.2)/0.6))*O148*$J$11/1000</f>
        <v/>
      </c>
      <c r="P165" s="17">
        <f>p_grid_ratio*P163+(P157+P159)*p_st_h*MIN(1,MAX(0,(P164-0.2)/0.6))*P148*$J$11/1000</f>
        <v/>
      </c>
      <c r="Q165" s="17">
        <f>p_grid_ratio*Q163+(Q157+Q159)*p_st_h*MIN(1,MAX(0,(Q164-0.2)/0.6))*Q148*$J$11/1000</f>
        <v/>
      </c>
      <c r="R165" s="17">
        <f>p_grid_ratio*R163+(R157+R159)*p_st_h*MIN(1,MAX(0,(R164-0.2)/0.6))*R148*$J$11/1000</f>
        <v/>
      </c>
      <c r="S165" s="17">
        <f>p_grid_ratio*S163+(S157+S159)*p_st_h*MIN(1,MAX(0,(S164-0.2)/0.6))*S148*$J$11/1000</f>
        <v/>
      </c>
      <c r="T165" s="17">
        <f>p_grid_ratio*T163+(T157+T159)*p_st_h*MIN(1,MAX(0,(T164-0.2)/0.6))*T148*$J$11/1000</f>
        <v/>
      </c>
      <c r="U165" s="17">
        <f>p_grid_ratio*U163+(U157+U159)*p_st_h*MIN(1,MAX(0,(U164-0.2)/0.6))*U148*$J$11/1000</f>
        <v/>
      </c>
      <c r="V165" s="17">
        <f>p_grid_ratio*V163+(V157+V159)*p_st_h*MIN(1,MAX(0,(V164-0.2)/0.6))*V148*$J$11/1000</f>
        <v/>
      </c>
      <c r="W165" s="17">
        <f>p_grid_ratio*W163+(W157+W159)*p_st_h*MIN(1,MAX(0,(W164-0.2)/0.6))*W148*$J$11/1000</f>
        <v/>
      </c>
      <c r="X165" s="17">
        <f>p_grid_ratio*X163+(X157+X159)*p_st_h*MIN(1,MAX(0,(X164-0.2)/0.6))*X148*$J$11/1000</f>
        <v/>
      </c>
      <c r="Y165" s="17">
        <f>p_grid_ratio*Y163+(Y157+Y159)*p_st_h*MIN(1,MAX(0,(Y164-0.2)/0.6))*Y148*$J$11/1000</f>
        <v/>
      </c>
      <c r="Z165" s="17">
        <f>p_grid_ratio*Z163+(Z157+Z159)*p_st_h*MIN(1,MAX(0,(Z164-0.2)/0.6))*Z148*$J$11/1000</f>
        <v/>
      </c>
      <c r="AA165" s="17">
        <f>p_grid_ratio*AA163+(AA157+AA159)*p_st_h*MIN(1,MAX(0,(AA164-0.2)/0.6))*AA148*$J$11/1000</f>
        <v/>
      </c>
      <c r="AB165" s="17">
        <f>p_grid_ratio*AB163+(AB157+AB159)*p_st_h*MIN(1,MAX(0,(AB164-0.2)/0.6))*AB148*$J$11/1000</f>
        <v/>
      </c>
      <c r="AC165" s="17">
        <f>p_grid_ratio*AC163+(AC157+AC159)*p_st_h*MIN(1,MAX(0,(AC164-0.2)/0.6))*AC148*$J$11/1000</f>
        <v/>
      </c>
      <c r="AD165" s="17">
        <f>p_grid_ratio*AD163+(AD157+AD159)*p_st_h*MIN(1,MAX(0,(AD164-0.2)/0.6))*AD148*$J$11/1000</f>
        <v/>
      </c>
      <c r="AE165" s="17">
        <f>p_grid_ratio*AE163+(AE157+AE159)*p_st_h*MIN(1,MAX(0,(AE164-0.2)/0.6))*AE148*$J$11/1000</f>
        <v/>
      </c>
      <c r="AF165" s="17">
        <f>p_grid_ratio*AF163+(AF157+AF159)*p_st_h*MIN(1,MAX(0,(AF164-0.2)/0.6))*AF148*$J$11/1000</f>
        <v/>
      </c>
      <c r="AG165" s="17">
        <f>p_grid_ratio*AG163+(AG157+AG159)*p_st_h*MIN(1,MAX(0,(AG164-0.2)/0.6))*AG148*$J$11/1000</f>
        <v/>
      </c>
      <c r="AH165" s="17">
        <f>p_grid_ratio*AH163+(AH157+AH159)*p_st_h*MIN(1,MAX(0,(AH164-0.2)/0.6))*AH148*$J$11/1000</f>
        <v/>
      </c>
      <c r="AI165" s="17">
        <f>p_grid_ratio*AI163+(AI157+AI159)*p_st_h*MIN(1,MAX(0,(AI164-0.2)/0.6))*AI148*$J$11/1000</f>
        <v/>
      </c>
      <c r="AJ165" s="17">
        <f>p_grid_ratio*AJ163+(AJ157+AJ159)*p_st_h*MIN(1,MAX(0,(AJ164-0.2)/0.6))*AJ148*$J$11/1000</f>
        <v/>
      </c>
      <c r="AK165" s="17">
        <f>p_grid_ratio*AK163+(AK157+AK159)*p_st_h*MIN(1,MAX(0,(AK164-0.2)/0.6))*AK148*$J$11/1000</f>
        <v/>
      </c>
      <c r="AL165" s="17">
        <f>p_grid_ratio*AL163+(AL157+AL159)*p_st_h*MIN(1,MAX(0,(AL164-0.2)/0.6))*AL148*$J$11/1000</f>
        <v/>
      </c>
      <c r="AM165" s="17">
        <f>p_grid_ratio*AM163+(AM157+AM159)*p_st_h*MIN(1,MAX(0,(AM164-0.2)/0.6))*AM148*$J$11/1000</f>
        <v/>
      </c>
      <c r="AN165" s="17">
        <f>p_grid_ratio*AN163+(AN157+AN159)*p_st_h*MIN(1,MAX(0,(AN164-0.2)/0.6))*AN148*$J$11/1000</f>
        <v/>
      </c>
    </row>
    <row r="166">
      <c r="A166" s="9" t="n">
        <v>7</v>
      </c>
      <c r="B166" s="9" t="inlineStr">
        <is>
          <t>coa</t>
        </is>
      </c>
      <c r="C166" s="9" t="inlineStr">
        <is>
          <t>pow</t>
        </is>
      </c>
      <c r="D166" s="9" t="inlineStr">
        <is>
          <t>Power fuel use</t>
        </is>
      </c>
      <c r="E166" s="9" t="inlineStr">
        <is>
          <t>PJ</t>
        </is>
      </c>
      <c r="F166" s="9" t="inlineStr">
        <is>
          <t>Model</t>
        </is>
      </c>
      <c r="G166" s="18" t="n"/>
      <c r="H166" s="18" t="inlineStr">
        <is>
          <t>mit.con.coa.pow.1</t>
        </is>
      </c>
      <c r="I166" s="9" t="n"/>
      <c r="J166" s="9" t="n"/>
      <c r="K166" s="17" t="n"/>
      <c r="L166" s="17" t="n"/>
      <c r="M166" s="17" t="n"/>
      <c r="N166" s="19">
        <f>N152*$J$24*$J$27</f>
        <v/>
      </c>
      <c r="O166" s="17">
        <f>O152*$J$24*$J$27</f>
        <v/>
      </c>
      <c r="P166" s="17">
        <f>P152*$J$24*$J$27</f>
        <v/>
      </c>
      <c r="Q166" s="17">
        <f>Q152*$J$24*$J$27</f>
        <v/>
      </c>
      <c r="R166" s="17">
        <f>R152*$J$24*$J$27</f>
        <v/>
      </c>
      <c r="S166" s="17">
        <f>S152*$J$24*$J$27</f>
        <v/>
      </c>
      <c r="T166" s="17">
        <f>T152*$J$24*$J$27</f>
        <v/>
      </c>
      <c r="U166" s="17">
        <f>U152*$J$24*$J$27</f>
        <v/>
      </c>
      <c r="V166" s="17">
        <f>V152*$J$24*$J$27</f>
        <v/>
      </c>
      <c r="W166" s="17">
        <f>W152*$J$24*$J$27</f>
        <v/>
      </c>
      <c r="X166" s="17">
        <f>X152*$J$24*$J$27</f>
        <v/>
      </c>
      <c r="Y166" s="17">
        <f>Y152*$J$24*$J$27</f>
        <v/>
      </c>
      <c r="Z166" s="17">
        <f>Z152*$J$24*$J$27</f>
        <v/>
      </c>
      <c r="AA166" s="17">
        <f>AA152*$J$24*$J$27</f>
        <v/>
      </c>
      <c r="AB166" s="17">
        <f>AB152*$J$24*$J$27</f>
        <v/>
      </c>
      <c r="AC166" s="17">
        <f>AC152*$J$24*$J$27</f>
        <v/>
      </c>
      <c r="AD166" s="17">
        <f>AD152*$J$24*$J$27</f>
        <v/>
      </c>
      <c r="AE166" s="17">
        <f>AE152*$J$24*$J$27</f>
        <v/>
      </c>
      <c r="AF166" s="17">
        <f>AF152*$J$24*$J$27</f>
        <v/>
      </c>
      <c r="AG166" s="17">
        <f>AG152*$J$24*$J$27</f>
        <v/>
      </c>
      <c r="AH166" s="17">
        <f>AH152*$J$24*$J$27</f>
        <v/>
      </c>
      <c r="AI166" s="17">
        <f>AI152*$J$24*$J$27</f>
        <v/>
      </c>
      <c r="AJ166" s="17">
        <f>AJ152*$J$24*$J$27</f>
        <v/>
      </c>
      <c r="AK166" s="17">
        <f>AK152*$J$24*$J$27</f>
        <v/>
      </c>
      <c r="AL166" s="17">
        <f>AL152*$J$24*$J$27</f>
        <v/>
      </c>
      <c r="AM166" s="17">
        <f>AM152*$J$24*$J$27</f>
        <v/>
      </c>
      <c r="AN166" s="17">
        <f>AN152*$J$24*$J$27</f>
        <v/>
      </c>
    </row>
    <row r="167">
      <c r="A167" s="9" t="n">
        <v>7</v>
      </c>
      <c r="B167" s="9" t="inlineStr">
        <is>
          <t>nga</t>
        </is>
      </c>
      <c r="C167" s="9" t="inlineStr">
        <is>
          <t>pow</t>
        </is>
      </c>
      <c r="D167" s="9" t="inlineStr">
        <is>
          <t>Power fuel use</t>
        </is>
      </c>
      <c r="E167" s="9" t="inlineStr">
        <is>
          <t>PJ</t>
        </is>
      </c>
      <c r="F167" s="9" t="inlineStr">
        <is>
          <t>Model</t>
        </is>
      </c>
      <c r="G167" s="18" t="n"/>
      <c r="H167" s="18" t="inlineStr">
        <is>
          <t>mit.con.nga.pow.1</t>
        </is>
      </c>
      <c r="I167" s="9" t="n"/>
      <c r="J167" s="9" t="n"/>
      <c r="K167" s="17" t="n"/>
      <c r="L167" s="17" t="n"/>
      <c r="M167" s="17" t="n"/>
      <c r="N167" s="19">
        <f>N152*$J$25*$J$28</f>
        <v/>
      </c>
      <c r="O167" s="17">
        <f>O152*$J$25*$J$28</f>
        <v/>
      </c>
      <c r="P167" s="17">
        <f>P152*$J$25*$J$28</f>
        <v/>
      </c>
      <c r="Q167" s="17">
        <f>Q152*$J$25*$J$28</f>
        <v/>
      </c>
      <c r="R167" s="17">
        <f>R152*$J$25*$J$28</f>
        <v/>
      </c>
      <c r="S167" s="17">
        <f>S152*$J$25*$J$28</f>
        <v/>
      </c>
      <c r="T167" s="17">
        <f>T152*$J$25*$J$28</f>
        <v/>
      </c>
      <c r="U167" s="17">
        <f>U152*$J$25*$J$28</f>
        <v/>
      </c>
      <c r="V167" s="17">
        <f>V152*$J$25*$J$28</f>
        <v/>
      </c>
      <c r="W167" s="17">
        <f>W152*$J$25*$J$28</f>
        <v/>
      </c>
      <c r="X167" s="17">
        <f>X152*$J$25*$J$28</f>
        <v/>
      </c>
      <c r="Y167" s="17">
        <f>Y152*$J$25*$J$28</f>
        <v/>
      </c>
      <c r="Z167" s="17">
        <f>Z152*$J$25*$J$28</f>
        <v/>
      </c>
      <c r="AA167" s="17">
        <f>AA152*$J$25*$J$28</f>
        <v/>
      </c>
      <c r="AB167" s="17">
        <f>AB152*$J$25*$J$28</f>
        <v/>
      </c>
      <c r="AC167" s="17">
        <f>AC152*$J$25*$J$28</f>
        <v/>
      </c>
      <c r="AD167" s="17">
        <f>AD152*$J$25*$J$28</f>
        <v/>
      </c>
      <c r="AE167" s="17">
        <f>AE152*$J$25*$J$28</f>
        <v/>
      </c>
      <c r="AF167" s="17">
        <f>AF152*$J$25*$J$28</f>
        <v/>
      </c>
      <c r="AG167" s="17">
        <f>AG152*$J$25*$J$28</f>
        <v/>
      </c>
      <c r="AH167" s="17">
        <f>AH152*$J$25*$J$28</f>
        <v/>
      </c>
      <c r="AI167" s="17">
        <f>AI152*$J$25*$J$28</f>
        <v/>
      </c>
      <c r="AJ167" s="17">
        <f>AJ152*$J$25*$J$28</f>
        <v/>
      </c>
      <c r="AK167" s="17">
        <f>AK152*$J$25*$J$28</f>
        <v/>
      </c>
      <c r="AL167" s="17">
        <f>AL152*$J$25*$J$28</f>
        <v/>
      </c>
      <c r="AM167" s="17">
        <f>AM152*$J$25*$J$28</f>
        <v/>
      </c>
      <c r="AN167" s="17">
        <f>AN152*$J$25*$J$28</f>
        <v/>
      </c>
    </row>
    <row r="168">
      <c r="A168" s="9" t="n">
        <v>7</v>
      </c>
      <c r="B168" s="9" t="inlineStr">
        <is>
          <t>oil</t>
        </is>
      </c>
      <c r="C168" s="9" t="inlineStr">
        <is>
          <t>pow</t>
        </is>
      </c>
      <c r="D168" s="9" t="inlineStr">
        <is>
          <t>Power fuel use</t>
        </is>
      </c>
      <c r="E168" s="9" t="inlineStr">
        <is>
          <t>PJ</t>
        </is>
      </c>
      <c r="F168" s="9" t="inlineStr">
        <is>
          <t>Model</t>
        </is>
      </c>
      <c r="G168" s="18" t="n"/>
      <c r="H168" s="18" t="inlineStr">
        <is>
          <t>mit.con.oil.pow.1</t>
        </is>
      </c>
      <c r="I168" s="9" t="n"/>
      <c r="J168" s="9" t="n"/>
      <c r="K168" s="17" t="n"/>
      <c r="L168" s="17" t="n"/>
      <c r="M168" s="17" t="n"/>
      <c r="N168" s="19">
        <f>N152*$J$26*p_hr_oil</f>
        <v/>
      </c>
      <c r="O168" s="17">
        <f>O152*$J$26*p_hr_oil</f>
        <v/>
      </c>
      <c r="P168" s="17">
        <f>P152*$J$26*p_hr_oil</f>
        <v/>
      </c>
      <c r="Q168" s="17">
        <f>Q152*$J$26*p_hr_oil</f>
        <v/>
      </c>
      <c r="R168" s="17">
        <f>R152*$J$26*p_hr_oil</f>
        <v/>
      </c>
      <c r="S168" s="17">
        <f>S152*$J$26*p_hr_oil</f>
        <v/>
      </c>
      <c r="T168" s="17">
        <f>T152*$J$26*p_hr_oil</f>
        <v/>
      </c>
      <c r="U168" s="17">
        <f>U152*$J$26*p_hr_oil</f>
        <v/>
      </c>
      <c r="V168" s="17">
        <f>V152*$J$26*p_hr_oil</f>
        <v/>
      </c>
      <c r="W168" s="17">
        <f>W152*$J$26*p_hr_oil</f>
        <v/>
      </c>
      <c r="X168" s="17">
        <f>X152*$J$26*p_hr_oil</f>
        <v/>
      </c>
      <c r="Y168" s="17">
        <f>Y152*$J$26*p_hr_oil</f>
        <v/>
      </c>
      <c r="Z168" s="17">
        <f>Z152*$J$26*p_hr_oil</f>
        <v/>
      </c>
      <c r="AA168" s="17">
        <f>AA152*$J$26*p_hr_oil</f>
        <v/>
      </c>
      <c r="AB168" s="17">
        <f>AB152*$J$26*p_hr_oil</f>
        <v/>
      </c>
      <c r="AC168" s="17">
        <f>AC152*$J$26*p_hr_oil</f>
        <v/>
      </c>
      <c r="AD168" s="17">
        <f>AD152*$J$26*p_hr_oil</f>
        <v/>
      </c>
      <c r="AE168" s="17">
        <f>AE152*$J$26*p_hr_oil</f>
        <v/>
      </c>
      <c r="AF168" s="17">
        <f>AF152*$J$26*p_hr_oil</f>
        <v/>
      </c>
      <c r="AG168" s="17">
        <f>AG152*$J$26*p_hr_oil</f>
        <v/>
      </c>
      <c r="AH168" s="17">
        <f>AH152*$J$26*p_hr_oil</f>
        <v/>
      </c>
      <c r="AI168" s="17">
        <f>AI152*$J$26*p_hr_oil</f>
        <v/>
      </c>
      <c r="AJ168" s="17">
        <f>AJ152*$J$26*p_hr_oil</f>
        <v/>
      </c>
      <c r="AK168" s="17">
        <f>AK152*$J$26*p_hr_oil</f>
        <v/>
      </c>
      <c r="AL168" s="17">
        <f>AL152*$J$26*p_hr_oil</f>
        <v/>
      </c>
      <c r="AM168" s="17">
        <f>AM152*$J$26*p_hr_oil</f>
        <v/>
      </c>
      <c r="AN168" s="17">
        <f>AN152*$J$26*p_hr_oil</f>
        <v/>
      </c>
    </row>
    <row r="169">
      <c r="A169" s="9" t="n">
        <v>7</v>
      </c>
      <c r="B169" s="9" t="inlineStr"/>
      <c r="C169" s="9" t="inlineStr">
        <is>
          <t>pow</t>
        </is>
      </c>
      <c r="D169" s="9" t="inlineStr">
        <is>
          <t>Power O&amp;M</t>
        </is>
      </c>
      <c r="E169" s="9" t="inlineStr">
        <is>
          <t>USD bn</t>
        </is>
      </c>
      <c r="F169" s="9" t="inlineStr">
        <is>
          <t>Model</t>
        </is>
      </c>
      <c r="G169" s="18" t="n"/>
      <c r="H169" s="18" t="inlineStr">
        <is>
          <t>mit.om.pow.1</t>
        </is>
      </c>
      <c r="I169" s="9" t="n"/>
      <c r="J169" s="9" t="n"/>
      <c r="K169" s="17" t="n"/>
      <c r="L169" s="17" t="n"/>
      <c r="M169" s="17" t="n"/>
      <c r="N169" s="19">
        <f>p_om_vre*(N156*p_capex_sol24+N158*p_capex_wnd24)/1000+N152*p_om_fos</f>
        <v/>
      </c>
      <c r="O169" s="17">
        <f>p_om_vre*(O156*p_capex_sol24+O158*p_capex_wnd24)/1000+O152*p_om_fos</f>
        <v/>
      </c>
      <c r="P169" s="17">
        <f>p_om_vre*(P156*p_capex_sol24+P158*p_capex_wnd24)/1000+P152*p_om_fos</f>
        <v/>
      </c>
      <c r="Q169" s="17">
        <f>p_om_vre*(Q156*p_capex_sol24+Q158*p_capex_wnd24)/1000+Q152*p_om_fos</f>
        <v/>
      </c>
      <c r="R169" s="17">
        <f>p_om_vre*(R156*p_capex_sol24+R158*p_capex_wnd24)/1000+R152*p_om_fos</f>
        <v/>
      </c>
      <c r="S169" s="17">
        <f>p_om_vre*(S156*p_capex_sol24+S158*p_capex_wnd24)/1000+S152*p_om_fos</f>
        <v/>
      </c>
      <c r="T169" s="17">
        <f>p_om_vre*(T156*p_capex_sol24+T158*p_capex_wnd24)/1000+T152*p_om_fos</f>
        <v/>
      </c>
      <c r="U169" s="17">
        <f>p_om_vre*(U156*p_capex_sol24+U158*p_capex_wnd24)/1000+U152*p_om_fos</f>
        <v/>
      </c>
      <c r="V169" s="17">
        <f>p_om_vre*(V156*p_capex_sol24+V158*p_capex_wnd24)/1000+V152*p_om_fos</f>
        <v/>
      </c>
      <c r="W169" s="17">
        <f>p_om_vre*(W156*p_capex_sol24+W158*p_capex_wnd24)/1000+W152*p_om_fos</f>
        <v/>
      </c>
      <c r="X169" s="17">
        <f>p_om_vre*(X156*p_capex_sol24+X158*p_capex_wnd24)/1000+X152*p_om_fos</f>
        <v/>
      </c>
      <c r="Y169" s="17">
        <f>p_om_vre*(Y156*p_capex_sol24+Y158*p_capex_wnd24)/1000+Y152*p_om_fos</f>
        <v/>
      </c>
      <c r="Z169" s="17">
        <f>p_om_vre*(Z156*p_capex_sol24+Z158*p_capex_wnd24)/1000+Z152*p_om_fos</f>
        <v/>
      </c>
      <c r="AA169" s="17">
        <f>p_om_vre*(AA156*p_capex_sol24+AA158*p_capex_wnd24)/1000+AA152*p_om_fos</f>
        <v/>
      </c>
      <c r="AB169" s="17">
        <f>p_om_vre*(AB156*p_capex_sol24+AB158*p_capex_wnd24)/1000+AB152*p_om_fos</f>
        <v/>
      </c>
      <c r="AC169" s="17">
        <f>p_om_vre*(AC156*p_capex_sol24+AC158*p_capex_wnd24)/1000+AC152*p_om_fos</f>
        <v/>
      </c>
      <c r="AD169" s="17">
        <f>p_om_vre*(AD156*p_capex_sol24+AD158*p_capex_wnd24)/1000+AD152*p_om_fos</f>
        <v/>
      </c>
      <c r="AE169" s="17">
        <f>p_om_vre*(AE156*p_capex_sol24+AE158*p_capex_wnd24)/1000+AE152*p_om_fos</f>
        <v/>
      </c>
      <c r="AF169" s="17">
        <f>p_om_vre*(AF156*p_capex_sol24+AF158*p_capex_wnd24)/1000+AF152*p_om_fos</f>
        <v/>
      </c>
      <c r="AG169" s="17">
        <f>p_om_vre*(AG156*p_capex_sol24+AG158*p_capex_wnd24)/1000+AG152*p_om_fos</f>
        <v/>
      </c>
      <c r="AH169" s="17">
        <f>p_om_vre*(AH156*p_capex_sol24+AH158*p_capex_wnd24)/1000+AH152*p_om_fos</f>
        <v/>
      </c>
      <c r="AI169" s="17">
        <f>p_om_vre*(AI156*p_capex_sol24+AI158*p_capex_wnd24)/1000+AI152*p_om_fos</f>
        <v/>
      </c>
      <c r="AJ169" s="17">
        <f>p_om_vre*(AJ156*p_capex_sol24+AJ158*p_capex_wnd24)/1000+AJ152*p_om_fos</f>
        <v/>
      </c>
      <c r="AK169" s="17">
        <f>p_om_vre*(AK156*p_capex_sol24+AK158*p_capex_wnd24)/1000+AK152*p_om_fos</f>
        <v/>
      </c>
      <c r="AL169" s="17">
        <f>p_om_vre*(AL156*p_capex_sol24+AL158*p_capex_wnd24)/1000+AL152*p_om_fos</f>
        <v/>
      </c>
      <c r="AM169" s="17">
        <f>p_om_vre*(AM156*p_capex_sol24+AM158*p_capex_wnd24)/1000+AM152*p_om_fos</f>
        <v/>
      </c>
      <c r="AN169" s="17">
        <f>p_om_vre*(AN156*p_capex_sol24+AN158*p_capex_wnd24)/1000+AN152*p_om_fos</f>
        <v/>
      </c>
    </row>
    <row r="170">
      <c r="A170" s="9" t="n">
        <v>7</v>
      </c>
      <c r="B170" s="9" t="inlineStr">
        <is>
          <t>ecy</t>
        </is>
      </c>
      <c r="C170" s="9" t="inlineStr">
        <is>
          <t>pow</t>
        </is>
      </c>
      <c r="D170" s="9" t="inlineStr">
        <is>
          <t>End-use electricity demand</t>
        </is>
      </c>
      <c r="E170" s="9" t="inlineStr">
        <is>
          <t>PJ</t>
        </is>
      </c>
      <c r="F170" s="9" t="inlineStr">
        <is>
          <t>Model</t>
        </is>
      </c>
      <c r="G170" s="18" t="n"/>
      <c r="H170" s="18" t="inlineStr">
        <is>
          <t>mit.dem.ecy.2</t>
        </is>
      </c>
      <c r="I170" s="9" t="n"/>
      <c r="J170" s="9" t="n"/>
      <c r="K170" s="17" t="n"/>
      <c r="L170" s="17" t="n"/>
      <c r="M170" s="17" t="n"/>
      <c r="N170" s="19">
        <f>N94+N98+N114</f>
        <v/>
      </c>
      <c r="O170" s="17">
        <f>O94+O98+O114+O128+O139</f>
        <v/>
      </c>
      <c r="P170" s="17">
        <f>P94+P98+P114+P128+P139</f>
        <v/>
      </c>
      <c r="Q170" s="17">
        <f>Q94+Q98+Q114+Q128+Q139</f>
        <v/>
      </c>
      <c r="R170" s="17">
        <f>R94+R98+R114+R128+R139</f>
        <v/>
      </c>
      <c r="S170" s="17">
        <f>S94+S98+S114+S128+S139</f>
        <v/>
      </c>
      <c r="T170" s="17">
        <f>T94+T98+T114+T128+T139</f>
        <v/>
      </c>
      <c r="U170" s="17">
        <f>U94+U98+U114+U128+U139</f>
        <v/>
      </c>
      <c r="V170" s="17">
        <f>V94+V98+V114+V128+V139</f>
        <v/>
      </c>
      <c r="W170" s="17">
        <f>W94+W98+W114+W128+W139</f>
        <v/>
      </c>
      <c r="X170" s="17">
        <f>X94+X98+X114+X128+X139</f>
        <v/>
      </c>
      <c r="Y170" s="17">
        <f>Y94+Y98+Y114+Y128+Y139</f>
        <v/>
      </c>
      <c r="Z170" s="17">
        <f>Z94+Z98+Z114+Z128+Z139</f>
        <v/>
      </c>
      <c r="AA170" s="17">
        <f>AA94+AA98+AA114+AA128+AA139</f>
        <v/>
      </c>
      <c r="AB170" s="17">
        <f>AB94+AB98+AB114+AB128+AB139</f>
        <v/>
      </c>
      <c r="AC170" s="17">
        <f>AC94+AC98+AC114+AC128+AC139</f>
        <v/>
      </c>
      <c r="AD170" s="17">
        <f>AD94+AD98+AD114+AD128+AD139</f>
        <v/>
      </c>
      <c r="AE170" s="17">
        <f>AE94+AE98+AE114+AE128+AE139</f>
        <v/>
      </c>
      <c r="AF170" s="17">
        <f>AF94+AF98+AF114+AF128+AF139</f>
        <v/>
      </c>
      <c r="AG170" s="17">
        <f>AG94+AG98+AG114+AG128+AG139</f>
        <v/>
      </c>
      <c r="AH170" s="17">
        <f>AH94+AH98+AH114+AH128+AH139</f>
        <v/>
      </c>
      <c r="AI170" s="17">
        <f>AI94+AI98+AI114+AI128+AI139</f>
        <v/>
      </c>
      <c r="AJ170" s="17">
        <f>AJ94+AJ98+AJ114+AJ128+AJ139</f>
        <v/>
      </c>
      <c r="AK170" s="17">
        <f>AK94+AK98+AK114+AK128+AK139</f>
        <v/>
      </c>
      <c r="AL170" s="17">
        <f>AL94+AL98+AL114+AL128+AL139</f>
        <v/>
      </c>
      <c r="AM170" s="17">
        <f>AM94+AM98+AM114+AM128+AM139</f>
        <v/>
      </c>
      <c r="AN170" s="17">
        <f>AN94+AN98+AN114+AN128+AN139</f>
        <v/>
      </c>
    </row>
    <row r="171">
      <c r="A171" s="9" t="n">
        <v>7</v>
      </c>
      <c r="B171" s="9" t="inlineStr">
        <is>
          <t>ecy</t>
        </is>
      </c>
      <c r="C171" s="9" t="inlineStr">
        <is>
          <t>pow</t>
        </is>
      </c>
      <c r="D171" s="9" t="inlineStr">
        <is>
          <t>Generation</t>
        </is>
      </c>
      <c r="E171" s="9" t="inlineStr">
        <is>
          <t>TWh</t>
        </is>
      </c>
      <c r="F171" s="9" t="inlineStr">
        <is>
          <t>Model</t>
        </is>
      </c>
      <c r="G171" s="18" t="n"/>
      <c r="H171" s="18" t="inlineStr">
        <is>
          <t>mit.gen.tot.2</t>
        </is>
      </c>
      <c r="I171" s="9" t="n"/>
      <c r="J171" s="9" t="n"/>
      <c r="K171" s="17" t="n"/>
      <c r="L171" s="17" t="n"/>
      <c r="M171" s="17" t="n"/>
      <c r="N171" s="19">
        <f>$J$20*N170/3.6</f>
        <v/>
      </c>
      <c r="O171" s="17">
        <f>$J$20*O170/3.6</f>
        <v/>
      </c>
      <c r="P171" s="17">
        <f>$J$20*P170/3.6</f>
        <v/>
      </c>
      <c r="Q171" s="17">
        <f>$J$20*Q170/3.6</f>
        <v/>
      </c>
      <c r="R171" s="17">
        <f>$J$20*R170/3.6</f>
        <v/>
      </c>
      <c r="S171" s="17">
        <f>$J$20*S170/3.6</f>
        <v/>
      </c>
      <c r="T171" s="17">
        <f>$J$20*T170/3.6</f>
        <v/>
      </c>
      <c r="U171" s="17">
        <f>$J$20*U170/3.6</f>
        <v/>
      </c>
      <c r="V171" s="17">
        <f>$J$20*V170/3.6</f>
        <v/>
      </c>
      <c r="W171" s="17">
        <f>$J$20*W170/3.6</f>
        <v/>
      </c>
      <c r="X171" s="17">
        <f>$J$20*X170/3.6</f>
        <v/>
      </c>
      <c r="Y171" s="17">
        <f>$J$20*Y170/3.6</f>
        <v/>
      </c>
      <c r="Z171" s="17">
        <f>$J$20*Z170/3.6</f>
        <v/>
      </c>
      <c r="AA171" s="17">
        <f>$J$20*AA170/3.6</f>
        <v/>
      </c>
      <c r="AB171" s="17">
        <f>$J$20*AB170/3.6</f>
        <v/>
      </c>
      <c r="AC171" s="17">
        <f>$J$20*AC170/3.6</f>
        <v/>
      </c>
      <c r="AD171" s="17">
        <f>$J$20*AD170/3.6</f>
        <v/>
      </c>
      <c r="AE171" s="17">
        <f>$J$20*AE170/3.6</f>
        <v/>
      </c>
      <c r="AF171" s="17">
        <f>$J$20*AF170/3.6</f>
        <v/>
      </c>
      <c r="AG171" s="17">
        <f>$J$20*AG170/3.6</f>
        <v/>
      </c>
      <c r="AH171" s="17">
        <f>$J$20*AH170/3.6</f>
        <v/>
      </c>
      <c r="AI171" s="17">
        <f>$J$20*AI170/3.6</f>
        <v/>
      </c>
      <c r="AJ171" s="17">
        <f>$J$20*AJ170/3.6</f>
        <v/>
      </c>
      <c r="AK171" s="17">
        <f>$J$20*AK170/3.6</f>
        <v/>
      </c>
      <c r="AL171" s="17">
        <f>$J$20*AL170/3.6</f>
        <v/>
      </c>
      <c r="AM171" s="17">
        <f>$J$20*AM170/3.6</f>
        <v/>
      </c>
      <c r="AN171" s="17">
        <f>$J$20*AN170/3.6</f>
        <v/>
      </c>
    </row>
    <row r="172">
      <c r="A172" s="9" t="n">
        <v>7</v>
      </c>
      <c r="B172" s="9" t="inlineStr"/>
      <c r="C172" s="9" t="inlineStr">
        <is>
          <t>pow</t>
        </is>
      </c>
      <c r="D172" s="9" t="inlineStr">
        <is>
          <t>Fossil share of generation</t>
        </is>
      </c>
      <c r="E172" s="9" t="inlineStr">
        <is>
          <t>share</t>
        </is>
      </c>
      <c r="F172" s="9" t="inlineStr">
        <is>
          <t>Model</t>
        </is>
      </c>
      <c r="G172" s="18" t="n"/>
      <c r="H172" s="18" t="inlineStr">
        <is>
          <t>mit.gen.fsh.2</t>
        </is>
      </c>
      <c r="I172" s="9" t="n"/>
      <c r="J172" s="9" t="n"/>
      <c r="K172" s="17" t="n"/>
      <c r="L172" s="17" t="n"/>
      <c r="M172" s="17" t="n"/>
      <c r="N172" s="19">
        <f>$J$21</f>
        <v/>
      </c>
      <c r="O172" s="17">
        <f>MIN(O151,$J$21*MAX(0,1-(O$1-2024)/($J$13-2024)))</f>
        <v/>
      </c>
      <c r="P172" s="17">
        <f>MIN(P151,$J$21*MAX(0,1-(P$1-2024)/($J$13-2024)))</f>
        <v/>
      </c>
      <c r="Q172" s="17">
        <f>MIN(Q151,$J$21*MAX(0,1-(Q$1-2024)/($J$13-2024)))</f>
        <v/>
      </c>
      <c r="R172" s="17">
        <f>MIN(R151,$J$21*MAX(0,1-(R$1-2024)/($J$13-2024)))</f>
        <v/>
      </c>
      <c r="S172" s="17">
        <f>MIN(S151,$J$21*MAX(0,1-(S$1-2024)/($J$13-2024)))</f>
        <v/>
      </c>
      <c r="T172" s="17">
        <f>MIN(T151,$J$21*MAX(0,1-(T$1-2024)/($J$13-2024)))</f>
        <v/>
      </c>
      <c r="U172" s="17">
        <f>MIN(U151,$J$21*MAX(0,1-(U$1-2024)/($J$13-2024)))</f>
        <v/>
      </c>
      <c r="V172" s="17">
        <f>MIN(V151,$J$21*MAX(0,1-(V$1-2024)/($J$13-2024)))</f>
        <v/>
      </c>
      <c r="W172" s="17">
        <f>MIN(W151,$J$21*MAX(0,1-(W$1-2024)/($J$13-2024)))</f>
        <v/>
      </c>
      <c r="X172" s="17">
        <f>MIN(X151,$J$21*MAX(0,1-(X$1-2024)/($J$13-2024)))</f>
        <v/>
      </c>
      <c r="Y172" s="17">
        <f>MIN(Y151,$J$21*MAX(0,1-(Y$1-2024)/($J$13-2024)))</f>
        <v/>
      </c>
      <c r="Z172" s="17">
        <f>MIN(Z151,$J$21*MAX(0,1-(Z$1-2024)/($J$13-2024)))</f>
        <v/>
      </c>
      <c r="AA172" s="17">
        <f>MIN(AA151,$J$21*MAX(0,1-(AA$1-2024)/($J$13-2024)))</f>
        <v/>
      </c>
      <c r="AB172" s="17">
        <f>MIN(AB151,$J$21*MAX(0,1-(AB$1-2024)/($J$13-2024)))</f>
        <v/>
      </c>
      <c r="AC172" s="17">
        <f>MIN(AC151,$J$21*MAX(0,1-(AC$1-2024)/($J$13-2024)))</f>
        <v/>
      </c>
      <c r="AD172" s="17">
        <f>MIN(AD151,$J$21*MAX(0,1-(AD$1-2024)/($J$13-2024)))</f>
        <v/>
      </c>
      <c r="AE172" s="17">
        <f>MIN(AE151,$J$21*MAX(0,1-(AE$1-2024)/($J$13-2024)))</f>
        <v/>
      </c>
      <c r="AF172" s="17">
        <f>MIN(AF151,$J$21*MAX(0,1-(AF$1-2024)/($J$13-2024)))</f>
        <v/>
      </c>
      <c r="AG172" s="17">
        <f>MIN(AG151,$J$21*MAX(0,1-(AG$1-2024)/($J$13-2024)))</f>
        <v/>
      </c>
      <c r="AH172" s="17">
        <f>MIN(AH151,$J$21*MAX(0,1-(AH$1-2024)/($J$13-2024)))</f>
        <v/>
      </c>
      <c r="AI172" s="17">
        <f>MIN(AI151,$J$21*MAX(0,1-(AI$1-2024)/($J$13-2024)))</f>
        <v/>
      </c>
      <c r="AJ172" s="17">
        <f>MIN(AJ151,$J$21*MAX(0,1-(AJ$1-2024)/($J$13-2024)))</f>
        <v/>
      </c>
      <c r="AK172" s="17">
        <f>MIN(AK151,$J$21*MAX(0,1-(AK$1-2024)/($J$13-2024)))</f>
        <v/>
      </c>
      <c r="AL172" s="17">
        <f>MIN(AL151,$J$21*MAX(0,1-(AL$1-2024)/($J$13-2024)))</f>
        <v/>
      </c>
      <c r="AM172" s="17">
        <f>MIN(AM151,$J$21*MAX(0,1-(AM$1-2024)/($J$13-2024)))</f>
        <v/>
      </c>
      <c r="AN172" s="17">
        <f>MIN(AN151,$J$21*MAX(0,1-(AN$1-2024)/($J$13-2024)))</f>
        <v/>
      </c>
    </row>
    <row r="173">
      <c r="A173" s="9" t="n">
        <v>7</v>
      </c>
      <c r="B173" s="9" t="inlineStr"/>
      <c r="C173" s="9" t="inlineStr">
        <is>
          <t>pow</t>
        </is>
      </c>
      <c r="D173" s="9" t="inlineStr">
        <is>
          <t>Fossil generation</t>
        </is>
      </c>
      <c r="E173" s="9" t="inlineStr">
        <is>
          <t>TWh</t>
        </is>
      </c>
      <c r="F173" s="9" t="inlineStr">
        <is>
          <t>Model</t>
        </is>
      </c>
      <c r="G173" s="18" t="n"/>
      <c r="H173" s="18" t="inlineStr">
        <is>
          <t>mit.gen.fos.2</t>
        </is>
      </c>
      <c r="I173" s="9" t="n"/>
      <c r="J173" s="9" t="n"/>
      <c r="K173" s="17" t="n"/>
      <c r="L173" s="17" t="n"/>
      <c r="M173" s="17" t="n"/>
      <c r="N173" s="19">
        <f>MIN(N171*N172,MAX(0,N171-$J$23))</f>
        <v/>
      </c>
      <c r="O173" s="17">
        <f>MIN(O171*O172,MAX(0,O171-$J$23))</f>
        <v/>
      </c>
      <c r="P173" s="17">
        <f>MIN(P171*P172,MAX(0,P171-$J$23))</f>
        <v/>
      </c>
      <c r="Q173" s="17">
        <f>MIN(Q171*Q172,MAX(0,Q171-$J$23))</f>
        <v/>
      </c>
      <c r="R173" s="17">
        <f>MIN(R171*R172,MAX(0,R171-$J$23))</f>
        <v/>
      </c>
      <c r="S173" s="17">
        <f>MIN(S171*S172,MAX(0,S171-$J$23))</f>
        <v/>
      </c>
      <c r="T173" s="17">
        <f>MIN(T171*T172,MAX(0,T171-$J$23))</f>
        <v/>
      </c>
      <c r="U173" s="17">
        <f>MIN(U171*U172,MAX(0,U171-$J$23))</f>
        <v/>
      </c>
      <c r="V173" s="17">
        <f>MIN(V171*V172,MAX(0,V171-$J$23))</f>
        <v/>
      </c>
      <c r="W173" s="17">
        <f>MIN(W171*W172,MAX(0,W171-$J$23))</f>
        <v/>
      </c>
      <c r="X173" s="17">
        <f>MIN(X171*X172,MAX(0,X171-$J$23))</f>
        <v/>
      </c>
      <c r="Y173" s="17">
        <f>MIN(Y171*Y172,MAX(0,Y171-$J$23))</f>
        <v/>
      </c>
      <c r="Z173" s="17">
        <f>MIN(Z171*Z172,MAX(0,Z171-$J$23))</f>
        <v/>
      </c>
      <c r="AA173" s="17">
        <f>MIN(AA171*AA172,MAX(0,AA171-$J$23))</f>
        <v/>
      </c>
      <c r="AB173" s="17">
        <f>MIN(AB171*AB172,MAX(0,AB171-$J$23))</f>
        <v/>
      </c>
      <c r="AC173" s="17">
        <f>MIN(AC171*AC172,MAX(0,AC171-$J$23))</f>
        <v/>
      </c>
      <c r="AD173" s="17">
        <f>MIN(AD171*AD172,MAX(0,AD171-$J$23))</f>
        <v/>
      </c>
      <c r="AE173" s="17">
        <f>MIN(AE171*AE172,MAX(0,AE171-$J$23))</f>
        <v/>
      </c>
      <c r="AF173" s="17">
        <f>MIN(AF171*AF172,MAX(0,AF171-$J$23))</f>
        <v/>
      </c>
      <c r="AG173" s="17">
        <f>MIN(AG171*AG172,MAX(0,AG171-$J$23))</f>
        <v/>
      </c>
      <c r="AH173" s="17">
        <f>MIN(AH171*AH172,MAX(0,AH171-$J$23))</f>
        <v/>
      </c>
      <c r="AI173" s="17">
        <f>MIN(AI171*AI172,MAX(0,AI171-$J$23))</f>
        <v/>
      </c>
      <c r="AJ173" s="17">
        <f>MIN(AJ171*AJ172,MAX(0,AJ171-$J$23))</f>
        <v/>
      </c>
      <c r="AK173" s="17">
        <f>MIN(AK171*AK172,MAX(0,AK171-$J$23))</f>
        <v/>
      </c>
      <c r="AL173" s="17">
        <f>MIN(AL171*AL172,MAX(0,AL171-$J$23))</f>
        <v/>
      </c>
      <c r="AM173" s="17">
        <f>MIN(AM171*AM172,MAX(0,AM171-$J$23))</f>
        <v/>
      </c>
      <c r="AN173" s="17">
        <f>MIN(AN171*AN172,MAX(0,AN171-$J$23))</f>
        <v/>
      </c>
    </row>
    <row r="174">
      <c r="A174" s="9" t="n">
        <v>7</v>
      </c>
      <c r="B174" s="9" t="inlineStr"/>
      <c r="C174" s="9" t="inlineStr">
        <is>
          <t>pow</t>
        </is>
      </c>
      <c r="D174" s="9" t="inlineStr">
        <is>
          <t>VRE generation needed</t>
        </is>
      </c>
      <c r="E174" s="9" t="inlineStr">
        <is>
          <t>TWh</t>
        </is>
      </c>
      <c r="F174" s="9" t="inlineStr">
        <is>
          <t>Model</t>
        </is>
      </c>
      <c r="G174" s="18" t="n"/>
      <c r="H174" s="18" t="inlineStr">
        <is>
          <t>mit.gen.vre.2</t>
        </is>
      </c>
      <c r="I174" s="9" t="n"/>
      <c r="J174" s="9" t="n"/>
      <c r="K174" s="17" t="n"/>
      <c r="L174" s="17" t="n"/>
      <c r="M174" s="17" t="n"/>
      <c r="N174" s="19">
        <f>MAX(0,N171-$J$23-N173)</f>
        <v/>
      </c>
      <c r="O174" s="17">
        <f>MAX(0,O171-$J$23-O173)</f>
        <v/>
      </c>
      <c r="P174" s="17">
        <f>MAX(0,P171-$J$23-P173)</f>
        <v/>
      </c>
      <c r="Q174" s="17">
        <f>MAX(0,Q171-$J$23-Q173)</f>
        <v/>
      </c>
      <c r="R174" s="17">
        <f>MAX(0,R171-$J$23-R173)</f>
        <v/>
      </c>
      <c r="S174" s="17">
        <f>MAX(0,S171-$J$23-S173)</f>
        <v/>
      </c>
      <c r="T174" s="17">
        <f>MAX(0,T171-$J$23-T173)</f>
        <v/>
      </c>
      <c r="U174" s="17">
        <f>MAX(0,U171-$J$23-U173)</f>
        <v/>
      </c>
      <c r="V174" s="17">
        <f>MAX(0,V171-$J$23-V173)</f>
        <v/>
      </c>
      <c r="W174" s="17">
        <f>MAX(0,W171-$J$23-W173)</f>
        <v/>
      </c>
      <c r="X174" s="17">
        <f>MAX(0,X171-$J$23-X173)</f>
        <v/>
      </c>
      <c r="Y174" s="17">
        <f>MAX(0,Y171-$J$23-Y173)</f>
        <v/>
      </c>
      <c r="Z174" s="17">
        <f>MAX(0,Z171-$J$23-Z173)</f>
        <v/>
      </c>
      <c r="AA174" s="17">
        <f>MAX(0,AA171-$J$23-AA173)</f>
        <v/>
      </c>
      <c r="AB174" s="17">
        <f>MAX(0,AB171-$J$23-AB173)</f>
        <v/>
      </c>
      <c r="AC174" s="17">
        <f>MAX(0,AC171-$J$23-AC173)</f>
        <v/>
      </c>
      <c r="AD174" s="17">
        <f>MAX(0,AD171-$J$23-AD173)</f>
        <v/>
      </c>
      <c r="AE174" s="17">
        <f>MAX(0,AE171-$J$23-AE173)</f>
        <v/>
      </c>
      <c r="AF174" s="17">
        <f>MAX(0,AF171-$J$23-AF173)</f>
        <v/>
      </c>
      <c r="AG174" s="17">
        <f>MAX(0,AG171-$J$23-AG173)</f>
        <v/>
      </c>
      <c r="AH174" s="17">
        <f>MAX(0,AH171-$J$23-AH173)</f>
        <v/>
      </c>
      <c r="AI174" s="17">
        <f>MAX(0,AI171-$J$23-AI173)</f>
        <v/>
      </c>
      <c r="AJ174" s="17">
        <f>MAX(0,AJ171-$J$23-AJ173)</f>
        <v/>
      </c>
      <c r="AK174" s="17">
        <f>MAX(0,AK171-$J$23-AK173)</f>
        <v/>
      </c>
      <c r="AL174" s="17">
        <f>MAX(0,AL171-$J$23-AL173)</f>
        <v/>
      </c>
      <c r="AM174" s="17">
        <f>MAX(0,AM171-$J$23-AM173)</f>
        <v/>
      </c>
      <c r="AN174" s="17">
        <f>MAX(0,AN171-$J$23-AN173)</f>
        <v/>
      </c>
    </row>
    <row r="175">
      <c r="A175" s="9" t="n">
        <v>7</v>
      </c>
      <c r="B175" s="9" t="inlineStr"/>
      <c r="C175" s="9" t="inlineStr">
        <is>
          <t>pow</t>
        </is>
      </c>
      <c r="D175" s="9" t="inlineStr">
        <is>
          <t>Solar generation</t>
        </is>
      </c>
      <c r="E175" s="9" t="inlineStr">
        <is>
          <t>TWh</t>
        </is>
      </c>
      <c r="F175" s="9" t="inlineStr">
        <is>
          <t>Model</t>
        </is>
      </c>
      <c r="G175" s="18" t="n"/>
      <c r="H175" s="18" t="inlineStr">
        <is>
          <t>mit.gen.sol.2</t>
        </is>
      </c>
      <c r="I175" s="9" t="n"/>
      <c r="J175" s="9" t="n"/>
      <c r="K175" s="17" t="n"/>
      <c r="L175" s="17" t="n"/>
      <c r="M175" s="17" t="n"/>
      <c r="N175" s="19">
        <f>INDEX(Data!$CM:$CM,$J$4)</f>
        <v/>
      </c>
      <c r="O175" s="17">
        <f>N175+p_sh_sol*MAX(0,O174-N174)</f>
        <v/>
      </c>
      <c r="P175" s="17">
        <f>O175+p_sh_sol*MAX(0,P174-O174)</f>
        <v/>
      </c>
      <c r="Q175" s="17">
        <f>P175+p_sh_sol*MAX(0,Q174-P174)</f>
        <v/>
      </c>
      <c r="R175" s="17">
        <f>Q175+p_sh_sol*MAX(0,R174-Q174)</f>
        <v/>
      </c>
      <c r="S175" s="17">
        <f>R175+p_sh_sol*MAX(0,S174-R174)</f>
        <v/>
      </c>
      <c r="T175" s="17">
        <f>S175+p_sh_sol*MAX(0,T174-S174)</f>
        <v/>
      </c>
      <c r="U175" s="17">
        <f>T175+p_sh_sol*MAX(0,U174-T174)</f>
        <v/>
      </c>
      <c r="V175" s="17">
        <f>U175+p_sh_sol*MAX(0,V174-U174)</f>
        <v/>
      </c>
      <c r="W175" s="17">
        <f>V175+p_sh_sol*MAX(0,W174-V174)</f>
        <v/>
      </c>
      <c r="X175" s="17">
        <f>W175+p_sh_sol*MAX(0,X174-W174)</f>
        <v/>
      </c>
      <c r="Y175" s="17">
        <f>X175+p_sh_sol*MAX(0,Y174-X174)</f>
        <v/>
      </c>
      <c r="Z175" s="17">
        <f>Y175+p_sh_sol*MAX(0,Z174-Y174)</f>
        <v/>
      </c>
      <c r="AA175" s="17">
        <f>Z175+p_sh_sol*MAX(0,AA174-Z174)</f>
        <v/>
      </c>
      <c r="AB175" s="17">
        <f>AA175+p_sh_sol*MAX(0,AB174-AA174)</f>
        <v/>
      </c>
      <c r="AC175" s="17">
        <f>AB175+p_sh_sol*MAX(0,AC174-AB174)</f>
        <v/>
      </c>
      <c r="AD175" s="17">
        <f>AC175+p_sh_sol*MAX(0,AD174-AC174)</f>
        <v/>
      </c>
      <c r="AE175" s="17">
        <f>AD175+p_sh_sol*MAX(0,AE174-AD174)</f>
        <v/>
      </c>
      <c r="AF175" s="17">
        <f>AE175+p_sh_sol*MAX(0,AF174-AE174)</f>
        <v/>
      </c>
      <c r="AG175" s="17">
        <f>AF175+p_sh_sol*MAX(0,AG174-AF174)</f>
        <v/>
      </c>
      <c r="AH175" s="17">
        <f>AG175+p_sh_sol*MAX(0,AH174-AG174)</f>
        <v/>
      </c>
      <c r="AI175" s="17">
        <f>AH175+p_sh_sol*MAX(0,AI174-AH174)</f>
        <v/>
      </c>
      <c r="AJ175" s="17">
        <f>AI175+p_sh_sol*MAX(0,AJ174-AI174)</f>
        <v/>
      </c>
      <c r="AK175" s="17">
        <f>AJ175+p_sh_sol*MAX(0,AK174-AJ174)</f>
        <v/>
      </c>
      <c r="AL175" s="17">
        <f>AK175+p_sh_sol*MAX(0,AL174-AK174)</f>
        <v/>
      </c>
      <c r="AM175" s="17">
        <f>AL175+p_sh_sol*MAX(0,AM174-AL174)</f>
        <v/>
      </c>
      <c r="AN175" s="17">
        <f>AM175+p_sh_sol*MAX(0,AN174-AM174)</f>
        <v/>
      </c>
    </row>
    <row r="176">
      <c r="A176" s="9" t="n">
        <v>7</v>
      </c>
      <c r="B176" s="9" t="inlineStr"/>
      <c r="C176" s="9" t="inlineStr">
        <is>
          <t>pow</t>
        </is>
      </c>
      <c r="D176" s="9" t="inlineStr">
        <is>
          <t>Wind generation</t>
        </is>
      </c>
      <c r="E176" s="9" t="inlineStr">
        <is>
          <t>TWh</t>
        </is>
      </c>
      <c r="F176" s="9" t="inlineStr">
        <is>
          <t>Model</t>
        </is>
      </c>
      <c r="G176" s="18" t="n"/>
      <c r="H176" s="18" t="inlineStr">
        <is>
          <t>mit.gen.wnd.2</t>
        </is>
      </c>
      <c r="I176" s="9" t="n"/>
      <c r="J176" s="9" t="n"/>
      <c r="K176" s="17" t="n"/>
      <c r="L176" s="17" t="n"/>
      <c r="M176" s="17" t="n"/>
      <c r="N176" s="19">
        <f>INDEX(Data!$CO:$CO,$J$4)</f>
        <v/>
      </c>
      <c r="O176" s="17">
        <f>N176+(1-p_sh_sol)*MAX(0,O174-N174)</f>
        <v/>
      </c>
      <c r="P176" s="17">
        <f>O176+(1-p_sh_sol)*MAX(0,P174-O174)</f>
        <v/>
      </c>
      <c r="Q176" s="17">
        <f>P176+(1-p_sh_sol)*MAX(0,Q174-P174)</f>
        <v/>
      </c>
      <c r="R176" s="17">
        <f>Q176+(1-p_sh_sol)*MAX(0,R174-Q174)</f>
        <v/>
      </c>
      <c r="S176" s="17">
        <f>R176+(1-p_sh_sol)*MAX(0,S174-R174)</f>
        <v/>
      </c>
      <c r="T176" s="17">
        <f>S176+(1-p_sh_sol)*MAX(0,T174-S174)</f>
        <v/>
      </c>
      <c r="U176" s="17">
        <f>T176+(1-p_sh_sol)*MAX(0,U174-T174)</f>
        <v/>
      </c>
      <c r="V176" s="17">
        <f>U176+(1-p_sh_sol)*MAX(0,V174-U174)</f>
        <v/>
      </c>
      <c r="W176" s="17">
        <f>V176+(1-p_sh_sol)*MAX(0,W174-V174)</f>
        <v/>
      </c>
      <c r="X176" s="17">
        <f>W176+(1-p_sh_sol)*MAX(0,X174-W174)</f>
        <v/>
      </c>
      <c r="Y176" s="17">
        <f>X176+(1-p_sh_sol)*MAX(0,Y174-X174)</f>
        <v/>
      </c>
      <c r="Z176" s="17">
        <f>Y176+(1-p_sh_sol)*MAX(0,Z174-Y174)</f>
        <v/>
      </c>
      <c r="AA176" s="17">
        <f>Z176+(1-p_sh_sol)*MAX(0,AA174-Z174)</f>
        <v/>
      </c>
      <c r="AB176" s="17">
        <f>AA176+(1-p_sh_sol)*MAX(0,AB174-AA174)</f>
        <v/>
      </c>
      <c r="AC176" s="17">
        <f>AB176+(1-p_sh_sol)*MAX(0,AC174-AB174)</f>
        <v/>
      </c>
      <c r="AD176" s="17">
        <f>AC176+(1-p_sh_sol)*MAX(0,AD174-AC174)</f>
        <v/>
      </c>
      <c r="AE176" s="17">
        <f>AD176+(1-p_sh_sol)*MAX(0,AE174-AD174)</f>
        <v/>
      </c>
      <c r="AF176" s="17">
        <f>AE176+(1-p_sh_sol)*MAX(0,AF174-AE174)</f>
        <v/>
      </c>
      <c r="AG176" s="17">
        <f>AF176+(1-p_sh_sol)*MAX(0,AG174-AF174)</f>
        <v/>
      </c>
      <c r="AH176" s="17">
        <f>AG176+(1-p_sh_sol)*MAX(0,AH174-AG174)</f>
        <v/>
      </c>
      <c r="AI176" s="17">
        <f>AH176+(1-p_sh_sol)*MAX(0,AI174-AH174)</f>
        <v/>
      </c>
      <c r="AJ176" s="17">
        <f>AI176+(1-p_sh_sol)*MAX(0,AJ174-AI174)</f>
        <v/>
      </c>
      <c r="AK176" s="17">
        <f>AJ176+(1-p_sh_sol)*MAX(0,AK174-AJ174)</f>
        <v/>
      </c>
      <c r="AL176" s="17">
        <f>AK176+(1-p_sh_sol)*MAX(0,AL174-AK174)</f>
        <v/>
      </c>
      <c r="AM176" s="17">
        <f>AL176+(1-p_sh_sol)*MAX(0,AM174-AL174)</f>
        <v/>
      </c>
      <c r="AN176" s="17">
        <f>AM176+(1-p_sh_sol)*MAX(0,AN174-AM174)</f>
        <v/>
      </c>
    </row>
    <row r="177">
      <c r="A177" s="9" t="n">
        <v>7</v>
      </c>
      <c r="B177" s="9" t="inlineStr"/>
      <c r="C177" s="9" t="inlineStr">
        <is>
          <t>pow</t>
        </is>
      </c>
      <c r="D177" s="9" t="inlineStr">
        <is>
          <t>Solar capacity</t>
        </is>
      </c>
      <c r="E177" s="9" t="inlineStr">
        <is>
          <t>GW</t>
        </is>
      </c>
      <c r="F177" s="9" t="inlineStr">
        <is>
          <t>Model</t>
        </is>
      </c>
      <c r="G177" s="18" t="n"/>
      <c r="H177" s="18" t="inlineStr">
        <is>
          <t>mit.cap.sol.2</t>
        </is>
      </c>
      <c r="I177" s="9" t="n"/>
      <c r="J177" s="9" t="n"/>
      <c r="K177" s="17" t="n"/>
      <c r="L177" s="17" t="n"/>
      <c r="M177" s="17" t="n"/>
      <c r="N177" s="19">
        <f>N175/($J$29*8.76)</f>
        <v/>
      </c>
      <c r="O177" s="17">
        <f>O175/($J$29*8.76)</f>
        <v/>
      </c>
      <c r="P177" s="17">
        <f>P175/($J$29*8.76)</f>
        <v/>
      </c>
      <c r="Q177" s="17">
        <f>Q175/($J$29*8.76)</f>
        <v/>
      </c>
      <c r="R177" s="17">
        <f>R175/($J$29*8.76)</f>
        <v/>
      </c>
      <c r="S177" s="17">
        <f>S175/($J$29*8.76)</f>
        <v/>
      </c>
      <c r="T177" s="17">
        <f>T175/($J$29*8.76)</f>
        <v/>
      </c>
      <c r="U177" s="17">
        <f>U175/($J$29*8.76)</f>
        <v/>
      </c>
      <c r="V177" s="17">
        <f>V175/($J$29*8.76)</f>
        <v/>
      </c>
      <c r="W177" s="17">
        <f>W175/($J$29*8.76)</f>
        <v/>
      </c>
      <c r="X177" s="17">
        <f>X175/($J$29*8.76)</f>
        <v/>
      </c>
      <c r="Y177" s="17">
        <f>Y175/($J$29*8.76)</f>
        <v/>
      </c>
      <c r="Z177" s="17">
        <f>Z175/($J$29*8.76)</f>
        <v/>
      </c>
      <c r="AA177" s="17">
        <f>AA175/($J$29*8.76)</f>
        <v/>
      </c>
      <c r="AB177" s="17">
        <f>AB175/($J$29*8.76)</f>
        <v/>
      </c>
      <c r="AC177" s="17">
        <f>AC175/($J$29*8.76)</f>
        <v/>
      </c>
      <c r="AD177" s="17">
        <f>AD175/($J$29*8.76)</f>
        <v/>
      </c>
      <c r="AE177" s="17">
        <f>AE175/($J$29*8.76)</f>
        <v/>
      </c>
      <c r="AF177" s="17">
        <f>AF175/($J$29*8.76)</f>
        <v/>
      </c>
      <c r="AG177" s="17">
        <f>AG175/($J$29*8.76)</f>
        <v/>
      </c>
      <c r="AH177" s="17">
        <f>AH175/($J$29*8.76)</f>
        <v/>
      </c>
      <c r="AI177" s="17">
        <f>AI175/($J$29*8.76)</f>
        <v/>
      </c>
      <c r="AJ177" s="17">
        <f>AJ175/($J$29*8.76)</f>
        <v/>
      </c>
      <c r="AK177" s="17">
        <f>AK175/($J$29*8.76)</f>
        <v/>
      </c>
      <c r="AL177" s="17">
        <f>AL175/($J$29*8.76)</f>
        <v/>
      </c>
      <c r="AM177" s="17">
        <f>AM175/($J$29*8.76)</f>
        <v/>
      </c>
      <c r="AN177" s="17">
        <f>AN175/($J$29*8.76)</f>
        <v/>
      </c>
    </row>
    <row r="178">
      <c r="A178" s="9" t="n">
        <v>7</v>
      </c>
      <c r="B178" s="9" t="inlineStr"/>
      <c r="C178" s="9" t="inlineStr">
        <is>
          <t>pow</t>
        </is>
      </c>
      <c r="D178" s="9" t="inlineStr">
        <is>
          <t>Solar additions incl. replacement</t>
        </is>
      </c>
      <c r="E178" s="9" t="inlineStr">
        <is>
          <t>GW</t>
        </is>
      </c>
      <c r="F178" s="9" t="inlineStr">
        <is>
          <t>Model</t>
        </is>
      </c>
      <c r="G178" s="18" t="n"/>
      <c r="H178" s="18" t="inlineStr">
        <is>
          <t>mit.add.sol.2</t>
        </is>
      </c>
      <c r="I178" s="9" t="n"/>
      <c r="J178" s="9" t="n"/>
      <c r="K178" s="17" t="n"/>
      <c r="L178" s="17" t="n"/>
      <c r="M178" s="17" t="n"/>
      <c r="N178" s="19">
        <f>0</f>
        <v/>
      </c>
      <c r="O178" s="17">
        <f>MAX(0,O177-N177)+N177/p_life_vre</f>
        <v/>
      </c>
      <c r="P178" s="17">
        <f>MAX(0,P177-O177)+O177/p_life_vre</f>
        <v/>
      </c>
      <c r="Q178" s="17">
        <f>MAX(0,Q177-P177)+P177/p_life_vre</f>
        <v/>
      </c>
      <c r="R178" s="17">
        <f>MAX(0,R177-Q177)+Q177/p_life_vre</f>
        <v/>
      </c>
      <c r="S178" s="17">
        <f>MAX(0,S177-R177)+R177/p_life_vre</f>
        <v/>
      </c>
      <c r="T178" s="17">
        <f>MAX(0,T177-S177)+S177/p_life_vre</f>
        <v/>
      </c>
      <c r="U178" s="17">
        <f>MAX(0,U177-T177)+T177/p_life_vre</f>
        <v/>
      </c>
      <c r="V178" s="17">
        <f>MAX(0,V177-U177)+U177/p_life_vre</f>
        <v/>
      </c>
      <c r="W178" s="17">
        <f>MAX(0,W177-V177)+V177/p_life_vre</f>
        <v/>
      </c>
      <c r="X178" s="17">
        <f>MAX(0,X177-W177)+W177/p_life_vre</f>
        <v/>
      </c>
      <c r="Y178" s="17">
        <f>MAX(0,Y177-X177)+X177/p_life_vre</f>
        <v/>
      </c>
      <c r="Z178" s="17">
        <f>MAX(0,Z177-Y177)+Y177/p_life_vre</f>
        <v/>
      </c>
      <c r="AA178" s="17">
        <f>MAX(0,AA177-Z177)+Z177/p_life_vre</f>
        <v/>
      </c>
      <c r="AB178" s="17">
        <f>MAX(0,AB177-AA177)+AA177/p_life_vre</f>
        <v/>
      </c>
      <c r="AC178" s="17">
        <f>MAX(0,AC177-AB177)+AB177/p_life_vre</f>
        <v/>
      </c>
      <c r="AD178" s="17">
        <f>MAX(0,AD177-AC177)+AC177/p_life_vre</f>
        <v/>
      </c>
      <c r="AE178" s="17">
        <f>MAX(0,AE177-AD177)+AD177/p_life_vre</f>
        <v/>
      </c>
      <c r="AF178" s="17">
        <f>MAX(0,AF177-AE177)+AE177/p_life_vre</f>
        <v/>
      </c>
      <c r="AG178" s="17">
        <f>MAX(0,AG177-AF177)+AF177/p_life_vre</f>
        <v/>
      </c>
      <c r="AH178" s="17">
        <f>MAX(0,AH177-AG177)+AG177/p_life_vre</f>
        <v/>
      </c>
      <c r="AI178" s="17">
        <f>MAX(0,AI177-AH177)+AH177/p_life_vre</f>
        <v/>
      </c>
      <c r="AJ178" s="17">
        <f>MAX(0,AJ177-AI177)+AI177/p_life_vre</f>
        <v/>
      </c>
      <c r="AK178" s="17">
        <f>MAX(0,AK177-AJ177)+AJ177/p_life_vre</f>
        <v/>
      </c>
      <c r="AL178" s="17">
        <f>MAX(0,AL177-AK177)+AK177/p_life_vre</f>
        <v/>
      </c>
      <c r="AM178" s="17">
        <f>MAX(0,AM177-AL177)+AL177/p_life_vre</f>
        <v/>
      </c>
      <c r="AN178" s="17">
        <f>MAX(0,AN177-AM177)+AM177/p_life_vre</f>
        <v/>
      </c>
    </row>
    <row r="179">
      <c r="A179" s="9" t="n">
        <v>7</v>
      </c>
      <c r="B179" s="9" t="inlineStr"/>
      <c r="C179" s="9" t="inlineStr">
        <is>
          <t>pow</t>
        </is>
      </c>
      <c r="D179" s="9" t="inlineStr">
        <is>
          <t>Wind capacity</t>
        </is>
      </c>
      <c r="E179" s="9" t="inlineStr">
        <is>
          <t>GW</t>
        </is>
      </c>
      <c r="F179" s="9" t="inlineStr">
        <is>
          <t>Model</t>
        </is>
      </c>
      <c r="G179" s="18" t="n"/>
      <c r="H179" s="18" t="inlineStr">
        <is>
          <t>mit.cap.wnd.2</t>
        </is>
      </c>
      <c r="I179" s="9" t="n"/>
      <c r="J179" s="9" t="n"/>
      <c r="K179" s="17" t="n"/>
      <c r="L179" s="17" t="n"/>
      <c r="M179" s="17" t="n"/>
      <c r="N179" s="19">
        <f>N176/($J$30*8.76)</f>
        <v/>
      </c>
      <c r="O179" s="17">
        <f>O176/($J$30*8.76)</f>
        <v/>
      </c>
      <c r="P179" s="17">
        <f>P176/($J$30*8.76)</f>
        <v/>
      </c>
      <c r="Q179" s="17">
        <f>Q176/($J$30*8.76)</f>
        <v/>
      </c>
      <c r="R179" s="17">
        <f>R176/($J$30*8.76)</f>
        <v/>
      </c>
      <c r="S179" s="17">
        <f>S176/($J$30*8.76)</f>
        <v/>
      </c>
      <c r="T179" s="17">
        <f>T176/($J$30*8.76)</f>
        <v/>
      </c>
      <c r="U179" s="17">
        <f>U176/($J$30*8.76)</f>
        <v/>
      </c>
      <c r="V179" s="17">
        <f>V176/($J$30*8.76)</f>
        <v/>
      </c>
      <c r="W179" s="17">
        <f>W176/($J$30*8.76)</f>
        <v/>
      </c>
      <c r="X179" s="17">
        <f>X176/($J$30*8.76)</f>
        <v/>
      </c>
      <c r="Y179" s="17">
        <f>Y176/($J$30*8.76)</f>
        <v/>
      </c>
      <c r="Z179" s="17">
        <f>Z176/($J$30*8.76)</f>
        <v/>
      </c>
      <c r="AA179" s="17">
        <f>AA176/($J$30*8.76)</f>
        <v/>
      </c>
      <c r="AB179" s="17">
        <f>AB176/($J$30*8.76)</f>
        <v/>
      </c>
      <c r="AC179" s="17">
        <f>AC176/($J$30*8.76)</f>
        <v/>
      </c>
      <c r="AD179" s="17">
        <f>AD176/($J$30*8.76)</f>
        <v/>
      </c>
      <c r="AE179" s="17">
        <f>AE176/($J$30*8.76)</f>
        <v/>
      </c>
      <c r="AF179" s="17">
        <f>AF176/($J$30*8.76)</f>
        <v/>
      </c>
      <c r="AG179" s="17">
        <f>AG176/($J$30*8.76)</f>
        <v/>
      </c>
      <c r="AH179" s="17">
        <f>AH176/($J$30*8.76)</f>
        <v/>
      </c>
      <c r="AI179" s="17">
        <f>AI176/($J$30*8.76)</f>
        <v/>
      </c>
      <c r="AJ179" s="17">
        <f>AJ176/($J$30*8.76)</f>
        <v/>
      </c>
      <c r="AK179" s="17">
        <f>AK176/($J$30*8.76)</f>
        <v/>
      </c>
      <c r="AL179" s="17">
        <f>AL176/($J$30*8.76)</f>
        <v/>
      </c>
      <c r="AM179" s="17">
        <f>AM176/($J$30*8.76)</f>
        <v/>
      </c>
      <c r="AN179" s="17">
        <f>AN176/($J$30*8.76)</f>
        <v/>
      </c>
    </row>
    <row r="180">
      <c r="A180" s="9" t="n">
        <v>7</v>
      </c>
      <c r="B180" s="9" t="inlineStr"/>
      <c r="C180" s="9" t="inlineStr">
        <is>
          <t>pow</t>
        </is>
      </c>
      <c r="D180" s="9" t="inlineStr">
        <is>
          <t>Wind additions incl. replacement</t>
        </is>
      </c>
      <c r="E180" s="9" t="inlineStr">
        <is>
          <t>GW</t>
        </is>
      </c>
      <c r="F180" s="9" t="inlineStr">
        <is>
          <t>Model</t>
        </is>
      </c>
      <c r="G180" s="18" t="n"/>
      <c r="H180" s="18" t="inlineStr">
        <is>
          <t>mit.add.wnd.2</t>
        </is>
      </c>
      <c r="I180" s="9" t="n"/>
      <c r="J180" s="9" t="n"/>
      <c r="K180" s="17" t="n"/>
      <c r="L180" s="17" t="n"/>
      <c r="M180" s="17" t="n"/>
      <c r="N180" s="19">
        <f>0</f>
        <v/>
      </c>
      <c r="O180" s="17">
        <f>MAX(0,O179-N179)+N179/p_life_vre</f>
        <v/>
      </c>
      <c r="P180" s="17">
        <f>MAX(0,P179-O179)+O179/p_life_vre</f>
        <v/>
      </c>
      <c r="Q180" s="17">
        <f>MAX(0,Q179-P179)+P179/p_life_vre</f>
        <v/>
      </c>
      <c r="R180" s="17">
        <f>MAX(0,R179-Q179)+Q179/p_life_vre</f>
        <v/>
      </c>
      <c r="S180" s="17">
        <f>MAX(0,S179-R179)+R179/p_life_vre</f>
        <v/>
      </c>
      <c r="T180" s="17">
        <f>MAX(0,T179-S179)+S179/p_life_vre</f>
        <v/>
      </c>
      <c r="U180" s="17">
        <f>MAX(0,U179-T179)+T179/p_life_vre</f>
        <v/>
      </c>
      <c r="V180" s="17">
        <f>MAX(0,V179-U179)+U179/p_life_vre</f>
        <v/>
      </c>
      <c r="W180" s="17">
        <f>MAX(0,W179-V179)+V179/p_life_vre</f>
        <v/>
      </c>
      <c r="X180" s="17">
        <f>MAX(0,X179-W179)+W179/p_life_vre</f>
        <v/>
      </c>
      <c r="Y180" s="17">
        <f>MAX(0,Y179-X179)+X179/p_life_vre</f>
        <v/>
      </c>
      <c r="Z180" s="17">
        <f>MAX(0,Z179-Y179)+Y179/p_life_vre</f>
        <v/>
      </c>
      <c r="AA180" s="17">
        <f>MAX(0,AA179-Z179)+Z179/p_life_vre</f>
        <v/>
      </c>
      <c r="AB180" s="17">
        <f>MAX(0,AB179-AA179)+AA179/p_life_vre</f>
        <v/>
      </c>
      <c r="AC180" s="17">
        <f>MAX(0,AC179-AB179)+AB179/p_life_vre</f>
        <v/>
      </c>
      <c r="AD180" s="17">
        <f>MAX(0,AD179-AC179)+AC179/p_life_vre</f>
        <v/>
      </c>
      <c r="AE180" s="17">
        <f>MAX(0,AE179-AD179)+AD179/p_life_vre</f>
        <v/>
      </c>
      <c r="AF180" s="17">
        <f>MAX(0,AF179-AE179)+AE179/p_life_vre</f>
        <v/>
      </c>
      <c r="AG180" s="17">
        <f>MAX(0,AG179-AF179)+AF179/p_life_vre</f>
        <v/>
      </c>
      <c r="AH180" s="17">
        <f>MAX(0,AH179-AG179)+AG179/p_life_vre</f>
        <v/>
      </c>
      <c r="AI180" s="17">
        <f>MAX(0,AI179-AH179)+AH179/p_life_vre</f>
        <v/>
      </c>
      <c r="AJ180" s="17">
        <f>MAX(0,AJ179-AI179)+AI179/p_life_vre</f>
        <v/>
      </c>
      <c r="AK180" s="17">
        <f>MAX(0,AK179-AJ179)+AJ179/p_life_vre</f>
        <v/>
      </c>
      <c r="AL180" s="17">
        <f>MAX(0,AL179-AK179)+AK179/p_life_vre</f>
        <v/>
      </c>
      <c r="AM180" s="17">
        <f>MAX(0,AM179-AL179)+AL179/p_life_vre</f>
        <v/>
      </c>
      <c r="AN180" s="17">
        <f>MAX(0,AN179-AM179)+AM179/p_life_vre</f>
        <v/>
      </c>
    </row>
    <row r="181">
      <c r="A181" s="9" t="n">
        <v>7</v>
      </c>
      <c r="B181" s="9" t="inlineStr"/>
      <c r="C181" s="9" t="inlineStr">
        <is>
          <t>pow</t>
        </is>
      </c>
      <c r="D181" s="9" t="inlineStr">
        <is>
          <t>Fossil capacity needed</t>
        </is>
      </c>
      <c r="E181" s="9" t="inlineStr">
        <is>
          <t>GW</t>
        </is>
      </c>
      <c r="F181" s="9" t="inlineStr">
        <is>
          <t>Model</t>
        </is>
      </c>
      <c r="G181" s="18" t="n"/>
      <c r="H181" s="18" t="inlineStr">
        <is>
          <t>mit.cap.fos.need.2</t>
        </is>
      </c>
      <c r="I181" s="9" t="n"/>
      <c r="J181" s="9" t="n"/>
      <c r="K181" s="17" t="n"/>
      <c r="L181" s="17" t="n"/>
      <c r="M181" s="17" t="n"/>
      <c r="N181" s="19">
        <f>N173/($J$31*8.76)</f>
        <v/>
      </c>
      <c r="O181" s="17">
        <f>O173/($J$31*8.76)</f>
        <v/>
      </c>
      <c r="P181" s="17">
        <f>P173/($J$31*8.76)</f>
        <v/>
      </c>
      <c r="Q181" s="17">
        <f>Q173/($J$31*8.76)</f>
        <v/>
      </c>
      <c r="R181" s="17">
        <f>R173/($J$31*8.76)</f>
        <v/>
      </c>
      <c r="S181" s="17">
        <f>S173/($J$31*8.76)</f>
        <v/>
      </c>
      <c r="T181" s="17">
        <f>T173/($J$31*8.76)</f>
        <v/>
      </c>
      <c r="U181" s="17">
        <f>U173/($J$31*8.76)</f>
        <v/>
      </c>
      <c r="V181" s="17">
        <f>V173/($J$31*8.76)</f>
        <v/>
      </c>
      <c r="W181" s="17">
        <f>W173/($J$31*8.76)</f>
        <v/>
      </c>
      <c r="X181" s="17">
        <f>X173/($J$31*8.76)</f>
        <v/>
      </c>
      <c r="Y181" s="17">
        <f>Y173/($J$31*8.76)</f>
        <v/>
      </c>
      <c r="Z181" s="17">
        <f>Z173/($J$31*8.76)</f>
        <v/>
      </c>
      <c r="AA181" s="17">
        <f>AA173/($J$31*8.76)</f>
        <v/>
      </c>
      <c r="AB181" s="17">
        <f>AB173/($J$31*8.76)</f>
        <v/>
      </c>
      <c r="AC181" s="17">
        <f>AC173/($J$31*8.76)</f>
        <v/>
      </c>
      <c r="AD181" s="17">
        <f>AD173/($J$31*8.76)</f>
        <v/>
      </c>
      <c r="AE181" s="17">
        <f>AE173/($J$31*8.76)</f>
        <v/>
      </c>
      <c r="AF181" s="17">
        <f>AF173/($J$31*8.76)</f>
        <v/>
      </c>
      <c r="AG181" s="17">
        <f>AG173/($J$31*8.76)</f>
        <v/>
      </c>
      <c r="AH181" s="17">
        <f>AH173/($J$31*8.76)</f>
        <v/>
      </c>
      <c r="AI181" s="17">
        <f>AI173/($J$31*8.76)</f>
        <v/>
      </c>
      <c r="AJ181" s="17">
        <f>AJ173/($J$31*8.76)</f>
        <v/>
      </c>
      <c r="AK181" s="17">
        <f>AK173/($J$31*8.76)</f>
        <v/>
      </c>
      <c r="AL181" s="17">
        <f>AL173/($J$31*8.76)</f>
        <v/>
      </c>
      <c r="AM181" s="17">
        <f>AM173/($J$31*8.76)</f>
        <v/>
      </c>
      <c r="AN181" s="17">
        <f>AN173/($J$31*8.76)</f>
        <v/>
      </c>
    </row>
    <row r="182">
      <c r="A182" s="9" t="n">
        <v>7</v>
      </c>
      <c r="B182" s="9" t="inlineStr"/>
      <c r="C182" s="9" t="inlineStr">
        <is>
          <t>pow</t>
        </is>
      </c>
      <c r="D182" s="9" t="inlineStr">
        <is>
          <t>Fossil additions (gas)</t>
        </is>
      </c>
      <c r="E182" s="9" t="inlineStr">
        <is>
          <t>GW</t>
        </is>
      </c>
      <c r="F182" s="9" t="inlineStr">
        <is>
          <t>Model</t>
        </is>
      </c>
      <c r="G182" s="18" t="n"/>
      <c r="H182" s="18" t="inlineStr">
        <is>
          <t>mit.add.fos.2</t>
        </is>
      </c>
      <c r="I182" s="9" t="n"/>
      <c r="J182" s="9" t="n"/>
      <c r="K182" s="17" t="n"/>
      <c r="L182" s="17" t="n"/>
      <c r="M182" s="17" t="n"/>
      <c r="N182" s="19">
        <f>0</f>
        <v/>
      </c>
      <c r="O182" s="17">
        <f>MAX(0,O181-N183*(1-1/p_life_fos))</f>
        <v/>
      </c>
      <c r="P182" s="17">
        <f>MAX(0,P181-O183*(1-1/p_life_fos))</f>
        <v/>
      </c>
      <c r="Q182" s="17">
        <f>MAX(0,Q181-P183*(1-1/p_life_fos))</f>
        <v/>
      </c>
      <c r="R182" s="17">
        <f>MAX(0,R181-Q183*(1-1/p_life_fos))</f>
        <v/>
      </c>
      <c r="S182" s="17">
        <f>MAX(0,S181-R183*(1-1/p_life_fos))</f>
        <v/>
      </c>
      <c r="T182" s="17">
        <f>MAX(0,T181-S183*(1-1/p_life_fos))</f>
        <v/>
      </c>
      <c r="U182" s="17">
        <f>MAX(0,U181-T183*(1-1/p_life_fos))</f>
        <v/>
      </c>
      <c r="V182" s="17">
        <f>MAX(0,V181-U183*(1-1/p_life_fos))</f>
        <v/>
      </c>
      <c r="W182" s="17">
        <f>MAX(0,W181-V183*(1-1/p_life_fos))</f>
        <v/>
      </c>
      <c r="X182" s="17">
        <f>MAX(0,X181-W183*(1-1/p_life_fos))</f>
        <v/>
      </c>
      <c r="Y182" s="17">
        <f>MAX(0,Y181-X183*(1-1/p_life_fos))</f>
        <v/>
      </c>
      <c r="Z182" s="17">
        <f>MAX(0,Z181-Y183*(1-1/p_life_fos))</f>
        <v/>
      </c>
      <c r="AA182" s="17">
        <f>MAX(0,AA181-Z183*(1-1/p_life_fos))</f>
        <v/>
      </c>
      <c r="AB182" s="17">
        <f>MAX(0,AB181-AA183*(1-1/p_life_fos))</f>
        <v/>
      </c>
      <c r="AC182" s="17">
        <f>MAX(0,AC181-AB183*(1-1/p_life_fos))</f>
        <v/>
      </c>
      <c r="AD182" s="17">
        <f>MAX(0,AD181-AC183*(1-1/p_life_fos))</f>
        <v/>
      </c>
      <c r="AE182" s="17">
        <f>MAX(0,AE181-AD183*(1-1/p_life_fos))</f>
        <v/>
      </c>
      <c r="AF182" s="17">
        <f>MAX(0,AF181-AE183*(1-1/p_life_fos))</f>
        <v/>
      </c>
      <c r="AG182" s="17">
        <f>MAX(0,AG181-AF183*(1-1/p_life_fos))</f>
        <v/>
      </c>
      <c r="AH182" s="17">
        <f>MAX(0,AH181-AG183*(1-1/p_life_fos))</f>
        <v/>
      </c>
      <c r="AI182" s="17">
        <f>MAX(0,AI181-AH183*(1-1/p_life_fos))</f>
        <v/>
      </c>
      <c r="AJ182" s="17">
        <f>MAX(0,AJ181-AI183*(1-1/p_life_fos))</f>
        <v/>
      </c>
      <c r="AK182" s="17">
        <f>MAX(0,AK181-AJ183*(1-1/p_life_fos))</f>
        <v/>
      </c>
      <c r="AL182" s="17">
        <f>MAX(0,AL181-AK183*(1-1/p_life_fos))</f>
        <v/>
      </c>
      <c r="AM182" s="17">
        <f>MAX(0,AM181-AL183*(1-1/p_life_fos))</f>
        <v/>
      </c>
      <c r="AN182" s="17">
        <f>MAX(0,AN181-AM183*(1-1/p_life_fos))</f>
        <v/>
      </c>
    </row>
    <row r="183">
      <c r="A183" s="9" t="n">
        <v>7</v>
      </c>
      <c r="B183" s="9" t="inlineStr"/>
      <c r="C183" s="9" t="inlineStr">
        <is>
          <t>pow</t>
        </is>
      </c>
      <c r="D183" s="9" t="inlineStr">
        <is>
          <t>Fossil capacity in service</t>
        </is>
      </c>
      <c r="E183" s="9" t="inlineStr">
        <is>
          <t>GW</t>
        </is>
      </c>
      <c r="F183" s="9" t="inlineStr">
        <is>
          <t>Model</t>
        </is>
      </c>
      <c r="G183" s="18" t="n"/>
      <c r="H183" s="18" t="inlineStr">
        <is>
          <t>mit.cap.fos.stk.2</t>
        </is>
      </c>
      <c r="I183" s="9" t="n"/>
      <c r="J183" s="9" t="n"/>
      <c r="K183" s="17" t="n"/>
      <c r="L183" s="17" t="n"/>
      <c r="M183" s="17" t="n"/>
      <c r="N183" s="19">
        <f>N181</f>
        <v/>
      </c>
      <c r="O183" s="17">
        <f>N183*(1-1/p_life_fos)+O182</f>
        <v/>
      </c>
      <c r="P183" s="17">
        <f>O183*(1-1/p_life_fos)+P182</f>
        <v/>
      </c>
      <c r="Q183" s="17">
        <f>P183*(1-1/p_life_fos)+Q182</f>
        <v/>
      </c>
      <c r="R183" s="17">
        <f>Q183*(1-1/p_life_fos)+R182</f>
        <v/>
      </c>
      <c r="S183" s="17">
        <f>R183*(1-1/p_life_fos)+S182</f>
        <v/>
      </c>
      <c r="T183" s="17">
        <f>S183*(1-1/p_life_fos)+T182</f>
        <v/>
      </c>
      <c r="U183" s="17">
        <f>T183*(1-1/p_life_fos)+U182</f>
        <v/>
      </c>
      <c r="V183" s="17">
        <f>U183*(1-1/p_life_fos)+V182</f>
        <v/>
      </c>
      <c r="W183" s="17">
        <f>V183*(1-1/p_life_fos)+W182</f>
        <v/>
      </c>
      <c r="X183" s="17">
        <f>W183*(1-1/p_life_fos)+X182</f>
        <v/>
      </c>
      <c r="Y183" s="17">
        <f>X183*(1-1/p_life_fos)+Y182</f>
        <v/>
      </c>
      <c r="Z183" s="17">
        <f>Y183*(1-1/p_life_fos)+Z182</f>
        <v/>
      </c>
      <c r="AA183" s="17">
        <f>Z183*(1-1/p_life_fos)+AA182</f>
        <v/>
      </c>
      <c r="AB183" s="17">
        <f>AA183*(1-1/p_life_fos)+AB182</f>
        <v/>
      </c>
      <c r="AC183" s="17">
        <f>AB183*(1-1/p_life_fos)+AC182</f>
        <v/>
      </c>
      <c r="AD183" s="17">
        <f>AC183*(1-1/p_life_fos)+AD182</f>
        <v/>
      </c>
      <c r="AE183" s="17">
        <f>AD183*(1-1/p_life_fos)+AE182</f>
        <v/>
      </c>
      <c r="AF183" s="17">
        <f>AE183*(1-1/p_life_fos)+AF182</f>
        <v/>
      </c>
      <c r="AG183" s="17">
        <f>AF183*(1-1/p_life_fos)+AG182</f>
        <v/>
      </c>
      <c r="AH183" s="17">
        <f>AG183*(1-1/p_life_fos)+AH182</f>
        <v/>
      </c>
      <c r="AI183" s="17">
        <f>AH183*(1-1/p_life_fos)+AI182</f>
        <v/>
      </c>
      <c r="AJ183" s="17">
        <f>AI183*(1-1/p_life_fos)+AJ182</f>
        <v/>
      </c>
      <c r="AK183" s="17">
        <f>AJ183*(1-1/p_life_fos)+AK182</f>
        <v/>
      </c>
      <c r="AL183" s="17">
        <f>AK183*(1-1/p_life_fos)+AL182</f>
        <v/>
      </c>
      <c r="AM183" s="17">
        <f>AL183*(1-1/p_life_fos)+AM182</f>
        <v/>
      </c>
      <c r="AN183" s="17">
        <f>AM183*(1-1/p_life_fos)+AN182</f>
        <v/>
      </c>
    </row>
    <row r="184">
      <c r="A184" s="9" t="n">
        <v>7</v>
      </c>
      <c r="B184" s="9" t="inlineStr"/>
      <c r="C184" s="9" t="inlineStr">
        <is>
          <t>pow</t>
        </is>
      </c>
      <c r="D184" s="9" t="inlineStr">
        <is>
          <t>Investment: generation</t>
        </is>
      </c>
      <c r="E184" s="9" t="inlineStr">
        <is>
          <t>USD bn</t>
        </is>
      </c>
      <c r="F184" s="9" t="inlineStr">
        <is>
          <t>Model</t>
        </is>
      </c>
      <c r="G184" s="18" t="n"/>
      <c r="H184" s="18" t="inlineStr">
        <is>
          <t>mit.inv.gen.2</t>
        </is>
      </c>
      <c r="I184" s="9" t="n"/>
      <c r="J184" s="9" t="n"/>
      <c r="K184" s="17" t="n"/>
      <c r="L184" s="17" t="n"/>
      <c r="M184" s="17" t="n"/>
      <c r="N184" s="19">
        <f>0</f>
        <v/>
      </c>
      <c r="O184" s="17">
        <f>(O178*O146+O180*O147+O182*p_capex_gas)*$J$11/1000</f>
        <v/>
      </c>
      <c r="P184" s="17">
        <f>(P178*P146+P180*P147+P182*p_capex_gas)*$J$11/1000</f>
        <v/>
      </c>
      <c r="Q184" s="17">
        <f>(Q178*Q146+Q180*Q147+Q182*p_capex_gas)*$J$11/1000</f>
        <v/>
      </c>
      <c r="R184" s="17">
        <f>(R178*R146+R180*R147+R182*p_capex_gas)*$J$11/1000</f>
        <v/>
      </c>
      <c r="S184" s="17">
        <f>(S178*S146+S180*S147+S182*p_capex_gas)*$J$11/1000</f>
        <v/>
      </c>
      <c r="T184" s="17">
        <f>(T178*T146+T180*T147+T182*p_capex_gas)*$J$11/1000</f>
        <v/>
      </c>
      <c r="U184" s="17">
        <f>(U178*U146+U180*U147+U182*p_capex_gas)*$J$11/1000</f>
        <v/>
      </c>
      <c r="V184" s="17">
        <f>(V178*V146+V180*V147+V182*p_capex_gas)*$J$11/1000</f>
        <v/>
      </c>
      <c r="W184" s="17">
        <f>(W178*W146+W180*W147+W182*p_capex_gas)*$J$11/1000</f>
        <v/>
      </c>
      <c r="X184" s="17">
        <f>(X178*X146+X180*X147+X182*p_capex_gas)*$J$11/1000</f>
        <v/>
      </c>
      <c r="Y184" s="17">
        <f>(Y178*Y146+Y180*Y147+Y182*p_capex_gas)*$J$11/1000</f>
        <v/>
      </c>
      <c r="Z184" s="17">
        <f>(Z178*Z146+Z180*Z147+Z182*p_capex_gas)*$J$11/1000</f>
        <v/>
      </c>
      <c r="AA184" s="17">
        <f>(AA178*AA146+AA180*AA147+AA182*p_capex_gas)*$J$11/1000</f>
        <v/>
      </c>
      <c r="AB184" s="17">
        <f>(AB178*AB146+AB180*AB147+AB182*p_capex_gas)*$J$11/1000</f>
        <v/>
      </c>
      <c r="AC184" s="17">
        <f>(AC178*AC146+AC180*AC147+AC182*p_capex_gas)*$J$11/1000</f>
        <v/>
      </c>
      <c r="AD184" s="17">
        <f>(AD178*AD146+AD180*AD147+AD182*p_capex_gas)*$J$11/1000</f>
        <v/>
      </c>
      <c r="AE184" s="17">
        <f>(AE178*AE146+AE180*AE147+AE182*p_capex_gas)*$J$11/1000</f>
        <v/>
      </c>
      <c r="AF184" s="17">
        <f>(AF178*AF146+AF180*AF147+AF182*p_capex_gas)*$J$11/1000</f>
        <v/>
      </c>
      <c r="AG184" s="17">
        <f>(AG178*AG146+AG180*AG147+AG182*p_capex_gas)*$J$11/1000</f>
        <v/>
      </c>
      <c r="AH184" s="17">
        <f>(AH178*AH146+AH180*AH147+AH182*p_capex_gas)*$J$11/1000</f>
        <v/>
      </c>
      <c r="AI184" s="17">
        <f>(AI178*AI146+AI180*AI147+AI182*p_capex_gas)*$J$11/1000</f>
        <v/>
      </c>
      <c r="AJ184" s="17">
        <f>(AJ178*AJ146+AJ180*AJ147+AJ182*p_capex_gas)*$J$11/1000</f>
        <v/>
      </c>
      <c r="AK184" s="17">
        <f>(AK178*AK146+AK180*AK147+AK182*p_capex_gas)*$J$11/1000</f>
        <v/>
      </c>
      <c r="AL184" s="17">
        <f>(AL178*AL146+AL180*AL147+AL182*p_capex_gas)*$J$11/1000</f>
        <v/>
      </c>
      <c r="AM184" s="17">
        <f>(AM178*AM146+AM180*AM147+AM182*p_capex_gas)*$J$11/1000</f>
        <v/>
      </c>
      <c r="AN184" s="17">
        <f>(AN178*AN146+AN180*AN147+AN182*p_capex_gas)*$J$11/1000</f>
        <v/>
      </c>
    </row>
    <row r="185">
      <c r="A185" s="9" t="n">
        <v>7</v>
      </c>
      <c r="B185" s="9" t="inlineStr"/>
      <c r="C185" s="9" t="inlineStr">
        <is>
          <t>pow</t>
        </is>
      </c>
      <c r="D185" s="9" t="inlineStr">
        <is>
          <t>VRE share of generation</t>
        </is>
      </c>
      <c r="E185" s="9" t="inlineStr">
        <is>
          <t>share</t>
        </is>
      </c>
      <c r="F185" s="9" t="inlineStr">
        <is>
          <t>Model</t>
        </is>
      </c>
      <c r="G185" s="18" t="n"/>
      <c r="H185" s="18" t="inlineStr">
        <is>
          <t>mit.gen.vsh.2</t>
        </is>
      </c>
      <c r="I185" s="9" t="n"/>
      <c r="J185" s="9" t="n"/>
      <c r="K185" s="17" t="n"/>
      <c r="L185" s="17" t="n"/>
      <c r="M185" s="17" t="n"/>
      <c r="N185" s="19">
        <f>IF(N171&gt;0,(N175+N176)/N171,0)</f>
        <v/>
      </c>
      <c r="O185" s="17">
        <f>IF(O171&gt;0,(O175+O176)/O171,0)</f>
        <v/>
      </c>
      <c r="P185" s="17">
        <f>IF(P171&gt;0,(P175+P176)/P171,0)</f>
        <v/>
      </c>
      <c r="Q185" s="17">
        <f>IF(Q171&gt;0,(Q175+Q176)/Q171,0)</f>
        <v/>
      </c>
      <c r="R185" s="17">
        <f>IF(R171&gt;0,(R175+R176)/R171,0)</f>
        <v/>
      </c>
      <c r="S185" s="17">
        <f>IF(S171&gt;0,(S175+S176)/S171,0)</f>
        <v/>
      </c>
      <c r="T185" s="17">
        <f>IF(T171&gt;0,(T175+T176)/T171,0)</f>
        <v/>
      </c>
      <c r="U185" s="17">
        <f>IF(U171&gt;0,(U175+U176)/U171,0)</f>
        <v/>
      </c>
      <c r="V185" s="17">
        <f>IF(V171&gt;0,(V175+V176)/V171,0)</f>
        <v/>
      </c>
      <c r="W185" s="17">
        <f>IF(W171&gt;0,(W175+W176)/W171,0)</f>
        <v/>
      </c>
      <c r="X185" s="17">
        <f>IF(X171&gt;0,(X175+X176)/X171,0)</f>
        <v/>
      </c>
      <c r="Y185" s="17">
        <f>IF(Y171&gt;0,(Y175+Y176)/Y171,0)</f>
        <v/>
      </c>
      <c r="Z185" s="17">
        <f>IF(Z171&gt;0,(Z175+Z176)/Z171,0)</f>
        <v/>
      </c>
      <c r="AA185" s="17">
        <f>IF(AA171&gt;0,(AA175+AA176)/AA171,0)</f>
        <v/>
      </c>
      <c r="AB185" s="17">
        <f>IF(AB171&gt;0,(AB175+AB176)/AB171,0)</f>
        <v/>
      </c>
      <c r="AC185" s="17">
        <f>IF(AC171&gt;0,(AC175+AC176)/AC171,0)</f>
        <v/>
      </c>
      <c r="AD185" s="17">
        <f>IF(AD171&gt;0,(AD175+AD176)/AD171,0)</f>
        <v/>
      </c>
      <c r="AE185" s="17">
        <f>IF(AE171&gt;0,(AE175+AE176)/AE171,0)</f>
        <v/>
      </c>
      <c r="AF185" s="17">
        <f>IF(AF171&gt;0,(AF175+AF176)/AF171,0)</f>
        <v/>
      </c>
      <c r="AG185" s="17">
        <f>IF(AG171&gt;0,(AG175+AG176)/AG171,0)</f>
        <v/>
      </c>
      <c r="AH185" s="17">
        <f>IF(AH171&gt;0,(AH175+AH176)/AH171,0)</f>
        <v/>
      </c>
      <c r="AI185" s="17">
        <f>IF(AI171&gt;0,(AI175+AI176)/AI171,0)</f>
        <v/>
      </c>
      <c r="AJ185" s="17">
        <f>IF(AJ171&gt;0,(AJ175+AJ176)/AJ171,0)</f>
        <v/>
      </c>
      <c r="AK185" s="17">
        <f>IF(AK171&gt;0,(AK175+AK176)/AK171,0)</f>
        <v/>
      </c>
      <c r="AL185" s="17">
        <f>IF(AL171&gt;0,(AL175+AL176)/AL171,0)</f>
        <v/>
      </c>
      <c r="AM185" s="17">
        <f>IF(AM171&gt;0,(AM175+AM176)/AM171,0)</f>
        <v/>
      </c>
      <c r="AN185" s="17">
        <f>IF(AN171&gt;0,(AN175+AN176)/AN171,0)</f>
        <v/>
      </c>
    </row>
    <row r="186">
      <c r="A186" s="9" t="n">
        <v>7</v>
      </c>
      <c r="B186" s="9" t="inlineStr"/>
      <c r="C186" s="9" t="inlineStr">
        <is>
          <t>pow</t>
        </is>
      </c>
      <c r="D186" s="9" t="inlineStr">
        <is>
          <t>Investment: grids and storage</t>
        </is>
      </c>
      <c r="E186" s="9" t="inlineStr">
        <is>
          <t>USD bn</t>
        </is>
      </c>
      <c r="F186" s="9" t="inlineStr">
        <is>
          <t>Model</t>
        </is>
      </c>
      <c r="G186" s="18" t="n"/>
      <c r="H186" s="18" t="inlineStr">
        <is>
          <t>mit.inv.grid.2</t>
        </is>
      </c>
      <c r="I186" s="9" t="n"/>
      <c r="J186" s="9" t="n"/>
      <c r="K186" s="17" t="n"/>
      <c r="L186" s="17" t="n"/>
      <c r="M186" s="17" t="n"/>
      <c r="N186" s="19">
        <f>0</f>
        <v/>
      </c>
      <c r="O186" s="17">
        <f>p_grid_ratio*O184+(O178+O180)*p_st_h*MIN(1,MAX(0,(O185-0.2)/0.6))*O148*$J$11/1000</f>
        <v/>
      </c>
      <c r="P186" s="17">
        <f>p_grid_ratio*P184+(P178+P180)*p_st_h*MIN(1,MAX(0,(P185-0.2)/0.6))*P148*$J$11/1000</f>
        <v/>
      </c>
      <c r="Q186" s="17">
        <f>p_grid_ratio*Q184+(Q178+Q180)*p_st_h*MIN(1,MAX(0,(Q185-0.2)/0.6))*Q148*$J$11/1000</f>
        <v/>
      </c>
      <c r="R186" s="17">
        <f>p_grid_ratio*R184+(R178+R180)*p_st_h*MIN(1,MAX(0,(R185-0.2)/0.6))*R148*$J$11/1000</f>
        <v/>
      </c>
      <c r="S186" s="17">
        <f>p_grid_ratio*S184+(S178+S180)*p_st_h*MIN(1,MAX(0,(S185-0.2)/0.6))*S148*$J$11/1000</f>
        <v/>
      </c>
      <c r="T186" s="17">
        <f>p_grid_ratio*T184+(T178+T180)*p_st_h*MIN(1,MAX(0,(T185-0.2)/0.6))*T148*$J$11/1000</f>
        <v/>
      </c>
      <c r="U186" s="17">
        <f>p_grid_ratio*U184+(U178+U180)*p_st_h*MIN(1,MAX(0,(U185-0.2)/0.6))*U148*$J$11/1000</f>
        <v/>
      </c>
      <c r="V186" s="17">
        <f>p_grid_ratio*V184+(V178+V180)*p_st_h*MIN(1,MAX(0,(V185-0.2)/0.6))*V148*$J$11/1000</f>
        <v/>
      </c>
      <c r="W186" s="17">
        <f>p_grid_ratio*W184+(W178+W180)*p_st_h*MIN(1,MAX(0,(W185-0.2)/0.6))*W148*$J$11/1000</f>
        <v/>
      </c>
      <c r="X186" s="17">
        <f>p_grid_ratio*X184+(X178+X180)*p_st_h*MIN(1,MAX(0,(X185-0.2)/0.6))*X148*$J$11/1000</f>
        <v/>
      </c>
      <c r="Y186" s="17">
        <f>p_grid_ratio*Y184+(Y178+Y180)*p_st_h*MIN(1,MAX(0,(Y185-0.2)/0.6))*Y148*$J$11/1000</f>
        <v/>
      </c>
      <c r="Z186" s="17">
        <f>p_grid_ratio*Z184+(Z178+Z180)*p_st_h*MIN(1,MAX(0,(Z185-0.2)/0.6))*Z148*$J$11/1000</f>
        <v/>
      </c>
      <c r="AA186" s="17">
        <f>p_grid_ratio*AA184+(AA178+AA180)*p_st_h*MIN(1,MAX(0,(AA185-0.2)/0.6))*AA148*$J$11/1000</f>
        <v/>
      </c>
      <c r="AB186" s="17">
        <f>p_grid_ratio*AB184+(AB178+AB180)*p_st_h*MIN(1,MAX(0,(AB185-0.2)/0.6))*AB148*$J$11/1000</f>
        <v/>
      </c>
      <c r="AC186" s="17">
        <f>p_grid_ratio*AC184+(AC178+AC180)*p_st_h*MIN(1,MAX(0,(AC185-0.2)/0.6))*AC148*$J$11/1000</f>
        <v/>
      </c>
      <c r="AD186" s="17">
        <f>p_grid_ratio*AD184+(AD178+AD180)*p_st_h*MIN(1,MAX(0,(AD185-0.2)/0.6))*AD148*$J$11/1000</f>
        <v/>
      </c>
      <c r="AE186" s="17">
        <f>p_grid_ratio*AE184+(AE178+AE180)*p_st_h*MIN(1,MAX(0,(AE185-0.2)/0.6))*AE148*$J$11/1000</f>
        <v/>
      </c>
      <c r="AF186" s="17">
        <f>p_grid_ratio*AF184+(AF178+AF180)*p_st_h*MIN(1,MAX(0,(AF185-0.2)/0.6))*AF148*$J$11/1000</f>
        <v/>
      </c>
      <c r="AG186" s="17">
        <f>p_grid_ratio*AG184+(AG178+AG180)*p_st_h*MIN(1,MAX(0,(AG185-0.2)/0.6))*AG148*$J$11/1000</f>
        <v/>
      </c>
      <c r="AH186" s="17">
        <f>p_grid_ratio*AH184+(AH178+AH180)*p_st_h*MIN(1,MAX(0,(AH185-0.2)/0.6))*AH148*$J$11/1000</f>
        <v/>
      </c>
      <c r="AI186" s="17">
        <f>p_grid_ratio*AI184+(AI178+AI180)*p_st_h*MIN(1,MAX(0,(AI185-0.2)/0.6))*AI148*$J$11/1000</f>
        <v/>
      </c>
      <c r="AJ186" s="17">
        <f>p_grid_ratio*AJ184+(AJ178+AJ180)*p_st_h*MIN(1,MAX(0,(AJ185-0.2)/0.6))*AJ148*$J$11/1000</f>
        <v/>
      </c>
      <c r="AK186" s="17">
        <f>p_grid_ratio*AK184+(AK178+AK180)*p_st_h*MIN(1,MAX(0,(AK185-0.2)/0.6))*AK148*$J$11/1000</f>
        <v/>
      </c>
      <c r="AL186" s="17">
        <f>p_grid_ratio*AL184+(AL178+AL180)*p_st_h*MIN(1,MAX(0,(AL185-0.2)/0.6))*AL148*$J$11/1000</f>
        <v/>
      </c>
      <c r="AM186" s="17">
        <f>p_grid_ratio*AM184+(AM178+AM180)*p_st_h*MIN(1,MAX(0,(AM185-0.2)/0.6))*AM148*$J$11/1000</f>
        <v/>
      </c>
      <c r="AN186" s="17">
        <f>p_grid_ratio*AN184+(AN178+AN180)*p_st_h*MIN(1,MAX(0,(AN185-0.2)/0.6))*AN148*$J$11/1000</f>
        <v/>
      </c>
    </row>
    <row r="187">
      <c r="A187" s="9" t="n">
        <v>7</v>
      </c>
      <c r="B187" s="9" t="inlineStr">
        <is>
          <t>coa</t>
        </is>
      </c>
      <c r="C187" s="9" t="inlineStr">
        <is>
          <t>pow</t>
        </is>
      </c>
      <c r="D187" s="9" t="inlineStr">
        <is>
          <t>Power fuel use</t>
        </is>
      </c>
      <c r="E187" s="9" t="inlineStr">
        <is>
          <t>PJ</t>
        </is>
      </c>
      <c r="F187" s="9" t="inlineStr">
        <is>
          <t>Model</t>
        </is>
      </c>
      <c r="G187" s="18" t="n"/>
      <c r="H187" s="18" t="inlineStr">
        <is>
          <t>mit.con.coa.pow.2</t>
        </is>
      </c>
      <c r="I187" s="9" t="n"/>
      <c r="J187" s="9" t="n"/>
      <c r="K187" s="17" t="n"/>
      <c r="L187" s="17" t="n"/>
      <c r="M187" s="17" t="n"/>
      <c r="N187" s="19">
        <f>N173*$J$24*$J$27</f>
        <v/>
      </c>
      <c r="O187" s="17">
        <f>O173*$J$24*$J$27</f>
        <v/>
      </c>
      <c r="P187" s="17">
        <f>P173*$J$24*$J$27</f>
        <v/>
      </c>
      <c r="Q187" s="17">
        <f>Q173*$J$24*$J$27</f>
        <v/>
      </c>
      <c r="R187" s="17">
        <f>R173*$J$24*$J$27</f>
        <v/>
      </c>
      <c r="S187" s="17">
        <f>S173*$J$24*$J$27</f>
        <v/>
      </c>
      <c r="T187" s="17">
        <f>T173*$J$24*$J$27</f>
        <v/>
      </c>
      <c r="U187" s="17">
        <f>U173*$J$24*$J$27</f>
        <v/>
      </c>
      <c r="V187" s="17">
        <f>V173*$J$24*$J$27</f>
        <v/>
      </c>
      <c r="W187" s="17">
        <f>W173*$J$24*$J$27</f>
        <v/>
      </c>
      <c r="X187" s="17">
        <f>X173*$J$24*$J$27</f>
        <v/>
      </c>
      <c r="Y187" s="17">
        <f>Y173*$J$24*$J$27</f>
        <v/>
      </c>
      <c r="Z187" s="17">
        <f>Z173*$J$24*$J$27</f>
        <v/>
      </c>
      <c r="AA187" s="17">
        <f>AA173*$J$24*$J$27</f>
        <v/>
      </c>
      <c r="AB187" s="17">
        <f>AB173*$J$24*$J$27</f>
        <v/>
      </c>
      <c r="AC187" s="17">
        <f>AC173*$J$24*$J$27</f>
        <v/>
      </c>
      <c r="AD187" s="17">
        <f>AD173*$J$24*$J$27</f>
        <v/>
      </c>
      <c r="AE187" s="17">
        <f>AE173*$J$24*$J$27</f>
        <v/>
      </c>
      <c r="AF187" s="17">
        <f>AF173*$J$24*$J$27</f>
        <v/>
      </c>
      <c r="AG187" s="17">
        <f>AG173*$J$24*$J$27</f>
        <v/>
      </c>
      <c r="AH187" s="17">
        <f>AH173*$J$24*$J$27</f>
        <v/>
      </c>
      <c r="AI187" s="17">
        <f>AI173*$J$24*$J$27</f>
        <v/>
      </c>
      <c r="AJ187" s="17">
        <f>AJ173*$J$24*$J$27</f>
        <v/>
      </c>
      <c r="AK187" s="17">
        <f>AK173*$J$24*$J$27</f>
        <v/>
      </c>
      <c r="AL187" s="17">
        <f>AL173*$J$24*$J$27</f>
        <v/>
      </c>
      <c r="AM187" s="17">
        <f>AM173*$J$24*$J$27</f>
        <v/>
      </c>
      <c r="AN187" s="17">
        <f>AN173*$J$24*$J$27</f>
        <v/>
      </c>
    </row>
    <row r="188">
      <c r="A188" s="9" t="n">
        <v>7</v>
      </c>
      <c r="B188" s="9" t="inlineStr">
        <is>
          <t>nga</t>
        </is>
      </c>
      <c r="C188" s="9" t="inlineStr">
        <is>
          <t>pow</t>
        </is>
      </c>
      <c r="D188" s="9" t="inlineStr">
        <is>
          <t>Power fuel use</t>
        </is>
      </c>
      <c r="E188" s="9" t="inlineStr">
        <is>
          <t>PJ</t>
        </is>
      </c>
      <c r="F188" s="9" t="inlineStr">
        <is>
          <t>Model</t>
        </is>
      </c>
      <c r="G188" s="18" t="n"/>
      <c r="H188" s="18" t="inlineStr">
        <is>
          <t>mit.con.nga.pow.2</t>
        </is>
      </c>
      <c r="I188" s="9" t="n"/>
      <c r="J188" s="9" t="n"/>
      <c r="K188" s="17" t="n"/>
      <c r="L188" s="17" t="n"/>
      <c r="M188" s="17" t="n"/>
      <c r="N188" s="19">
        <f>N173*$J$25*$J$28</f>
        <v/>
      </c>
      <c r="O188" s="17">
        <f>O173*$J$25*$J$28</f>
        <v/>
      </c>
      <c r="P188" s="17">
        <f>P173*$J$25*$J$28</f>
        <v/>
      </c>
      <c r="Q188" s="17">
        <f>Q173*$J$25*$J$28</f>
        <v/>
      </c>
      <c r="R188" s="17">
        <f>R173*$J$25*$J$28</f>
        <v/>
      </c>
      <c r="S188" s="17">
        <f>S173*$J$25*$J$28</f>
        <v/>
      </c>
      <c r="T188" s="17">
        <f>T173*$J$25*$J$28</f>
        <v/>
      </c>
      <c r="U188" s="17">
        <f>U173*$J$25*$J$28</f>
        <v/>
      </c>
      <c r="V188" s="17">
        <f>V173*$J$25*$J$28</f>
        <v/>
      </c>
      <c r="W188" s="17">
        <f>W173*$J$25*$J$28</f>
        <v/>
      </c>
      <c r="X188" s="17">
        <f>X173*$J$25*$J$28</f>
        <v/>
      </c>
      <c r="Y188" s="17">
        <f>Y173*$J$25*$J$28</f>
        <v/>
      </c>
      <c r="Z188" s="17">
        <f>Z173*$J$25*$J$28</f>
        <v/>
      </c>
      <c r="AA188" s="17">
        <f>AA173*$J$25*$J$28</f>
        <v/>
      </c>
      <c r="AB188" s="17">
        <f>AB173*$J$25*$J$28</f>
        <v/>
      </c>
      <c r="AC188" s="17">
        <f>AC173*$J$25*$J$28</f>
        <v/>
      </c>
      <c r="AD188" s="17">
        <f>AD173*$J$25*$J$28</f>
        <v/>
      </c>
      <c r="AE188" s="17">
        <f>AE173*$J$25*$J$28</f>
        <v/>
      </c>
      <c r="AF188" s="17">
        <f>AF173*$J$25*$J$28</f>
        <v/>
      </c>
      <c r="AG188" s="17">
        <f>AG173*$J$25*$J$28</f>
        <v/>
      </c>
      <c r="AH188" s="17">
        <f>AH173*$J$25*$J$28</f>
        <v/>
      </c>
      <c r="AI188" s="17">
        <f>AI173*$J$25*$J$28</f>
        <v/>
      </c>
      <c r="AJ188" s="17">
        <f>AJ173*$J$25*$J$28</f>
        <v/>
      </c>
      <c r="AK188" s="17">
        <f>AK173*$J$25*$J$28</f>
        <v/>
      </c>
      <c r="AL188" s="17">
        <f>AL173*$J$25*$J$28</f>
        <v/>
      </c>
      <c r="AM188" s="17">
        <f>AM173*$J$25*$J$28</f>
        <v/>
      </c>
      <c r="AN188" s="17">
        <f>AN173*$J$25*$J$28</f>
        <v/>
      </c>
    </row>
    <row r="189">
      <c r="A189" s="9" t="n">
        <v>7</v>
      </c>
      <c r="B189" s="9" t="inlineStr">
        <is>
          <t>oil</t>
        </is>
      </c>
      <c r="C189" s="9" t="inlineStr">
        <is>
          <t>pow</t>
        </is>
      </c>
      <c r="D189" s="9" t="inlineStr">
        <is>
          <t>Power fuel use</t>
        </is>
      </c>
      <c r="E189" s="9" t="inlineStr">
        <is>
          <t>PJ</t>
        </is>
      </c>
      <c r="F189" s="9" t="inlineStr">
        <is>
          <t>Model</t>
        </is>
      </c>
      <c r="G189" s="18" t="n"/>
      <c r="H189" s="18" t="inlineStr">
        <is>
          <t>mit.con.oil.pow.2</t>
        </is>
      </c>
      <c r="I189" s="9" t="n"/>
      <c r="J189" s="9" t="n"/>
      <c r="K189" s="17" t="n"/>
      <c r="L189" s="17" t="n"/>
      <c r="M189" s="17" t="n"/>
      <c r="N189" s="19">
        <f>N173*$J$26*p_hr_oil</f>
        <v/>
      </c>
      <c r="O189" s="17">
        <f>O173*$J$26*p_hr_oil</f>
        <v/>
      </c>
      <c r="P189" s="17">
        <f>P173*$J$26*p_hr_oil</f>
        <v/>
      </c>
      <c r="Q189" s="17">
        <f>Q173*$J$26*p_hr_oil</f>
        <v/>
      </c>
      <c r="R189" s="17">
        <f>R173*$J$26*p_hr_oil</f>
        <v/>
      </c>
      <c r="S189" s="17">
        <f>S173*$J$26*p_hr_oil</f>
        <v/>
      </c>
      <c r="T189" s="17">
        <f>T173*$J$26*p_hr_oil</f>
        <v/>
      </c>
      <c r="U189" s="17">
        <f>U173*$J$26*p_hr_oil</f>
        <v/>
      </c>
      <c r="V189" s="17">
        <f>V173*$J$26*p_hr_oil</f>
        <v/>
      </c>
      <c r="W189" s="17">
        <f>W173*$J$26*p_hr_oil</f>
        <v/>
      </c>
      <c r="X189" s="17">
        <f>X173*$J$26*p_hr_oil</f>
        <v/>
      </c>
      <c r="Y189" s="17">
        <f>Y173*$J$26*p_hr_oil</f>
        <v/>
      </c>
      <c r="Z189" s="17">
        <f>Z173*$J$26*p_hr_oil</f>
        <v/>
      </c>
      <c r="AA189" s="17">
        <f>AA173*$J$26*p_hr_oil</f>
        <v/>
      </c>
      <c r="AB189" s="17">
        <f>AB173*$J$26*p_hr_oil</f>
        <v/>
      </c>
      <c r="AC189" s="17">
        <f>AC173*$J$26*p_hr_oil</f>
        <v/>
      </c>
      <c r="AD189" s="17">
        <f>AD173*$J$26*p_hr_oil</f>
        <v/>
      </c>
      <c r="AE189" s="17">
        <f>AE173*$J$26*p_hr_oil</f>
        <v/>
      </c>
      <c r="AF189" s="17">
        <f>AF173*$J$26*p_hr_oil</f>
        <v/>
      </c>
      <c r="AG189" s="17">
        <f>AG173*$J$26*p_hr_oil</f>
        <v/>
      </c>
      <c r="AH189" s="17">
        <f>AH173*$J$26*p_hr_oil</f>
        <v/>
      </c>
      <c r="AI189" s="17">
        <f>AI173*$J$26*p_hr_oil</f>
        <v/>
      </c>
      <c r="AJ189" s="17">
        <f>AJ173*$J$26*p_hr_oil</f>
        <v/>
      </c>
      <c r="AK189" s="17">
        <f>AK173*$J$26*p_hr_oil</f>
        <v/>
      </c>
      <c r="AL189" s="17">
        <f>AL173*$J$26*p_hr_oil</f>
        <v/>
      </c>
      <c r="AM189" s="17">
        <f>AM173*$J$26*p_hr_oil</f>
        <v/>
      </c>
      <c r="AN189" s="17">
        <f>AN173*$J$26*p_hr_oil</f>
        <v/>
      </c>
    </row>
    <row r="190">
      <c r="A190" s="9" t="n">
        <v>7</v>
      </c>
      <c r="B190" s="9" t="inlineStr"/>
      <c r="C190" s="9" t="inlineStr">
        <is>
          <t>pow</t>
        </is>
      </c>
      <c r="D190" s="9" t="inlineStr">
        <is>
          <t>Power O&amp;M</t>
        </is>
      </c>
      <c r="E190" s="9" t="inlineStr">
        <is>
          <t>USD bn</t>
        </is>
      </c>
      <c r="F190" s="9" t="inlineStr">
        <is>
          <t>Model</t>
        </is>
      </c>
      <c r="G190" s="18" t="n"/>
      <c r="H190" s="18" t="inlineStr">
        <is>
          <t>mit.om.pow.2</t>
        </is>
      </c>
      <c r="I190" s="9" t="n"/>
      <c r="J190" s="9" t="n"/>
      <c r="K190" s="17" t="n"/>
      <c r="L190" s="17" t="n"/>
      <c r="M190" s="17" t="n"/>
      <c r="N190" s="19">
        <f>p_om_vre*(N177*p_capex_sol24+N179*p_capex_wnd24)/1000+N173*p_om_fos</f>
        <v/>
      </c>
      <c r="O190" s="17">
        <f>p_om_vre*(O177*p_capex_sol24+O179*p_capex_wnd24)/1000+O173*p_om_fos</f>
        <v/>
      </c>
      <c r="P190" s="17">
        <f>p_om_vre*(P177*p_capex_sol24+P179*p_capex_wnd24)/1000+P173*p_om_fos</f>
        <v/>
      </c>
      <c r="Q190" s="17">
        <f>p_om_vre*(Q177*p_capex_sol24+Q179*p_capex_wnd24)/1000+Q173*p_om_fos</f>
        <v/>
      </c>
      <c r="R190" s="17">
        <f>p_om_vre*(R177*p_capex_sol24+R179*p_capex_wnd24)/1000+R173*p_om_fos</f>
        <v/>
      </c>
      <c r="S190" s="17">
        <f>p_om_vre*(S177*p_capex_sol24+S179*p_capex_wnd24)/1000+S173*p_om_fos</f>
        <v/>
      </c>
      <c r="T190" s="17">
        <f>p_om_vre*(T177*p_capex_sol24+T179*p_capex_wnd24)/1000+T173*p_om_fos</f>
        <v/>
      </c>
      <c r="U190" s="17">
        <f>p_om_vre*(U177*p_capex_sol24+U179*p_capex_wnd24)/1000+U173*p_om_fos</f>
        <v/>
      </c>
      <c r="V190" s="17">
        <f>p_om_vre*(V177*p_capex_sol24+V179*p_capex_wnd24)/1000+V173*p_om_fos</f>
        <v/>
      </c>
      <c r="W190" s="17">
        <f>p_om_vre*(W177*p_capex_sol24+W179*p_capex_wnd24)/1000+W173*p_om_fos</f>
        <v/>
      </c>
      <c r="X190" s="17">
        <f>p_om_vre*(X177*p_capex_sol24+X179*p_capex_wnd24)/1000+X173*p_om_fos</f>
        <v/>
      </c>
      <c r="Y190" s="17">
        <f>p_om_vre*(Y177*p_capex_sol24+Y179*p_capex_wnd24)/1000+Y173*p_om_fos</f>
        <v/>
      </c>
      <c r="Z190" s="17">
        <f>p_om_vre*(Z177*p_capex_sol24+Z179*p_capex_wnd24)/1000+Z173*p_om_fos</f>
        <v/>
      </c>
      <c r="AA190" s="17">
        <f>p_om_vre*(AA177*p_capex_sol24+AA179*p_capex_wnd24)/1000+AA173*p_om_fos</f>
        <v/>
      </c>
      <c r="AB190" s="17">
        <f>p_om_vre*(AB177*p_capex_sol24+AB179*p_capex_wnd24)/1000+AB173*p_om_fos</f>
        <v/>
      </c>
      <c r="AC190" s="17">
        <f>p_om_vre*(AC177*p_capex_sol24+AC179*p_capex_wnd24)/1000+AC173*p_om_fos</f>
        <v/>
      </c>
      <c r="AD190" s="17">
        <f>p_om_vre*(AD177*p_capex_sol24+AD179*p_capex_wnd24)/1000+AD173*p_om_fos</f>
        <v/>
      </c>
      <c r="AE190" s="17">
        <f>p_om_vre*(AE177*p_capex_sol24+AE179*p_capex_wnd24)/1000+AE173*p_om_fos</f>
        <v/>
      </c>
      <c r="AF190" s="17">
        <f>p_om_vre*(AF177*p_capex_sol24+AF179*p_capex_wnd24)/1000+AF173*p_om_fos</f>
        <v/>
      </c>
      <c r="AG190" s="17">
        <f>p_om_vre*(AG177*p_capex_sol24+AG179*p_capex_wnd24)/1000+AG173*p_om_fos</f>
        <v/>
      </c>
      <c r="AH190" s="17">
        <f>p_om_vre*(AH177*p_capex_sol24+AH179*p_capex_wnd24)/1000+AH173*p_om_fos</f>
        <v/>
      </c>
      <c r="AI190" s="17">
        <f>p_om_vre*(AI177*p_capex_sol24+AI179*p_capex_wnd24)/1000+AI173*p_om_fos</f>
        <v/>
      </c>
      <c r="AJ190" s="17">
        <f>p_om_vre*(AJ177*p_capex_sol24+AJ179*p_capex_wnd24)/1000+AJ173*p_om_fos</f>
        <v/>
      </c>
      <c r="AK190" s="17">
        <f>p_om_vre*(AK177*p_capex_sol24+AK179*p_capex_wnd24)/1000+AK173*p_om_fos</f>
        <v/>
      </c>
      <c r="AL190" s="17">
        <f>p_om_vre*(AL177*p_capex_sol24+AL179*p_capex_wnd24)/1000+AL173*p_om_fos</f>
        <v/>
      </c>
      <c r="AM190" s="17">
        <f>p_om_vre*(AM177*p_capex_sol24+AM179*p_capex_wnd24)/1000+AM173*p_om_fos</f>
        <v/>
      </c>
      <c r="AN190" s="17">
        <f>p_om_vre*(AN177*p_capex_sol24+AN179*p_capex_wnd24)/1000+AN173*p_om_fos</f>
        <v/>
      </c>
    </row>
    <row r="191">
      <c r="A191" s="12" t="inlineStr">
        <is>
          <t>8. Non-CO2, process and land use</t>
        </is>
      </c>
      <c r="B191" s="13" t="n"/>
      <c r="C191" s="13" t="n"/>
      <c r="D191" s="13" t="n"/>
      <c r="E191" s="13" t="n"/>
      <c r="F191" s="13" t="n"/>
      <c r="G191" s="13" t="n"/>
      <c r="H191" s="13" t="n"/>
      <c r="I191" s="13" t="n"/>
      <c r="J191" s="13"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c r="AE191" s="16" t="n"/>
      <c r="AF191" s="16" t="n"/>
      <c r="AG191" s="16" t="n"/>
      <c r="AH191" s="16" t="n"/>
      <c r="AI191" s="16" t="n"/>
      <c r="AJ191" s="16" t="n"/>
      <c r="AK191" s="16" t="n"/>
      <c r="AL191" s="16" t="n"/>
      <c r="AM191" s="16" t="n"/>
      <c r="AN191" s="16" t="n"/>
    </row>
    <row r="192">
      <c r="A192" s="9" t="n">
        <v>8</v>
      </c>
      <c r="B192" s="9" t="inlineStr"/>
      <c r="C192" s="9" t="inlineStr"/>
      <c r="D192" s="9" t="inlineStr">
        <is>
          <t>Non-CO2 and process GHG abated (net zero)</t>
        </is>
      </c>
      <c r="E192" s="9" t="inlineStr">
        <is>
          <t>MtCO2e</t>
        </is>
      </c>
      <c r="F192" s="9" t="inlineStr">
        <is>
          <t>Model</t>
        </is>
      </c>
      <c r="G192" s="18" t="n"/>
      <c r="H192" s="18" t="inlineStr">
        <is>
          <t>mit.nc.abt.2</t>
        </is>
      </c>
      <c r="I192" s="9" t="n"/>
      <c r="J192" s="9" t="n"/>
      <c r="K192" s="17" t="n"/>
      <c r="L192" s="17" t="n"/>
      <c r="M192" s="17" t="n"/>
      <c r="N192" s="19">
        <f>0</f>
        <v/>
      </c>
      <c r="O192" s="17">
        <f>$J$32*IF(O$1&lt;=2030,p_nc_2030*(O$1-2024)/6,p_nc_2030+(p_nc_2050-p_nc_2030)*(O$1-2030)/20)</f>
        <v/>
      </c>
      <c r="P192" s="17">
        <f>$J$32*IF(P$1&lt;=2030,p_nc_2030*(P$1-2024)/6,p_nc_2030+(p_nc_2050-p_nc_2030)*(P$1-2030)/20)</f>
        <v/>
      </c>
      <c r="Q192" s="17">
        <f>$J$32*IF(Q$1&lt;=2030,p_nc_2030*(Q$1-2024)/6,p_nc_2030+(p_nc_2050-p_nc_2030)*(Q$1-2030)/20)</f>
        <v/>
      </c>
      <c r="R192" s="17">
        <f>$J$32*IF(R$1&lt;=2030,p_nc_2030*(R$1-2024)/6,p_nc_2030+(p_nc_2050-p_nc_2030)*(R$1-2030)/20)</f>
        <v/>
      </c>
      <c r="S192" s="17">
        <f>$J$32*IF(S$1&lt;=2030,p_nc_2030*(S$1-2024)/6,p_nc_2030+(p_nc_2050-p_nc_2030)*(S$1-2030)/20)</f>
        <v/>
      </c>
      <c r="T192" s="17">
        <f>$J$32*IF(T$1&lt;=2030,p_nc_2030*(T$1-2024)/6,p_nc_2030+(p_nc_2050-p_nc_2030)*(T$1-2030)/20)</f>
        <v/>
      </c>
      <c r="U192" s="17">
        <f>$J$32*IF(U$1&lt;=2030,p_nc_2030*(U$1-2024)/6,p_nc_2030+(p_nc_2050-p_nc_2030)*(U$1-2030)/20)</f>
        <v/>
      </c>
      <c r="V192" s="17">
        <f>$J$32*IF(V$1&lt;=2030,p_nc_2030*(V$1-2024)/6,p_nc_2030+(p_nc_2050-p_nc_2030)*(V$1-2030)/20)</f>
        <v/>
      </c>
      <c r="W192" s="17">
        <f>$J$32*IF(W$1&lt;=2030,p_nc_2030*(W$1-2024)/6,p_nc_2030+(p_nc_2050-p_nc_2030)*(W$1-2030)/20)</f>
        <v/>
      </c>
      <c r="X192" s="17">
        <f>$J$32*IF(X$1&lt;=2030,p_nc_2030*(X$1-2024)/6,p_nc_2030+(p_nc_2050-p_nc_2030)*(X$1-2030)/20)</f>
        <v/>
      </c>
      <c r="Y192" s="17">
        <f>$J$32*IF(Y$1&lt;=2030,p_nc_2030*(Y$1-2024)/6,p_nc_2030+(p_nc_2050-p_nc_2030)*(Y$1-2030)/20)</f>
        <v/>
      </c>
      <c r="Z192" s="17">
        <f>$J$32*IF(Z$1&lt;=2030,p_nc_2030*(Z$1-2024)/6,p_nc_2030+(p_nc_2050-p_nc_2030)*(Z$1-2030)/20)</f>
        <v/>
      </c>
      <c r="AA192" s="17">
        <f>$J$32*IF(AA$1&lt;=2030,p_nc_2030*(AA$1-2024)/6,p_nc_2030+(p_nc_2050-p_nc_2030)*(AA$1-2030)/20)</f>
        <v/>
      </c>
      <c r="AB192" s="17">
        <f>$J$32*IF(AB$1&lt;=2030,p_nc_2030*(AB$1-2024)/6,p_nc_2030+(p_nc_2050-p_nc_2030)*(AB$1-2030)/20)</f>
        <v/>
      </c>
      <c r="AC192" s="17">
        <f>$J$32*IF(AC$1&lt;=2030,p_nc_2030*(AC$1-2024)/6,p_nc_2030+(p_nc_2050-p_nc_2030)*(AC$1-2030)/20)</f>
        <v/>
      </c>
      <c r="AD192" s="17">
        <f>$J$32*IF(AD$1&lt;=2030,p_nc_2030*(AD$1-2024)/6,p_nc_2030+(p_nc_2050-p_nc_2030)*(AD$1-2030)/20)</f>
        <v/>
      </c>
      <c r="AE192" s="17">
        <f>$J$32*IF(AE$1&lt;=2030,p_nc_2030*(AE$1-2024)/6,p_nc_2030+(p_nc_2050-p_nc_2030)*(AE$1-2030)/20)</f>
        <v/>
      </c>
      <c r="AF192" s="17">
        <f>$J$32*IF(AF$1&lt;=2030,p_nc_2030*(AF$1-2024)/6,p_nc_2030+(p_nc_2050-p_nc_2030)*(AF$1-2030)/20)</f>
        <v/>
      </c>
      <c r="AG192" s="17">
        <f>$J$32*IF(AG$1&lt;=2030,p_nc_2030*(AG$1-2024)/6,p_nc_2030+(p_nc_2050-p_nc_2030)*(AG$1-2030)/20)</f>
        <v/>
      </c>
      <c r="AH192" s="17">
        <f>$J$32*IF(AH$1&lt;=2030,p_nc_2030*(AH$1-2024)/6,p_nc_2030+(p_nc_2050-p_nc_2030)*(AH$1-2030)/20)</f>
        <v/>
      </c>
      <c r="AI192" s="17">
        <f>$J$32*IF(AI$1&lt;=2030,p_nc_2030*(AI$1-2024)/6,p_nc_2030+(p_nc_2050-p_nc_2030)*(AI$1-2030)/20)</f>
        <v/>
      </c>
      <c r="AJ192" s="17">
        <f>$J$32*IF(AJ$1&lt;=2030,p_nc_2030*(AJ$1-2024)/6,p_nc_2030+(p_nc_2050-p_nc_2030)*(AJ$1-2030)/20)</f>
        <v/>
      </c>
      <c r="AK192" s="17">
        <f>$J$32*IF(AK$1&lt;=2030,p_nc_2030*(AK$1-2024)/6,p_nc_2030+(p_nc_2050-p_nc_2030)*(AK$1-2030)/20)</f>
        <v/>
      </c>
      <c r="AL192" s="17">
        <f>$J$32*IF(AL$1&lt;=2030,p_nc_2030*(AL$1-2024)/6,p_nc_2030+(p_nc_2050-p_nc_2030)*(AL$1-2030)/20)</f>
        <v/>
      </c>
      <c r="AM192" s="17">
        <f>$J$32*IF(AM$1&lt;=2030,p_nc_2030*(AM$1-2024)/6,p_nc_2030+(p_nc_2050-p_nc_2030)*(AM$1-2030)/20)</f>
        <v/>
      </c>
      <c r="AN192" s="17">
        <f>$J$32*IF(AN$1&lt;=2030,p_nc_2030*(AN$1-2024)/6,p_nc_2030+(p_nc_2050-p_nc_2030)*(AN$1-2030)/20)</f>
        <v/>
      </c>
    </row>
    <row r="193">
      <c r="A193" s="9" t="n">
        <v>8</v>
      </c>
      <c r="B193" s="9" t="inlineStr"/>
      <c r="C193" s="9" t="inlineStr"/>
      <c r="D193" s="9" t="inlineStr">
        <is>
          <t>Net land-use emissions abated (net zero)</t>
        </is>
      </c>
      <c r="E193" s="9" t="inlineStr">
        <is>
          <t>MtCO2e</t>
        </is>
      </c>
      <c r="F193" s="9" t="inlineStr">
        <is>
          <t>Model</t>
        </is>
      </c>
      <c r="G193" s="18" t="n"/>
      <c r="H193" s="18" t="inlineStr">
        <is>
          <t>mit.lu.abt.2</t>
        </is>
      </c>
      <c r="I193" s="9" t="n"/>
      <c r="J193" s="9" t="n"/>
      <c r="K193" s="17" t="n"/>
      <c r="L193" s="17" t="n"/>
      <c r="M193" s="17" t="n"/>
      <c r="N193" s="19">
        <f>0</f>
        <v/>
      </c>
      <c r="O193" s="17">
        <f>$J$33*MIN(1,(O$1-2024)/(p_lu_T-2024))</f>
        <v/>
      </c>
      <c r="P193" s="17">
        <f>$J$33*MIN(1,(P$1-2024)/(p_lu_T-2024))</f>
        <v/>
      </c>
      <c r="Q193" s="17">
        <f>$J$33*MIN(1,(Q$1-2024)/(p_lu_T-2024))</f>
        <v/>
      </c>
      <c r="R193" s="17">
        <f>$J$33*MIN(1,(R$1-2024)/(p_lu_T-2024))</f>
        <v/>
      </c>
      <c r="S193" s="17">
        <f>$J$33*MIN(1,(S$1-2024)/(p_lu_T-2024))</f>
        <v/>
      </c>
      <c r="T193" s="17">
        <f>$J$33*MIN(1,(T$1-2024)/(p_lu_T-2024))</f>
        <v/>
      </c>
      <c r="U193" s="17">
        <f>$J$33*MIN(1,(U$1-2024)/(p_lu_T-2024))</f>
        <v/>
      </c>
      <c r="V193" s="17">
        <f>$J$33*MIN(1,(V$1-2024)/(p_lu_T-2024))</f>
        <v/>
      </c>
      <c r="W193" s="17">
        <f>$J$33*MIN(1,(W$1-2024)/(p_lu_T-2024))</f>
        <v/>
      </c>
      <c r="X193" s="17">
        <f>$J$33*MIN(1,(X$1-2024)/(p_lu_T-2024))</f>
        <v/>
      </c>
      <c r="Y193" s="17">
        <f>$J$33*MIN(1,(Y$1-2024)/(p_lu_T-2024))</f>
        <v/>
      </c>
      <c r="Z193" s="17">
        <f>$J$33*MIN(1,(Z$1-2024)/(p_lu_T-2024))</f>
        <v/>
      </c>
      <c r="AA193" s="17">
        <f>$J$33*MIN(1,(AA$1-2024)/(p_lu_T-2024))</f>
        <v/>
      </c>
      <c r="AB193" s="17">
        <f>$J$33*MIN(1,(AB$1-2024)/(p_lu_T-2024))</f>
        <v/>
      </c>
      <c r="AC193" s="17">
        <f>$J$33*MIN(1,(AC$1-2024)/(p_lu_T-2024))</f>
        <v/>
      </c>
      <c r="AD193" s="17">
        <f>$J$33*MIN(1,(AD$1-2024)/(p_lu_T-2024))</f>
        <v/>
      </c>
      <c r="AE193" s="17">
        <f>$J$33*MIN(1,(AE$1-2024)/(p_lu_T-2024))</f>
        <v/>
      </c>
      <c r="AF193" s="17">
        <f>$J$33*MIN(1,(AF$1-2024)/(p_lu_T-2024))</f>
        <v/>
      </c>
      <c r="AG193" s="17">
        <f>$J$33*MIN(1,(AG$1-2024)/(p_lu_T-2024))</f>
        <v/>
      </c>
      <c r="AH193" s="17">
        <f>$J$33*MIN(1,(AH$1-2024)/(p_lu_T-2024))</f>
        <v/>
      </c>
      <c r="AI193" s="17">
        <f>$J$33*MIN(1,(AI$1-2024)/(p_lu_T-2024))</f>
        <v/>
      </c>
      <c r="AJ193" s="17">
        <f>$J$33*MIN(1,(AJ$1-2024)/(p_lu_T-2024))</f>
        <v/>
      </c>
      <c r="AK193" s="17">
        <f>$J$33*MIN(1,(AK$1-2024)/(p_lu_T-2024))</f>
        <v/>
      </c>
      <c r="AL193" s="17">
        <f>$J$33*MIN(1,(AL$1-2024)/(p_lu_T-2024))</f>
        <v/>
      </c>
      <c r="AM193" s="17">
        <f>$J$33*MIN(1,(AM$1-2024)/(p_lu_T-2024))</f>
        <v/>
      </c>
      <c r="AN193" s="17">
        <f>$J$33*MIN(1,(AN$1-2024)/(p_lu_T-2024))</f>
        <v/>
      </c>
    </row>
    <row r="194">
      <c r="A194" s="9" t="n">
        <v>8</v>
      </c>
      <c r="B194" s="9" t="inlineStr"/>
      <c r="C194" s="9" t="inlineStr"/>
      <c r="D194" s="9" t="inlineStr">
        <is>
          <t>Spending: non-CO2 and process abatement</t>
        </is>
      </c>
      <c r="E194" s="9" t="inlineStr">
        <is>
          <t>USD bn</t>
        </is>
      </c>
      <c r="F194" s="9" t="inlineStr">
        <is>
          <t>Model</t>
        </is>
      </c>
      <c r="G194" s="18" t="n"/>
      <c r="H194" s="18" t="inlineStr">
        <is>
          <t>mit.spd.nc.2</t>
        </is>
      </c>
      <c r="I194" s="9" t="n"/>
      <c r="J194" s="9" t="n"/>
      <c r="K194" s="17" t="n"/>
      <c r="L194" s="17" t="n"/>
      <c r="M194" s="17" t="n"/>
      <c r="N194" s="19">
        <f>0</f>
        <v/>
      </c>
      <c r="O194" s="17">
        <f>O192*p_cpt_nc/1000</f>
        <v/>
      </c>
      <c r="P194" s="17">
        <f>P192*p_cpt_nc/1000</f>
        <v/>
      </c>
      <c r="Q194" s="17">
        <f>Q192*p_cpt_nc/1000</f>
        <v/>
      </c>
      <c r="R194" s="17">
        <f>R192*p_cpt_nc/1000</f>
        <v/>
      </c>
      <c r="S194" s="17">
        <f>S192*p_cpt_nc/1000</f>
        <v/>
      </c>
      <c r="T194" s="17">
        <f>T192*p_cpt_nc/1000</f>
        <v/>
      </c>
      <c r="U194" s="17">
        <f>U192*p_cpt_nc/1000</f>
        <v/>
      </c>
      <c r="V194" s="17">
        <f>V192*p_cpt_nc/1000</f>
        <v/>
      </c>
      <c r="W194" s="17">
        <f>W192*p_cpt_nc/1000</f>
        <v/>
      </c>
      <c r="X194" s="17">
        <f>X192*p_cpt_nc/1000</f>
        <v/>
      </c>
      <c r="Y194" s="17">
        <f>Y192*p_cpt_nc/1000</f>
        <v/>
      </c>
      <c r="Z194" s="17">
        <f>Z192*p_cpt_nc/1000</f>
        <v/>
      </c>
      <c r="AA194" s="17">
        <f>AA192*p_cpt_nc/1000</f>
        <v/>
      </c>
      <c r="AB194" s="17">
        <f>AB192*p_cpt_nc/1000</f>
        <v/>
      </c>
      <c r="AC194" s="17">
        <f>AC192*p_cpt_nc/1000</f>
        <v/>
      </c>
      <c r="AD194" s="17">
        <f>AD192*p_cpt_nc/1000</f>
        <v/>
      </c>
      <c r="AE194" s="17">
        <f>AE192*p_cpt_nc/1000</f>
        <v/>
      </c>
      <c r="AF194" s="17">
        <f>AF192*p_cpt_nc/1000</f>
        <v/>
      </c>
      <c r="AG194" s="17">
        <f>AG192*p_cpt_nc/1000</f>
        <v/>
      </c>
      <c r="AH194" s="17">
        <f>AH192*p_cpt_nc/1000</f>
        <v/>
      </c>
      <c r="AI194" s="17">
        <f>AI192*p_cpt_nc/1000</f>
        <v/>
      </c>
      <c r="AJ194" s="17">
        <f>AJ192*p_cpt_nc/1000</f>
        <v/>
      </c>
      <c r="AK194" s="17">
        <f>AK192*p_cpt_nc/1000</f>
        <v/>
      </c>
      <c r="AL194" s="17">
        <f>AL192*p_cpt_nc/1000</f>
        <v/>
      </c>
      <c r="AM194" s="17">
        <f>AM192*p_cpt_nc/1000</f>
        <v/>
      </c>
      <c r="AN194" s="17">
        <f>AN192*p_cpt_nc/1000</f>
        <v/>
      </c>
    </row>
    <row r="195">
      <c r="A195" s="9" t="n">
        <v>8</v>
      </c>
      <c r="B195" s="9" t="inlineStr"/>
      <c r="C195" s="9" t="inlineStr"/>
      <c r="D195" s="9" t="inlineStr">
        <is>
          <t>Spending: land-use abatement</t>
        </is>
      </c>
      <c r="E195" s="9" t="inlineStr">
        <is>
          <t>USD bn</t>
        </is>
      </c>
      <c r="F195" s="9" t="inlineStr">
        <is>
          <t>Model</t>
        </is>
      </c>
      <c r="G195" s="18" t="n"/>
      <c r="H195" s="18" t="inlineStr">
        <is>
          <t>mit.spd.lu.2</t>
        </is>
      </c>
      <c r="I195" s="9" t="n"/>
      <c r="J195" s="9" t="n"/>
      <c r="K195" s="17" t="n"/>
      <c r="L195" s="17" t="n"/>
      <c r="M195" s="17" t="n"/>
      <c r="N195" s="19">
        <f>0</f>
        <v/>
      </c>
      <c r="O195" s="17">
        <f>O193*p_cpt_afolu/1000</f>
        <v/>
      </c>
      <c r="P195" s="17">
        <f>P193*p_cpt_afolu/1000</f>
        <v/>
      </c>
      <c r="Q195" s="17">
        <f>Q193*p_cpt_afolu/1000</f>
        <v/>
      </c>
      <c r="R195" s="17">
        <f>R193*p_cpt_afolu/1000</f>
        <v/>
      </c>
      <c r="S195" s="17">
        <f>S193*p_cpt_afolu/1000</f>
        <v/>
      </c>
      <c r="T195" s="17">
        <f>T193*p_cpt_afolu/1000</f>
        <v/>
      </c>
      <c r="U195" s="17">
        <f>U193*p_cpt_afolu/1000</f>
        <v/>
      </c>
      <c r="V195" s="17">
        <f>V193*p_cpt_afolu/1000</f>
        <v/>
      </c>
      <c r="W195" s="17">
        <f>W193*p_cpt_afolu/1000</f>
        <v/>
      </c>
      <c r="X195" s="17">
        <f>X193*p_cpt_afolu/1000</f>
        <v/>
      </c>
      <c r="Y195" s="17">
        <f>Y193*p_cpt_afolu/1000</f>
        <v/>
      </c>
      <c r="Z195" s="17">
        <f>Z193*p_cpt_afolu/1000</f>
        <v/>
      </c>
      <c r="AA195" s="17">
        <f>AA193*p_cpt_afolu/1000</f>
        <v/>
      </c>
      <c r="AB195" s="17">
        <f>AB193*p_cpt_afolu/1000</f>
        <v/>
      </c>
      <c r="AC195" s="17">
        <f>AC193*p_cpt_afolu/1000</f>
        <v/>
      </c>
      <c r="AD195" s="17">
        <f>AD193*p_cpt_afolu/1000</f>
        <v/>
      </c>
      <c r="AE195" s="17">
        <f>AE193*p_cpt_afolu/1000</f>
        <v/>
      </c>
      <c r="AF195" s="17">
        <f>AF193*p_cpt_afolu/1000</f>
        <v/>
      </c>
      <c r="AG195" s="17">
        <f>AG193*p_cpt_afolu/1000</f>
        <v/>
      </c>
      <c r="AH195" s="17">
        <f>AH193*p_cpt_afolu/1000</f>
        <v/>
      </c>
      <c r="AI195" s="17">
        <f>AI193*p_cpt_afolu/1000</f>
        <v/>
      </c>
      <c r="AJ195" s="17">
        <f>AJ193*p_cpt_afolu/1000</f>
        <v/>
      </c>
      <c r="AK195" s="17">
        <f>AK193*p_cpt_afolu/1000</f>
        <v/>
      </c>
      <c r="AL195" s="17">
        <f>AL193*p_cpt_afolu/1000</f>
        <v/>
      </c>
      <c r="AM195" s="17">
        <f>AM193*p_cpt_afolu/1000</f>
        <v/>
      </c>
      <c r="AN195" s="17">
        <f>AN193*p_cpt_afolu/1000</f>
        <v/>
      </c>
    </row>
    <row r="196">
      <c r="A196" s="9" t="n">
        <v>8</v>
      </c>
      <c r="B196" s="9" t="inlineStr"/>
      <c r="C196" s="9" t="inlineStr"/>
      <c r="D196" s="9" t="inlineStr">
        <is>
          <t>Spending: non-CO2 and land-use abatement</t>
        </is>
      </c>
      <c r="E196" s="9" t="inlineStr">
        <is>
          <t>USD bn</t>
        </is>
      </c>
      <c r="F196" s="9" t="inlineStr">
        <is>
          <t>Model</t>
        </is>
      </c>
      <c r="G196" s="18" t="n"/>
      <c r="H196" s="18" t="inlineStr">
        <is>
          <t>mit.inv.nco.2</t>
        </is>
      </c>
      <c r="I196" s="9" t="n"/>
      <c r="J196" s="9" t="n"/>
      <c r="K196" s="17" t="n"/>
      <c r="L196" s="17" t="n"/>
      <c r="M196" s="17" t="n"/>
      <c r="N196" s="19">
        <f>0</f>
        <v/>
      </c>
      <c r="O196" s="17">
        <f>O194+O195</f>
        <v/>
      </c>
      <c r="P196" s="17">
        <f>P194+P195</f>
        <v/>
      </c>
      <c r="Q196" s="17">
        <f>Q194+Q195</f>
        <v/>
      </c>
      <c r="R196" s="17">
        <f>R194+R195</f>
        <v/>
      </c>
      <c r="S196" s="17">
        <f>S194+S195</f>
        <v/>
      </c>
      <c r="T196" s="17">
        <f>T194+T195</f>
        <v/>
      </c>
      <c r="U196" s="17">
        <f>U194+U195</f>
        <v/>
      </c>
      <c r="V196" s="17">
        <f>V194+V195</f>
        <v/>
      </c>
      <c r="W196" s="17">
        <f>W194+W195</f>
        <v/>
      </c>
      <c r="X196" s="17">
        <f>X194+X195</f>
        <v/>
      </c>
      <c r="Y196" s="17">
        <f>Y194+Y195</f>
        <v/>
      </c>
      <c r="Z196" s="17">
        <f>Z194+Z195</f>
        <v/>
      </c>
      <c r="AA196" s="17">
        <f>AA194+AA195</f>
        <v/>
      </c>
      <c r="AB196" s="17">
        <f>AB194+AB195</f>
        <v/>
      </c>
      <c r="AC196" s="17">
        <f>AC194+AC195</f>
        <v/>
      </c>
      <c r="AD196" s="17">
        <f>AD194+AD195</f>
        <v/>
      </c>
      <c r="AE196" s="17">
        <f>AE194+AE195</f>
        <v/>
      </c>
      <c r="AF196" s="17">
        <f>AF194+AF195</f>
        <v/>
      </c>
      <c r="AG196" s="17">
        <f>AG194+AG195</f>
        <v/>
      </c>
      <c r="AH196" s="17">
        <f>AH194+AH195</f>
        <v/>
      </c>
      <c r="AI196" s="17">
        <f>AI194+AI195</f>
        <v/>
      </c>
      <c r="AJ196" s="17">
        <f>AJ194+AJ195</f>
        <v/>
      </c>
      <c r="AK196" s="17">
        <f>AK194+AK195</f>
        <v/>
      </c>
      <c r="AL196" s="17">
        <f>AL194+AL195</f>
        <v/>
      </c>
      <c r="AM196" s="17">
        <f>AM194+AM195</f>
        <v/>
      </c>
      <c r="AN196" s="17">
        <f>AN194+AN195</f>
        <v/>
      </c>
    </row>
    <row r="197">
      <c r="A197" s="12" t="inlineStr">
        <is>
          <t>9. Emissions, fuel bills and air pollution</t>
        </is>
      </c>
      <c r="B197" s="13" t="n"/>
      <c r="C197" s="13" t="n"/>
      <c r="D197" s="13" t="n"/>
      <c r="E197" s="13" t="n"/>
      <c r="F197" s="13" t="n"/>
      <c r="G197" s="13" t="n"/>
      <c r="H197" s="13" t="n"/>
      <c r="I197" s="13" t="n"/>
      <c r="J197" s="13"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c r="AE197" s="16" t="n"/>
      <c r="AF197" s="16" t="n"/>
      <c r="AG197" s="16" t="n"/>
      <c r="AH197" s="16" t="n"/>
      <c r="AI197" s="16" t="n"/>
      <c r="AJ197" s="16" t="n"/>
      <c r="AK197" s="16" t="n"/>
      <c r="AL197" s="16" t="n"/>
      <c r="AM197" s="16" t="n"/>
      <c r="AN197" s="16" t="n"/>
    </row>
    <row r="198">
      <c r="A198" s="9" t="n">
        <v>9</v>
      </c>
      <c r="B198" s="9" t="inlineStr"/>
      <c r="C198" s="9" t="inlineStr"/>
      <c r="D198" s="9" t="inlineStr">
        <is>
          <t>Energy CO2</t>
        </is>
      </c>
      <c r="E198" s="9" t="inlineStr">
        <is>
          <t>MtCO2</t>
        </is>
      </c>
      <c r="F198" s="9" t="inlineStr">
        <is>
          <t>Model</t>
        </is>
      </c>
      <c r="G198" s="18" t="n"/>
      <c r="H198" s="18" t="inlineStr">
        <is>
          <t>mit.co2.en.1</t>
        </is>
      </c>
      <c r="I198" s="9" t="n"/>
      <c r="J198" s="9" t="n"/>
      <c r="K198" s="17" t="n"/>
      <c r="L198" s="17" t="n"/>
      <c r="M198" s="17" t="n"/>
      <c r="N198" s="19">
        <f>N105*p_ef_gso+N106*p_ef_die+N119*p_ef_coa+N120*p_ef_nga+N121*p_ef_lpg+N122*p_ef_ker+N132*p_ef_coa+N133*p_ef_nga+N134*p_ef_oil+N166*p_ef_coa+N167*p_ef_nga+N168*p_ef_oil</f>
        <v/>
      </c>
      <c r="O198" s="17">
        <f>O105*p_ef_gso+O106*p_ef_die+O119*p_ef_coa+O120*p_ef_nga+O121*p_ef_lpg+O122*p_ef_ker+O132*p_ef_coa+O133*p_ef_nga+O134*p_ef_oil+O166*p_ef_coa+O167*p_ef_nga+O168*p_ef_oil</f>
        <v/>
      </c>
      <c r="P198" s="17">
        <f>P105*p_ef_gso+P106*p_ef_die+P119*p_ef_coa+P120*p_ef_nga+P121*p_ef_lpg+P122*p_ef_ker+P132*p_ef_coa+P133*p_ef_nga+P134*p_ef_oil+P166*p_ef_coa+P167*p_ef_nga+P168*p_ef_oil</f>
        <v/>
      </c>
      <c r="Q198" s="17">
        <f>Q105*p_ef_gso+Q106*p_ef_die+Q119*p_ef_coa+Q120*p_ef_nga+Q121*p_ef_lpg+Q122*p_ef_ker+Q132*p_ef_coa+Q133*p_ef_nga+Q134*p_ef_oil+Q166*p_ef_coa+Q167*p_ef_nga+Q168*p_ef_oil</f>
        <v/>
      </c>
      <c r="R198" s="17">
        <f>R105*p_ef_gso+R106*p_ef_die+R119*p_ef_coa+R120*p_ef_nga+R121*p_ef_lpg+R122*p_ef_ker+R132*p_ef_coa+R133*p_ef_nga+R134*p_ef_oil+R166*p_ef_coa+R167*p_ef_nga+R168*p_ef_oil</f>
        <v/>
      </c>
      <c r="S198" s="17">
        <f>S105*p_ef_gso+S106*p_ef_die+S119*p_ef_coa+S120*p_ef_nga+S121*p_ef_lpg+S122*p_ef_ker+S132*p_ef_coa+S133*p_ef_nga+S134*p_ef_oil+S166*p_ef_coa+S167*p_ef_nga+S168*p_ef_oil</f>
        <v/>
      </c>
      <c r="T198" s="17">
        <f>T105*p_ef_gso+T106*p_ef_die+T119*p_ef_coa+T120*p_ef_nga+T121*p_ef_lpg+T122*p_ef_ker+T132*p_ef_coa+T133*p_ef_nga+T134*p_ef_oil+T166*p_ef_coa+T167*p_ef_nga+T168*p_ef_oil</f>
        <v/>
      </c>
      <c r="U198" s="17">
        <f>U105*p_ef_gso+U106*p_ef_die+U119*p_ef_coa+U120*p_ef_nga+U121*p_ef_lpg+U122*p_ef_ker+U132*p_ef_coa+U133*p_ef_nga+U134*p_ef_oil+U166*p_ef_coa+U167*p_ef_nga+U168*p_ef_oil</f>
        <v/>
      </c>
      <c r="V198" s="17">
        <f>V105*p_ef_gso+V106*p_ef_die+V119*p_ef_coa+V120*p_ef_nga+V121*p_ef_lpg+V122*p_ef_ker+V132*p_ef_coa+V133*p_ef_nga+V134*p_ef_oil+V166*p_ef_coa+V167*p_ef_nga+V168*p_ef_oil</f>
        <v/>
      </c>
      <c r="W198" s="17">
        <f>W105*p_ef_gso+W106*p_ef_die+W119*p_ef_coa+W120*p_ef_nga+W121*p_ef_lpg+W122*p_ef_ker+W132*p_ef_coa+W133*p_ef_nga+W134*p_ef_oil+W166*p_ef_coa+W167*p_ef_nga+W168*p_ef_oil</f>
        <v/>
      </c>
      <c r="X198" s="17">
        <f>X105*p_ef_gso+X106*p_ef_die+X119*p_ef_coa+X120*p_ef_nga+X121*p_ef_lpg+X122*p_ef_ker+X132*p_ef_coa+X133*p_ef_nga+X134*p_ef_oil+X166*p_ef_coa+X167*p_ef_nga+X168*p_ef_oil</f>
        <v/>
      </c>
      <c r="Y198" s="17">
        <f>Y105*p_ef_gso+Y106*p_ef_die+Y119*p_ef_coa+Y120*p_ef_nga+Y121*p_ef_lpg+Y122*p_ef_ker+Y132*p_ef_coa+Y133*p_ef_nga+Y134*p_ef_oil+Y166*p_ef_coa+Y167*p_ef_nga+Y168*p_ef_oil</f>
        <v/>
      </c>
      <c r="Z198" s="17">
        <f>Z105*p_ef_gso+Z106*p_ef_die+Z119*p_ef_coa+Z120*p_ef_nga+Z121*p_ef_lpg+Z122*p_ef_ker+Z132*p_ef_coa+Z133*p_ef_nga+Z134*p_ef_oil+Z166*p_ef_coa+Z167*p_ef_nga+Z168*p_ef_oil</f>
        <v/>
      </c>
      <c r="AA198" s="17">
        <f>AA105*p_ef_gso+AA106*p_ef_die+AA119*p_ef_coa+AA120*p_ef_nga+AA121*p_ef_lpg+AA122*p_ef_ker+AA132*p_ef_coa+AA133*p_ef_nga+AA134*p_ef_oil+AA166*p_ef_coa+AA167*p_ef_nga+AA168*p_ef_oil</f>
        <v/>
      </c>
      <c r="AB198" s="17">
        <f>AB105*p_ef_gso+AB106*p_ef_die+AB119*p_ef_coa+AB120*p_ef_nga+AB121*p_ef_lpg+AB122*p_ef_ker+AB132*p_ef_coa+AB133*p_ef_nga+AB134*p_ef_oil+AB166*p_ef_coa+AB167*p_ef_nga+AB168*p_ef_oil</f>
        <v/>
      </c>
      <c r="AC198" s="17">
        <f>AC105*p_ef_gso+AC106*p_ef_die+AC119*p_ef_coa+AC120*p_ef_nga+AC121*p_ef_lpg+AC122*p_ef_ker+AC132*p_ef_coa+AC133*p_ef_nga+AC134*p_ef_oil+AC166*p_ef_coa+AC167*p_ef_nga+AC168*p_ef_oil</f>
        <v/>
      </c>
      <c r="AD198" s="17">
        <f>AD105*p_ef_gso+AD106*p_ef_die+AD119*p_ef_coa+AD120*p_ef_nga+AD121*p_ef_lpg+AD122*p_ef_ker+AD132*p_ef_coa+AD133*p_ef_nga+AD134*p_ef_oil+AD166*p_ef_coa+AD167*p_ef_nga+AD168*p_ef_oil</f>
        <v/>
      </c>
      <c r="AE198" s="17">
        <f>AE105*p_ef_gso+AE106*p_ef_die+AE119*p_ef_coa+AE120*p_ef_nga+AE121*p_ef_lpg+AE122*p_ef_ker+AE132*p_ef_coa+AE133*p_ef_nga+AE134*p_ef_oil+AE166*p_ef_coa+AE167*p_ef_nga+AE168*p_ef_oil</f>
        <v/>
      </c>
      <c r="AF198" s="17">
        <f>AF105*p_ef_gso+AF106*p_ef_die+AF119*p_ef_coa+AF120*p_ef_nga+AF121*p_ef_lpg+AF122*p_ef_ker+AF132*p_ef_coa+AF133*p_ef_nga+AF134*p_ef_oil+AF166*p_ef_coa+AF167*p_ef_nga+AF168*p_ef_oil</f>
        <v/>
      </c>
      <c r="AG198" s="17">
        <f>AG105*p_ef_gso+AG106*p_ef_die+AG119*p_ef_coa+AG120*p_ef_nga+AG121*p_ef_lpg+AG122*p_ef_ker+AG132*p_ef_coa+AG133*p_ef_nga+AG134*p_ef_oil+AG166*p_ef_coa+AG167*p_ef_nga+AG168*p_ef_oil</f>
        <v/>
      </c>
      <c r="AH198" s="17">
        <f>AH105*p_ef_gso+AH106*p_ef_die+AH119*p_ef_coa+AH120*p_ef_nga+AH121*p_ef_lpg+AH122*p_ef_ker+AH132*p_ef_coa+AH133*p_ef_nga+AH134*p_ef_oil+AH166*p_ef_coa+AH167*p_ef_nga+AH168*p_ef_oil</f>
        <v/>
      </c>
      <c r="AI198" s="17">
        <f>AI105*p_ef_gso+AI106*p_ef_die+AI119*p_ef_coa+AI120*p_ef_nga+AI121*p_ef_lpg+AI122*p_ef_ker+AI132*p_ef_coa+AI133*p_ef_nga+AI134*p_ef_oil+AI166*p_ef_coa+AI167*p_ef_nga+AI168*p_ef_oil</f>
        <v/>
      </c>
      <c r="AJ198" s="17">
        <f>AJ105*p_ef_gso+AJ106*p_ef_die+AJ119*p_ef_coa+AJ120*p_ef_nga+AJ121*p_ef_lpg+AJ122*p_ef_ker+AJ132*p_ef_coa+AJ133*p_ef_nga+AJ134*p_ef_oil+AJ166*p_ef_coa+AJ167*p_ef_nga+AJ168*p_ef_oil</f>
        <v/>
      </c>
      <c r="AK198" s="17">
        <f>AK105*p_ef_gso+AK106*p_ef_die+AK119*p_ef_coa+AK120*p_ef_nga+AK121*p_ef_lpg+AK122*p_ef_ker+AK132*p_ef_coa+AK133*p_ef_nga+AK134*p_ef_oil+AK166*p_ef_coa+AK167*p_ef_nga+AK168*p_ef_oil</f>
        <v/>
      </c>
      <c r="AL198" s="17">
        <f>AL105*p_ef_gso+AL106*p_ef_die+AL119*p_ef_coa+AL120*p_ef_nga+AL121*p_ef_lpg+AL122*p_ef_ker+AL132*p_ef_coa+AL133*p_ef_nga+AL134*p_ef_oil+AL166*p_ef_coa+AL167*p_ef_nga+AL168*p_ef_oil</f>
        <v/>
      </c>
      <c r="AM198" s="17">
        <f>AM105*p_ef_gso+AM106*p_ef_die+AM119*p_ef_coa+AM120*p_ef_nga+AM121*p_ef_lpg+AM122*p_ef_ker+AM132*p_ef_coa+AM133*p_ef_nga+AM134*p_ef_oil+AM166*p_ef_coa+AM167*p_ef_nga+AM168*p_ef_oil</f>
        <v/>
      </c>
      <c r="AN198" s="17">
        <f>AN105*p_ef_gso+AN106*p_ef_die+AN119*p_ef_coa+AN120*p_ef_nga+AN121*p_ef_lpg+AN122*p_ef_ker+AN132*p_ef_coa+AN133*p_ef_nga+AN134*p_ef_oil+AN166*p_ef_coa+AN167*p_ef_nga+AN168*p_ef_oil</f>
        <v/>
      </c>
    </row>
    <row r="199">
      <c r="A199" s="9" t="n">
        <v>9</v>
      </c>
      <c r="B199" s="9" t="inlineStr"/>
      <c r="C199" s="9" t="inlineStr"/>
      <c r="D199" s="9" t="inlineStr">
        <is>
          <t>Other energy CO2 in CPAT not in the rows above (held flat)</t>
        </is>
      </c>
      <c r="E199" s="9" t="inlineStr">
        <is>
          <t>MtCO2</t>
        </is>
      </c>
      <c r="F199" s="9" t="inlineStr">
        <is>
          <t>Model</t>
        </is>
      </c>
      <c r="G199" s="18" t="n"/>
      <c r="H199" s="18" t="inlineStr">
        <is>
          <t>mit.co2.res.1</t>
        </is>
      </c>
      <c r="I199" s="9" t="n"/>
      <c r="J199" s="9" t="n"/>
      <c r="K199" s="17" t="n"/>
      <c r="L199" s="17" t="n"/>
      <c r="M199" s="17" t="n"/>
      <c r="N199" s="19">
        <f>MAX(0,INDEX(Data!$AF:$AF,$J$4)-N198)</f>
        <v/>
      </c>
      <c r="O199" s="17">
        <f>N199</f>
        <v/>
      </c>
      <c r="P199" s="17">
        <f>O199</f>
        <v/>
      </c>
      <c r="Q199" s="17">
        <f>P199</f>
        <v/>
      </c>
      <c r="R199" s="17">
        <f>Q199</f>
        <v/>
      </c>
      <c r="S199" s="17">
        <f>R199</f>
        <v/>
      </c>
      <c r="T199" s="17">
        <f>S199</f>
        <v/>
      </c>
      <c r="U199" s="17">
        <f>T199</f>
        <v/>
      </c>
      <c r="V199" s="17">
        <f>U199</f>
        <v/>
      </c>
      <c r="W199" s="17">
        <f>V199</f>
        <v/>
      </c>
      <c r="X199" s="17">
        <f>W199</f>
        <v/>
      </c>
      <c r="Y199" s="17">
        <f>X199</f>
        <v/>
      </c>
      <c r="Z199" s="17">
        <f>Y199</f>
        <v/>
      </c>
      <c r="AA199" s="17">
        <f>Z199</f>
        <v/>
      </c>
      <c r="AB199" s="17">
        <f>AA199</f>
        <v/>
      </c>
      <c r="AC199" s="17">
        <f>AB199</f>
        <v/>
      </c>
      <c r="AD199" s="17">
        <f>AC199</f>
        <v/>
      </c>
      <c r="AE199" s="17">
        <f>AD199</f>
        <v/>
      </c>
      <c r="AF199" s="17">
        <f>AE199</f>
        <v/>
      </c>
      <c r="AG199" s="17">
        <f>AF199</f>
        <v/>
      </c>
      <c r="AH199" s="17">
        <f>AG199</f>
        <v/>
      </c>
      <c r="AI199" s="17">
        <f>AH199</f>
        <v/>
      </c>
      <c r="AJ199" s="17">
        <f>AI199</f>
        <v/>
      </c>
      <c r="AK199" s="17">
        <f>AJ199</f>
        <v/>
      </c>
      <c r="AL199" s="17">
        <f>AK199</f>
        <v/>
      </c>
      <c r="AM199" s="17">
        <f>AL199</f>
        <v/>
      </c>
      <c r="AN199" s="17">
        <f>AM199</f>
        <v/>
      </c>
    </row>
    <row r="200">
      <c r="A200" s="9" t="n">
        <v>9</v>
      </c>
      <c r="B200" s="9" t="inlineStr"/>
      <c r="C200" s="9" t="inlineStr"/>
      <c r="D200" s="9" t="inlineStr">
        <is>
          <t>Total GHG incl. land use</t>
        </is>
      </c>
      <c r="E200" s="9" t="inlineStr">
        <is>
          <t>MtCO2e</t>
        </is>
      </c>
      <c r="F200" s="9" t="inlineStr">
        <is>
          <t>Model</t>
        </is>
      </c>
      <c r="G200" s="18" t="n"/>
      <c r="H200" s="18" t="inlineStr">
        <is>
          <t>mit.ghg.tot.1</t>
        </is>
      </c>
      <c r="I200" s="9" t="n"/>
      <c r="J200" s="9" t="n"/>
      <c r="K200" s="17" t="n"/>
      <c r="L200" s="17" t="n"/>
      <c r="M200" s="17" t="n"/>
      <c r="N200" s="19">
        <f>N198+N199+N140+$J$32+$J$33</f>
        <v/>
      </c>
      <c r="O200" s="17">
        <f>O198+O199+O140+$J$32+$J$33</f>
        <v/>
      </c>
      <c r="P200" s="17">
        <f>P198+P199+P140+$J$32+$J$33</f>
        <v/>
      </c>
      <c r="Q200" s="17">
        <f>Q198+Q199+Q140+$J$32+$J$33</f>
        <v/>
      </c>
      <c r="R200" s="17">
        <f>R198+R199+R140+$J$32+$J$33</f>
        <v/>
      </c>
      <c r="S200" s="17">
        <f>S198+S199+S140+$J$32+$J$33</f>
        <v/>
      </c>
      <c r="T200" s="17">
        <f>T198+T199+T140+$J$32+$J$33</f>
        <v/>
      </c>
      <c r="U200" s="17">
        <f>U198+U199+U140+$J$32+$J$33</f>
        <v/>
      </c>
      <c r="V200" s="17">
        <f>V198+V199+V140+$J$32+$J$33</f>
        <v/>
      </c>
      <c r="W200" s="17">
        <f>W198+W199+W140+$J$32+$J$33</f>
        <v/>
      </c>
      <c r="X200" s="17">
        <f>X198+X199+X140+$J$32+$J$33</f>
        <v/>
      </c>
      <c r="Y200" s="17">
        <f>Y198+Y199+Y140+$J$32+$J$33</f>
        <v/>
      </c>
      <c r="Z200" s="17">
        <f>Z198+Z199+Z140+$J$32+$J$33</f>
        <v/>
      </c>
      <c r="AA200" s="17">
        <f>AA198+AA199+AA140+$J$32+$J$33</f>
        <v/>
      </c>
      <c r="AB200" s="17">
        <f>AB198+AB199+AB140+$J$32+$J$33</f>
        <v/>
      </c>
      <c r="AC200" s="17">
        <f>AC198+AC199+AC140+$J$32+$J$33</f>
        <v/>
      </c>
      <c r="AD200" s="17">
        <f>AD198+AD199+AD140+$J$32+$J$33</f>
        <v/>
      </c>
      <c r="AE200" s="17">
        <f>AE198+AE199+AE140+$J$32+$J$33</f>
        <v/>
      </c>
      <c r="AF200" s="17">
        <f>AF198+AF199+AF140+$J$32+$J$33</f>
        <v/>
      </c>
      <c r="AG200" s="17">
        <f>AG198+AG199+AG140+$J$32+$J$33</f>
        <v/>
      </c>
      <c r="AH200" s="17">
        <f>AH198+AH199+AH140+$J$32+$J$33</f>
        <v/>
      </c>
      <c r="AI200" s="17">
        <f>AI198+AI199+AI140+$J$32+$J$33</f>
        <v/>
      </c>
      <c r="AJ200" s="17">
        <f>AJ198+AJ199+AJ140+$J$32+$J$33</f>
        <v/>
      </c>
      <c r="AK200" s="17">
        <f>AK198+AK199+AK140+$J$32+$J$33</f>
        <v/>
      </c>
      <c r="AL200" s="17">
        <f>AL198+AL199+AL140+$J$32+$J$33</f>
        <v/>
      </c>
      <c r="AM200" s="17">
        <f>AM198+AM199+AM140+$J$32+$J$33</f>
        <v/>
      </c>
      <c r="AN200" s="17">
        <f>AN198+AN199+AN140+$J$32+$J$33</f>
        <v/>
      </c>
    </row>
    <row r="201">
      <c r="A201" s="9" t="n">
        <v>9</v>
      </c>
      <c r="B201" s="9" t="inlineStr"/>
      <c r="C201" s="9" t="inlineStr"/>
      <c r="D201" s="9" t="inlineStr">
        <is>
          <t>Fossil fuel bill at 2024 supply costs</t>
        </is>
      </c>
      <c r="E201" s="9" t="inlineStr">
        <is>
          <t>USD bn</t>
        </is>
      </c>
      <c r="F201" s="9" t="inlineStr">
        <is>
          <t>Model</t>
        </is>
      </c>
      <c r="G201" s="18" t="n"/>
      <c r="H201" s="18" t="inlineStr">
        <is>
          <t>mit.fuel.bill.1</t>
        </is>
      </c>
      <c r="I201" s="9" t="n"/>
      <c r="J201" s="9" t="n"/>
      <c r="K201" s="17" t="n"/>
      <c r="L201" s="17" t="n"/>
      <c r="M201" s="17" t="n"/>
      <c r="N201" s="19">
        <f>(N105*INDEX(Data!$DK:$DK,$J$4)+N106*INDEX(Data!$DJ:$DJ,$J$4)+N119*INDEX(Data!$DI:$DI,$J$4)+N120*INDEX(Data!$DP:$DP,$J$4)+N121*INDEX(Data!$DM:$DM,$J$4)+N122*INDEX(Data!$DL:$DL,$J$4)+N132*INDEX(Data!$DG:$DG,$J$4)+N133*INDEX(Data!$DN:$DN,$J$4)+N134*INDEX(Data!$DQ:$DQ,$J$4)+N166*INDEX(Data!$DH:$DH,$J$4)+N167*INDEX(Data!$DO:$DO,$J$4)+N168*INDEX(Data!$DR:$DR,$J$4))/1000</f>
        <v/>
      </c>
      <c r="O201" s="17">
        <f>(O105*INDEX(Data!$DK:$DK,$J$4)+O106*INDEX(Data!$DJ:$DJ,$J$4)+O119*INDEX(Data!$DI:$DI,$J$4)+O120*INDEX(Data!$DP:$DP,$J$4)+O121*INDEX(Data!$DM:$DM,$J$4)+O122*INDEX(Data!$DL:$DL,$J$4)+O132*INDEX(Data!$DG:$DG,$J$4)+O133*INDEX(Data!$DN:$DN,$J$4)+O134*INDEX(Data!$DQ:$DQ,$J$4)+O166*INDEX(Data!$DH:$DH,$J$4)+O167*INDEX(Data!$DO:$DO,$J$4)+O168*INDEX(Data!$DR:$DR,$J$4))/1000</f>
        <v/>
      </c>
      <c r="P201" s="17">
        <f>(P105*INDEX(Data!$DK:$DK,$J$4)+P106*INDEX(Data!$DJ:$DJ,$J$4)+P119*INDEX(Data!$DI:$DI,$J$4)+P120*INDEX(Data!$DP:$DP,$J$4)+P121*INDEX(Data!$DM:$DM,$J$4)+P122*INDEX(Data!$DL:$DL,$J$4)+P132*INDEX(Data!$DG:$DG,$J$4)+P133*INDEX(Data!$DN:$DN,$J$4)+P134*INDEX(Data!$DQ:$DQ,$J$4)+P166*INDEX(Data!$DH:$DH,$J$4)+P167*INDEX(Data!$DO:$DO,$J$4)+P168*INDEX(Data!$DR:$DR,$J$4))/1000</f>
        <v/>
      </c>
      <c r="Q201" s="17">
        <f>(Q105*INDEX(Data!$DK:$DK,$J$4)+Q106*INDEX(Data!$DJ:$DJ,$J$4)+Q119*INDEX(Data!$DI:$DI,$J$4)+Q120*INDEX(Data!$DP:$DP,$J$4)+Q121*INDEX(Data!$DM:$DM,$J$4)+Q122*INDEX(Data!$DL:$DL,$J$4)+Q132*INDEX(Data!$DG:$DG,$J$4)+Q133*INDEX(Data!$DN:$DN,$J$4)+Q134*INDEX(Data!$DQ:$DQ,$J$4)+Q166*INDEX(Data!$DH:$DH,$J$4)+Q167*INDEX(Data!$DO:$DO,$J$4)+Q168*INDEX(Data!$DR:$DR,$J$4))/1000</f>
        <v/>
      </c>
      <c r="R201" s="17">
        <f>(R105*INDEX(Data!$DK:$DK,$J$4)+R106*INDEX(Data!$DJ:$DJ,$J$4)+R119*INDEX(Data!$DI:$DI,$J$4)+R120*INDEX(Data!$DP:$DP,$J$4)+R121*INDEX(Data!$DM:$DM,$J$4)+R122*INDEX(Data!$DL:$DL,$J$4)+R132*INDEX(Data!$DG:$DG,$J$4)+R133*INDEX(Data!$DN:$DN,$J$4)+R134*INDEX(Data!$DQ:$DQ,$J$4)+R166*INDEX(Data!$DH:$DH,$J$4)+R167*INDEX(Data!$DO:$DO,$J$4)+R168*INDEX(Data!$DR:$DR,$J$4))/1000</f>
        <v/>
      </c>
      <c r="S201" s="17">
        <f>(S105*INDEX(Data!$DK:$DK,$J$4)+S106*INDEX(Data!$DJ:$DJ,$J$4)+S119*INDEX(Data!$DI:$DI,$J$4)+S120*INDEX(Data!$DP:$DP,$J$4)+S121*INDEX(Data!$DM:$DM,$J$4)+S122*INDEX(Data!$DL:$DL,$J$4)+S132*INDEX(Data!$DG:$DG,$J$4)+S133*INDEX(Data!$DN:$DN,$J$4)+S134*INDEX(Data!$DQ:$DQ,$J$4)+S166*INDEX(Data!$DH:$DH,$J$4)+S167*INDEX(Data!$DO:$DO,$J$4)+S168*INDEX(Data!$DR:$DR,$J$4))/1000</f>
        <v/>
      </c>
      <c r="T201" s="17">
        <f>(T105*INDEX(Data!$DK:$DK,$J$4)+T106*INDEX(Data!$DJ:$DJ,$J$4)+T119*INDEX(Data!$DI:$DI,$J$4)+T120*INDEX(Data!$DP:$DP,$J$4)+T121*INDEX(Data!$DM:$DM,$J$4)+T122*INDEX(Data!$DL:$DL,$J$4)+T132*INDEX(Data!$DG:$DG,$J$4)+T133*INDEX(Data!$DN:$DN,$J$4)+T134*INDEX(Data!$DQ:$DQ,$J$4)+T166*INDEX(Data!$DH:$DH,$J$4)+T167*INDEX(Data!$DO:$DO,$J$4)+T168*INDEX(Data!$DR:$DR,$J$4))/1000</f>
        <v/>
      </c>
      <c r="U201" s="17">
        <f>(U105*INDEX(Data!$DK:$DK,$J$4)+U106*INDEX(Data!$DJ:$DJ,$J$4)+U119*INDEX(Data!$DI:$DI,$J$4)+U120*INDEX(Data!$DP:$DP,$J$4)+U121*INDEX(Data!$DM:$DM,$J$4)+U122*INDEX(Data!$DL:$DL,$J$4)+U132*INDEX(Data!$DG:$DG,$J$4)+U133*INDEX(Data!$DN:$DN,$J$4)+U134*INDEX(Data!$DQ:$DQ,$J$4)+U166*INDEX(Data!$DH:$DH,$J$4)+U167*INDEX(Data!$DO:$DO,$J$4)+U168*INDEX(Data!$DR:$DR,$J$4))/1000</f>
        <v/>
      </c>
      <c r="V201" s="17">
        <f>(V105*INDEX(Data!$DK:$DK,$J$4)+V106*INDEX(Data!$DJ:$DJ,$J$4)+V119*INDEX(Data!$DI:$DI,$J$4)+V120*INDEX(Data!$DP:$DP,$J$4)+V121*INDEX(Data!$DM:$DM,$J$4)+V122*INDEX(Data!$DL:$DL,$J$4)+V132*INDEX(Data!$DG:$DG,$J$4)+V133*INDEX(Data!$DN:$DN,$J$4)+V134*INDEX(Data!$DQ:$DQ,$J$4)+V166*INDEX(Data!$DH:$DH,$J$4)+V167*INDEX(Data!$DO:$DO,$J$4)+V168*INDEX(Data!$DR:$DR,$J$4))/1000</f>
        <v/>
      </c>
      <c r="W201" s="17">
        <f>(W105*INDEX(Data!$DK:$DK,$J$4)+W106*INDEX(Data!$DJ:$DJ,$J$4)+W119*INDEX(Data!$DI:$DI,$J$4)+W120*INDEX(Data!$DP:$DP,$J$4)+W121*INDEX(Data!$DM:$DM,$J$4)+W122*INDEX(Data!$DL:$DL,$J$4)+W132*INDEX(Data!$DG:$DG,$J$4)+W133*INDEX(Data!$DN:$DN,$J$4)+W134*INDEX(Data!$DQ:$DQ,$J$4)+W166*INDEX(Data!$DH:$DH,$J$4)+W167*INDEX(Data!$DO:$DO,$J$4)+W168*INDEX(Data!$DR:$DR,$J$4))/1000</f>
        <v/>
      </c>
      <c r="X201" s="17">
        <f>(X105*INDEX(Data!$DK:$DK,$J$4)+X106*INDEX(Data!$DJ:$DJ,$J$4)+X119*INDEX(Data!$DI:$DI,$J$4)+X120*INDEX(Data!$DP:$DP,$J$4)+X121*INDEX(Data!$DM:$DM,$J$4)+X122*INDEX(Data!$DL:$DL,$J$4)+X132*INDEX(Data!$DG:$DG,$J$4)+X133*INDEX(Data!$DN:$DN,$J$4)+X134*INDEX(Data!$DQ:$DQ,$J$4)+X166*INDEX(Data!$DH:$DH,$J$4)+X167*INDEX(Data!$DO:$DO,$J$4)+X168*INDEX(Data!$DR:$DR,$J$4))/1000</f>
        <v/>
      </c>
      <c r="Y201" s="17">
        <f>(Y105*INDEX(Data!$DK:$DK,$J$4)+Y106*INDEX(Data!$DJ:$DJ,$J$4)+Y119*INDEX(Data!$DI:$DI,$J$4)+Y120*INDEX(Data!$DP:$DP,$J$4)+Y121*INDEX(Data!$DM:$DM,$J$4)+Y122*INDEX(Data!$DL:$DL,$J$4)+Y132*INDEX(Data!$DG:$DG,$J$4)+Y133*INDEX(Data!$DN:$DN,$J$4)+Y134*INDEX(Data!$DQ:$DQ,$J$4)+Y166*INDEX(Data!$DH:$DH,$J$4)+Y167*INDEX(Data!$DO:$DO,$J$4)+Y168*INDEX(Data!$DR:$DR,$J$4))/1000</f>
        <v/>
      </c>
      <c r="Z201" s="17">
        <f>(Z105*INDEX(Data!$DK:$DK,$J$4)+Z106*INDEX(Data!$DJ:$DJ,$J$4)+Z119*INDEX(Data!$DI:$DI,$J$4)+Z120*INDEX(Data!$DP:$DP,$J$4)+Z121*INDEX(Data!$DM:$DM,$J$4)+Z122*INDEX(Data!$DL:$DL,$J$4)+Z132*INDEX(Data!$DG:$DG,$J$4)+Z133*INDEX(Data!$DN:$DN,$J$4)+Z134*INDEX(Data!$DQ:$DQ,$J$4)+Z166*INDEX(Data!$DH:$DH,$J$4)+Z167*INDEX(Data!$DO:$DO,$J$4)+Z168*INDEX(Data!$DR:$DR,$J$4))/1000</f>
        <v/>
      </c>
      <c r="AA201" s="17">
        <f>(AA105*INDEX(Data!$DK:$DK,$J$4)+AA106*INDEX(Data!$DJ:$DJ,$J$4)+AA119*INDEX(Data!$DI:$DI,$J$4)+AA120*INDEX(Data!$DP:$DP,$J$4)+AA121*INDEX(Data!$DM:$DM,$J$4)+AA122*INDEX(Data!$DL:$DL,$J$4)+AA132*INDEX(Data!$DG:$DG,$J$4)+AA133*INDEX(Data!$DN:$DN,$J$4)+AA134*INDEX(Data!$DQ:$DQ,$J$4)+AA166*INDEX(Data!$DH:$DH,$J$4)+AA167*INDEX(Data!$DO:$DO,$J$4)+AA168*INDEX(Data!$DR:$DR,$J$4))/1000</f>
        <v/>
      </c>
      <c r="AB201" s="17">
        <f>(AB105*INDEX(Data!$DK:$DK,$J$4)+AB106*INDEX(Data!$DJ:$DJ,$J$4)+AB119*INDEX(Data!$DI:$DI,$J$4)+AB120*INDEX(Data!$DP:$DP,$J$4)+AB121*INDEX(Data!$DM:$DM,$J$4)+AB122*INDEX(Data!$DL:$DL,$J$4)+AB132*INDEX(Data!$DG:$DG,$J$4)+AB133*INDEX(Data!$DN:$DN,$J$4)+AB134*INDEX(Data!$DQ:$DQ,$J$4)+AB166*INDEX(Data!$DH:$DH,$J$4)+AB167*INDEX(Data!$DO:$DO,$J$4)+AB168*INDEX(Data!$DR:$DR,$J$4))/1000</f>
        <v/>
      </c>
      <c r="AC201" s="17">
        <f>(AC105*INDEX(Data!$DK:$DK,$J$4)+AC106*INDEX(Data!$DJ:$DJ,$J$4)+AC119*INDEX(Data!$DI:$DI,$J$4)+AC120*INDEX(Data!$DP:$DP,$J$4)+AC121*INDEX(Data!$DM:$DM,$J$4)+AC122*INDEX(Data!$DL:$DL,$J$4)+AC132*INDEX(Data!$DG:$DG,$J$4)+AC133*INDEX(Data!$DN:$DN,$J$4)+AC134*INDEX(Data!$DQ:$DQ,$J$4)+AC166*INDEX(Data!$DH:$DH,$J$4)+AC167*INDEX(Data!$DO:$DO,$J$4)+AC168*INDEX(Data!$DR:$DR,$J$4))/1000</f>
        <v/>
      </c>
      <c r="AD201" s="17">
        <f>(AD105*INDEX(Data!$DK:$DK,$J$4)+AD106*INDEX(Data!$DJ:$DJ,$J$4)+AD119*INDEX(Data!$DI:$DI,$J$4)+AD120*INDEX(Data!$DP:$DP,$J$4)+AD121*INDEX(Data!$DM:$DM,$J$4)+AD122*INDEX(Data!$DL:$DL,$J$4)+AD132*INDEX(Data!$DG:$DG,$J$4)+AD133*INDEX(Data!$DN:$DN,$J$4)+AD134*INDEX(Data!$DQ:$DQ,$J$4)+AD166*INDEX(Data!$DH:$DH,$J$4)+AD167*INDEX(Data!$DO:$DO,$J$4)+AD168*INDEX(Data!$DR:$DR,$J$4))/1000</f>
        <v/>
      </c>
      <c r="AE201" s="17">
        <f>(AE105*INDEX(Data!$DK:$DK,$J$4)+AE106*INDEX(Data!$DJ:$DJ,$J$4)+AE119*INDEX(Data!$DI:$DI,$J$4)+AE120*INDEX(Data!$DP:$DP,$J$4)+AE121*INDEX(Data!$DM:$DM,$J$4)+AE122*INDEX(Data!$DL:$DL,$J$4)+AE132*INDEX(Data!$DG:$DG,$J$4)+AE133*INDEX(Data!$DN:$DN,$J$4)+AE134*INDEX(Data!$DQ:$DQ,$J$4)+AE166*INDEX(Data!$DH:$DH,$J$4)+AE167*INDEX(Data!$DO:$DO,$J$4)+AE168*INDEX(Data!$DR:$DR,$J$4))/1000</f>
        <v/>
      </c>
      <c r="AF201" s="17">
        <f>(AF105*INDEX(Data!$DK:$DK,$J$4)+AF106*INDEX(Data!$DJ:$DJ,$J$4)+AF119*INDEX(Data!$DI:$DI,$J$4)+AF120*INDEX(Data!$DP:$DP,$J$4)+AF121*INDEX(Data!$DM:$DM,$J$4)+AF122*INDEX(Data!$DL:$DL,$J$4)+AF132*INDEX(Data!$DG:$DG,$J$4)+AF133*INDEX(Data!$DN:$DN,$J$4)+AF134*INDEX(Data!$DQ:$DQ,$J$4)+AF166*INDEX(Data!$DH:$DH,$J$4)+AF167*INDEX(Data!$DO:$DO,$J$4)+AF168*INDEX(Data!$DR:$DR,$J$4))/1000</f>
        <v/>
      </c>
      <c r="AG201" s="17">
        <f>(AG105*INDEX(Data!$DK:$DK,$J$4)+AG106*INDEX(Data!$DJ:$DJ,$J$4)+AG119*INDEX(Data!$DI:$DI,$J$4)+AG120*INDEX(Data!$DP:$DP,$J$4)+AG121*INDEX(Data!$DM:$DM,$J$4)+AG122*INDEX(Data!$DL:$DL,$J$4)+AG132*INDEX(Data!$DG:$DG,$J$4)+AG133*INDEX(Data!$DN:$DN,$J$4)+AG134*INDEX(Data!$DQ:$DQ,$J$4)+AG166*INDEX(Data!$DH:$DH,$J$4)+AG167*INDEX(Data!$DO:$DO,$J$4)+AG168*INDEX(Data!$DR:$DR,$J$4))/1000</f>
        <v/>
      </c>
      <c r="AH201" s="17">
        <f>(AH105*INDEX(Data!$DK:$DK,$J$4)+AH106*INDEX(Data!$DJ:$DJ,$J$4)+AH119*INDEX(Data!$DI:$DI,$J$4)+AH120*INDEX(Data!$DP:$DP,$J$4)+AH121*INDEX(Data!$DM:$DM,$J$4)+AH122*INDEX(Data!$DL:$DL,$J$4)+AH132*INDEX(Data!$DG:$DG,$J$4)+AH133*INDEX(Data!$DN:$DN,$J$4)+AH134*INDEX(Data!$DQ:$DQ,$J$4)+AH166*INDEX(Data!$DH:$DH,$J$4)+AH167*INDEX(Data!$DO:$DO,$J$4)+AH168*INDEX(Data!$DR:$DR,$J$4))/1000</f>
        <v/>
      </c>
      <c r="AI201" s="17">
        <f>(AI105*INDEX(Data!$DK:$DK,$J$4)+AI106*INDEX(Data!$DJ:$DJ,$J$4)+AI119*INDEX(Data!$DI:$DI,$J$4)+AI120*INDEX(Data!$DP:$DP,$J$4)+AI121*INDEX(Data!$DM:$DM,$J$4)+AI122*INDEX(Data!$DL:$DL,$J$4)+AI132*INDEX(Data!$DG:$DG,$J$4)+AI133*INDEX(Data!$DN:$DN,$J$4)+AI134*INDEX(Data!$DQ:$DQ,$J$4)+AI166*INDEX(Data!$DH:$DH,$J$4)+AI167*INDEX(Data!$DO:$DO,$J$4)+AI168*INDEX(Data!$DR:$DR,$J$4))/1000</f>
        <v/>
      </c>
      <c r="AJ201" s="17">
        <f>(AJ105*INDEX(Data!$DK:$DK,$J$4)+AJ106*INDEX(Data!$DJ:$DJ,$J$4)+AJ119*INDEX(Data!$DI:$DI,$J$4)+AJ120*INDEX(Data!$DP:$DP,$J$4)+AJ121*INDEX(Data!$DM:$DM,$J$4)+AJ122*INDEX(Data!$DL:$DL,$J$4)+AJ132*INDEX(Data!$DG:$DG,$J$4)+AJ133*INDEX(Data!$DN:$DN,$J$4)+AJ134*INDEX(Data!$DQ:$DQ,$J$4)+AJ166*INDEX(Data!$DH:$DH,$J$4)+AJ167*INDEX(Data!$DO:$DO,$J$4)+AJ168*INDEX(Data!$DR:$DR,$J$4))/1000</f>
        <v/>
      </c>
      <c r="AK201" s="17">
        <f>(AK105*INDEX(Data!$DK:$DK,$J$4)+AK106*INDEX(Data!$DJ:$DJ,$J$4)+AK119*INDEX(Data!$DI:$DI,$J$4)+AK120*INDEX(Data!$DP:$DP,$J$4)+AK121*INDEX(Data!$DM:$DM,$J$4)+AK122*INDEX(Data!$DL:$DL,$J$4)+AK132*INDEX(Data!$DG:$DG,$J$4)+AK133*INDEX(Data!$DN:$DN,$J$4)+AK134*INDEX(Data!$DQ:$DQ,$J$4)+AK166*INDEX(Data!$DH:$DH,$J$4)+AK167*INDEX(Data!$DO:$DO,$J$4)+AK168*INDEX(Data!$DR:$DR,$J$4))/1000</f>
        <v/>
      </c>
      <c r="AL201" s="17">
        <f>(AL105*INDEX(Data!$DK:$DK,$J$4)+AL106*INDEX(Data!$DJ:$DJ,$J$4)+AL119*INDEX(Data!$DI:$DI,$J$4)+AL120*INDEX(Data!$DP:$DP,$J$4)+AL121*INDEX(Data!$DM:$DM,$J$4)+AL122*INDEX(Data!$DL:$DL,$J$4)+AL132*INDEX(Data!$DG:$DG,$J$4)+AL133*INDEX(Data!$DN:$DN,$J$4)+AL134*INDEX(Data!$DQ:$DQ,$J$4)+AL166*INDEX(Data!$DH:$DH,$J$4)+AL167*INDEX(Data!$DO:$DO,$J$4)+AL168*INDEX(Data!$DR:$DR,$J$4))/1000</f>
        <v/>
      </c>
      <c r="AM201" s="17">
        <f>(AM105*INDEX(Data!$DK:$DK,$J$4)+AM106*INDEX(Data!$DJ:$DJ,$J$4)+AM119*INDEX(Data!$DI:$DI,$J$4)+AM120*INDEX(Data!$DP:$DP,$J$4)+AM121*INDEX(Data!$DM:$DM,$J$4)+AM122*INDEX(Data!$DL:$DL,$J$4)+AM132*INDEX(Data!$DG:$DG,$J$4)+AM133*INDEX(Data!$DN:$DN,$J$4)+AM134*INDEX(Data!$DQ:$DQ,$J$4)+AM166*INDEX(Data!$DH:$DH,$J$4)+AM167*INDEX(Data!$DO:$DO,$J$4)+AM168*INDEX(Data!$DR:$DR,$J$4))/1000</f>
        <v/>
      </c>
      <c r="AN201" s="17">
        <f>(AN105*INDEX(Data!$DK:$DK,$J$4)+AN106*INDEX(Data!$DJ:$DJ,$J$4)+AN119*INDEX(Data!$DI:$DI,$J$4)+AN120*INDEX(Data!$DP:$DP,$J$4)+AN121*INDEX(Data!$DM:$DM,$J$4)+AN122*INDEX(Data!$DL:$DL,$J$4)+AN132*INDEX(Data!$DG:$DG,$J$4)+AN133*INDEX(Data!$DN:$DN,$J$4)+AN134*INDEX(Data!$DQ:$DQ,$J$4)+AN166*INDEX(Data!$DH:$DH,$J$4)+AN167*INDEX(Data!$DO:$DO,$J$4)+AN168*INDEX(Data!$DR:$DR,$J$4))/1000</f>
        <v/>
      </c>
    </row>
    <row r="202">
      <c r="A202" s="9" t="n">
        <v>9</v>
      </c>
      <c r="B202" s="9" t="inlineStr"/>
      <c r="C202" s="9" t="inlineStr"/>
      <c r="D202" s="9" t="inlineStr">
        <is>
          <t>Air pollution cost</t>
        </is>
      </c>
      <c r="E202" s="9" t="inlineStr">
        <is>
          <t>USD bn</t>
        </is>
      </c>
      <c r="F202" s="9" t="inlineStr">
        <is>
          <t>Model</t>
        </is>
      </c>
      <c r="G202" s="18" t="n"/>
      <c r="H202" s="18" t="inlineStr">
        <is>
          <t>mit.airpol.1</t>
        </is>
      </c>
      <c r="I202" s="9" t="n"/>
      <c r="J202" s="9" t="n"/>
      <c r="K202" s="17" t="n"/>
      <c r="L202" s="17" t="n"/>
      <c r="M202" s="17" t="n"/>
      <c r="N202" s="19">
        <f>(N105*INDEX(Data!$R:$R,$J$4)+N106*INDEX(Data!$Q:$Q,$J$4)+N119*INDEX(Data!$P:$P,$J$4)+N120*INDEX(Data!$W:$W,$J$4)+N121*INDEX(Data!$T:$T,$J$4)+N122*INDEX(Data!$S:$S,$J$4)+N132*INDEX(Data!$N:$N,$J$4)+N133*INDEX(Data!$U:$U,$J$4)+N134*INDEX(Data!$X:$X,$J$4)+N166*INDEX(Data!$O:$O,$J$4)+N167*INDEX(Data!$V:$V,$J$4)+N168*INDEX(Data!$Y:$Y,$J$4))/1000</f>
        <v/>
      </c>
      <c r="O202" s="17">
        <f>(O105*INDEX(Data!$R:$R,$J$4)+O106*INDEX(Data!$Q:$Q,$J$4)+O119*INDEX(Data!$P:$P,$J$4)+O120*INDEX(Data!$W:$W,$J$4)+O121*INDEX(Data!$T:$T,$J$4)+O122*INDEX(Data!$S:$S,$J$4)+O132*INDEX(Data!$N:$N,$J$4)+O133*INDEX(Data!$U:$U,$J$4)+O134*INDEX(Data!$X:$X,$J$4)+O166*INDEX(Data!$O:$O,$J$4)+O167*INDEX(Data!$V:$V,$J$4)+O168*INDEX(Data!$Y:$Y,$J$4))/1000</f>
        <v/>
      </c>
      <c r="P202" s="17">
        <f>(P105*INDEX(Data!$R:$R,$J$4)+P106*INDEX(Data!$Q:$Q,$J$4)+P119*INDEX(Data!$P:$P,$J$4)+P120*INDEX(Data!$W:$W,$J$4)+P121*INDEX(Data!$T:$T,$J$4)+P122*INDEX(Data!$S:$S,$J$4)+P132*INDEX(Data!$N:$N,$J$4)+P133*INDEX(Data!$U:$U,$J$4)+P134*INDEX(Data!$X:$X,$J$4)+P166*INDEX(Data!$O:$O,$J$4)+P167*INDEX(Data!$V:$V,$J$4)+P168*INDEX(Data!$Y:$Y,$J$4))/1000</f>
        <v/>
      </c>
      <c r="Q202" s="17">
        <f>(Q105*INDEX(Data!$R:$R,$J$4)+Q106*INDEX(Data!$Q:$Q,$J$4)+Q119*INDEX(Data!$P:$P,$J$4)+Q120*INDEX(Data!$W:$W,$J$4)+Q121*INDEX(Data!$T:$T,$J$4)+Q122*INDEX(Data!$S:$S,$J$4)+Q132*INDEX(Data!$N:$N,$J$4)+Q133*INDEX(Data!$U:$U,$J$4)+Q134*INDEX(Data!$X:$X,$J$4)+Q166*INDEX(Data!$O:$O,$J$4)+Q167*INDEX(Data!$V:$V,$J$4)+Q168*INDEX(Data!$Y:$Y,$J$4))/1000</f>
        <v/>
      </c>
      <c r="R202" s="17">
        <f>(R105*INDEX(Data!$R:$R,$J$4)+R106*INDEX(Data!$Q:$Q,$J$4)+R119*INDEX(Data!$P:$P,$J$4)+R120*INDEX(Data!$W:$W,$J$4)+R121*INDEX(Data!$T:$T,$J$4)+R122*INDEX(Data!$S:$S,$J$4)+R132*INDEX(Data!$N:$N,$J$4)+R133*INDEX(Data!$U:$U,$J$4)+R134*INDEX(Data!$X:$X,$J$4)+R166*INDEX(Data!$O:$O,$J$4)+R167*INDEX(Data!$V:$V,$J$4)+R168*INDEX(Data!$Y:$Y,$J$4))/1000</f>
        <v/>
      </c>
      <c r="S202" s="17">
        <f>(S105*INDEX(Data!$R:$R,$J$4)+S106*INDEX(Data!$Q:$Q,$J$4)+S119*INDEX(Data!$P:$P,$J$4)+S120*INDEX(Data!$W:$W,$J$4)+S121*INDEX(Data!$T:$T,$J$4)+S122*INDEX(Data!$S:$S,$J$4)+S132*INDEX(Data!$N:$N,$J$4)+S133*INDEX(Data!$U:$U,$J$4)+S134*INDEX(Data!$X:$X,$J$4)+S166*INDEX(Data!$O:$O,$J$4)+S167*INDEX(Data!$V:$V,$J$4)+S168*INDEX(Data!$Y:$Y,$J$4))/1000</f>
        <v/>
      </c>
      <c r="T202" s="17">
        <f>(T105*INDEX(Data!$R:$R,$J$4)+T106*INDEX(Data!$Q:$Q,$J$4)+T119*INDEX(Data!$P:$P,$J$4)+T120*INDEX(Data!$W:$W,$J$4)+T121*INDEX(Data!$T:$T,$J$4)+T122*INDEX(Data!$S:$S,$J$4)+T132*INDEX(Data!$N:$N,$J$4)+T133*INDEX(Data!$U:$U,$J$4)+T134*INDEX(Data!$X:$X,$J$4)+T166*INDEX(Data!$O:$O,$J$4)+T167*INDEX(Data!$V:$V,$J$4)+T168*INDEX(Data!$Y:$Y,$J$4))/1000</f>
        <v/>
      </c>
      <c r="U202" s="17">
        <f>(U105*INDEX(Data!$R:$R,$J$4)+U106*INDEX(Data!$Q:$Q,$J$4)+U119*INDEX(Data!$P:$P,$J$4)+U120*INDEX(Data!$W:$W,$J$4)+U121*INDEX(Data!$T:$T,$J$4)+U122*INDEX(Data!$S:$S,$J$4)+U132*INDEX(Data!$N:$N,$J$4)+U133*INDEX(Data!$U:$U,$J$4)+U134*INDEX(Data!$X:$X,$J$4)+U166*INDEX(Data!$O:$O,$J$4)+U167*INDEX(Data!$V:$V,$J$4)+U168*INDEX(Data!$Y:$Y,$J$4))/1000</f>
        <v/>
      </c>
      <c r="V202" s="17">
        <f>(V105*INDEX(Data!$R:$R,$J$4)+V106*INDEX(Data!$Q:$Q,$J$4)+V119*INDEX(Data!$P:$P,$J$4)+V120*INDEX(Data!$W:$W,$J$4)+V121*INDEX(Data!$T:$T,$J$4)+V122*INDEX(Data!$S:$S,$J$4)+V132*INDEX(Data!$N:$N,$J$4)+V133*INDEX(Data!$U:$U,$J$4)+V134*INDEX(Data!$X:$X,$J$4)+V166*INDEX(Data!$O:$O,$J$4)+V167*INDEX(Data!$V:$V,$J$4)+V168*INDEX(Data!$Y:$Y,$J$4))/1000</f>
        <v/>
      </c>
      <c r="W202" s="17">
        <f>(W105*INDEX(Data!$R:$R,$J$4)+W106*INDEX(Data!$Q:$Q,$J$4)+W119*INDEX(Data!$P:$P,$J$4)+W120*INDEX(Data!$W:$W,$J$4)+W121*INDEX(Data!$T:$T,$J$4)+W122*INDEX(Data!$S:$S,$J$4)+W132*INDEX(Data!$N:$N,$J$4)+W133*INDEX(Data!$U:$U,$J$4)+W134*INDEX(Data!$X:$X,$J$4)+W166*INDEX(Data!$O:$O,$J$4)+W167*INDEX(Data!$V:$V,$J$4)+W168*INDEX(Data!$Y:$Y,$J$4))/1000</f>
        <v/>
      </c>
      <c r="X202" s="17">
        <f>(X105*INDEX(Data!$R:$R,$J$4)+X106*INDEX(Data!$Q:$Q,$J$4)+X119*INDEX(Data!$P:$P,$J$4)+X120*INDEX(Data!$W:$W,$J$4)+X121*INDEX(Data!$T:$T,$J$4)+X122*INDEX(Data!$S:$S,$J$4)+X132*INDEX(Data!$N:$N,$J$4)+X133*INDEX(Data!$U:$U,$J$4)+X134*INDEX(Data!$X:$X,$J$4)+X166*INDEX(Data!$O:$O,$J$4)+X167*INDEX(Data!$V:$V,$J$4)+X168*INDEX(Data!$Y:$Y,$J$4))/1000</f>
        <v/>
      </c>
      <c r="Y202" s="17">
        <f>(Y105*INDEX(Data!$R:$R,$J$4)+Y106*INDEX(Data!$Q:$Q,$J$4)+Y119*INDEX(Data!$P:$P,$J$4)+Y120*INDEX(Data!$W:$W,$J$4)+Y121*INDEX(Data!$T:$T,$J$4)+Y122*INDEX(Data!$S:$S,$J$4)+Y132*INDEX(Data!$N:$N,$J$4)+Y133*INDEX(Data!$U:$U,$J$4)+Y134*INDEX(Data!$X:$X,$J$4)+Y166*INDEX(Data!$O:$O,$J$4)+Y167*INDEX(Data!$V:$V,$J$4)+Y168*INDEX(Data!$Y:$Y,$J$4))/1000</f>
        <v/>
      </c>
      <c r="Z202" s="17">
        <f>(Z105*INDEX(Data!$R:$R,$J$4)+Z106*INDEX(Data!$Q:$Q,$J$4)+Z119*INDEX(Data!$P:$P,$J$4)+Z120*INDEX(Data!$W:$W,$J$4)+Z121*INDEX(Data!$T:$T,$J$4)+Z122*INDEX(Data!$S:$S,$J$4)+Z132*INDEX(Data!$N:$N,$J$4)+Z133*INDEX(Data!$U:$U,$J$4)+Z134*INDEX(Data!$X:$X,$J$4)+Z166*INDEX(Data!$O:$O,$J$4)+Z167*INDEX(Data!$V:$V,$J$4)+Z168*INDEX(Data!$Y:$Y,$J$4))/1000</f>
        <v/>
      </c>
      <c r="AA202" s="17">
        <f>(AA105*INDEX(Data!$R:$R,$J$4)+AA106*INDEX(Data!$Q:$Q,$J$4)+AA119*INDEX(Data!$P:$P,$J$4)+AA120*INDEX(Data!$W:$W,$J$4)+AA121*INDEX(Data!$T:$T,$J$4)+AA122*INDEX(Data!$S:$S,$J$4)+AA132*INDEX(Data!$N:$N,$J$4)+AA133*INDEX(Data!$U:$U,$J$4)+AA134*INDEX(Data!$X:$X,$J$4)+AA166*INDEX(Data!$O:$O,$J$4)+AA167*INDEX(Data!$V:$V,$J$4)+AA168*INDEX(Data!$Y:$Y,$J$4))/1000</f>
        <v/>
      </c>
      <c r="AB202" s="17">
        <f>(AB105*INDEX(Data!$R:$R,$J$4)+AB106*INDEX(Data!$Q:$Q,$J$4)+AB119*INDEX(Data!$P:$P,$J$4)+AB120*INDEX(Data!$W:$W,$J$4)+AB121*INDEX(Data!$T:$T,$J$4)+AB122*INDEX(Data!$S:$S,$J$4)+AB132*INDEX(Data!$N:$N,$J$4)+AB133*INDEX(Data!$U:$U,$J$4)+AB134*INDEX(Data!$X:$X,$J$4)+AB166*INDEX(Data!$O:$O,$J$4)+AB167*INDEX(Data!$V:$V,$J$4)+AB168*INDEX(Data!$Y:$Y,$J$4))/1000</f>
        <v/>
      </c>
      <c r="AC202" s="17">
        <f>(AC105*INDEX(Data!$R:$R,$J$4)+AC106*INDEX(Data!$Q:$Q,$J$4)+AC119*INDEX(Data!$P:$P,$J$4)+AC120*INDEX(Data!$W:$W,$J$4)+AC121*INDEX(Data!$T:$T,$J$4)+AC122*INDEX(Data!$S:$S,$J$4)+AC132*INDEX(Data!$N:$N,$J$4)+AC133*INDEX(Data!$U:$U,$J$4)+AC134*INDEX(Data!$X:$X,$J$4)+AC166*INDEX(Data!$O:$O,$J$4)+AC167*INDEX(Data!$V:$V,$J$4)+AC168*INDEX(Data!$Y:$Y,$J$4))/1000</f>
        <v/>
      </c>
      <c r="AD202" s="17">
        <f>(AD105*INDEX(Data!$R:$R,$J$4)+AD106*INDEX(Data!$Q:$Q,$J$4)+AD119*INDEX(Data!$P:$P,$J$4)+AD120*INDEX(Data!$W:$W,$J$4)+AD121*INDEX(Data!$T:$T,$J$4)+AD122*INDEX(Data!$S:$S,$J$4)+AD132*INDEX(Data!$N:$N,$J$4)+AD133*INDEX(Data!$U:$U,$J$4)+AD134*INDEX(Data!$X:$X,$J$4)+AD166*INDEX(Data!$O:$O,$J$4)+AD167*INDEX(Data!$V:$V,$J$4)+AD168*INDEX(Data!$Y:$Y,$J$4))/1000</f>
        <v/>
      </c>
      <c r="AE202" s="17">
        <f>(AE105*INDEX(Data!$R:$R,$J$4)+AE106*INDEX(Data!$Q:$Q,$J$4)+AE119*INDEX(Data!$P:$P,$J$4)+AE120*INDEX(Data!$W:$W,$J$4)+AE121*INDEX(Data!$T:$T,$J$4)+AE122*INDEX(Data!$S:$S,$J$4)+AE132*INDEX(Data!$N:$N,$J$4)+AE133*INDEX(Data!$U:$U,$J$4)+AE134*INDEX(Data!$X:$X,$J$4)+AE166*INDEX(Data!$O:$O,$J$4)+AE167*INDEX(Data!$V:$V,$J$4)+AE168*INDEX(Data!$Y:$Y,$J$4))/1000</f>
        <v/>
      </c>
      <c r="AF202" s="17">
        <f>(AF105*INDEX(Data!$R:$R,$J$4)+AF106*INDEX(Data!$Q:$Q,$J$4)+AF119*INDEX(Data!$P:$P,$J$4)+AF120*INDEX(Data!$W:$W,$J$4)+AF121*INDEX(Data!$T:$T,$J$4)+AF122*INDEX(Data!$S:$S,$J$4)+AF132*INDEX(Data!$N:$N,$J$4)+AF133*INDEX(Data!$U:$U,$J$4)+AF134*INDEX(Data!$X:$X,$J$4)+AF166*INDEX(Data!$O:$O,$J$4)+AF167*INDEX(Data!$V:$V,$J$4)+AF168*INDEX(Data!$Y:$Y,$J$4))/1000</f>
        <v/>
      </c>
      <c r="AG202" s="17">
        <f>(AG105*INDEX(Data!$R:$R,$J$4)+AG106*INDEX(Data!$Q:$Q,$J$4)+AG119*INDEX(Data!$P:$P,$J$4)+AG120*INDEX(Data!$W:$W,$J$4)+AG121*INDEX(Data!$T:$T,$J$4)+AG122*INDEX(Data!$S:$S,$J$4)+AG132*INDEX(Data!$N:$N,$J$4)+AG133*INDEX(Data!$U:$U,$J$4)+AG134*INDEX(Data!$X:$X,$J$4)+AG166*INDEX(Data!$O:$O,$J$4)+AG167*INDEX(Data!$V:$V,$J$4)+AG168*INDEX(Data!$Y:$Y,$J$4))/1000</f>
        <v/>
      </c>
      <c r="AH202" s="17">
        <f>(AH105*INDEX(Data!$R:$R,$J$4)+AH106*INDEX(Data!$Q:$Q,$J$4)+AH119*INDEX(Data!$P:$P,$J$4)+AH120*INDEX(Data!$W:$W,$J$4)+AH121*INDEX(Data!$T:$T,$J$4)+AH122*INDEX(Data!$S:$S,$J$4)+AH132*INDEX(Data!$N:$N,$J$4)+AH133*INDEX(Data!$U:$U,$J$4)+AH134*INDEX(Data!$X:$X,$J$4)+AH166*INDEX(Data!$O:$O,$J$4)+AH167*INDEX(Data!$V:$V,$J$4)+AH168*INDEX(Data!$Y:$Y,$J$4))/1000</f>
        <v/>
      </c>
      <c r="AI202" s="17">
        <f>(AI105*INDEX(Data!$R:$R,$J$4)+AI106*INDEX(Data!$Q:$Q,$J$4)+AI119*INDEX(Data!$P:$P,$J$4)+AI120*INDEX(Data!$W:$W,$J$4)+AI121*INDEX(Data!$T:$T,$J$4)+AI122*INDEX(Data!$S:$S,$J$4)+AI132*INDEX(Data!$N:$N,$J$4)+AI133*INDEX(Data!$U:$U,$J$4)+AI134*INDEX(Data!$X:$X,$J$4)+AI166*INDEX(Data!$O:$O,$J$4)+AI167*INDEX(Data!$V:$V,$J$4)+AI168*INDEX(Data!$Y:$Y,$J$4))/1000</f>
        <v/>
      </c>
      <c r="AJ202" s="17">
        <f>(AJ105*INDEX(Data!$R:$R,$J$4)+AJ106*INDEX(Data!$Q:$Q,$J$4)+AJ119*INDEX(Data!$P:$P,$J$4)+AJ120*INDEX(Data!$W:$W,$J$4)+AJ121*INDEX(Data!$T:$T,$J$4)+AJ122*INDEX(Data!$S:$S,$J$4)+AJ132*INDEX(Data!$N:$N,$J$4)+AJ133*INDEX(Data!$U:$U,$J$4)+AJ134*INDEX(Data!$X:$X,$J$4)+AJ166*INDEX(Data!$O:$O,$J$4)+AJ167*INDEX(Data!$V:$V,$J$4)+AJ168*INDEX(Data!$Y:$Y,$J$4))/1000</f>
        <v/>
      </c>
      <c r="AK202" s="17">
        <f>(AK105*INDEX(Data!$R:$R,$J$4)+AK106*INDEX(Data!$Q:$Q,$J$4)+AK119*INDEX(Data!$P:$P,$J$4)+AK120*INDEX(Data!$W:$W,$J$4)+AK121*INDEX(Data!$T:$T,$J$4)+AK122*INDEX(Data!$S:$S,$J$4)+AK132*INDEX(Data!$N:$N,$J$4)+AK133*INDEX(Data!$U:$U,$J$4)+AK134*INDEX(Data!$X:$X,$J$4)+AK166*INDEX(Data!$O:$O,$J$4)+AK167*INDEX(Data!$V:$V,$J$4)+AK168*INDEX(Data!$Y:$Y,$J$4))/1000</f>
        <v/>
      </c>
      <c r="AL202" s="17">
        <f>(AL105*INDEX(Data!$R:$R,$J$4)+AL106*INDEX(Data!$Q:$Q,$J$4)+AL119*INDEX(Data!$P:$P,$J$4)+AL120*INDEX(Data!$W:$W,$J$4)+AL121*INDEX(Data!$T:$T,$J$4)+AL122*INDEX(Data!$S:$S,$J$4)+AL132*INDEX(Data!$N:$N,$J$4)+AL133*INDEX(Data!$U:$U,$J$4)+AL134*INDEX(Data!$X:$X,$J$4)+AL166*INDEX(Data!$O:$O,$J$4)+AL167*INDEX(Data!$V:$V,$J$4)+AL168*INDEX(Data!$Y:$Y,$J$4))/1000</f>
        <v/>
      </c>
      <c r="AM202" s="17">
        <f>(AM105*INDEX(Data!$R:$R,$J$4)+AM106*INDEX(Data!$Q:$Q,$J$4)+AM119*INDEX(Data!$P:$P,$J$4)+AM120*INDEX(Data!$W:$W,$J$4)+AM121*INDEX(Data!$T:$T,$J$4)+AM122*INDEX(Data!$S:$S,$J$4)+AM132*INDEX(Data!$N:$N,$J$4)+AM133*INDEX(Data!$U:$U,$J$4)+AM134*INDEX(Data!$X:$X,$J$4)+AM166*INDEX(Data!$O:$O,$J$4)+AM167*INDEX(Data!$V:$V,$J$4)+AM168*INDEX(Data!$Y:$Y,$J$4))/1000</f>
        <v/>
      </c>
      <c r="AN202" s="17">
        <f>(AN105*INDEX(Data!$R:$R,$J$4)+AN106*INDEX(Data!$Q:$Q,$J$4)+AN119*INDEX(Data!$P:$P,$J$4)+AN120*INDEX(Data!$W:$W,$J$4)+AN121*INDEX(Data!$T:$T,$J$4)+AN122*INDEX(Data!$S:$S,$J$4)+AN132*INDEX(Data!$N:$N,$J$4)+AN133*INDEX(Data!$U:$U,$J$4)+AN134*INDEX(Data!$X:$X,$J$4)+AN166*INDEX(Data!$O:$O,$J$4)+AN167*INDEX(Data!$V:$V,$J$4)+AN168*INDEX(Data!$Y:$Y,$J$4))/1000</f>
        <v/>
      </c>
    </row>
    <row r="203">
      <c r="A203" s="9" t="n">
        <v>9</v>
      </c>
      <c r="B203" s="9" t="inlineStr"/>
      <c r="C203" s="9" t="inlineStr"/>
      <c r="D203" s="9" t="inlineStr">
        <is>
          <t>Energy CO2</t>
        </is>
      </c>
      <c r="E203" s="9" t="inlineStr">
        <is>
          <t>MtCO2</t>
        </is>
      </c>
      <c r="F203" s="9" t="inlineStr">
        <is>
          <t>Model</t>
        </is>
      </c>
      <c r="G203" s="18" t="n"/>
      <c r="H203" s="18" t="inlineStr">
        <is>
          <t>mit.co2.en.2</t>
        </is>
      </c>
      <c r="I203" s="9" t="n"/>
      <c r="J203" s="9" t="n"/>
      <c r="K203" s="17" t="n"/>
      <c r="L203" s="17" t="n"/>
      <c r="M203" s="17" t="n"/>
      <c r="N203" s="19">
        <f>N112*p_ef_gso+N113*p_ef_die+N123*p_ef_coa+N124*p_ef_nga+N125*p_ef_lpg+N126*p_ef_ker+N135*p_ef_coa+N136*p_ef_nga+N137*p_ef_oil+N187*p_ef_coa+N188*p_ef_nga+N189*p_ef_oil</f>
        <v/>
      </c>
      <c r="O203" s="17">
        <f>O112*p_ef_gso+O113*p_ef_die+O123*p_ef_coa+O124*p_ef_nga+O125*p_ef_lpg+O126*p_ef_ker+O135*p_ef_coa+O136*p_ef_nga+O137*p_ef_oil+O187*p_ef_coa+O188*p_ef_nga+O189*p_ef_oil</f>
        <v/>
      </c>
      <c r="P203" s="17">
        <f>P112*p_ef_gso+P113*p_ef_die+P123*p_ef_coa+P124*p_ef_nga+P125*p_ef_lpg+P126*p_ef_ker+P135*p_ef_coa+P136*p_ef_nga+P137*p_ef_oil+P187*p_ef_coa+P188*p_ef_nga+P189*p_ef_oil</f>
        <v/>
      </c>
      <c r="Q203" s="17">
        <f>Q112*p_ef_gso+Q113*p_ef_die+Q123*p_ef_coa+Q124*p_ef_nga+Q125*p_ef_lpg+Q126*p_ef_ker+Q135*p_ef_coa+Q136*p_ef_nga+Q137*p_ef_oil+Q187*p_ef_coa+Q188*p_ef_nga+Q189*p_ef_oil</f>
        <v/>
      </c>
      <c r="R203" s="17">
        <f>R112*p_ef_gso+R113*p_ef_die+R123*p_ef_coa+R124*p_ef_nga+R125*p_ef_lpg+R126*p_ef_ker+R135*p_ef_coa+R136*p_ef_nga+R137*p_ef_oil+R187*p_ef_coa+R188*p_ef_nga+R189*p_ef_oil</f>
        <v/>
      </c>
      <c r="S203" s="17">
        <f>S112*p_ef_gso+S113*p_ef_die+S123*p_ef_coa+S124*p_ef_nga+S125*p_ef_lpg+S126*p_ef_ker+S135*p_ef_coa+S136*p_ef_nga+S137*p_ef_oil+S187*p_ef_coa+S188*p_ef_nga+S189*p_ef_oil</f>
        <v/>
      </c>
      <c r="T203" s="17">
        <f>T112*p_ef_gso+T113*p_ef_die+T123*p_ef_coa+T124*p_ef_nga+T125*p_ef_lpg+T126*p_ef_ker+T135*p_ef_coa+T136*p_ef_nga+T137*p_ef_oil+T187*p_ef_coa+T188*p_ef_nga+T189*p_ef_oil</f>
        <v/>
      </c>
      <c r="U203" s="17">
        <f>U112*p_ef_gso+U113*p_ef_die+U123*p_ef_coa+U124*p_ef_nga+U125*p_ef_lpg+U126*p_ef_ker+U135*p_ef_coa+U136*p_ef_nga+U137*p_ef_oil+U187*p_ef_coa+U188*p_ef_nga+U189*p_ef_oil</f>
        <v/>
      </c>
      <c r="V203" s="17">
        <f>V112*p_ef_gso+V113*p_ef_die+V123*p_ef_coa+V124*p_ef_nga+V125*p_ef_lpg+V126*p_ef_ker+V135*p_ef_coa+V136*p_ef_nga+V137*p_ef_oil+V187*p_ef_coa+V188*p_ef_nga+V189*p_ef_oil</f>
        <v/>
      </c>
      <c r="W203" s="17">
        <f>W112*p_ef_gso+W113*p_ef_die+W123*p_ef_coa+W124*p_ef_nga+W125*p_ef_lpg+W126*p_ef_ker+W135*p_ef_coa+W136*p_ef_nga+W137*p_ef_oil+W187*p_ef_coa+W188*p_ef_nga+W189*p_ef_oil</f>
        <v/>
      </c>
      <c r="X203" s="17">
        <f>X112*p_ef_gso+X113*p_ef_die+X123*p_ef_coa+X124*p_ef_nga+X125*p_ef_lpg+X126*p_ef_ker+X135*p_ef_coa+X136*p_ef_nga+X137*p_ef_oil+X187*p_ef_coa+X188*p_ef_nga+X189*p_ef_oil</f>
        <v/>
      </c>
      <c r="Y203" s="17">
        <f>Y112*p_ef_gso+Y113*p_ef_die+Y123*p_ef_coa+Y124*p_ef_nga+Y125*p_ef_lpg+Y126*p_ef_ker+Y135*p_ef_coa+Y136*p_ef_nga+Y137*p_ef_oil+Y187*p_ef_coa+Y188*p_ef_nga+Y189*p_ef_oil</f>
        <v/>
      </c>
      <c r="Z203" s="17">
        <f>Z112*p_ef_gso+Z113*p_ef_die+Z123*p_ef_coa+Z124*p_ef_nga+Z125*p_ef_lpg+Z126*p_ef_ker+Z135*p_ef_coa+Z136*p_ef_nga+Z137*p_ef_oil+Z187*p_ef_coa+Z188*p_ef_nga+Z189*p_ef_oil</f>
        <v/>
      </c>
      <c r="AA203" s="17">
        <f>AA112*p_ef_gso+AA113*p_ef_die+AA123*p_ef_coa+AA124*p_ef_nga+AA125*p_ef_lpg+AA126*p_ef_ker+AA135*p_ef_coa+AA136*p_ef_nga+AA137*p_ef_oil+AA187*p_ef_coa+AA188*p_ef_nga+AA189*p_ef_oil</f>
        <v/>
      </c>
      <c r="AB203" s="17">
        <f>AB112*p_ef_gso+AB113*p_ef_die+AB123*p_ef_coa+AB124*p_ef_nga+AB125*p_ef_lpg+AB126*p_ef_ker+AB135*p_ef_coa+AB136*p_ef_nga+AB137*p_ef_oil+AB187*p_ef_coa+AB188*p_ef_nga+AB189*p_ef_oil</f>
        <v/>
      </c>
      <c r="AC203" s="17">
        <f>AC112*p_ef_gso+AC113*p_ef_die+AC123*p_ef_coa+AC124*p_ef_nga+AC125*p_ef_lpg+AC126*p_ef_ker+AC135*p_ef_coa+AC136*p_ef_nga+AC137*p_ef_oil+AC187*p_ef_coa+AC188*p_ef_nga+AC189*p_ef_oil</f>
        <v/>
      </c>
      <c r="AD203" s="17">
        <f>AD112*p_ef_gso+AD113*p_ef_die+AD123*p_ef_coa+AD124*p_ef_nga+AD125*p_ef_lpg+AD126*p_ef_ker+AD135*p_ef_coa+AD136*p_ef_nga+AD137*p_ef_oil+AD187*p_ef_coa+AD188*p_ef_nga+AD189*p_ef_oil</f>
        <v/>
      </c>
      <c r="AE203" s="17">
        <f>AE112*p_ef_gso+AE113*p_ef_die+AE123*p_ef_coa+AE124*p_ef_nga+AE125*p_ef_lpg+AE126*p_ef_ker+AE135*p_ef_coa+AE136*p_ef_nga+AE137*p_ef_oil+AE187*p_ef_coa+AE188*p_ef_nga+AE189*p_ef_oil</f>
        <v/>
      </c>
      <c r="AF203" s="17">
        <f>AF112*p_ef_gso+AF113*p_ef_die+AF123*p_ef_coa+AF124*p_ef_nga+AF125*p_ef_lpg+AF126*p_ef_ker+AF135*p_ef_coa+AF136*p_ef_nga+AF137*p_ef_oil+AF187*p_ef_coa+AF188*p_ef_nga+AF189*p_ef_oil</f>
        <v/>
      </c>
      <c r="AG203" s="17">
        <f>AG112*p_ef_gso+AG113*p_ef_die+AG123*p_ef_coa+AG124*p_ef_nga+AG125*p_ef_lpg+AG126*p_ef_ker+AG135*p_ef_coa+AG136*p_ef_nga+AG137*p_ef_oil+AG187*p_ef_coa+AG188*p_ef_nga+AG189*p_ef_oil</f>
        <v/>
      </c>
      <c r="AH203" s="17">
        <f>AH112*p_ef_gso+AH113*p_ef_die+AH123*p_ef_coa+AH124*p_ef_nga+AH125*p_ef_lpg+AH126*p_ef_ker+AH135*p_ef_coa+AH136*p_ef_nga+AH137*p_ef_oil+AH187*p_ef_coa+AH188*p_ef_nga+AH189*p_ef_oil</f>
        <v/>
      </c>
      <c r="AI203" s="17">
        <f>AI112*p_ef_gso+AI113*p_ef_die+AI123*p_ef_coa+AI124*p_ef_nga+AI125*p_ef_lpg+AI126*p_ef_ker+AI135*p_ef_coa+AI136*p_ef_nga+AI137*p_ef_oil+AI187*p_ef_coa+AI188*p_ef_nga+AI189*p_ef_oil</f>
        <v/>
      </c>
      <c r="AJ203" s="17">
        <f>AJ112*p_ef_gso+AJ113*p_ef_die+AJ123*p_ef_coa+AJ124*p_ef_nga+AJ125*p_ef_lpg+AJ126*p_ef_ker+AJ135*p_ef_coa+AJ136*p_ef_nga+AJ137*p_ef_oil+AJ187*p_ef_coa+AJ188*p_ef_nga+AJ189*p_ef_oil</f>
        <v/>
      </c>
      <c r="AK203" s="17">
        <f>AK112*p_ef_gso+AK113*p_ef_die+AK123*p_ef_coa+AK124*p_ef_nga+AK125*p_ef_lpg+AK126*p_ef_ker+AK135*p_ef_coa+AK136*p_ef_nga+AK137*p_ef_oil+AK187*p_ef_coa+AK188*p_ef_nga+AK189*p_ef_oil</f>
        <v/>
      </c>
      <c r="AL203" s="17">
        <f>AL112*p_ef_gso+AL113*p_ef_die+AL123*p_ef_coa+AL124*p_ef_nga+AL125*p_ef_lpg+AL126*p_ef_ker+AL135*p_ef_coa+AL136*p_ef_nga+AL137*p_ef_oil+AL187*p_ef_coa+AL188*p_ef_nga+AL189*p_ef_oil</f>
        <v/>
      </c>
      <c r="AM203" s="17">
        <f>AM112*p_ef_gso+AM113*p_ef_die+AM123*p_ef_coa+AM124*p_ef_nga+AM125*p_ef_lpg+AM126*p_ef_ker+AM135*p_ef_coa+AM136*p_ef_nga+AM137*p_ef_oil+AM187*p_ef_coa+AM188*p_ef_nga+AM189*p_ef_oil</f>
        <v/>
      </c>
      <c r="AN203" s="17">
        <f>AN112*p_ef_gso+AN113*p_ef_die+AN123*p_ef_coa+AN124*p_ef_nga+AN125*p_ef_lpg+AN126*p_ef_ker+AN135*p_ef_coa+AN136*p_ef_nga+AN137*p_ef_oil+AN187*p_ef_coa+AN188*p_ef_nga+AN189*p_ef_oil</f>
        <v/>
      </c>
    </row>
    <row r="204">
      <c r="A204" s="9" t="n">
        <v>9</v>
      </c>
      <c r="B204" s="9" t="inlineStr"/>
      <c r="C204" s="9" t="inlineStr"/>
      <c r="D204" s="9" t="inlineStr">
        <is>
          <t>Other energy CO2, net zero (abated with industry)</t>
        </is>
      </c>
      <c r="E204" s="9" t="inlineStr">
        <is>
          <t>MtCO2</t>
        </is>
      </c>
      <c r="F204" s="9" t="inlineStr">
        <is>
          <t>Model</t>
        </is>
      </c>
      <c r="G204" s="18" t="n"/>
      <c r="H204" s="18" t="inlineStr">
        <is>
          <t>mit.co2.res.2</t>
        </is>
      </c>
      <c r="I204" s="9" t="n"/>
      <c r="J204" s="9" t="n"/>
      <c r="K204" s="17" t="n"/>
      <c r="L204" s="17" t="n"/>
      <c r="M204" s="17" t="n"/>
      <c r="N204" s="19">
        <f>N199</f>
        <v/>
      </c>
      <c r="O204" s="17">
        <f>O199*(1-O131)</f>
        <v/>
      </c>
      <c r="P204" s="17">
        <f>P199*(1-P131)</f>
        <v/>
      </c>
      <c r="Q204" s="17">
        <f>Q199*(1-Q131)</f>
        <v/>
      </c>
      <c r="R204" s="17">
        <f>R199*(1-R131)</f>
        <v/>
      </c>
      <c r="S204" s="17">
        <f>S199*(1-S131)</f>
        <v/>
      </c>
      <c r="T204" s="17">
        <f>T199*(1-T131)</f>
        <v/>
      </c>
      <c r="U204" s="17">
        <f>U199*(1-U131)</f>
        <v/>
      </c>
      <c r="V204" s="17">
        <f>V199*(1-V131)</f>
        <v/>
      </c>
      <c r="W204" s="17">
        <f>W199*(1-W131)</f>
        <v/>
      </c>
      <c r="X204" s="17">
        <f>X199*(1-X131)</f>
        <v/>
      </c>
      <c r="Y204" s="17">
        <f>Y199*(1-Y131)</f>
        <v/>
      </c>
      <c r="Z204" s="17">
        <f>Z199*(1-Z131)</f>
        <v/>
      </c>
      <c r="AA204" s="17">
        <f>AA199*(1-AA131)</f>
        <v/>
      </c>
      <c r="AB204" s="17">
        <f>AB199*(1-AB131)</f>
        <v/>
      </c>
      <c r="AC204" s="17">
        <f>AC199*(1-AC131)</f>
        <v/>
      </c>
      <c r="AD204" s="17">
        <f>AD199*(1-AD131)</f>
        <v/>
      </c>
      <c r="AE204" s="17">
        <f>AE199*(1-AE131)</f>
        <v/>
      </c>
      <c r="AF204" s="17">
        <f>AF199*(1-AF131)</f>
        <v/>
      </c>
      <c r="AG204" s="17">
        <f>AG199*(1-AG131)</f>
        <v/>
      </c>
      <c r="AH204" s="17">
        <f>AH199*(1-AH131)</f>
        <v/>
      </c>
      <c r="AI204" s="17">
        <f>AI199*(1-AI131)</f>
        <v/>
      </c>
      <c r="AJ204" s="17">
        <f>AJ199*(1-AJ131)</f>
        <v/>
      </c>
      <c r="AK204" s="17">
        <f>AK199*(1-AK131)</f>
        <v/>
      </c>
      <c r="AL204" s="17">
        <f>AL199*(1-AL131)</f>
        <v/>
      </c>
      <c r="AM204" s="17">
        <f>AM199*(1-AM131)</f>
        <v/>
      </c>
      <c r="AN204" s="17">
        <f>AN199*(1-AN131)</f>
        <v/>
      </c>
    </row>
    <row r="205">
      <c r="A205" s="9" t="n">
        <v>9</v>
      </c>
      <c r="B205" s="9" t="inlineStr"/>
      <c r="C205" s="9" t="inlineStr"/>
      <c r="D205" s="9" t="inlineStr">
        <is>
          <t>Spending: other energy CO2 abated (aviation, shipping, other)</t>
        </is>
      </c>
      <c r="E205" s="9" t="inlineStr">
        <is>
          <t>USD bn</t>
        </is>
      </c>
      <c r="F205" s="9" t="inlineStr">
        <is>
          <t>Model</t>
        </is>
      </c>
      <c r="G205" s="18" t="n"/>
      <c r="H205" s="18" t="inlineStr">
        <is>
          <t>mit.inv.oth.2</t>
        </is>
      </c>
      <c r="I205" s="9" t="n"/>
      <c r="J205" s="9" t="n"/>
      <c r="K205" s="17" t="n"/>
      <c r="L205" s="17" t="n"/>
      <c r="M205" s="17" t="n"/>
      <c r="N205" s="19">
        <f>0</f>
        <v/>
      </c>
      <c r="O205" s="17">
        <f>(O199-O204)*p_cpt_res/1000</f>
        <v/>
      </c>
      <c r="P205" s="17">
        <f>(P199-P204)*p_cpt_res/1000</f>
        <v/>
      </c>
      <c r="Q205" s="17">
        <f>(Q199-Q204)*p_cpt_res/1000</f>
        <v/>
      </c>
      <c r="R205" s="17">
        <f>(R199-R204)*p_cpt_res/1000</f>
        <v/>
      </c>
      <c r="S205" s="17">
        <f>(S199-S204)*p_cpt_res/1000</f>
        <v/>
      </c>
      <c r="T205" s="17">
        <f>(T199-T204)*p_cpt_res/1000</f>
        <v/>
      </c>
      <c r="U205" s="17">
        <f>(U199-U204)*p_cpt_res/1000</f>
        <v/>
      </c>
      <c r="V205" s="17">
        <f>(V199-V204)*p_cpt_res/1000</f>
        <v/>
      </c>
      <c r="W205" s="17">
        <f>(W199-W204)*p_cpt_res/1000</f>
        <v/>
      </c>
      <c r="X205" s="17">
        <f>(X199-X204)*p_cpt_res/1000</f>
        <v/>
      </c>
      <c r="Y205" s="17">
        <f>(Y199-Y204)*p_cpt_res/1000</f>
        <v/>
      </c>
      <c r="Z205" s="17">
        <f>(Z199-Z204)*p_cpt_res/1000</f>
        <v/>
      </c>
      <c r="AA205" s="17">
        <f>(AA199-AA204)*p_cpt_res/1000</f>
        <v/>
      </c>
      <c r="AB205" s="17">
        <f>(AB199-AB204)*p_cpt_res/1000</f>
        <v/>
      </c>
      <c r="AC205" s="17">
        <f>(AC199-AC204)*p_cpt_res/1000</f>
        <v/>
      </c>
      <c r="AD205" s="17">
        <f>(AD199-AD204)*p_cpt_res/1000</f>
        <v/>
      </c>
      <c r="AE205" s="17">
        <f>(AE199-AE204)*p_cpt_res/1000</f>
        <v/>
      </c>
      <c r="AF205" s="17">
        <f>(AF199-AF204)*p_cpt_res/1000</f>
        <v/>
      </c>
      <c r="AG205" s="17">
        <f>(AG199-AG204)*p_cpt_res/1000</f>
        <v/>
      </c>
      <c r="AH205" s="17">
        <f>(AH199-AH204)*p_cpt_res/1000</f>
        <v/>
      </c>
      <c r="AI205" s="17">
        <f>(AI199-AI204)*p_cpt_res/1000</f>
        <v/>
      </c>
      <c r="AJ205" s="17">
        <f>(AJ199-AJ204)*p_cpt_res/1000</f>
        <v/>
      </c>
      <c r="AK205" s="17">
        <f>(AK199-AK204)*p_cpt_res/1000</f>
        <v/>
      </c>
      <c r="AL205" s="17">
        <f>(AL199-AL204)*p_cpt_res/1000</f>
        <v/>
      </c>
      <c r="AM205" s="17">
        <f>(AM199-AM204)*p_cpt_res/1000</f>
        <v/>
      </c>
      <c r="AN205" s="17">
        <f>(AN199-AN204)*p_cpt_res/1000</f>
        <v/>
      </c>
    </row>
    <row r="206">
      <c r="A206" s="9" t="n">
        <v>9</v>
      </c>
      <c r="B206" s="9" t="inlineStr"/>
      <c r="C206" s="9" t="inlineStr"/>
      <c r="D206" s="9" t="inlineStr">
        <is>
          <t>Total GHG incl. land use</t>
        </is>
      </c>
      <c r="E206" s="9" t="inlineStr">
        <is>
          <t>MtCO2e</t>
        </is>
      </c>
      <c r="F206" s="9" t="inlineStr">
        <is>
          <t>Model</t>
        </is>
      </c>
      <c r="G206" s="18" t="n"/>
      <c r="H206" s="18" t="inlineStr">
        <is>
          <t>mit.ghg.tot.2</t>
        </is>
      </c>
      <c r="I206" s="9" t="n"/>
      <c r="J206" s="9" t="n"/>
      <c r="K206" s="17" t="n"/>
      <c r="L206" s="17" t="n"/>
      <c r="M206" s="17" t="n"/>
      <c r="N206" s="19">
        <f>N203+N204+N140-N141+$J$32+$J$33-N192-N193</f>
        <v/>
      </c>
      <c r="O206" s="17">
        <f>O203+O204+O140-O141+$J$32+$J$33-O192-O193</f>
        <v/>
      </c>
      <c r="P206" s="17">
        <f>P203+P204+P140-P141+$J$32+$J$33-P192-P193</f>
        <v/>
      </c>
      <c r="Q206" s="17">
        <f>Q203+Q204+Q140-Q141+$J$32+$J$33-Q192-Q193</f>
        <v/>
      </c>
      <c r="R206" s="17">
        <f>R203+R204+R140-R141+$J$32+$J$33-R192-R193</f>
        <v/>
      </c>
      <c r="S206" s="17">
        <f>S203+S204+S140-S141+$J$32+$J$33-S192-S193</f>
        <v/>
      </c>
      <c r="T206" s="17">
        <f>T203+T204+T140-T141+$J$32+$J$33-T192-T193</f>
        <v/>
      </c>
      <c r="U206" s="17">
        <f>U203+U204+U140-U141+$J$32+$J$33-U192-U193</f>
        <v/>
      </c>
      <c r="V206" s="17">
        <f>V203+V204+V140-V141+$J$32+$J$33-V192-V193</f>
        <v/>
      </c>
      <c r="W206" s="17">
        <f>W203+W204+W140-W141+$J$32+$J$33-W192-W193</f>
        <v/>
      </c>
      <c r="X206" s="17">
        <f>X203+X204+X140-X141+$J$32+$J$33-X192-X193</f>
        <v/>
      </c>
      <c r="Y206" s="17">
        <f>Y203+Y204+Y140-Y141+$J$32+$J$33-Y192-Y193</f>
        <v/>
      </c>
      <c r="Z206" s="17">
        <f>Z203+Z204+Z140-Z141+$J$32+$J$33-Z192-Z193</f>
        <v/>
      </c>
      <c r="AA206" s="17">
        <f>AA203+AA204+AA140-AA141+$J$32+$J$33-AA192-AA193</f>
        <v/>
      </c>
      <c r="AB206" s="17">
        <f>AB203+AB204+AB140-AB141+$J$32+$J$33-AB192-AB193</f>
        <v/>
      </c>
      <c r="AC206" s="17">
        <f>AC203+AC204+AC140-AC141+$J$32+$J$33-AC192-AC193</f>
        <v/>
      </c>
      <c r="AD206" s="17">
        <f>AD203+AD204+AD140-AD141+$J$32+$J$33-AD192-AD193</f>
        <v/>
      </c>
      <c r="AE206" s="17">
        <f>AE203+AE204+AE140-AE141+$J$32+$J$33-AE192-AE193</f>
        <v/>
      </c>
      <c r="AF206" s="17">
        <f>AF203+AF204+AF140-AF141+$J$32+$J$33-AF192-AF193</f>
        <v/>
      </c>
      <c r="AG206" s="17">
        <f>AG203+AG204+AG140-AG141+$J$32+$J$33-AG192-AG193</f>
        <v/>
      </c>
      <c r="AH206" s="17">
        <f>AH203+AH204+AH140-AH141+$J$32+$J$33-AH192-AH193</f>
        <v/>
      </c>
      <c r="AI206" s="17">
        <f>AI203+AI204+AI140-AI141+$J$32+$J$33-AI192-AI193</f>
        <v/>
      </c>
      <c r="AJ206" s="17">
        <f>AJ203+AJ204+AJ140-AJ141+$J$32+$J$33-AJ192-AJ193</f>
        <v/>
      </c>
      <c r="AK206" s="17">
        <f>AK203+AK204+AK140-AK141+$J$32+$J$33-AK192-AK193</f>
        <v/>
      </c>
      <c r="AL206" s="17">
        <f>AL203+AL204+AL140-AL141+$J$32+$J$33-AL192-AL193</f>
        <v/>
      </c>
      <c r="AM206" s="17">
        <f>AM203+AM204+AM140-AM141+$J$32+$J$33-AM192-AM193</f>
        <v/>
      </c>
      <c r="AN206" s="17">
        <f>AN203+AN204+AN140-AN141+$J$32+$J$33-AN192-AN193</f>
        <v/>
      </c>
    </row>
    <row r="207">
      <c r="A207" s="9" t="n">
        <v>9</v>
      </c>
      <c r="B207" s="9" t="inlineStr"/>
      <c r="C207" s="9" t="inlineStr"/>
      <c r="D207" s="9" t="inlineStr">
        <is>
          <t>Fossil fuel bill at 2024 supply costs</t>
        </is>
      </c>
      <c r="E207" s="9" t="inlineStr">
        <is>
          <t>USD bn</t>
        </is>
      </c>
      <c r="F207" s="9" t="inlineStr">
        <is>
          <t>Model</t>
        </is>
      </c>
      <c r="G207" s="18" t="n"/>
      <c r="H207" s="18" t="inlineStr">
        <is>
          <t>mit.fuel.bill.2</t>
        </is>
      </c>
      <c r="I207" s="9" t="n"/>
      <c r="J207" s="9" t="n"/>
      <c r="K207" s="17" t="n"/>
      <c r="L207" s="17" t="n"/>
      <c r="M207" s="17" t="n"/>
      <c r="N207" s="19">
        <f>(N112*INDEX(Data!$DK:$DK,$J$4)+N113*INDEX(Data!$DJ:$DJ,$J$4)+N123*INDEX(Data!$DI:$DI,$J$4)+N124*INDEX(Data!$DP:$DP,$J$4)+N125*INDEX(Data!$DM:$DM,$J$4)+N126*INDEX(Data!$DL:$DL,$J$4)+N135*INDEX(Data!$DG:$DG,$J$4)+N136*INDEX(Data!$DN:$DN,$J$4)+N137*INDEX(Data!$DQ:$DQ,$J$4)+N187*INDEX(Data!$DH:$DH,$J$4)+N188*INDEX(Data!$DO:$DO,$J$4)+N189*INDEX(Data!$DR:$DR,$J$4))/1000</f>
        <v/>
      </c>
      <c r="O207" s="17">
        <f>(O112*INDEX(Data!$DK:$DK,$J$4)+O113*INDEX(Data!$DJ:$DJ,$J$4)+O123*INDEX(Data!$DI:$DI,$J$4)+O124*INDEX(Data!$DP:$DP,$J$4)+O125*INDEX(Data!$DM:$DM,$J$4)+O126*INDEX(Data!$DL:$DL,$J$4)+O135*INDEX(Data!$DG:$DG,$J$4)+O136*INDEX(Data!$DN:$DN,$J$4)+O137*INDEX(Data!$DQ:$DQ,$J$4)+O187*INDEX(Data!$DH:$DH,$J$4)+O188*INDEX(Data!$DO:$DO,$J$4)+O189*INDEX(Data!$DR:$DR,$J$4))/1000</f>
        <v/>
      </c>
      <c r="P207" s="17">
        <f>(P112*INDEX(Data!$DK:$DK,$J$4)+P113*INDEX(Data!$DJ:$DJ,$J$4)+P123*INDEX(Data!$DI:$DI,$J$4)+P124*INDEX(Data!$DP:$DP,$J$4)+P125*INDEX(Data!$DM:$DM,$J$4)+P126*INDEX(Data!$DL:$DL,$J$4)+P135*INDEX(Data!$DG:$DG,$J$4)+P136*INDEX(Data!$DN:$DN,$J$4)+P137*INDEX(Data!$DQ:$DQ,$J$4)+P187*INDEX(Data!$DH:$DH,$J$4)+P188*INDEX(Data!$DO:$DO,$J$4)+P189*INDEX(Data!$DR:$DR,$J$4))/1000</f>
        <v/>
      </c>
      <c r="Q207" s="17">
        <f>(Q112*INDEX(Data!$DK:$DK,$J$4)+Q113*INDEX(Data!$DJ:$DJ,$J$4)+Q123*INDEX(Data!$DI:$DI,$J$4)+Q124*INDEX(Data!$DP:$DP,$J$4)+Q125*INDEX(Data!$DM:$DM,$J$4)+Q126*INDEX(Data!$DL:$DL,$J$4)+Q135*INDEX(Data!$DG:$DG,$J$4)+Q136*INDEX(Data!$DN:$DN,$J$4)+Q137*INDEX(Data!$DQ:$DQ,$J$4)+Q187*INDEX(Data!$DH:$DH,$J$4)+Q188*INDEX(Data!$DO:$DO,$J$4)+Q189*INDEX(Data!$DR:$DR,$J$4))/1000</f>
        <v/>
      </c>
      <c r="R207" s="17">
        <f>(R112*INDEX(Data!$DK:$DK,$J$4)+R113*INDEX(Data!$DJ:$DJ,$J$4)+R123*INDEX(Data!$DI:$DI,$J$4)+R124*INDEX(Data!$DP:$DP,$J$4)+R125*INDEX(Data!$DM:$DM,$J$4)+R126*INDEX(Data!$DL:$DL,$J$4)+R135*INDEX(Data!$DG:$DG,$J$4)+R136*INDEX(Data!$DN:$DN,$J$4)+R137*INDEX(Data!$DQ:$DQ,$J$4)+R187*INDEX(Data!$DH:$DH,$J$4)+R188*INDEX(Data!$DO:$DO,$J$4)+R189*INDEX(Data!$DR:$DR,$J$4))/1000</f>
        <v/>
      </c>
      <c r="S207" s="17">
        <f>(S112*INDEX(Data!$DK:$DK,$J$4)+S113*INDEX(Data!$DJ:$DJ,$J$4)+S123*INDEX(Data!$DI:$DI,$J$4)+S124*INDEX(Data!$DP:$DP,$J$4)+S125*INDEX(Data!$DM:$DM,$J$4)+S126*INDEX(Data!$DL:$DL,$J$4)+S135*INDEX(Data!$DG:$DG,$J$4)+S136*INDEX(Data!$DN:$DN,$J$4)+S137*INDEX(Data!$DQ:$DQ,$J$4)+S187*INDEX(Data!$DH:$DH,$J$4)+S188*INDEX(Data!$DO:$DO,$J$4)+S189*INDEX(Data!$DR:$DR,$J$4))/1000</f>
        <v/>
      </c>
      <c r="T207" s="17">
        <f>(T112*INDEX(Data!$DK:$DK,$J$4)+T113*INDEX(Data!$DJ:$DJ,$J$4)+T123*INDEX(Data!$DI:$DI,$J$4)+T124*INDEX(Data!$DP:$DP,$J$4)+T125*INDEX(Data!$DM:$DM,$J$4)+T126*INDEX(Data!$DL:$DL,$J$4)+T135*INDEX(Data!$DG:$DG,$J$4)+T136*INDEX(Data!$DN:$DN,$J$4)+T137*INDEX(Data!$DQ:$DQ,$J$4)+T187*INDEX(Data!$DH:$DH,$J$4)+T188*INDEX(Data!$DO:$DO,$J$4)+T189*INDEX(Data!$DR:$DR,$J$4))/1000</f>
        <v/>
      </c>
      <c r="U207" s="17">
        <f>(U112*INDEX(Data!$DK:$DK,$J$4)+U113*INDEX(Data!$DJ:$DJ,$J$4)+U123*INDEX(Data!$DI:$DI,$J$4)+U124*INDEX(Data!$DP:$DP,$J$4)+U125*INDEX(Data!$DM:$DM,$J$4)+U126*INDEX(Data!$DL:$DL,$J$4)+U135*INDEX(Data!$DG:$DG,$J$4)+U136*INDEX(Data!$DN:$DN,$J$4)+U137*INDEX(Data!$DQ:$DQ,$J$4)+U187*INDEX(Data!$DH:$DH,$J$4)+U188*INDEX(Data!$DO:$DO,$J$4)+U189*INDEX(Data!$DR:$DR,$J$4))/1000</f>
        <v/>
      </c>
      <c r="V207" s="17">
        <f>(V112*INDEX(Data!$DK:$DK,$J$4)+V113*INDEX(Data!$DJ:$DJ,$J$4)+V123*INDEX(Data!$DI:$DI,$J$4)+V124*INDEX(Data!$DP:$DP,$J$4)+V125*INDEX(Data!$DM:$DM,$J$4)+V126*INDEX(Data!$DL:$DL,$J$4)+V135*INDEX(Data!$DG:$DG,$J$4)+V136*INDEX(Data!$DN:$DN,$J$4)+V137*INDEX(Data!$DQ:$DQ,$J$4)+V187*INDEX(Data!$DH:$DH,$J$4)+V188*INDEX(Data!$DO:$DO,$J$4)+V189*INDEX(Data!$DR:$DR,$J$4))/1000</f>
        <v/>
      </c>
      <c r="W207" s="17">
        <f>(W112*INDEX(Data!$DK:$DK,$J$4)+W113*INDEX(Data!$DJ:$DJ,$J$4)+W123*INDEX(Data!$DI:$DI,$J$4)+W124*INDEX(Data!$DP:$DP,$J$4)+W125*INDEX(Data!$DM:$DM,$J$4)+W126*INDEX(Data!$DL:$DL,$J$4)+W135*INDEX(Data!$DG:$DG,$J$4)+W136*INDEX(Data!$DN:$DN,$J$4)+W137*INDEX(Data!$DQ:$DQ,$J$4)+W187*INDEX(Data!$DH:$DH,$J$4)+W188*INDEX(Data!$DO:$DO,$J$4)+W189*INDEX(Data!$DR:$DR,$J$4))/1000</f>
        <v/>
      </c>
      <c r="X207" s="17">
        <f>(X112*INDEX(Data!$DK:$DK,$J$4)+X113*INDEX(Data!$DJ:$DJ,$J$4)+X123*INDEX(Data!$DI:$DI,$J$4)+X124*INDEX(Data!$DP:$DP,$J$4)+X125*INDEX(Data!$DM:$DM,$J$4)+X126*INDEX(Data!$DL:$DL,$J$4)+X135*INDEX(Data!$DG:$DG,$J$4)+X136*INDEX(Data!$DN:$DN,$J$4)+X137*INDEX(Data!$DQ:$DQ,$J$4)+X187*INDEX(Data!$DH:$DH,$J$4)+X188*INDEX(Data!$DO:$DO,$J$4)+X189*INDEX(Data!$DR:$DR,$J$4))/1000</f>
        <v/>
      </c>
      <c r="Y207" s="17">
        <f>(Y112*INDEX(Data!$DK:$DK,$J$4)+Y113*INDEX(Data!$DJ:$DJ,$J$4)+Y123*INDEX(Data!$DI:$DI,$J$4)+Y124*INDEX(Data!$DP:$DP,$J$4)+Y125*INDEX(Data!$DM:$DM,$J$4)+Y126*INDEX(Data!$DL:$DL,$J$4)+Y135*INDEX(Data!$DG:$DG,$J$4)+Y136*INDEX(Data!$DN:$DN,$J$4)+Y137*INDEX(Data!$DQ:$DQ,$J$4)+Y187*INDEX(Data!$DH:$DH,$J$4)+Y188*INDEX(Data!$DO:$DO,$J$4)+Y189*INDEX(Data!$DR:$DR,$J$4))/1000</f>
        <v/>
      </c>
      <c r="Z207" s="17">
        <f>(Z112*INDEX(Data!$DK:$DK,$J$4)+Z113*INDEX(Data!$DJ:$DJ,$J$4)+Z123*INDEX(Data!$DI:$DI,$J$4)+Z124*INDEX(Data!$DP:$DP,$J$4)+Z125*INDEX(Data!$DM:$DM,$J$4)+Z126*INDEX(Data!$DL:$DL,$J$4)+Z135*INDEX(Data!$DG:$DG,$J$4)+Z136*INDEX(Data!$DN:$DN,$J$4)+Z137*INDEX(Data!$DQ:$DQ,$J$4)+Z187*INDEX(Data!$DH:$DH,$J$4)+Z188*INDEX(Data!$DO:$DO,$J$4)+Z189*INDEX(Data!$DR:$DR,$J$4))/1000</f>
        <v/>
      </c>
      <c r="AA207" s="17">
        <f>(AA112*INDEX(Data!$DK:$DK,$J$4)+AA113*INDEX(Data!$DJ:$DJ,$J$4)+AA123*INDEX(Data!$DI:$DI,$J$4)+AA124*INDEX(Data!$DP:$DP,$J$4)+AA125*INDEX(Data!$DM:$DM,$J$4)+AA126*INDEX(Data!$DL:$DL,$J$4)+AA135*INDEX(Data!$DG:$DG,$J$4)+AA136*INDEX(Data!$DN:$DN,$J$4)+AA137*INDEX(Data!$DQ:$DQ,$J$4)+AA187*INDEX(Data!$DH:$DH,$J$4)+AA188*INDEX(Data!$DO:$DO,$J$4)+AA189*INDEX(Data!$DR:$DR,$J$4))/1000</f>
        <v/>
      </c>
      <c r="AB207" s="17">
        <f>(AB112*INDEX(Data!$DK:$DK,$J$4)+AB113*INDEX(Data!$DJ:$DJ,$J$4)+AB123*INDEX(Data!$DI:$DI,$J$4)+AB124*INDEX(Data!$DP:$DP,$J$4)+AB125*INDEX(Data!$DM:$DM,$J$4)+AB126*INDEX(Data!$DL:$DL,$J$4)+AB135*INDEX(Data!$DG:$DG,$J$4)+AB136*INDEX(Data!$DN:$DN,$J$4)+AB137*INDEX(Data!$DQ:$DQ,$J$4)+AB187*INDEX(Data!$DH:$DH,$J$4)+AB188*INDEX(Data!$DO:$DO,$J$4)+AB189*INDEX(Data!$DR:$DR,$J$4))/1000</f>
        <v/>
      </c>
      <c r="AC207" s="17">
        <f>(AC112*INDEX(Data!$DK:$DK,$J$4)+AC113*INDEX(Data!$DJ:$DJ,$J$4)+AC123*INDEX(Data!$DI:$DI,$J$4)+AC124*INDEX(Data!$DP:$DP,$J$4)+AC125*INDEX(Data!$DM:$DM,$J$4)+AC126*INDEX(Data!$DL:$DL,$J$4)+AC135*INDEX(Data!$DG:$DG,$J$4)+AC136*INDEX(Data!$DN:$DN,$J$4)+AC137*INDEX(Data!$DQ:$DQ,$J$4)+AC187*INDEX(Data!$DH:$DH,$J$4)+AC188*INDEX(Data!$DO:$DO,$J$4)+AC189*INDEX(Data!$DR:$DR,$J$4))/1000</f>
        <v/>
      </c>
      <c r="AD207" s="17">
        <f>(AD112*INDEX(Data!$DK:$DK,$J$4)+AD113*INDEX(Data!$DJ:$DJ,$J$4)+AD123*INDEX(Data!$DI:$DI,$J$4)+AD124*INDEX(Data!$DP:$DP,$J$4)+AD125*INDEX(Data!$DM:$DM,$J$4)+AD126*INDEX(Data!$DL:$DL,$J$4)+AD135*INDEX(Data!$DG:$DG,$J$4)+AD136*INDEX(Data!$DN:$DN,$J$4)+AD137*INDEX(Data!$DQ:$DQ,$J$4)+AD187*INDEX(Data!$DH:$DH,$J$4)+AD188*INDEX(Data!$DO:$DO,$J$4)+AD189*INDEX(Data!$DR:$DR,$J$4))/1000</f>
        <v/>
      </c>
      <c r="AE207" s="17">
        <f>(AE112*INDEX(Data!$DK:$DK,$J$4)+AE113*INDEX(Data!$DJ:$DJ,$J$4)+AE123*INDEX(Data!$DI:$DI,$J$4)+AE124*INDEX(Data!$DP:$DP,$J$4)+AE125*INDEX(Data!$DM:$DM,$J$4)+AE126*INDEX(Data!$DL:$DL,$J$4)+AE135*INDEX(Data!$DG:$DG,$J$4)+AE136*INDEX(Data!$DN:$DN,$J$4)+AE137*INDEX(Data!$DQ:$DQ,$J$4)+AE187*INDEX(Data!$DH:$DH,$J$4)+AE188*INDEX(Data!$DO:$DO,$J$4)+AE189*INDEX(Data!$DR:$DR,$J$4))/1000</f>
        <v/>
      </c>
      <c r="AF207" s="17">
        <f>(AF112*INDEX(Data!$DK:$DK,$J$4)+AF113*INDEX(Data!$DJ:$DJ,$J$4)+AF123*INDEX(Data!$DI:$DI,$J$4)+AF124*INDEX(Data!$DP:$DP,$J$4)+AF125*INDEX(Data!$DM:$DM,$J$4)+AF126*INDEX(Data!$DL:$DL,$J$4)+AF135*INDEX(Data!$DG:$DG,$J$4)+AF136*INDEX(Data!$DN:$DN,$J$4)+AF137*INDEX(Data!$DQ:$DQ,$J$4)+AF187*INDEX(Data!$DH:$DH,$J$4)+AF188*INDEX(Data!$DO:$DO,$J$4)+AF189*INDEX(Data!$DR:$DR,$J$4))/1000</f>
        <v/>
      </c>
      <c r="AG207" s="17">
        <f>(AG112*INDEX(Data!$DK:$DK,$J$4)+AG113*INDEX(Data!$DJ:$DJ,$J$4)+AG123*INDEX(Data!$DI:$DI,$J$4)+AG124*INDEX(Data!$DP:$DP,$J$4)+AG125*INDEX(Data!$DM:$DM,$J$4)+AG126*INDEX(Data!$DL:$DL,$J$4)+AG135*INDEX(Data!$DG:$DG,$J$4)+AG136*INDEX(Data!$DN:$DN,$J$4)+AG137*INDEX(Data!$DQ:$DQ,$J$4)+AG187*INDEX(Data!$DH:$DH,$J$4)+AG188*INDEX(Data!$DO:$DO,$J$4)+AG189*INDEX(Data!$DR:$DR,$J$4))/1000</f>
        <v/>
      </c>
      <c r="AH207" s="17">
        <f>(AH112*INDEX(Data!$DK:$DK,$J$4)+AH113*INDEX(Data!$DJ:$DJ,$J$4)+AH123*INDEX(Data!$DI:$DI,$J$4)+AH124*INDEX(Data!$DP:$DP,$J$4)+AH125*INDEX(Data!$DM:$DM,$J$4)+AH126*INDEX(Data!$DL:$DL,$J$4)+AH135*INDEX(Data!$DG:$DG,$J$4)+AH136*INDEX(Data!$DN:$DN,$J$4)+AH137*INDEX(Data!$DQ:$DQ,$J$4)+AH187*INDEX(Data!$DH:$DH,$J$4)+AH188*INDEX(Data!$DO:$DO,$J$4)+AH189*INDEX(Data!$DR:$DR,$J$4))/1000</f>
        <v/>
      </c>
      <c r="AI207" s="17">
        <f>(AI112*INDEX(Data!$DK:$DK,$J$4)+AI113*INDEX(Data!$DJ:$DJ,$J$4)+AI123*INDEX(Data!$DI:$DI,$J$4)+AI124*INDEX(Data!$DP:$DP,$J$4)+AI125*INDEX(Data!$DM:$DM,$J$4)+AI126*INDEX(Data!$DL:$DL,$J$4)+AI135*INDEX(Data!$DG:$DG,$J$4)+AI136*INDEX(Data!$DN:$DN,$J$4)+AI137*INDEX(Data!$DQ:$DQ,$J$4)+AI187*INDEX(Data!$DH:$DH,$J$4)+AI188*INDEX(Data!$DO:$DO,$J$4)+AI189*INDEX(Data!$DR:$DR,$J$4))/1000</f>
        <v/>
      </c>
      <c r="AJ207" s="17">
        <f>(AJ112*INDEX(Data!$DK:$DK,$J$4)+AJ113*INDEX(Data!$DJ:$DJ,$J$4)+AJ123*INDEX(Data!$DI:$DI,$J$4)+AJ124*INDEX(Data!$DP:$DP,$J$4)+AJ125*INDEX(Data!$DM:$DM,$J$4)+AJ126*INDEX(Data!$DL:$DL,$J$4)+AJ135*INDEX(Data!$DG:$DG,$J$4)+AJ136*INDEX(Data!$DN:$DN,$J$4)+AJ137*INDEX(Data!$DQ:$DQ,$J$4)+AJ187*INDEX(Data!$DH:$DH,$J$4)+AJ188*INDEX(Data!$DO:$DO,$J$4)+AJ189*INDEX(Data!$DR:$DR,$J$4))/1000</f>
        <v/>
      </c>
      <c r="AK207" s="17">
        <f>(AK112*INDEX(Data!$DK:$DK,$J$4)+AK113*INDEX(Data!$DJ:$DJ,$J$4)+AK123*INDEX(Data!$DI:$DI,$J$4)+AK124*INDEX(Data!$DP:$DP,$J$4)+AK125*INDEX(Data!$DM:$DM,$J$4)+AK126*INDEX(Data!$DL:$DL,$J$4)+AK135*INDEX(Data!$DG:$DG,$J$4)+AK136*INDEX(Data!$DN:$DN,$J$4)+AK137*INDEX(Data!$DQ:$DQ,$J$4)+AK187*INDEX(Data!$DH:$DH,$J$4)+AK188*INDEX(Data!$DO:$DO,$J$4)+AK189*INDEX(Data!$DR:$DR,$J$4))/1000</f>
        <v/>
      </c>
      <c r="AL207" s="17">
        <f>(AL112*INDEX(Data!$DK:$DK,$J$4)+AL113*INDEX(Data!$DJ:$DJ,$J$4)+AL123*INDEX(Data!$DI:$DI,$J$4)+AL124*INDEX(Data!$DP:$DP,$J$4)+AL125*INDEX(Data!$DM:$DM,$J$4)+AL126*INDEX(Data!$DL:$DL,$J$4)+AL135*INDEX(Data!$DG:$DG,$J$4)+AL136*INDEX(Data!$DN:$DN,$J$4)+AL137*INDEX(Data!$DQ:$DQ,$J$4)+AL187*INDEX(Data!$DH:$DH,$J$4)+AL188*INDEX(Data!$DO:$DO,$J$4)+AL189*INDEX(Data!$DR:$DR,$J$4))/1000</f>
        <v/>
      </c>
      <c r="AM207" s="17">
        <f>(AM112*INDEX(Data!$DK:$DK,$J$4)+AM113*INDEX(Data!$DJ:$DJ,$J$4)+AM123*INDEX(Data!$DI:$DI,$J$4)+AM124*INDEX(Data!$DP:$DP,$J$4)+AM125*INDEX(Data!$DM:$DM,$J$4)+AM126*INDEX(Data!$DL:$DL,$J$4)+AM135*INDEX(Data!$DG:$DG,$J$4)+AM136*INDEX(Data!$DN:$DN,$J$4)+AM137*INDEX(Data!$DQ:$DQ,$J$4)+AM187*INDEX(Data!$DH:$DH,$J$4)+AM188*INDEX(Data!$DO:$DO,$J$4)+AM189*INDEX(Data!$DR:$DR,$J$4))/1000</f>
        <v/>
      </c>
      <c r="AN207" s="17">
        <f>(AN112*INDEX(Data!$DK:$DK,$J$4)+AN113*INDEX(Data!$DJ:$DJ,$J$4)+AN123*INDEX(Data!$DI:$DI,$J$4)+AN124*INDEX(Data!$DP:$DP,$J$4)+AN125*INDEX(Data!$DM:$DM,$J$4)+AN126*INDEX(Data!$DL:$DL,$J$4)+AN135*INDEX(Data!$DG:$DG,$J$4)+AN136*INDEX(Data!$DN:$DN,$J$4)+AN137*INDEX(Data!$DQ:$DQ,$J$4)+AN187*INDEX(Data!$DH:$DH,$J$4)+AN188*INDEX(Data!$DO:$DO,$J$4)+AN189*INDEX(Data!$DR:$DR,$J$4))/1000</f>
        <v/>
      </c>
    </row>
    <row r="208">
      <c r="A208" s="9" t="n">
        <v>9</v>
      </c>
      <c r="B208" s="9" t="inlineStr"/>
      <c r="C208" s="9" t="inlineStr"/>
      <c r="D208" s="9" t="inlineStr">
        <is>
          <t>Air pollution cost</t>
        </is>
      </c>
      <c r="E208" s="9" t="inlineStr">
        <is>
          <t>USD bn</t>
        </is>
      </c>
      <c r="F208" s="9" t="inlineStr">
        <is>
          <t>Model</t>
        </is>
      </c>
      <c r="G208" s="18" t="n"/>
      <c r="H208" s="18" t="inlineStr">
        <is>
          <t>mit.airpol.2</t>
        </is>
      </c>
      <c r="I208" s="9" t="n"/>
      <c r="J208" s="9" t="n"/>
      <c r="K208" s="17" t="n"/>
      <c r="L208" s="17" t="n"/>
      <c r="M208" s="17" t="n"/>
      <c r="N208" s="19">
        <f>(N112*INDEX(Data!$R:$R,$J$4)+N113*INDEX(Data!$Q:$Q,$J$4)+N123*INDEX(Data!$P:$P,$J$4)+N124*INDEX(Data!$W:$W,$J$4)+N125*INDEX(Data!$T:$T,$J$4)+N126*INDEX(Data!$S:$S,$J$4)+N135*INDEX(Data!$N:$N,$J$4)+N136*INDEX(Data!$U:$U,$J$4)+N137*INDEX(Data!$X:$X,$J$4)+N187*INDEX(Data!$O:$O,$J$4)+N188*INDEX(Data!$V:$V,$J$4)+N189*INDEX(Data!$Y:$Y,$J$4))/1000</f>
        <v/>
      </c>
      <c r="O208" s="17">
        <f>(O112*INDEX(Data!$R:$R,$J$4)+O113*INDEX(Data!$Q:$Q,$J$4)+O123*INDEX(Data!$P:$P,$J$4)+O124*INDEX(Data!$W:$W,$J$4)+O125*INDEX(Data!$T:$T,$J$4)+O126*INDEX(Data!$S:$S,$J$4)+O135*INDEX(Data!$N:$N,$J$4)+O136*INDEX(Data!$U:$U,$J$4)+O137*INDEX(Data!$X:$X,$J$4)+O187*INDEX(Data!$O:$O,$J$4)+O188*INDEX(Data!$V:$V,$J$4)+O189*INDEX(Data!$Y:$Y,$J$4))/1000</f>
        <v/>
      </c>
      <c r="P208" s="17">
        <f>(P112*INDEX(Data!$R:$R,$J$4)+P113*INDEX(Data!$Q:$Q,$J$4)+P123*INDEX(Data!$P:$P,$J$4)+P124*INDEX(Data!$W:$W,$J$4)+P125*INDEX(Data!$T:$T,$J$4)+P126*INDEX(Data!$S:$S,$J$4)+P135*INDEX(Data!$N:$N,$J$4)+P136*INDEX(Data!$U:$U,$J$4)+P137*INDEX(Data!$X:$X,$J$4)+P187*INDEX(Data!$O:$O,$J$4)+P188*INDEX(Data!$V:$V,$J$4)+P189*INDEX(Data!$Y:$Y,$J$4))/1000</f>
        <v/>
      </c>
      <c r="Q208" s="17">
        <f>(Q112*INDEX(Data!$R:$R,$J$4)+Q113*INDEX(Data!$Q:$Q,$J$4)+Q123*INDEX(Data!$P:$P,$J$4)+Q124*INDEX(Data!$W:$W,$J$4)+Q125*INDEX(Data!$T:$T,$J$4)+Q126*INDEX(Data!$S:$S,$J$4)+Q135*INDEX(Data!$N:$N,$J$4)+Q136*INDEX(Data!$U:$U,$J$4)+Q137*INDEX(Data!$X:$X,$J$4)+Q187*INDEX(Data!$O:$O,$J$4)+Q188*INDEX(Data!$V:$V,$J$4)+Q189*INDEX(Data!$Y:$Y,$J$4))/1000</f>
        <v/>
      </c>
      <c r="R208" s="17">
        <f>(R112*INDEX(Data!$R:$R,$J$4)+R113*INDEX(Data!$Q:$Q,$J$4)+R123*INDEX(Data!$P:$P,$J$4)+R124*INDEX(Data!$W:$W,$J$4)+R125*INDEX(Data!$T:$T,$J$4)+R126*INDEX(Data!$S:$S,$J$4)+R135*INDEX(Data!$N:$N,$J$4)+R136*INDEX(Data!$U:$U,$J$4)+R137*INDEX(Data!$X:$X,$J$4)+R187*INDEX(Data!$O:$O,$J$4)+R188*INDEX(Data!$V:$V,$J$4)+R189*INDEX(Data!$Y:$Y,$J$4))/1000</f>
        <v/>
      </c>
      <c r="S208" s="17">
        <f>(S112*INDEX(Data!$R:$R,$J$4)+S113*INDEX(Data!$Q:$Q,$J$4)+S123*INDEX(Data!$P:$P,$J$4)+S124*INDEX(Data!$W:$W,$J$4)+S125*INDEX(Data!$T:$T,$J$4)+S126*INDEX(Data!$S:$S,$J$4)+S135*INDEX(Data!$N:$N,$J$4)+S136*INDEX(Data!$U:$U,$J$4)+S137*INDEX(Data!$X:$X,$J$4)+S187*INDEX(Data!$O:$O,$J$4)+S188*INDEX(Data!$V:$V,$J$4)+S189*INDEX(Data!$Y:$Y,$J$4))/1000</f>
        <v/>
      </c>
      <c r="T208" s="17">
        <f>(T112*INDEX(Data!$R:$R,$J$4)+T113*INDEX(Data!$Q:$Q,$J$4)+T123*INDEX(Data!$P:$P,$J$4)+T124*INDEX(Data!$W:$W,$J$4)+T125*INDEX(Data!$T:$T,$J$4)+T126*INDEX(Data!$S:$S,$J$4)+T135*INDEX(Data!$N:$N,$J$4)+T136*INDEX(Data!$U:$U,$J$4)+T137*INDEX(Data!$X:$X,$J$4)+T187*INDEX(Data!$O:$O,$J$4)+T188*INDEX(Data!$V:$V,$J$4)+T189*INDEX(Data!$Y:$Y,$J$4))/1000</f>
        <v/>
      </c>
      <c r="U208" s="17">
        <f>(U112*INDEX(Data!$R:$R,$J$4)+U113*INDEX(Data!$Q:$Q,$J$4)+U123*INDEX(Data!$P:$P,$J$4)+U124*INDEX(Data!$W:$W,$J$4)+U125*INDEX(Data!$T:$T,$J$4)+U126*INDEX(Data!$S:$S,$J$4)+U135*INDEX(Data!$N:$N,$J$4)+U136*INDEX(Data!$U:$U,$J$4)+U137*INDEX(Data!$X:$X,$J$4)+U187*INDEX(Data!$O:$O,$J$4)+U188*INDEX(Data!$V:$V,$J$4)+U189*INDEX(Data!$Y:$Y,$J$4))/1000</f>
        <v/>
      </c>
      <c r="V208" s="17">
        <f>(V112*INDEX(Data!$R:$R,$J$4)+V113*INDEX(Data!$Q:$Q,$J$4)+V123*INDEX(Data!$P:$P,$J$4)+V124*INDEX(Data!$W:$W,$J$4)+V125*INDEX(Data!$T:$T,$J$4)+V126*INDEX(Data!$S:$S,$J$4)+V135*INDEX(Data!$N:$N,$J$4)+V136*INDEX(Data!$U:$U,$J$4)+V137*INDEX(Data!$X:$X,$J$4)+V187*INDEX(Data!$O:$O,$J$4)+V188*INDEX(Data!$V:$V,$J$4)+V189*INDEX(Data!$Y:$Y,$J$4))/1000</f>
        <v/>
      </c>
      <c r="W208" s="17">
        <f>(W112*INDEX(Data!$R:$R,$J$4)+W113*INDEX(Data!$Q:$Q,$J$4)+W123*INDEX(Data!$P:$P,$J$4)+W124*INDEX(Data!$W:$W,$J$4)+W125*INDEX(Data!$T:$T,$J$4)+W126*INDEX(Data!$S:$S,$J$4)+W135*INDEX(Data!$N:$N,$J$4)+W136*INDEX(Data!$U:$U,$J$4)+W137*INDEX(Data!$X:$X,$J$4)+W187*INDEX(Data!$O:$O,$J$4)+W188*INDEX(Data!$V:$V,$J$4)+W189*INDEX(Data!$Y:$Y,$J$4))/1000</f>
        <v/>
      </c>
      <c r="X208" s="17">
        <f>(X112*INDEX(Data!$R:$R,$J$4)+X113*INDEX(Data!$Q:$Q,$J$4)+X123*INDEX(Data!$P:$P,$J$4)+X124*INDEX(Data!$W:$W,$J$4)+X125*INDEX(Data!$T:$T,$J$4)+X126*INDEX(Data!$S:$S,$J$4)+X135*INDEX(Data!$N:$N,$J$4)+X136*INDEX(Data!$U:$U,$J$4)+X137*INDEX(Data!$X:$X,$J$4)+X187*INDEX(Data!$O:$O,$J$4)+X188*INDEX(Data!$V:$V,$J$4)+X189*INDEX(Data!$Y:$Y,$J$4))/1000</f>
        <v/>
      </c>
      <c r="Y208" s="17">
        <f>(Y112*INDEX(Data!$R:$R,$J$4)+Y113*INDEX(Data!$Q:$Q,$J$4)+Y123*INDEX(Data!$P:$P,$J$4)+Y124*INDEX(Data!$W:$W,$J$4)+Y125*INDEX(Data!$T:$T,$J$4)+Y126*INDEX(Data!$S:$S,$J$4)+Y135*INDEX(Data!$N:$N,$J$4)+Y136*INDEX(Data!$U:$U,$J$4)+Y137*INDEX(Data!$X:$X,$J$4)+Y187*INDEX(Data!$O:$O,$J$4)+Y188*INDEX(Data!$V:$V,$J$4)+Y189*INDEX(Data!$Y:$Y,$J$4))/1000</f>
        <v/>
      </c>
      <c r="Z208" s="17">
        <f>(Z112*INDEX(Data!$R:$R,$J$4)+Z113*INDEX(Data!$Q:$Q,$J$4)+Z123*INDEX(Data!$P:$P,$J$4)+Z124*INDEX(Data!$W:$W,$J$4)+Z125*INDEX(Data!$T:$T,$J$4)+Z126*INDEX(Data!$S:$S,$J$4)+Z135*INDEX(Data!$N:$N,$J$4)+Z136*INDEX(Data!$U:$U,$J$4)+Z137*INDEX(Data!$X:$X,$J$4)+Z187*INDEX(Data!$O:$O,$J$4)+Z188*INDEX(Data!$V:$V,$J$4)+Z189*INDEX(Data!$Y:$Y,$J$4))/1000</f>
        <v/>
      </c>
      <c r="AA208" s="17">
        <f>(AA112*INDEX(Data!$R:$R,$J$4)+AA113*INDEX(Data!$Q:$Q,$J$4)+AA123*INDEX(Data!$P:$P,$J$4)+AA124*INDEX(Data!$W:$W,$J$4)+AA125*INDEX(Data!$T:$T,$J$4)+AA126*INDEX(Data!$S:$S,$J$4)+AA135*INDEX(Data!$N:$N,$J$4)+AA136*INDEX(Data!$U:$U,$J$4)+AA137*INDEX(Data!$X:$X,$J$4)+AA187*INDEX(Data!$O:$O,$J$4)+AA188*INDEX(Data!$V:$V,$J$4)+AA189*INDEX(Data!$Y:$Y,$J$4))/1000</f>
        <v/>
      </c>
      <c r="AB208" s="17">
        <f>(AB112*INDEX(Data!$R:$R,$J$4)+AB113*INDEX(Data!$Q:$Q,$J$4)+AB123*INDEX(Data!$P:$P,$J$4)+AB124*INDEX(Data!$W:$W,$J$4)+AB125*INDEX(Data!$T:$T,$J$4)+AB126*INDEX(Data!$S:$S,$J$4)+AB135*INDEX(Data!$N:$N,$J$4)+AB136*INDEX(Data!$U:$U,$J$4)+AB137*INDEX(Data!$X:$X,$J$4)+AB187*INDEX(Data!$O:$O,$J$4)+AB188*INDEX(Data!$V:$V,$J$4)+AB189*INDEX(Data!$Y:$Y,$J$4))/1000</f>
        <v/>
      </c>
      <c r="AC208" s="17">
        <f>(AC112*INDEX(Data!$R:$R,$J$4)+AC113*INDEX(Data!$Q:$Q,$J$4)+AC123*INDEX(Data!$P:$P,$J$4)+AC124*INDEX(Data!$W:$W,$J$4)+AC125*INDEX(Data!$T:$T,$J$4)+AC126*INDEX(Data!$S:$S,$J$4)+AC135*INDEX(Data!$N:$N,$J$4)+AC136*INDEX(Data!$U:$U,$J$4)+AC137*INDEX(Data!$X:$X,$J$4)+AC187*INDEX(Data!$O:$O,$J$4)+AC188*INDEX(Data!$V:$V,$J$4)+AC189*INDEX(Data!$Y:$Y,$J$4))/1000</f>
        <v/>
      </c>
      <c r="AD208" s="17">
        <f>(AD112*INDEX(Data!$R:$R,$J$4)+AD113*INDEX(Data!$Q:$Q,$J$4)+AD123*INDEX(Data!$P:$P,$J$4)+AD124*INDEX(Data!$W:$W,$J$4)+AD125*INDEX(Data!$T:$T,$J$4)+AD126*INDEX(Data!$S:$S,$J$4)+AD135*INDEX(Data!$N:$N,$J$4)+AD136*INDEX(Data!$U:$U,$J$4)+AD137*INDEX(Data!$X:$X,$J$4)+AD187*INDEX(Data!$O:$O,$J$4)+AD188*INDEX(Data!$V:$V,$J$4)+AD189*INDEX(Data!$Y:$Y,$J$4))/1000</f>
        <v/>
      </c>
      <c r="AE208" s="17">
        <f>(AE112*INDEX(Data!$R:$R,$J$4)+AE113*INDEX(Data!$Q:$Q,$J$4)+AE123*INDEX(Data!$P:$P,$J$4)+AE124*INDEX(Data!$W:$W,$J$4)+AE125*INDEX(Data!$T:$T,$J$4)+AE126*INDEX(Data!$S:$S,$J$4)+AE135*INDEX(Data!$N:$N,$J$4)+AE136*INDEX(Data!$U:$U,$J$4)+AE137*INDEX(Data!$X:$X,$J$4)+AE187*INDEX(Data!$O:$O,$J$4)+AE188*INDEX(Data!$V:$V,$J$4)+AE189*INDEX(Data!$Y:$Y,$J$4))/1000</f>
        <v/>
      </c>
      <c r="AF208" s="17">
        <f>(AF112*INDEX(Data!$R:$R,$J$4)+AF113*INDEX(Data!$Q:$Q,$J$4)+AF123*INDEX(Data!$P:$P,$J$4)+AF124*INDEX(Data!$W:$W,$J$4)+AF125*INDEX(Data!$T:$T,$J$4)+AF126*INDEX(Data!$S:$S,$J$4)+AF135*INDEX(Data!$N:$N,$J$4)+AF136*INDEX(Data!$U:$U,$J$4)+AF137*INDEX(Data!$X:$X,$J$4)+AF187*INDEX(Data!$O:$O,$J$4)+AF188*INDEX(Data!$V:$V,$J$4)+AF189*INDEX(Data!$Y:$Y,$J$4))/1000</f>
        <v/>
      </c>
      <c r="AG208" s="17">
        <f>(AG112*INDEX(Data!$R:$R,$J$4)+AG113*INDEX(Data!$Q:$Q,$J$4)+AG123*INDEX(Data!$P:$P,$J$4)+AG124*INDEX(Data!$W:$W,$J$4)+AG125*INDEX(Data!$T:$T,$J$4)+AG126*INDEX(Data!$S:$S,$J$4)+AG135*INDEX(Data!$N:$N,$J$4)+AG136*INDEX(Data!$U:$U,$J$4)+AG137*INDEX(Data!$X:$X,$J$4)+AG187*INDEX(Data!$O:$O,$J$4)+AG188*INDEX(Data!$V:$V,$J$4)+AG189*INDEX(Data!$Y:$Y,$J$4))/1000</f>
        <v/>
      </c>
      <c r="AH208" s="17">
        <f>(AH112*INDEX(Data!$R:$R,$J$4)+AH113*INDEX(Data!$Q:$Q,$J$4)+AH123*INDEX(Data!$P:$P,$J$4)+AH124*INDEX(Data!$W:$W,$J$4)+AH125*INDEX(Data!$T:$T,$J$4)+AH126*INDEX(Data!$S:$S,$J$4)+AH135*INDEX(Data!$N:$N,$J$4)+AH136*INDEX(Data!$U:$U,$J$4)+AH137*INDEX(Data!$X:$X,$J$4)+AH187*INDEX(Data!$O:$O,$J$4)+AH188*INDEX(Data!$V:$V,$J$4)+AH189*INDEX(Data!$Y:$Y,$J$4))/1000</f>
        <v/>
      </c>
      <c r="AI208" s="17">
        <f>(AI112*INDEX(Data!$R:$R,$J$4)+AI113*INDEX(Data!$Q:$Q,$J$4)+AI123*INDEX(Data!$P:$P,$J$4)+AI124*INDEX(Data!$W:$W,$J$4)+AI125*INDEX(Data!$T:$T,$J$4)+AI126*INDEX(Data!$S:$S,$J$4)+AI135*INDEX(Data!$N:$N,$J$4)+AI136*INDEX(Data!$U:$U,$J$4)+AI137*INDEX(Data!$X:$X,$J$4)+AI187*INDEX(Data!$O:$O,$J$4)+AI188*INDEX(Data!$V:$V,$J$4)+AI189*INDEX(Data!$Y:$Y,$J$4))/1000</f>
        <v/>
      </c>
      <c r="AJ208" s="17">
        <f>(AJ112*INDEX(Data!$R:$R,$J$4)+AJ113*INDEX(Data!$Q:$Q,$J$4)+AJ123*INDEX(Data!$P:$P,$J$4)+AJ124*INDEX(Data!$W:$W,$J$4)+AJ125*INDEX(Data!$T:$T,$J$4)+AJ126*INDEX(Data!$S:$S,$J$4)+AJ135*INDEX(Data!$N:$N,$J$4)+AJ136*INDEX(Data!$U:$U,$J$4)+AJ137*INDEX(Data!$X:$X,$J$4)+AJ187*INDEX(Data!$O:$O,$J$4)+AJ188*INDEX(Data!$V:$V,$J$4)+AJ189*INDEX(Data!$Y:$Y,$J$4))/1000</f>
        <v/>
      </c>
      <c r="AK208" s="17">
        <f>(AK112*INDEX(Data!$R:$R,$J$4)+AK113*INDEX(Data!$Q:$Q,$J$4)+AK123*INDEX(Data!$P:$P,$J$4)+AK124*INDEX(Data!$W:$W,$J$4)+AK125*INDEX(Data!$T:$T,$J$4)+AK126*INDEX(Data!$S:$S,$J$4)+AK135*INDEX(Data!$N:$N,$J$4)+AK136*INDEX(Data!$U:$U,$J$4)+AK137*INDEX(Data!$X:$X,$J$4)+AK187*INDEX(Data!$O:$O,$J$4)+AK188*INDEX(Data!$V:$V,$J$4)+AK189*INDEX(Data!$Y:$Y,$J$4))/1000</f>
        <v/>
      </c>
      <c r="AL208" s="17">
        <f>(AL112*INDEX(Data!$R:$R,$J$4)+AL113*INDEX(Data!$Q:$Q,$J$4)+AL123*INDEX(Data!$P:$P,$J$4)+AL124*INDEX(Data!$W:$W,$J$4)+AL125*INDEX(Data!$T:$T,$J$4)+AL126*INDEX(Data!$S:$S,$J$4)+AL135*INDEX(Data!$N:$N,$J$4)+AL136*INDEX(Data!$U:$U,$J$4)+AL137*INDEX(Data!$X:$X,$J$4)+AL187*INDEX(Data!$O:$O,$J$4)+AL188*INDEX(Data!$V:$V,$J$4)+AL189*INDEX(Data!$Y:$Y,$J$4))/1000</f>
        <v/>
      </c>
      <c r="AM208" s="17">
        <f>(AM112*INDEX(Data!$R:$R,$J$4)+AM113*INDEX(Data!$Q:$Q,$J$4)+AM123*INDEX(Data!$P:$P,$J$4)+AM124*INDEX(Data!$W:$W,$J$4)+AM125*INDEX(Data!$T:$T,$J$4)+AM126*INDEX(Data!$S:$S,$J$4)+AM135*INDEX(Data!$N:$N,$J$4)+AM136*INDEX(Data!$U:$U,$J$4)+AM137*INDEX(Data!$X:$X,$J$4)+AM187*INDEX(Data!$O:$O,$J$4)+AM188*INDEX(Data!$V:$V,$J$4)+AM189*INDEX(Data!$Y:$Y,$J$4))/1000</f>
        <v/>
      </c>
      <c r="AN208" s="17">
        <f>(AN112*INDEX(Data!$R:$R,$J$4)+AN113*INDEX(Data!$Q:$Q,$J$4)+AN123*INDEX(Data!$P:$P,$J$4)+AN124*INDEX(Data!$W:$W,$J$4)+AN125*INDEX(Data!$T:$T,$J$4)+AN126*INDEX(Data!$S:$S,$J$4)+AN135*INDEX(Data!$N:$N,$J$4)+AN136*INDEX(Data!$U:$U,$J$4)+AN137*INDEX(Data!$X:$X,$J$4)+AN187*INDEX(Data!$O:$O,$J$4)+AN188*INDEX(Data!$V:$V,$J$4)+AN189*INDEX(Data!$Y:$Y,$J$4))/1000</f>
        <v/>
      </c>
    </row>
    <row r="209">
      <c r="A209" s="12" t="inlineStr">
        <is>
          <t>10. Investment and incremental investment</t>
        </is>
      </c>
      <c r="B209" s="13" t="n"/>
      <c r="C209" s="13" t="n"/>
      <c r="D209" s="13" t="n"/>
      <c r="E209" s="13" t="n"/>
      <c r="F209" s="13" t="n"/>
      <c r="G209" s="13" t="n"/>
      <c r="H209" s="13" t="n"/>
      <c r="I209" s="13" t="n"/>
      <c r="J209" s="13"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c r="AE209" s="16" t="n"/>
      <c r="AF209" s="16" t="n"/>
      <c r="AG209" s="16" t="n"/>
      <c r="AH209" s="16" t="n"/>
      <c r="AI209" s="16" t="n"/>
      <c r="AJ209" s="16" t="n"/>
      <c r="AK209" s="16" t="n"/>
      <c r="AL209" s="16" t="n"/>
      <c r="AM209" s="16" t="n"/>
      <c r="AN209" s="16" t="n"/>
    </row>
    <row r="210">
      <c r="A210" s="9" t="n">
        <v>10</v>
      </c>
      <c r="B210" s="9" t="inlineStr"/>
      <c r="C210" s="9" t="inlineStr"/>
      <c r="D210" s="9" t="inlineStr">
        <is>
          <t>Clean investment not modelled bottom-up (IEA 2024 calibration; both scenarios)</t>
        </is>
      </c>
      <c r="E210" s="9" t="inlineStr">
        <is>
          <t>USD bn</t>
        </is>
      </c>
      <c r="F210" s="9" t="inlineStr">
        <is>
          <t>Model</t>
        </is>
      </c>
      <c r="G210" s="18" t="n"/>
      <c r="H210" s="18" t="inlineStr">
        <is>
          <t>mit.inv.cal.1</t>
        </is>
      </c>
      <c r="I210" s="9" t="n"/>
      <c r="J210" s="9" t="n"/>
      <c r="K210" s="17" t="n"/>
      <c r="L210" s="17" t="n"/>
      <c r="M210" s="17" t="n"/>
      <c r="N210" s="19">
        <f>0</f>
        <v/>
      </c>
      <c r="O210" s="17">
        <f>INDEX(Data!$Z:$Z,$J$4)*O86/$J$7</f>
        <v/>
      </c>
      <c r="P210" s="17">
        <f>INDEX(Data!$Z:$Z,$J$4)*P86/$J$7</f>
        <v/>
      </c>
      <c r="Q210" s="17">
        <f>INDEX(Data!$Z:$Z,$J$4)*Q86/$J$7</f>
        <v/>
      </c>
      <c r="R210" s="17">
        <f>INDEX(Data!$Z:$Z,$J$4)*R86/$J$7</f>
        <v/>
      </c>
      <c r="S210" s="17">
        <f>INDEX(Data!$Z:$Z,$J$4)*S86/$J$7</f>
        <v/>
      </c>
      <c r="T210" s="17">
        <f>INDEX(Data!$Z:$Z,$J$4)*T86/$J$7</f>
        <v/>
      </c>
      <c r="U210" s="17">
        <f>INDEX(Data!$Z:$Z,$J$4)*U86/$J$7</f>
        <v/>
      </c>
      <c r="V210" s="17">
        <f>INDEX(Data!$Z:$Z,$J$4)*V86/$J$7</f>
        <v/>
      </c>
      <c r="W210" s="17">
        <f>INDEX(Data!$Z:$Z,$J$4)*W86/$J$7</f>
        <v/>
      </c>
      <c r="X210" s="17">
        <f>INDEX(Data!$Z:$Z,$J$4)*X86/$J$7</f>
        <v/>
      </c>
      <c r="Y210" s="17">
        <f>INDEX(Data!$Z:$Z,$J$4)*Y86/$J$7</f>
        <v/>
      </c>
      <c r="Z210" s="17">
        <f>INDEX(Data!$Z:$Z,$J$4)*Z86/$J$7</f>
        <v/>
      </c>
      <c r="AA210" s="17">
        <f>INDEX(Data!$Z:$Z,$J$4)*AA86/$J$7</f>
        <v/>
      </c>
      <c r="AB210" s="17">
        <f>INDEX(Data!$Z:$Z,$J$4)*AB86/$J$7</f>
        <v/>
      </c>
      <c r="AC210" s="17">
        <f>INDEX(Data!$Z:$Z,$J$4)*AC86/$J$7</f>
        <v/>
      </c>
      <c r="AD210" s="17">
        <f>INDEX(Data!$Z:$Z,$J$4)*AD86/$J$7</f>
        <v/>
      </c>
      <c r="AE210" s="17">
        <f>INDEX(Data!$Z:$Z,$J$4)*AE86/$J$7</f>
        <v/>
      </c>
      <c r="AF210" s="17">
        <f>INDEX(Data!$Z:$Z,$J$4)*AF86/$J$7</f>
        <v/>
      </c>
      <c r="AG210" s="17">
        <f>INDEX(Data!$Z:$Z,$J$4)*AG86/$J$7</f>
        <v/>
      </c>
      <c r="AH210" s="17">
        <f>INDEX(Data!$Z:$Z,$J$4)*AH86/$J$7</f>
        <v/>
      </c>
      <c r="AI210" s="17">
        <f>INDEX(Data!$Z:$Z,$J$4)*AI86/$J$7</f>
        <v/>
      </c>
      <c r="AJ210" s="17">
        <f>INDEX(Data!$Z:$Z,$J$4)*AJ86/$J$7</f>
        <v/>
      </c>
      <c r="AK210" s="17">
        <f>INDEX(Data!$Z:$Z,$J$4)*AK86/$J$7</f>
        <v/>
      </c>
      <c r="AL210" s="17">
        <f>INDEX(Data!$Z:$Z,$J$4)*AL86/$J$7</f>
        <v/>
      </c>
      <c r="AM210" s="17">
        <f>INDEX(Data!$Z:$Z,$J$4)*AM86/$J$7</f>
        <v/>
      </c>
      <c r="AN210" s="17">
        <f>INDEX(Data!$Z:$Z,$J$4)*AN86/$J$7</f>
        <v/>
      </c>
    </row>
    <row r="211">
      <c r="A211" s="9" t="n">
        <v>10</v>
      </c>
      <c r="B211" s="9" t="inlineStr"/>
      <c r="C211" s="9" t="inlineStr"/>
      <c r="D211" s="9" t="inlineStr">
        <is>
          <t>Clean investment not modelled bottom-up (IEA 2024 calibration; both scenarios)</t>
        </is>
      </c>
      <c r="E211" s="9" t="inlineStr">
        <is>
          <t>USD bn</t>
        </is>
      </c>
      <c r="F211" s="9" t="inlineStr">
        <is>
          <t>Model</t>
        </is>
      </c>
      <c r="G211" s="18" t="n"/>
      <c r="H211" s="18" t="inlineStr">
        <is>
          <t>mit.inv.cal.2</t>
        </is>
      </c>
      <c r="I211" s="9" t="n"/>
      <c r="J211" s="9" t="n"/>
      <c r="K211" s="17" t="n"/>
      <c r="L211" s="17" t="n"/>
      <c r="M211" s="17" t="n"/>
      <c r="N211" s="19">
        <f>0</f>
        <v/>
      </c>
      <c r="O211" s="17">
        <f>INDEX(Data!$Z:$Z,$J$4)*O86/$J$7</f>
        <v/>
      </c>
      <c r="P211" s="17">
        <f>INDEX(Data!$Z:$Z,$J$4)*P86/$J$7</f>
        <v/>
      </c>
      <c r="Q211" s="17">
        <f>INDEX(Data!$Z:$Z,$J$4)*Q86/$J$7</f>
        <v/>
      </c>
      <c r="R211" s="17">
        <f>INDEX(Data!$Z:$Z,$J$4)*R86/$J$7</f>
        <v/>
      </c>
      <c r="S211" s="17">
        <f>INDEX(Data!$Z:$Z,$J$4)*S86/$J$7</f>
        <v/>
      </c>
      <c r="T211" s="17">
        <f>INDEX(Data!$Z:$Z,$J$4)*T86/$J$7</f>
        <v/>
      </c>
      <c r="U211" s="17">
        <f>INDEX(Data!$Z:$Z,$J$4)*U86/$J$7</f>
        <v/>
      </c>
      <c r="V211" s="17">
        <f>INDEX(Data!$Z:$Z,$J$4)*V86/$J$7</f>
        <v/>
      </c>
      <c r="W211" s="17">
        <f>INDEX(Data!$Z:$Z,$J$4)*W86/$J$7</f>
        <v/>
      </c>
      <c r="X211" s="17">
        <f>INDEX(Data!$Z:$Z,$J$4)*X86/$J$7</f>
        <v/>
      </c>
      <c r="Y211" s="17">
        <f>INDEX(Data!$Z:$Z,$J$4)*Y86/$J$7</f>
        <v/>
      </c>
      <c r="Z211" s="17">
        <f>INDEX(Data!$Z:$Z,$J$4)*Z86/$J$7</f>
        <v/>
      </c>
      <c r="AA211" s="17">
        <f>INDEX(Data!$Z:$Z,$J$4)*AA86/$J$7</f>
        <v/>
      </c>
      <c r="AB211" s="17">
        <f>INDEX(Data!$Z:$Z,$J$4)*AB86/$J$7</f>
        <v/>
      </c>
      <c r="AC211" s="17">
        <f>INDEX(Data!$Z:$Z,$J$4)*AC86/$J$7</f>
        <v/>
      </c>
      <c r="AD211" s="17">
        <f>INDEX(Data!$Z:$Z,$J$4)*AD86/$J$7</f>
        <v/>
      </c>
      <c r="AE211" s="17">
        <f>INDEX(Data!$Z:$Z,$J$4)*AE86/$J$7</f>
        <v/>
      </c>
      <c r="AF211" s="17">
        <f>INDEX(Data!$Z:$Z,$J$4)*AF86/$J$7</f>
        <v/>
      </c>
      <c r="AG211" s="17">
        <f>INDEX(Data!$Z:$Z,$J$4)*AG86/$J$7</f>
        <v/>
      </c>
      <c r="AH211" s="17">
        <f>INDEX(Data!$Z:$Z,$J$4)*AH86/$J$7</f>
        <v/>
      </c>
      <c r="AI211" s="17">
        <f>INDEX(Data!$Z:$Z,$J$4)*AI86/$J$7</f>
        <v/>
      </c>
      <c r="AJ211" s="17">
        <f>INDEX(Data!$Z:$Z,$J$4)*AJ86/$J$7</f>
        <v/>
      </c>
      <c r="AK211" s="17">
        <f>INDEX(Data!$Z:$Z,$J$4)*AK86/$J$7</f>
        <v/>
      </c>
      <c r="AL211" s="17">
        <f>INDEX(Data!$Z:$Z,$J$4)*AL86/$J$7</f>
        <v/>
      </c>
      <c r="AM211" s="17">
        <f>INDEX(Data!$Z:$Z,$J$4)*AM86/$J$7</f>
        <v/>
      </c>
      <c r="AN211" s="17">
        <f>INDEX(Data!$Z:$Z,$J$4)*AN86/$J$7</f>
        <v/>
      </c>
    </row>
    <row r="212">
      <c r="A212" s="9" t="n">
        <v>10</v>
      </c>
      <c r="B212" s="9" t="inlineStr"/>
      <c r="C212" s="9" t="inlineStr"/>
      <c r="D212" s="9" t="inlineStr">
        <is>
          <t>Incremental investment: power generation</t>
        </is>
      </c>
      <c r="E212" s="9" t="inlineStr">
        <is>
          <t>USD bn</t>
        </is>
      </c>
      <c r="F212" s="9" t="inlineStr">
        <is>
          <t>Model</t>
        </is>
      </c>
      <c r="G212" s="18" t="n"/>
      <c r="H212" s="18" t="inlineStr">
        <is>
          <t>mit.dinv.gen</t>
        </is>
      </c>
      <c r="I212" s="9" t="n"/>
      <c r="J212" s="9" t="n"/>
      <c r="K212" s="17" t="n"/>
      <c r="L212" s="17" t="n"/>
      <c r="M212" s="17" t="n"/>
      <c r="N212" s="19">
        <f>0</f>
        <v/>
      </c>
      <c r="O212" s="17">
        <f>O184-O163</f>
        <v/>
      </c>
      <c r="P212" s="17">
        <f>P184-P163</f>
        <v/>
      </c>
      <c r="Q212" s="17">
        <f>Q184-Q163</f>
        <v/>
      </c>
      <c r="R212" s="17">
        <f>R184-R163</f>
        <v/>
      </c>
      <c r="S212" s="17">
        <f>S184-S163</f>
        <v/>
      </c>
      <c r="T212" s="17">
        <f>T184-T163</f>
        <v/>
      </c>
      <c r="U212" s="17">
        <f>U184-U163</f>
        <v/>
      </c>
      <c r="V212" s="17">
        <f>V184-V163</f>
        <v/>
      </c>
      <c r="W212" s="17">
        <f>W184-W163</f>
        <v/>
      </c>
      <c r="X212" s="17">
        <f>X184-X163</f>
        <v/>
      </c>
      <c r="Y212" s="17">
        <f>Y184-Y163</f>
        <v/>
      </c>
      <c r="Z212" s="17">
        <f>Z184-Z163</f>
        <v/>
      </c>
      <c r="AA212" s="17">
        <f>AA184-AA163</f>
        <v/>
      </c>
      <c r="AB212" s="17">
        <f>AB184-AB163</f>
        <v/>
      </c>
      <c r="AC212" s="17">
        <f>AC184-AC163</f>
        <v/>
      </c>
      <c r="AD212" s="17">
        <f>AD184-AD163</f>
        <v/>
      </c>
      <c r="AE212" s="17">
        <f>AE184-AE163</f>
        <v/>
      </c>
      <c r="AF212" s="17">
        <f>AF184-AF163</f>
        <v/>
      </c>
      <c r="AG212" s="17">
        <f>AG184-AG163</f>
        <v/>
      </c>
      <c r="AH212" s="17">
        <f>AH184-AH163</f>
        <v/>
      </c>
      <c r="AI212" s="17">
        <f>AI184-AI163</f>
        <v/>
      </c>
      <c r="AJ212" s="17">
        <f>AJ184-AJ163</f>
        <v/>
      </c>
      <c r="AK212" s="17">
        <f>AK184-AK163</f>
        <v/>
      </c>
      <c r="AL212" s="17">
        <f>AL184-AL163</f>
        <v/>
      </c>
      <c r="AM212" s="17">
        <f>AM184-AM163</f>
        <v/>
      </c>
      <c r="AN212" s="17">
        <f>AN184-AN163</f>
        <v/>
      </c>
    </row>
    <row r="213">
      <c r="A213" s="9" t="n">
        <v>10</v>
      </c>
      <c r="B213" s="9" t="inlineStr"/>
      <c r="C213" s="9" t="inlineStr"/>
      <c r="D213" s="9" t="inlineStr">
        <is>
          <t>Incremental investment: grids and storage</t>
        </is>
      </c>
      <c r="E213" s="9" t="inlineStr">
        <is>
          <t>USD bn</t>
        </is>
      </c>
      <c r="F213" s="9" t="inlineStr">
        <is>
          <t>Model</t>
        </is>
      </c>
      <c r="G213" s="18" t="n"/>
      <c r="H213" s="18" t="inlineStr">
        <is>
          <t>mit.dinv.grid</t>
        </is>
      </c>
      <c r="I213" s="9" t="n"/>
      <c r="J213" s="9" t="n"/>
      <c r="K213" s="17" t="n"/>
      <c r="L213" s="17" t="n"/>
      <c r="M213" s="17" t="n"/>
      <c r="N213" s="19">
        <f>0</f>
        <v/>
      </c>
      <c r="O213" s="17">
        <f>O186-O165</f>
        <v/>
      </c>
      <c r="P213" s="17">
        <f>P186-P165</f>
        <v/>
      </c>
      <c r="Q213" s="17">
        <f>Q186-Q165</f>
        <v/>
      </c>
      <c r="R213" s="17">
        <f>R186-R165</f>
        <v/>
      </c>
      <c r="S213" s="17">
        <f>S186-S165</f>
        <v/>
      </c>
      <c r="T213" s="17">
        <f>T186-T165</f>
        <v/>
      </c>
      <c r="U213" s="17">
        <f>U186-U165</f>
        <v/>
      </c>
      <c r="V213" s="17">
        <f>V186-V165</f>
        <v/>
      </c>
      <c r="W213" s="17">
        <f>W186-W165</f>
        <v/>
      </c>
      <c r="X213" s="17">
        <f>X186-X165</f>
        <v/>
      </c>
      <c r="Y213" s="17">
        <f>Y186-Y165</f>
        <v/>
      </c>
      <c r="Z213" s="17">
        <f>Z186-Z165</f>
        <v/>
      </c>
      <c r="AA213" s="17">
        <f>AA186-AA165</f>
        <v/>
      </c>
      <c r="AB213" s="17">
        <f>AB186-AB165</f>
        <v/>
      </c>
      <c r="AC213" s="17">
        <f>AC186-AC165</f>
        <v/>
      </c>
      <c r="AD213" s="17">
        <f>AD186-AD165</f>
        <v/>
      </c>
      <c r="AE213" s="17">
        <f>AE186-AE165</f>
        <v/>
      </c>
      <c r="AF213" s="17">
        <f>AF186-AF165</f>
        <v/>
      </c>
      <c r="AG213" s="17">
        <f>AG186-AG165</f>
        <v/>
      </c>
      <c r="AH213" s="17">
        <f>AH186-AH165</f>
        <v/>
      </c>
      <c r="AI213" s="17">
        <f>AI186-AI165</f>
        <v/>
      </c>
      <c r="AJ213" s="17">
        <f>AJ186-AJ165</f>
        <v/>
      </c>
      <c r="AK213" s="17">
        <f>AK186-AK165</f>
        <v/>
      </c>
      <c r="AL213" s="17">
        <f>AL186-AL165</f>
        <v/>
      </c>
      <c r="AM213" s="17">
        <f>AM186-AM165</f>
        <v/>
      </c>
      <c r="AN213" s="17">
        <f>AN186-AN165</f>
        <v/>
      </c>
    </row>
    <row r="214">
      <c r="A214" s="9" t="n">
        <v>10</v>
      </c>
      <c r="B214" s="9" t="inlineStr"/>
      <c r="C214" s="9" t="inlineStr"/>
      <c r="D214" s="9" t="inlineStr">
        <is>
          <t>Incremental investment: transport</t>
        </is>
      </c>
      <c r="E214" s="9" t="inlineStr">
        <is>
          <t>USD bn</t>
        </is>
      </c>
      <c r="F214" s="9" t="inlineStr">
        <is>
          <t>Model</t>
        </is>
      </c>
      <c r="G214" s="18" t="n"/>
      <c r="H214" s="18" t="inlineStr">
        <is>
          <t>mit.dinv.trn</t>
        </is>
      </c>
      <c r="I214" s="9" t="n"/>
      <c r="J214" s="9" t="n"/>
      <c r="K214" s="17" t="n"/>
      <c r="L214" s="17" t="n"/>
      <c r="M214" s="17" t="n"/>
      <c r="N214" s="19">
        <f>0</f>
        <v/>
      </c>
      <c r="O214" s="17">
        <f>O115-O108</f>
        <v/>
      </c>
      <c r="P214" s="17">
        <f>P115-P108</f>
        <v/>
      </c>
      <c r="Q214" s="17">
        <f>Q115-Q108</f>
        <v/>
      </c>
      <c r="R214" s="17">
        <f>R115-R108</f>
        <v/>
      </c>
      <c r="S214" s="17">
        <f>S115-S108</f>
        <v/>
      </c>
      <c r="T214" s="17">
        <f>T115-T108</f>
        <v/>
      </c>
      <c r="U214" s="17">
        <f>U115-U108</f>
        <v/>
      </c>
      <c r="V214" s="17">
        <f>V115-V108</f>
        <v/>
      </c>
      <c r="W214" s="17">
        <f>W115-W108</f>
        <v/>
      </c>
      <c r="X214" s="17">
        <f>X115-X108</f>
        <v/>
      </c>
      <c r="Y214" s="17">
        <f>Y115-Y108</f>
        <v/>
      </c>
      <c r="Z214" s="17">
        <f>Z115-Z108</f>
        <v/>
      </c>
      <c r="AA214" s="17">
        <f>AA115-AA108</f>
        <v/>
      </c>
      <c r="AB214" s="17">
        <f>AB115-AB108</f>
        <v/>
      </c>
      <c r="AC214" s="17">
        <f>AC115-AC108</f>
        <v/>
      </c>
      <c r="AD214" s="17">
        <f>AD115-AD108</f>
        <v/>
      </c>
      <c r="AE214" s="17">
        <f>AE115-AE108</f>
        <v/>
      </c>
      <c r="AF214" s="17">
        <f>AF115-AF108</f>
        <v/>
      </c>
      <c r="AG214" s="17">
        <f>AG115-AG108</f>
        <v/>
      </c>
      <c r="AH214" s="17">
        <f>AH115-AH108</f>
        <v/>
      </c>
      <c r="AI214" s="17">
        <f>AI115-AI108</f>
        <v/>
      </c>
      <c r="AJ214" s="17">
        <f>AJ115-AJ108</f>
        <v/>
      </c>
      <c r="AK214" s="17">
        <f>AK115-AK108</f>
        <v/>
      </c>
      <c r="AL214" s="17">
        <f>AL115-AL108</f>
        <v/>
      </c>
      <c r="AM214" s="17">
        <f>AM115-AM108</f>
        <v/>
      </c>
      <c r="AN214" s="17">
        <f>AN115-AN108</f>
        <v/>
      </c>
    </row>
    <row r="215">
      <c r="A215" s="9" t="n">
        <v>10</v>
      </c>
      <c r="B215" s="9" t="inlineStr"/>
      <c r="C215" s="9" t="inlineStr"/>
      <c r="D215" s="9" t="inlineStr">
        <is>
          <t>Incremental investment: buildings</t>
        </is>
      </c>
      <c r="E215" s="9" t="inlineStr">
        <is>
          <t>USD bn</t>
        </is>
      </c>
      <c r="F215" s="9" t="inlineStr">
        <is>
          <t>Model</t>
        </is>
      </c>
      <c r="G215" s="18" t="n"/>
      <c r="H215" s="18" t="inlineStr">
        <is>
          <t>mit.dinv.bld</t>
        </is>
      </c>
      <c r="I215" s="9" t="n"/>
      <c r="J215" s="9" t="n"/>
      <c r="K215" s="17" t="n"/>
      <c r="L215" s="17" t="n"/>
      <c r="M215" s="17" t="n"/>
      <c r="N215" s="19">
        <f>0</f>
        <v/>
      </c>
      <c r="O215" s="17">
        <f>O129</f>
        <v/>
      </c>
      <c r="P215" s="17">
        <f>P129</f>
        <v/>
      </c>
      <c r="Q215" s="17">
        <f>Q129</f>
        <v/>
      </c>
      <c r="R215" s="17">
        <f>R129</f>
        <v/>
      </c>
      <c r="S215" s="17">
        <f>S129</f>
        <v/>
      </c>
      <c r="T215" s="17">
        <f>T129</f>
        <v/>
      </c>
      <c r="U215" s="17">
        <f>U129</f>
        <v/>
      </c>
      <c r="V215" s="17">
        <f>V129</f>
        <v/>
      </c>
      <c r="W215" s="17">
        <f>W129</f>
        <v/>
      </c>
      <c r="X215" s="17">
        <f>X129</f>
        <v/>
      </c>
      <c r="Y215" s="17">
        <f>Y129</f>
        <v/>
      </c>
      <c r="Z215" s="17">
        <f>Z129</f>
        <v/>
      </c>
      <c r="AA215" s="17">
        <f>AA129</f>
        <v/>
      </c>
      <c r="AB215" s="17">
        <f>AB129</f>
        <v/>
      </c>
      <c r="AC215" s="17">
        <f>AC129</f>
        <v/>
      </c>
      <c r="AD215" s="17">
        <f>AD129</f>
        <v/>
      </c>
      <c r="AE215" s="17">
        <f>AE129</f>
        <v/>
      </c>
      <c r="AF215" s="17">
        <f>AF129</f>
        <v/>
      </c>
      <c r="AG215" s="17">
        <f>AG129</f>
        <v/>
      </c>
      <c r="AH215" s="17">
        <f>AH129</f>
        <v/>
      </c>
      <c r="AI215" s="17">
        <f>AI129</f>
        <v/>
      </c>
      <c r="AJ215" s="17">
        <f>AJ129</f>
        <v/>
      </c>
      <c r="AK215" s="17">
        <f>AK129</f>
        <v/>
      </c>
      <c r="AL215" s="17">
        <f>AL129</f>
        <v/>
      </c>
      <c r="AM215" s="17">
        <f>AM129</f>
        <v/>
      </c>
      <c r="AN215" s="17">
        <f>AN129</f>
        <v/>
      </c>
    </row>
    <row r="216">
      <c r="A216" s="9" t="n">
        <v>10</v>
      </c>
      <c r="B216" s="9" t="inlineStr"/>
      <c r="C216" s="9" t="inlineStr"/>
      <c r="D216" s="9" t="inlineStr">
        <is>
          <t>Incremental investment: industry</t>
        </is>
      </c>
      <c r="E216" s="9" t="inlineStr">
        <is>
          <t>USD bn</t>
        </is>
      </c>
      <c r="F216" s="9" t="inlineStr">
        <is>
          <t>Model</t>
        </is>
      </c>
      <c r="G216" s="18" t="n"/>
      <c r="H216" s="18" t="inlineStr">
        <is>
          <t>mit.dinv.ind</t>
        </is>
      </c>
      <c r="I216" s="9" t="n"/>
      <c r="J216" s="9" t="n"/>
      <c r="K216" s="17" t="n"/>
      <c r="L216" s="17" t="n"/>
      <c r="M216" s="17" t="n"/>
      <c r="N216" s="19">
        <f>0</f>
        <v/>
      </c>
      <c r="O216" s="17">
        <f>O144</f>
        <v/>
      </c>
      <c r="P216" s="17">
        <f>P144</f>
        <v/>
      </c>
      <c r="Q216" s="17">
        <f>Q144</f>
        <v/>
      </c>
      <c r="R216" s="17">
        <f>R144</f>
        <v/>
      </c>
      <c r="S216" s="17">
        <f>S144</f>
        <v/>
      </c>
      <c r="T216" s="17">
        <f>T144</f>
        <v/>
      </c>
      <c r="U216" s="17">
        <f>U144</f>
        <v/>
      </c>
      <c r="V216" s="17">
        <f>V144</f>
        <v/>
      </c>
      <c r="W216" s="17">
        <f>W144</f>
        <v/>
      </c>
      <c r="X216" s="17">
        <f>X144</f>
        <v/>
      </c>
      <c r="Y216" s="17">
        <f>Y144</f>
        <v/>
      </c>
      <c r="Z216" s="17">
        <f>Z144</f>
        <v/>
      </c>
      <c r="AA216" s="17">
        <f>AA144</f>
        <v/>
      </c>
      <c r="AB216" s="17">
        <f>AB144</f>
        <v/>
      </c>
      <c r="AC216" s="17">
        <f>AC144</f>
        <v/>
      </c>
      <c r="AD216" s="17">
        <f>AD144</f>
        <v/>
      </c>
      <c r="AE216" s="17">
        <f>AE144</f>
        <v/>
      </c>
      <c r="AF216" s="17">
        <f>AF144</f>
        <v/>
      </c>
      <c r="AG216" s="17">
        <f>AG144</f>
        <v/>
      </c>
      <c r="AH216" s="17">
        <f>AH144</f>
        <v/>
      </c>
      <c r="AI216" s="17">
        <f>AI144</f>
        <v/>
      </c>
      <c r="AJ216" s="17">
        <f>AJ144</f>
        <v/>
      </c>
      <c r="AK216" s="17">
        <f>AK144</f>
        <v/>
      </c>
      <c r="AL216" s="17">
        <f>AL144</f>
        <v/>
      </c>
      <c r="AM216" s="17">
        <f>AM144</f>
        <v/>
      </c>
      <c r="AN216" s="17">
        <f>AN144</f>
        <v/>
      </c>
    </row>
    <row r="217">
      <c r="A217" s="9" t="n">
        <v>10</v>
      </c>
      <c r="B217" s="9" t="inlineStr"/>
      <c r="C217" s="9" t="inlineStr"/>
      <c r="D217" s="9" t="inlineStr">
        <is>
          <t>Incremental investment: non-co2 and land use</t>
        </is>
      </c>
      <c r="E217" s="9" t="inlineStr">
        <is>
          <t>USD bn</t>
        </is>
      </c>
      <c r="F217" s="9" t="inlineStr">
        <is>
          <t>Model</t>
        </is>
      </c>
      <c r="G217" s="18" t="n"/>
      <c r="H217" s="18" t="inlineStr">
        <is>
          <t>mit.dinv.nco</t>
        </is>
      </c>
      <c r="I217" s="9" t="n"/>
      <c r="J217" s="9" t="n"/>
      <c r="K217" s="17" t="n"/>
      <c r="L217" s="17" t="n"/>
      <c r="M217" s="17" t="n"/>
      <c r="N217" s="19">
        <f>0</f>
        <v/>
      </c>
      <c r="O217" s="17">
        <f>O196</f>
        <v/>
      </c>
      <c r="P217" s="17">
        <f>P196</f>
        <v/>
      </c>
      <c r="Q217" s="17">
        <f>Q196</f>
        <v/>
      </c>
      <c r="R217" s="17">
        <f>R196</f>
        <v/>
      </c>
      <c r="S217" s="17">
        <f>S196</f>
        <v/>
      </c>
      <c r="T217" s="17">
        <f>T196</f>
        <v/>
      </c>
      <c r="U217" s="17">
        <f>U196</f>
        <v/>
      </c>
      <c r="V217" s="17">
        <f>V196</f>
        <v/>
      </c>
      <c r="W217" s="17">
        <f>W196</f>
        <v/>
      </c>
      <c r="X217" s="17">
        <f>X196</f>
        <v/>
      </c>
      <c r="Y217" s="17">
        <f>Y196</f>
        <v/>
      </c>
      <c r="Z217" s="17">
        <f>Z196</f>
        <v/>
      </c>
      <c r="AA217" s="17">
        <f>AA196</f>
        <v/>
      </c>
      <c r="AB217" s="17">
        <f>AB196</f>
        <v/>
      </c>
      <c r="AC217" s="17">
        <f>AC196</f>
        <v/>
      </c>
      <c r="AD217" s="17">
        <f>AD196</f>
        <v/>
      </c>
      <c r="AE217" s="17">
        <f>AE196</f>
        <v/>
      </c>
      <c r="AF217" s="17">
        <f>AF196</f>
        <v/>
      </c>
      <c r="AG217" s="17">
        <f>AG196</f>
        <v/>
      </c>
      <c r="AH217" s="17">
        <f>AH196</f>
        <v/>
      </c>
      <c r="AI217" s="17">
        <f>AI196</f>
        <v/>
      </c>
      <c r="AJ217" s="17">
        <f>AJ196</f>
        <v/>
      </c>
      <c r="AK217" s="17">
        <f>AK196</f>
        <v/>
      </c>
      <c r="AL217" s="17">
        <f>AL196</f>
        <v/>
      </c>
      <c r="AM217" s="17">
        <f>AM196</f>
        <v/>
      </c>
      <c r="AN217" s="17">
        <f>AN196</f>
        <v/>
      </c>
    </row>
    <row r="218">
      <c r="A218" s="9" t="n">
        <v>10</v>
      </c>
      <c r="B218" s="9" t="inlineStr"/>
      <c r="C218" s="9" t="inlineStr"/>
      <c r="D218" s="9" t="inlineStr">
        <is>
          <t>Incremental investment: other energy co2</t>
        </is>
      </c>
      <c r="E218" s="9" t="inlineStr">
        <is>
          <t>USD bn</t>
        </is>
      </c>
      <c r="F218" s="9" t="inlineStr">
        <is>
          <t>Model</t>
        </is>
      </c>
      <c r="G218" s="18" t="n"/>
      <c r="H218" s="18" t="inlineStr">
        <is>
          <t>mit.dinv.oth</t>
        </is>
      </c>
      <c r="I218" s="9" t="n"/>
      <c r="J218" s="9" t="n"/>
      <c r="K218" s="17" t="n"/>
      <c r="L218" s="17" t="n"/>
      <c r="M218" s="17" t="n"/>
      <c r="N218" s="19">
        <f>0</f>
        <v/>
      </c>
      <c r="O218" s="17">
        <f>O205</f>
        <v/>
      </c>
      <c r="P218" s="17">
        <f>P205</f>
        <v/>
      </c>
      <c r="Q218" s="17">
        <f>Q205</f>
        <v/>
      </c>
      <c r="R218" s="17">
        <f>R205</f>
        <v/>
      </c>
      <c r="S218" s="17">
        <f>S205</f>
        <v/>
      </c>
      <c r="T218" s="17">
        <f>T205</f>
        <v/>
      </c>
      <c r="U218" s="17">
        <f>U205</f>
        <v/>
      </c>
      <c r="V218" s="17">
        <f>V205</f>
        <v/>
      </c>
      <c r="W218" s="17">
        <f>W205</f>
        <v/>
      </c>
      <c r="X218" s="17">
        <f>X205</f>
        <v/>
      </c>
      <c r="Y218" s="17">
        <f>Y205</f>
        <v/>
      </c>
      <c r="Z218" s="17">
        <f>Z205</f>
        <v/>
      </c>
      <c r="AA218" s="17">
        <f>AA205</f>
        <v/>
      </c>
      <c r="AB218" s="17">
        <f>AB205</f>
        <v/>
      </c>
      <c r="AC218" s="17">
        <f>AC205</f>
        <v/>
      </c>
      <c r="AD218" s="17">
        <f>AD205</f>
        <v/>
      </c>
      <c r="AE218" s="17">
        <f>AE205</f>
        <v/>
      </c>
      <c r="AF218" s="17">
        <f>AF205</f>
        <v/>
      </c>
      <c r="AG218" s="17">
        <f>AG205</f>
        <v/>
      </c>
      <c r="AH218" s="17">
        <f>AH205</f>
        <v/>
      </c>
      <c r="AI218" s="17">
        <f>AI205</f>
        <v/>
      </c>
      <c r="AJ218" s="17">
        <f>AJ205</f>
        <v/>
      </c>
      <c r="AK218" s="17">
        <f>AK205</f>
        <v/>
      </c>
      <c r="AL218" s="17">
        <f>AL205</f>
        <v/>
      </c>
      <c r="AM218" s="17">
        <f>AM205</f>
        <v/>
      </c>
      <c r="AN218" s="17">
        <f>AN205</f>
        <v/>
      </c>
    </row>
    <row r="219">
      <c r="A219" s="9" t="n">
        <v>10</v>
      </c>
      <c r="B219" s="9" t="inlineStr"/>
      <c r="C219" s="9" t="inlineStr"/>
      <c r="D219" s="9" t="inlineStr">
        <is>
          <t>Incremental investment: unmodelled clean investment (calibration)</t>
        </is>
      </c>
      <c r="E219" s="9" t="inlineStr">
        <is>
          <t>USD bn</t>
        </is>
      </c>
      <c r="F219" s="9" t="inlineStr">
        <is>
          <t>Model</t>
        </is>
      </c>
      <c r="G219" s="18" t="n"/>
      <c r="H219" s="18" t="inlineStr">
        <is>
          <t>mit.dinv.cal</t>
        </is>
      </c>
      <c r="I219" s="9" t="n"/>
      <c r="J219" s="9" t="n"/>
      <c r="K219" s="17" t="n"/>
      <c r="L219" s="17" t="n"/>
      <c r="M219" s="17" t="n"/>
      <c r="N219" s="19">
        <f>0</f>
        <v/>
      </c>
      <c r="O219" s="17">
        <f>O211-O210</f>
        <v/>
      </c>
      <c r="P219" s="17">
        <f>P211-P210</f>
        <v/>
      </c>
      <c r="Q219" s="17">
        <f>Q211-Q210</f>
        <v/>
      </c>
      <c r="R219" s="17">
        <f>R211-R210</f>
        <v/>
      </c>
      <c r="S219" s="17">
        <f>S211-S210</f>
        <v/>
      </c>
      <c r="T219" s="17">
        <f>T211-T210</f>
        <v/>
      </c>
      <c r="U219" s="17">
        <f>U211-U210</f>
        <v/>
      </c>
      <c r="V219" s="17">
        <f>V211-V210</f>
        <v/>
      </c>
      <c r="W219" s="17">
        <f>W211-W210</f>
        <v/>
      </c>
      <c r="X219" s="17">
        <f>X211-X210</f>
        <v/>
      </c>
      <c r="Y219" s="17">
        <f>Y211-Y210</f>
        <v/>
      </c>
      <c r="Z219" s="17">
        <f>Z211-Z210</f>
        <v/>
      </c>
      <c r="AA219" s="17">
        <f>AA211-AA210</f>
        <v/>
      </c>
      <c r="AB219" s="17">
        <f>AB211-AB210</f>
        <v/>
      </c>
      <c r="AC219" s="17">
        <f>AC211-AC210</f>
        <v/>
      </c>
      <c r="AD219" s="17">
        <f>AD211-AD210</f>
        <v/>
      </c>
      <c r="AE219" s="17">
        <f>AE211-AE210</f>
        <v/>
      </c>
      <c r="AF219" s="17">
        <f>AF211-AF210</f>
        <v/>
      </c>
      <c r="AG219" s="17">
        <f>AG211-AG210</f>
        <v/>
      </c>
      <c r="AH219" s="17">
        <f>AH211-AH210</f>
        <v/>
      </c>
      <c r="AI219" s="17">
        <f>AI211-AI210</f>
        <v/>
      </c>
      <c r="AJ219" s="17">
        <f>AJ211-AJ210</f>
        <v/>
      </c>
      <c r="AK219" s="17">
        <f>AK211-AK210</f>
        <v/>
      </c>
      <c r="AL219" s="17">
        <f>AL211-AL210</f>
        <v/>
      </c>
      <c r="AM219" s="17">
        <f>AM211-AM210</f>
        <v/>
      </c>
      <c r="AN219" s="17">
        <f>AN211-AN210</f>
        <v/>
      </c>
    </row>
    <row r="220">
      <c r="A220" s="9" t="n">
        <v>10</v>
      </c>
      <c r="B220" s="9" t="inlineStr"/>
      <c r="C220" s="9" t="inlineStr"/>
      <c r="D220" s="9" t="inlineStr">
        <is>
          <t>Total investment, baseline</t>
        </is>
      </c>
      <c r="E220" s="9" t="inlineStr">
        <is>
          <t>USD bn</t>
        </is>
      </c>
      <c r="F220" s="9" t="inlineStr">
        <is>
          <t>Model</t>
        </is>
      </c>
      <c r="G220" s="18" t="n"/>
      <c r="H220" s="18" t="inlineStr">
        <is>
          <t>mit.inv.tot.1</t>
        </is>
      </c>
      <c r="I220" s="9" t="n"/>
      <c r="J220" s="9" t="n"/>
      <c r="K220" s="17" t="n"/>
      <c r="L220" s="17" t="n"/>
      <c r="M220" s="17" t="n"/>
      <c r="N220" s="19">
        <f>0</f>
        <v/>
      </c>
      <c r="O220" s="17">
        <f>O163+O165+O108+O210</f>
        <v/>
      </c>
      <c r="P220" s="17">
        <f>P163+P165+P108+P210</f>
        <v/>
      </c>
      <c r="Q220" s="17">
        <f>Q163+Q165+Q108+Q210</f>
        <v/>
      </c>
      <c r="R220" s="17">
        <f>R163+R165+R108+R210</f>
        <v/>
      </c>
      <c r="S220" s="17">
        <f>S163+S165+S108+S210</f>
        <v/>
      </c>
      <c r="T220" s="17">
        <f>T163+T165+T108+T210</f>
        <v/>
      </c>
      <c r="U220" s="17">
        <f>U163+U165+U108+U210</f>
        <v/>
      </c>
      <c r="V220" s="17">
        <f>V163+V165+V108+V210</f>
        <v/>
      </c>
      <c r="W220" s="17">
        <f>W163+W165+W108+W210</f>
        <v/>
      </c>
      <c r="X220" s="17">
        <f>X163+X165+X108+X210</f>
        <v/>
      </c>
      <c r="Y220" s="17">
        <f>Y163+Y165+Y108+Y210</f>
        <v/>
      </c>
      <c r="Z220" s="17">
        <f>Z163+Z165+Z108+Z210</f>
        <v/>
      </c>
      <c r="AA220" s="17">
        <f>AA163+AA165+AA108+AA210</f>
        <v/>
      </c>
      <c r="AB220" s="17">
        <f>AB163+AB165+AB108+AB210</f>
        <v/>
      </c>
      <c r="AC220" s="17">
        <f>AC163+AC165+AC108+AC210</f>
        <v/>
      </c>
      <c r="AD220" s="17">
        <f>AD163+AD165+AD108+AD210</f>
        <v/>
      </c>
      <c r="AE220" s="17">
        <f>AE163+AE165+AE108+AE210</f>
        <v/>
      </c>
      <c r="AF220" s="17">
        <f>AF163+AF165+AF108+AF210</f>
        <v/>
      </c>
      <c r="AG220" s="17">
        <f>AG163+AG165+AG108+AG210</f>
        <v/>
      </c>
      <c r="AH220" s="17">
        <f>AH163+AH165+AH108+AH210</f>
        <v/>
      </c>
      <c r="AI220" s="17">
        <f>AI163+AI165+AI108+AI210</f>
        <v/>
      </c>
      <c r="AJ220" s="17">
        <f>AJ163+AJ165+AJ108+AJ210</f>
        <v/>
      </c>
      <c r="AK220" s="17">
        <f>AK163+AK165+AK108+AK210</f>
        <v/>
      </c>
      <c r="AL220" s="17">
        <f>AL163+AL165+AL108+AL210</f>
        <v/>
      </c>
      <c r="AM220" s="17">
        <f>AM163+AM165+AM108+AM210</f>
        <v/>
      </c>
      <c r="AN220" s="17">
        <f>AN163+AN165+AN108+AN210</f>
        <v/>
      </c>
    </row>
    <row r="221">
      <c r="A221" s="9" t="n">
        <v>10</v>
      </c>
      <c r="B221" s="9" t="inlineStr"/>
      <c r="C221" s="9" t="inlineStr"/>
      <c r="D221" s="9" t="inlineStr">
        <is>
          <t>Total investment, net zero</t>
        </is>
      </c>
      <c r="E221" s="9" t="inlineStr">
        <is>
          <t>USD bn</t>
        </is>
      </c>
      <c r="F221" s="9" t="inlineStr">
        <is>
          <t>Model</t>
        </is>
      </c>
      <c r="G221" s="18" t="n"/>
      <c r="H221" s="18" t="inlineStr">
        <is>
          <t>mit.inv.tot.2</t>
        </is>
      </c>
      <c r="I221" s="9" t="n"/>
      <c r="J221" s="9" t="n"/>
      <c r="K221" s="17" t="n"/>
      <c r="L221" s="17" t="n"/>
      <c r="M221" s="17" t="n"/>
      <c r="N221" s="19">
        <f>0</f>
        <v/>
      </c>
      <c r="O221" s="17">
        <f>O184+O186+O115+O129+O144+O196+O205+O211</f>
        <v/>
      </c>
      <c r="P221" s="17">
        <f>P184+P186+P115+P129+P144+P196+P205+P211</f>
        <v/>
      </c>
      <c r="Q221" s="17">
        <f>Q184+Q186+Q115+Q129+Q144+Q196+Q205+Q211</f>
        <v/>
      </c>
      <c r="R221" s="17">
        <f>R184+R186+R115+R129+R144+R196+R205+R211</f>
        <v/>
      </c>
      <c r="S221" s="17">
        <f>S184+S186+S115+S129+S144+S196+S205+S211</f>
        <v/>
      </c>
      <c r="T221" s="17">
        <f>T184+T186+T115+T129+T144+T196+T205+T211</f>
        <v/>
      </c>
      <c r="U221" s="17">
        <f>U184+U186+U115+U129+U144+U196+U205+U211</f>
        <v/>
      </c>
      <c r="V221" s="17">
        <f>V184+V186+V115+V129+V144+V196+V205+V211</f>
        <v/>
      </c>
      <c r="W221" s="17">
        <f>W184+W186+W115+W129+W144+W196+W205+W211</f>
        <v/>
      </c>
      <c r="X221" s="17">
        <f>X184+X186+X115+X129+X144+X196+X205+X211</f>
        <v/>
      </c>
      <c r="Y221" s="17">
        <f>Y184+Y186+Y115+Y129+Y144+Y196+Y205+Y211</f>
        <v/>
      </c>
      <c r="Z221" s="17">
        <f>Z184+Z186+Z115+Z129+Z144+Z196+Z205+Z211</f>
        <v/>
      </c>
      <c r="AA221" s="17">
        <f>AA184+AA186+AA115+AA129+AA144+AA196+AA205+AA211</f>
        <v/>
      </c>
      <c r="AB221" s="17">
        <f>AB184+AB186+AB115+AB129+AB144+AB196+AB205+AB211</f>
        <v/>
      </c>
      <c r="AC221" s="17">
        <f>AC184+AC186+AC115+AC129+AC144+AC196+AC205+AC211</f>
        <v/>
      </c>
      <c r="AD221" s="17">
        <f>AD184+AD186+AD115+AD129+AD144+AD196+AD205+AD211</f>
        <v/>
      </c>
      <c r="AE221" s="17">
        <f>AE184+AE186+AE115+AE129+AE144+AE196+AE205+AE211</f>
        <v/>
      </c>
      <c r="AF221" s="17">
        <f>AF184+AF186+AF115+AF129+AF144+AF196+AF205+AF211</f>
        <v/>
      </c>
      <c r="AG221" s="17">
        <f>AG184+AG186+AG115+AG129+AG144+AG196+AG205+AG211</f>
        <v/>
      </c>
      <c r="AH221" s="17">
        <f>AH184+AH186+AH115+AH129+AH144+AH196+AH205+AH211</f>
        <v/>
      </c>
      <c r="AI221" s="17">
        <f>AI184+AI186+AI115+AI129+AI144+AI196+AI205+AI211</f>
        <v/>
      </c>
      <c r="AJ221" s="17">
        <f>AJ184+AJ186+AJ115+AJ129+AJ144+AJ196+AJ205+AJ211</f>
        <v/>
      </c>
      <c r="AK221" s="17">
        <f>AK184+AK186+AK115+AK129+AK144+AK196+AK205+AK211</f>
        <v/>
      </c>
      <c r="AL221" s="17">
        <f>AL184+AL186+AL115+AL129+AL144+AL196+AL205+AL211</f>
        <v/>
      </c>
      <c r="AM221" s="17">
        <f>AM184+AM186+AM115+AM129+AM144+AM196+AM205+AM211</f>
        <v/>
      </c>
      <c r="AN221" s="17">
        <f>AN184+AN186+AN115+AN129+AN144+AN196+AN205+AN211</f>
        <v/>
      </c>
    </row>
    <row r="222">
      <c r="A222" s="9" t="n">
        <v>10</v>
      </c>
      <c r="B222" s="9" t="inlineStr"/>
      <c r="C222" s="9" t="inlineStr"/>
      <c r="D222" s="9" t="inlineStr">
        <is>
          <t>Incremental investment, total</t>
        </is>
      </c>
      <c r="E222" s="9" t="inlineStr">
        <is>
          <t>USD bn</t>
        </is>
      </c>
      <c r="F222" s="9" t="inlineStr">
        <is>
          <t>Model</t>
        </is>
      </c>
      <c r="G222" s="18" t="n"/>
      <c r="H222" s="18" t="inlineStr">
        <is>
          <t>mit.dinv.tot</t>
        </is>
      </c>
      <c r="I222" s="9" t="n"/>
      <c r="J222" s="9" t="n"/>
      <c r="K222" s="17" t="n"/>
      <c r="L222" s="17" t="n"/>
      <c r="M222" s="17" t="n"/>
      <c r="N222" s="19">
        <f>0</f>
        <v/>
      </c>
      <c r="O222" s="17">
        <f>O221-O220</f>
        <v/>
      </c>
      <c r="P222" s="17">
        <f>P221-P220</f>
        <v/>
      </c>
      <c r="Q222" s="17">
        <f>Q221-Q220</f>
        <v/>
      </c>
      <c r="R222" s="17">
        <f>R221-R220</f>
        <v/>
      </c>
      <c r="S222" s="17">
        <f>S221-S220</f>
        <v/>
      </c>
      <c r="T222" s="17">
        <f>T221-T220</f>
        <v/>
      </c>
      <c r="U222" s="17">
        <f>U221-U220</f>
        <v/>
      </c>
      <c r="V222" s="17">
        <f>V221-V220</f>
        <v/>
      </c>
      <c r="W222" s="17">
        <f>W221-W220</f>
        <v/>
      </c>
      <c r="X222" s="17">
        <f>X221-X220</f>
        <v/>
      </c>
      <c r="Y222" s="17">
        <f>Y221-Y220</f>
        <v/>
      </c>
      <c r="Z222" s="17">
        <f>Z221-Z220</f>
        <v/>
      </c>
      <c r="AA222" s="17">
        <f>AA221-AA220</f>
        <v/>
      </c>
      <c r="AB222" s="17">
        <f>AB221-AB220</f>
        <v/>
      </c>
      <c r="AC222" s="17">
        <f>AC221-AC220</f>
        <v/>
      </c>
      <c r="AD222" s="17">
        <f>AD221-AD220</f>
        <v/>
      </c>
      <c r="AE222" s="17">
        <f>AE221-AE220</f>
        <v/>
      </c>
      <c r="AF222" s="17">
        <f>AF221-AF220</f>
        <v/>
      </c>
      <c r="AG222" s="17">
        <f>AG221-AG220</f>
        <v/>
      </c>
      <c r="AH222" s="17">
        <f>AH221-AH220</f>
        <v/>
      </c>
      <c r="AI222" s="17">
        <f>AI221-AI220</f>
        <v/>
      </c>
      <c r="AJ222" s="17">
        <f>AJ221-AJ220</f>
        <v/>
      </c>
      <c r="AK222" s="17">
        <f>AK221-AK220</f>
        <v/>
      </c>
      <c r="AL222" s="17">
        <f>AL221-AL220</f>
        <v/>
      </c>
      <c r="AM222" s="17">
        <f>AM221-AM220</f>
        <v/>
      </c>
      <c r="AN222" s="17">
        <f>AN221-AN220</f>
        <v/>
      </c>
    </row>
    <row r="223">
      <c r="A223" s="12" t="inlineStr">
        <is>
          <t>11. Incremental cost by lens</t>
        </is>
      </c>
      <c r="B223" s="13" t="n"/>
      <c r="C223" s="13" t="n"/>
      <c r="D223" s="13" t="n"/>
      <c r="E223" s="13" t="n"/>
      <c r="F223" s="13" t="n"/>
      <c r="G223" s="13" t="n"/>
      <c r="H223" s="13" t="n"/>
      <c r="I223" s="13" t="n"/>
      <c r="J223" s="13"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c r="AI223" s="16" t="n"/>
      <c r="AJ223" s="16" t="n"/>
      <c r="AK223" s="16" t="n"/>
      <c r="AL223" s="16" t="n"/>
      <c r="AM223" s="16" t="n"/>
      <c r="AN223" s="16" t="n"/>
    </row>
    <row r="224">
      <c r="A224" s="9" t="n">
        <v>11</v>
      </c>
      <c r="B224" s="9" t="inlineStr"/>
      <c r="C224" s="9" t="inlineStr"/>
      <c r="D224" s="9" t="inlineStr">
        <is>
          <t>Incremental capital in service: power generation</t>
        </is>
      </c>
      <c r="E224" s="9" t="inlineStr">
        <is>
          <t>USD bn</t>
        </is>
      </c>
      <c r="F224" s="9" t="inlineStr">
        <is>
          <t>Model</t>
        </is>
      </c>
      <c r="G224" s="18" t="n"/>
      <c r="H224" s="18" t="inlineStr">
        <is>
          <t>mit.alive.gen</t>
        </is>
      </c>
      <c r="I224" s="9" t="n"/>
      <c r="J224" s="9" t="n"/>
      <c r="K224" s="17" t="n"/>
      <c r="L224" s="17" t="n"/>
      <c r="M224" s="17" t="n"/>
      <c r="N224" s="19">
        <f>0</f>
        <v/>
      </c>
      <c r="O224" s="17">
        <f>N224+O212-IF(O$1-2024&gt;(p_life_vre),INDEX($O$212:$AN$212,O$1-2024-(p_life_vre)),0)</f>
        <v/>
      </c>
      <c r="P224" s="17">
        <f>O224+P212-IF(P$1-2024&gt;(p_life_vre),INDEX($O$212:$AN$212,P$1-2024-(p_life_vre)),0)</f>
        <v/>
      </c>
      <c r="Q224" s="17">
        <f>P224+Q212-IF(Q$1-2024&gt;(p_life_vre),INDEX($O$212:$AN$212,Q$1-2024-(p_life_vre)),0)</f>
        <v/>
      </c>
      <c r="R224" s="17">
        <f>Q224+R212-IF(R$1-2024&gt;(p_life_vre),INDEX($O$212:$AN$212,R$1-2024-(p_life_vre)),0)</f>
        <v/>
      </c>
      <c r="S224" s="17">
        <f>R224+S212-IF(S$1-2024&gt;(p_life_vre),INDEX($O$212:$AN$212,S$1-2024-(p_life_vre)),0)</f>
        <v/>
      </c>
      <c r="T224" s="17">
        <f>S224+T212-IF(T$1-2024&gt;(p_life_vre),INDEX($O$212:$AN$212,T$1-2024-(p_life_vre)),0)</f>
        <v/>
      </c>
      <c r="U224" s="17">
        <f>T224+U212-IF(U$1-2024&gt;(p_life_vre),INDEX($O$212:$AN$212,U$1-2024-(p_life_vre)),0)</f>
        <v/>
      </c>
      <c r="V224" s="17">
        <f>U224+V212-IF(V$1-2024&gt;(p_life_vre),INDEX($O$212:$AN$212,V$1-2024-(p_life_vre)),0)</f>
        <v/>
      </c>
      <c r="W224" s="17">
        <f>V224+W212-IF(W$1-2024&gt;(p_life_vre),INDEX($O$212:$AN$212,W$1-2024-(p_life_vre)),0)</f>
        <v/>
      </c>
      <c r="X224" s="17">
        <f>W224+X212-IF(X$1-2024&gt;(p_life_vre),INDEX($O$212:$AN$212,X$1-2024-(p_life_vre)),0)</f>
        <v/>
      </c>
      <c r="Y224" s="17">
        <f>X224+Y212-IF(Y$1-2024&gt;(p_life_vre),INDEX($O$212:$AN$212,Y$1-2024-(p_life_vre)),0)</f>
        <v/>
      </c>
      <c r="Z224" s="17">
        <f>Y224+Z212-IF(Z$1-2024&gt;(p_life_vre),INDEX($O$212:$AN$212,Z$1-2024-(p_life_vre)),0)</f>
        <v/>
      </c>
      <c r="AA224" s="17">
        <f>Z224+AA212-IF(AA$1-2024&gt;(p_life_vre),INDEX($O$212:$AN$212,AA$1-2024-(p_life_vre)),0)</f>
        <v/>
      </c>
      <c r="AB224" s="17">
        <f>AA224+AB212-IF(AB$1-2024&gt;(p_life_vre),INDEX($O$212:$AN$212,AB$1-2024-(p_life_vre)),0)</f>
        <v/>
      </c>
      <c r="AC224" s="17">
        <f>AB224+AC212-IF(AC$1-2024&gt;(p_life_vre),INDEX($O$212:$AN$212,AC$1-2024-(p_life_vre)),0)</f>
        <v/>
      </c>
      <c r="AD224" s="17">
        <f>AC224+AD212-IF(AD$1-2024&gt;(p_life_vre),INDEX($O$212:$AN$212,AD$1-2024-(p_life_vre)),0)</f>
        <v/>
      </c>
      <c r="AE224" s="17">
        <f>AD224+AE212-IF(AE$1-2024&gt;(p_life_vre),INDEX($O$212:$AN$212,AE$1-2024-(p_life_vre)),0)</f>
        <v/>
      </c>
      <c r="AF224" s="17">
        <f>AE224+AF212-IF(AF$1-2024&gt;(p_life_vre),INDEX($O$212:$AN$212,AF$1-2024-(p_life_vre)),0)</f>
        <v/>
      </c>
      <c r="AG224" s="17">
        <f>AF224+AG212-IF(AG$1-2024&gt;(p_life_vre),INDEX($O$212:$AN$212,AG$1-2024-(p_life_vre)),0)</f>
        <v/>
      </c>
      <c r="AH224" s="17">
        <f>AG224+AH212-IF(AH$1-2024&gt;(p_life_vre),INDEX($O$212:$AN$212,AH$1-2024-(p_life_vre)),0)</f>
        <v/>
      </c>
      <c r="AI224" s="17">
        <f>AH224+AI212-IF(AI$1-2024&gt;(p_life_vre),INDEX($O$212:$AN$212,AI$1-2024-(p_life_vre)),0)</f>
        <v/>
      </c>
      <c r="AJ224" s="17">
        <f>AI224+AJ212-IF(AJ$1-2024&gt;(p_life_vre),INDEX($O$212:$AN$212,AJ$1-2024-(p_life_vre)),0)</f>
        <v/>
      </c>
      <c r="AK224" s="17">
        <f>AJ224+AK212-IF(AK$1-2024&gt;(p_life_vre),INDEX($O$212:$AN$212,AK$1-2024-(p_life_vre)),0)</f>
        <v/>
      </c>
      <c r="AL224" s="17">
        <f>AK224+AL212-IF(AL$1-2024&gt;(p_life_vre),INDEX($O$212:$AN$212,AL$1-2024-(p_life_vre)),0)</f>
        <v/>
      </c>
      <c r="AM224" s="17">
        <f>AL224+AM212-IF(AM$1-2024&gt;(p_life_vre),INDEX($O$212:$AN$212,AM$1-2024-(p_life_vre)),0)</f>
        <v/>
      </c>
      <c r="AN224" s="17">
        <f>AM224+AN212-IF(AN$1-2024&gt;(p_life_vre),INDEX($O$212:$AN$212,AN$1-2024-(p_life_vre)),0)</f>
        <v/>
      </c>
    </row>
    <row r="225">
      <c r="A225" s="9" t="n">
        <v>11</v>
      </c>
      <c r="B225" s="9" t="inlineStr"/>
      <c r="C225" s="9" t="inlineStr"/>
      <c r="D225" s="9" t="inlineStr">
        <is>
          <t>Incremental capital in service: grids and storage</t>
        </is>
      </c>
      <c r="E225" s="9" t="inlineStr">
        <is>
          <t>USD bn</t>
        </is>
      </c>
      <c r="F225" s="9" t="inlineStr">
        <is>
          <t>Model</t>
        </is>
      </c>
      <c r="G225" s="18" t="n"/>
      <c r="H225" s="18" t="inlineStr">
        <is>
          <t>mit.alive.grid</t>
        </is>
      </c>
      <c r="I225" s="9" t="n"/>
      <c r="J225" s="9" t="n"/>
      <c r="K225" s="17" t="n"/>
      <c r="L225" s="17" t="n"/>
      <c r="M225" s="17" t="n"/>
      <c r="N225" s="19">
        <f>0</f>
        <v/>
      </c>
      <c r="O225" s="17">
        <f>N225+O213-IF(O$1-2024&gt;(p_life_grid),INDEX($O$213:$AN$213,O$1-2024-(p_life_grid)),0)</f>
        <v/>
      </c>
      <c r="P225" s="17">
        <f>O225+P213-IF(P$1-2024&gt;(p_life_grid),INDEX($O$213:$AN$213,P$1-2024-(p_life_grid)),0)</f>
        <v/>
      </c>
      <c r="Q225" s="17">
        <f>P225+Q213-IF(Q$1-2024&gt;(p_life_grid),INDEX($O$213:$AN$213,Q$1-2024-(p_life_grid)),0)</f>
        <v/>
      </c>
      <c r="R225" s="17">
        <f>Q225+R213-IF(R$1-2024&gt;(p_life_grid),INDEX($O$213:$AN$213,R$1-2024-(p_life_grid)),0)</f>
        <v/>
      </c>
      <c r="S225" s="17">
        <f>R225+S213-IF(S$1-2024&gt;(p_life_grid),INDEX($O$213:$AN$213,S$1-2024-(p_life_grid)),0)</f>
        <v/>
      </c>
      <c r="T225" s="17">
        <f>S225+T213-IF(T$1-2024&gt;(p_life_grid),INDEX($O$213:$AN$213,T$1-2024-(p_life_grid)),0)</f>
        <v/>
      </c>
      <c r="U225" s="17">
        <f>T225+U213-IF(U$1-2024&gt;(p_life_grid),INDEX($O$213:$AN$213,U$1-2024-(p_life_grid)),0)</f>
        <v/>
      </c>
      <c r="V225" s="17">
        <f>U225+V213-IF(V$1-2024&gt;(p_life_grid),INDEX($O$213:$AN$213,V$1-2024-(p_life_grid)),0)</f>
        <v/>
      </c>
      <c r="W225" s="17">
        <f>V225+W213-IF(W$1-2024&gt;(p_life_grid),INDEX($O$213:$AN$213,W$1-2024-(p_life_grid)),0)</f>
        <v/>
      </c>
      <c r="X225" s="17">
        <f>W225+X213-IF(X$1-2024&gt;(p_life_grid),INDEX($O$213:$AN$213,X$1-2024-(p_life_grid)),0)</f>
        <v/>
      </c>
      <c r="Y225" s="17">
        <f>X225+Y213-IF(Y$1-2024&gt;(p_life_grid),INDEX($O$213:$AN$213,Y$1-2024-(p_life_grid)),0)</f>
        <v/>
      </c>
      <c r="Z225" s="17">
        <f>Y225+Z213-IF(Z$1-2024&gt;(p_life_grid),INDEX($O$213:$AN$213,Z$1-2024-(p_life_grid)),0)</f>
        <v/>
      </c>
      <c r="AA225" s="17">
        <f>Z225+AA213-IF(AA$1-2024&gt;(p_life_grid),INDEX($O$213:$AN$213,AA$1-2024-(p_life_grid)),0)</f>
        <v/>
      </c>
      <c r="AB225" s="17">
        <f>AA225+AB213-IF(AB$1-2024&gt;(p_life_grid),INDEX($O$213:$AN$213,AB$1-2024-(p_life_grid)),0)</f>
        <v/>
      </c>
      <c r="AC225" s="17">
        <f>AB225+AC213-IF(AC$1-2024&gt;(p_life_grid),INDEX($O$213:$AN$213,AC$1-2024-(p_life_grid)),0)</f>
        <v/>
      </c>
      <c r="AD225" s="17">
        <f>AC225+AD213-IF(AD$1-2024&gt;(p_life_grid),INDEX($O$213:$AN$213,AD$1-2024-(p_life_grid)),0)</f>
        <v/>
      </c>
      <c r="AE225" s="17">
        <f>AD225+AE213-IF(AE$1-2024&gt;(p_life_grid),INDEX($O$213:$AN$213,AE$1-2024-(p_life_grid)),0)</f>
        <v/>
      </c>
      <c r="AF225" s="17">
        <f>AE225+AF213-IF(AF$1-2024&gt;(p_life_grid),INDEX($O$213:$AN$213,AF$1-2024-(p_life_grid)),0)</f>
        <v/>
      </c>
      <c r="AG225" s="17">
        <f>AF225+AG213-IF(AG$1-2024&gt;(p_life_grid),INDEX($O$213:$AN$213,AG$1-2024-(p_life_grid)),0)</f>
        <v/>
      </c>
      <c r="AH225" s="17">
        <f>AG225+AH213-IF(AH$1-2024&gt;(p_life_grid),INDEX($O$213:$AN$213,AH$1-2024-(p_life_grid)),0)</f>
        <v/>
      </c>
      <c r="AI225" s="17">
        <f>AH225+AI213-IF(AI$1-2024&gt;(p_life_grid),INDEX($O$213:$AN$213,AI$1-2024-(p_life_grid)),0)</f>
        <v/>
      </c>
      <c r="AJ225" s="17">
        <f>AI225+AJ213-IF(AJ$1-2024&gt;(p_life_grid),INDEX($O$213:$AN$213,AJ$1-2024-(p_life_grid)),0)</f>
        <v/>
      </c>
      <c r="AK225" s="17">
        <f>AJ225+AK213-IF(AK$1-2024&gt;(p_life_grid),INDEX($O$213:$AN$213,AK$1-2024-(p_life_grid)),0)</f>
        <v/>
      </c>
      <c r="AL225" s="17">
        <f>AK225+AL213-IF(AL$1-2024&gt;(p_life_grid),INDEX($O$213:$AN$213,AL$1-2024-(p_life_grid)),0)</f>
        <v/>
      </c>
      <c r="AM225" s="17">
        <f>AL225+AM213-IF(AM$1-2024&gt;(p_life_grid),INDEX($O$213:$AN$213,AM$1-2024-(p_life_grid)),0)</f>
        <v/>
      </c>
      <c r="AN225" s="17">
        <f>AM225+AN213-IF(AN$1-2024&gt;(p_life_grid),INDEX($O$213:$AN$213,AN$1-2024-(p_life_grid)),0)</f>
        <v/>
      </c>
    </row>
    <row r="226">
      <c r="A226" s="9" t="n">
        <v>11</v>
      </c>
      <c r="B226" s="9" t="inlineStr"/>
      <c r="C226" s="9" t="inlineStr"/>
      <c r="D226" s="9" t="inlineStr">
        <is>
          <t>Incremental capital in service: transport</t>
        </is>
      </c>
      <c r="E226" s="9" t="inlineStr">
        <is>
          <t>USD bn</t>
        </is>
      </c>
      <c r="F226" s="9" t="inlineStr">
        <is>
          <t>Model</t>
        </is>
      </c>
      <c r="G226" s="18" t="n"/>
      <c r="H226" s="18" t="inlineStr">
        <is>
          <t>mit.alive.trn</t>
        </is>
      </c>
      <c r="I226" s="9" t="n"/>
      <c r="J226" s="9" t="n"/>
      <c r="K226" s="17" t="n"/>
      <c r="L226" s="17" t="n"/>
      <c r="M226" s="17" t="n"/>
      <c r="N226" s="19">
        <f>0</f>
        <v/>
      </c>
      <c r="O226" s="17">
        <f>N226+O214-IF(O$1-2024&gt;(p_veh_life),INDEX($O$214:$AN$214,O$1-2024-(p_veh_life)),0)</f>
        <v/>
      </c>
      <c r="P226" s="17">
        <f>O226+P214-IF(P$1-2024&gt;(p_veh_life),INDEX($O$214:$AN$214,P$1-2024-(p_veh_life)),0)</f>
        <v/>
      </c>
      <c r="Q226" s="17">
        <f>P226+Q214-IF(Q$1-2024&gt;(p_veh_life),INDEX($O$214:$AN$214,Q$1-2024-(p_veh_life)),0)</f>
        <v/>
      </c>
      <c r="R226" s="17">
        <f>Q226+R214-IF(R$1-2024&gt;(p_veh_life),INDEX($O$214:$AN$214,R$1-2024-(p_veh_life)),0)</f>
        <v/>
      </c>
      <c r="S226" s="17">
        <f>R226+S214-IF(S$1-2024&gt;(p_veh_life),INDEX($O$214:$AN$214,S$1-2024-(p_veh_life)),0)</f>
        <v/>
      </c>
      <c r="T226" s="17">
        <f>S226+T214-IF(T$1-2024&gt;(p_veh_life),INDEX($O$214:$AN$214,T$1-2024-(p_veh_life)),0)</f>
        <v/>
      </c>
      <c r="U226" s="17">
        <f>T226+U214-IF(U$1-2024&gt;(p_veh_life),INDEX($O$214:$AN$214,U$1-2024-(p_veh_life)),0)</f>
        <v/>
      </c>
      <c r="V226" s="17">
        <f>U226+V214-IF(V$1-2024&gt;(p_veh_life),INDEX($O$214:$AN$214,V$1-2024-(p_veh_life)),0)</f>
        <v/>
      </c>
      <c r="W226" s="17">
        <f>V226+W214-IF(W$1-2024&gt;(p_veh_life),INDEX($O$214:$AN$214,W$1-2024-(p_veh_life)),0)</f>
        <v/>
      </c>
      <c r="X226" s="17">
        <f>W226+X214-IF(X$1-2024&gt;(p_veh_life),INDEX($O$214:$AN$214,X$1-2024-(p_veh_life)),0)</f>
        <v/>
      </c>
      <c r="Y226" s="17">
        <f>X226+Y214-IF(Y$1-2024&gt;(p_veh_life),INDEX($O$214:$AN$214,Y$1-2024-(p_veh_life)),0)</f>
        <v/>
      </c>
      <c r="Z226" s="17">
        <f>Y226+Z214-IF(Z$1-2024&gt;(p_veh_life),INDEX($O$214:$AN$214,Z$1-2024-(p_veh_life)),0)</f>
        <v/>
      </c>
      <c r="AA226" s="17">
        <f>Z226+AA214-IF(AA$1-2024&gt;(p_veh_life),INDEX($O$214:$AN$214,AA$1-2024-(p_veh_life)),0)</f>
        <v/>
      </c>
      <c r="AB226" s="17">
        <f>AA226+AB214-IF(AB$1-2024&gt;(p_veh_life),INDEX($O$214:$AN$214,AB$1-2024-(p_veh_life)),0)</f>
        <v/>
      </c>
      <c r="AC226" s="17">
        <f>AB226+AC214-IF(AC$1-2024&gt;(p_veh_life),INDEX($O$214:$AN$214,AC$1-2024-(p_veh_life)),0)</f>
        <v/>
      </c>
      <c r="AD226" s="17">
        <f>AC226+AD214-IF(AD$1-2024&gt;(p_veh_life),INDEX($O$214:$AN$214,AD$1-2024-(p_veh_life)),0)</f>
        <v/>
      </c>
      <c r="AE226" s="17">
        <f>AD226+AE214-IF(AE$1-2024&gt;(p_veh_life),INDEX($O$214:$AN$214,AE$1-2024-(p_veh_life)),0)</f>
        <v/>
      </c>
      <c r="AF226" s="17">
        <f>AE226+AF214-IF(AF$1-2024&gt;(p_veh_life),INDEX($O$214:$AN$214,AF$1-2024-(p_veh_life)),0)</f>
        <v/>
      </c>
      <c r="AG226" s="17">
        <f>AF226+AG214-IF(AG$1-2024&gt;(p_veh_life),INDEX($O$214:$AN$214,AG$1-2024-(p_veh_life)),0)</f>
        <v/>
      </c>
      <c r="AH226" s="17">
        <f>AG226+AH214-IF(AH$1-2024&gt;(p_veh_life),INDEX($O$214:$AN$214,AH$1-2024-(p_veh_life)),0)</f>
        <v/>
      </c>
      <c r="AI226" s="17">
        <f>AH226+AI214-IF(AI$1-2024&gt;(p_veh_life),INDEX($O$214:$AN$214,AI$1-2024-(p_veh_life)),0)</f>
        <v/>
      </c>
      <c r="AJ226" s="17">
        <f>AI226+AJ214-IF(AJ$1-2024&gt;(p_veh_life),INDEX($O$214:$AN$214,AJ$1-2024-(p_veh_life)),0)</f>
        <v/>
      </c>
      <c r="AK226" s="17">
        <f>AJ226+AK214-IF(AK$1-2024&gt;(p_veh_life),INDEX($O$214:$AN$214,AK$1-2024-(p_veh_life)),0)</f>
        <v/>
      </c>
      <c r="AL226" s="17">
        <f>AK226+AL214-IF(AL$1-2024&gt;(p_veh_life),INDEX($O$214:$AN$214,AL$1-2024-(p_veh_life)),0)</f>
        <v/>
      </c>
      <c r="AM226" s="17">
        <f>AL226+AM214-IF(AM$1-2024&gt;(p_veh_life),INDEX($O$214:$AN$214,AM$1-2024-(p_veh_life)),0)</f>
        <v/>
      </c>
      <c r="AN226" s="17">
        <f>AM226+AN214-IF(AN$1-2024&gt;(p_veh_life),INDEX($O$214:$AN$214,AN$1-2024-(p_veh_life)),0)</f>
        <v/>
      </c>
    </row>
    <row r="227">
      <c r="A227" s="9" t="n">
        <v>11</v>
      </c>
      <c r="B227" s="9" t="inlineStr"/>
      <c r="C227" s="9" t="inlineStr"/>
      <c r="D227" s="9" t="inlineStr">
        <is>
          <t>Incremental capital in service: buildings</t>
        </is>
      </c>
      <c r="E227" s="9" t="inlineStr">
        <is>
          <t>USD bn</t>
        </is>
      </c>
      <c r="F227" s="9" t="inlineStr">
        <is>
          <t>Model</t>
        </is>
      </c>
      <c r="G227" s="18" t="n"/>
      <c r="H227" s="18" t="inlineStr">
        <is>
          <t>mit.alive.bld</t>
        </is>
      </c>
      <c r="I227" s="9" t="n"/>
      <c r="J227" s="9" t="n"/>
      <c r="K227" s="17" t="n"/>
      <c r="L227" s="17" t="n"/>
      <c r="M227" s="17" t="n"/>
      <c r="N227" s="19">
        <f>0</f>
        <v/>
      </c>
      <c r="O227" s="17">
        <f>N227+O215-IF(O$1-2024&gt;(p_life_bld),INDEX($O$215:$AN$215,O$1-2024-(p_life_bld)),0)</f>
        <v/>
      </c>
      <c r="P227" s="17">
        <f>O227+P215-IF(P$1-2024&gt;(p_life_bld),INDEX($O$215:$AN$215,P$1-2024-(p_life_bld)),0)</f>
        <v/>
      </c>
      <c r="Q227" s="17">
        <f>P227+Q215-IF(Q$1-2024&gt;(p_life_bld),INDEX($O$215:$AN$215,Q$1-2024-(p_life_bld)),0)</f>
        <v/>
      </c>
      <c r="R227" s="17">
        <f>Q227+R215-IF(R$1-2024&gt;(p_life_bld),INDEX($O$215:$AN$215,R$1-2024-(p_life_bld)),0)</f>
        <v/>
      </c>
      <c r="S227" s="17">
        <f>R227+S215-IF(S$1-2024&gt;(p_life_bld),INDEX($O$215:$AN$215,S$1-2024-(p_life_bld)),0)</f>
        <v/>
      </c>
      <c r="T227" s="17">
        <f>S227+T215-IF(T$1-2024&gt;(p_life_bld),INDEX($O$215:$AN$215,T$1-2024-(p_life_bld)),0)</f>
        <v/>
      </c>
      <c r="U227" s="17">
        <f>T227+U215-IF(U$1-2024&gt;(p_life_bld),INDEX($O$215:$AN$215,U$1-2024-(p_life_bld)),0)</f>
        <v/>
      </c>
      <c r="V227" s="17">
        <f>U227+V215-IF(V$1-2024&gt;(p_life_bld),INDEX($O$215:$AN$215,V$1-2024-(p_life_bld)),0)</f>
        <v/>
      </c>
      <c r="W227" s="17">
        <f>V227+W215-IF(W$1-2024&gt;(p_life_bld),INDEX($O$215:$AN$215,W$1-2024-(p_life_bld)),0)</f>
        <v/>
      </c>
      <c r="X227" s="17">
        <f>W227+X215-IF(X$1-2024&gt;(p_life_bld),INDEX($O$215:$AN$215,X$1-2024-(p_life_bld)),0)</f>
        <v/>
      </c>
      <c r="Y227" s="17">
        <f>X227+Y215-IF(Y$1-2024&gt;(p_life_bld),INDEX($O$215:$AN$215,Y$1-2024-(p_life_bld)),0)</f>
        <v/>
      </c>
      <c r="Z227" s="17">
        <f>Y227+Z215-IF(Z$1-2024&gt;(p_life_bld),INDEX($O$215:$AN$215,Z$1-2024-(p_life_bld)),0)</f>
        <v/>
      </c>
      <c r="AA227" s="17">
        <f>Z227+AA215-IF(AA$1-2024&gt;(p_life_bld),INDEX($O$215:$AN$215,AA$1-2024-(p_life_bld)),0)</f>
        <v/>
      </c>
      <c r="AB227" s="17">
        <f>AA227+AB215-IF(AB$1-2024&gt;(p_life_bld),INDEX($O$215:$AN$215,AB$1-2024-(p_life_bld)),0)</f>
        <v/>
      </c>
      <c r="AC227" s="17">
        <f>AB227+AC215-IF(AC$1-2024&gt;(p_life_bld),INDEX($O$215:$AN$215,AC$1-2024-(p_life_bld)),0)</f>
        <v/>
      </c>
      <c r="AD227" s="17">
        <f>AC227+AD215-IF(AD$1-2024&gt;(p_life_bld),INDEX($O$215:$AN$215,AD$1-2024-(p_life_bld)),0)</f>
        <v/>
      </c>
      <c r="AE227" s="17">
        <f>AD227+AE215-IF(AE$1-2024&gt;(p_life_bld),INDEX($O$215:$AN$215,AE$1-2024-(p_life_bld)),0)</f>
        <v/>
      </c>
      <c r="AF227" s="17">
        <f>AE227+AF215-IF(AF$1-2024&gt;(p_life_bld),INDEX($O$215:$AN$215,AF$1-2024-(p_life_bld)),0)</f>
        <v/>
      </c>
      <c r="AG227" s="17">
        <f>AF227+AG215-IF(AG$1-2024&gt;(p_life_bld),INDEX($O$215:$AN$215,AG$1-2024-(p_life_bld)),0)</f>
        <v/>
      </c>
      <c r="AH227" s="17">
        <f>AG227+AH215-IF(AH$1-2024&gt;(p_life_bld),INDEX($O$215:$AN$215,AH$1-2024-(p_life_bld)),0)</f>
        <v/>
      </c>
      <c r="AI227" s="17">
        <f>AH227+AI215-IF(AI$1-2024&gt;(p_life_bld),INDEX($O$215:$AN$215,AI$1-2024-(p_life_bld)),0)</f>
        <v/>
      </c>
      <c r="AJ227" s="17">
        <f>AI227+AJ215-IF(AJ$1-2024&gt;(p_life_bld),INDEX($O$215:$AN$215,AJ$1-2024-(p_life_bld)),0)</f>
        <v/>
      </c>
      <c r="AK227" s="17">
        <f>AJ227+AK215-IF(AK$1-2024&gt;(p_life_bld),INDEX($O$215:$AN$215,AK$1-2024-(p_life_bld)),0)</f>
        <v/>
      </c>
      <c r="AL227" s="17">
        <f>AK227+AL215-IF(AL$1-2024&gt;(p_life_bld),INDEX($O$215:$AN$215,AL$1-2024-(p_life_bld)),0)</f>
        <v/>
      </c>
      <c r="AM227" s="17">
        <f>AL227+AM215-IF(AM$1-2024&gt;(p_life_bld),INDEX($O$215:$AN$215,AM$1-2024-(p_life_bld)),0)</f>
        <v/>
      </c>
      <c r="AN227" s="17">
        <f>AM227+AN215-IF(AN$1-2024&gt;(p_life_bld),INDEX($O$215:$AN$215,AN$1-2024-(p_life_bld)),0)</f>
        <v/>
      </c>
    </row>
    <row r="228">
      <c r="A228" s="9" t="n">
        <v>11</v>
      </c>
      <c r="B228" s="9" t="inlineStr"/>
      <c r="C228" s="9" t="inlineStr"/>
      <c r="D228" s="9" t="inlineStr">
        <is>
          <t>Incremental capital in service: industry</t>
        </is>
      </c>
      <c r="E228" s="9" t="inlineStr">
        <is>
          <t>USD bn</t>
        </is>
      </c>
      <c r="F228" s="9" t="inlineStr">
        <is>
          <t>Model</t>
        </is>
      </c>
      <c r="G228" s="18" t="n"/>
      <c r="H228" s="18" t="inlineStr">
        <is>
          <t>mit.alive.ind</t>
        </is>
      </c>
      <c r="I228" s="9" t="n"/>
      <c r="J228" s="9" t="n"/>
      <c r="K228" s="17" t="n"/>
      <c r="L228" s="17" t="n"/>
      <c r="M228" s="17" t="n"/>
      <c r="N228" s="19">
        <f>0</f>
        <v/>
      </c>
      <c r="O228" s="17">
        <f>N228+O216-IF(O$1-2024&gt;(p_life_ind),INDEX($O$216:$AN$216,O$1-2024-(p_life_ind)),0)</f>
        <v/>
      </c>
      <c r="P228" s="17">
        <f>O228+P216-IF(P$1-2024&gt;(p_life_ind),INDEX($O$216:$AN$216,P$1-2024-(p_life_ind)),0)</f>
        <v/>
      </c>
      <c r="Q228" s="17">
        <f>P228+Q216-IF(Q$1-2024&gt;(p_life_ind),INDEX($O$216:$AN$216,Q$1-2024-(p_life_ind)),0)</f>
        <v/>
      </c>
      <c r="R228" s="17">
        <f>Q228+R216-IF(R$1-2024&gt;(p_life_ind),INDEX($O$216:$AN$216,R$1-2024-(p_life_ind)),0)</f>
        <v/>
      </c>
      <c r="S228" s="17">
        <f>R228+S216-IF(S$1-2024&gt;(p_life_ind),INDEX($O$216:$AN$216,S$1-2024-(p_life_ind)),0)</f>
        <v/>
      </c>
      <c r="T228" s="17">
        <f>S228+T216-IF(T$1-2024&gt;(p_life_ind),INDEX($O$216:$AN$216,T$1-2024-(p_life_ind)),0)</f>
        <v/>
      </c>
      <c r="U228" s="17">
        <f>T228+U216-IF(U$1-2024&gt;(p_life_ind),INDEX($O$216:$AN$216,U$1-2024-(p_life_ind)),0)</f>
        <v/>
      </c>
      <c r="V228" s="17">
        <f>U228+V216-IF(V$1-2024&gt;(p_life_ind),INDEX($O$216:$AN$216,V$1-2024-(p_life_ind)),0)</f>
        <v/>
      </c>
      <c r="W228" s="17">
        <f>V228+W216-IF(W$1-2024&gt;(p_life_ind),INDEX($O$216:$AN$216,W$1-2024-(p_life_ind)),0)</f>
        <v/>
      </c>
      <c r="X228" s="17">
        <f>W228+X216-IF(X$1-2024&gt;(p_life_ind),INDEX($O$216:$AN$216,X$1-2024-(p_life_ind)),0)</f>
        <v/>
      </c>
      <c r="Y228" s="17">
        <f>X228+Y216-IF(Y$1-2024&gt;(p_life_ind),INDEX($O$216:$AN$216,Y$1-2024-(p_life_ind)),0)</f>
        <v/>
      </c>
      <c r="Z228" s="17">
        <f>Y228+Z216-IF(Z$1-2024&gt;(p_life_ind),INDEX($O$216:$AN$216,Z$1-2024-(p_life_ind)),0)</f>
        <v/>
      </c>
      <c r="AA228" s="17">
        <f>Z228+AA216-IF(AA$1-2024&gt;(p_life_ind),INDEX($O$216:$AN$216,AA$1-2024-(p_life_ind)),0)</f>
        <v/>
      </c>
      <c r="AB228" s="17">
        <f>AA228+AB216-IF(AB$1-2024&gt;(p_life_ind),INDEX($O$216:$AN$216,AB$1-2024-(p_life_ind)),0)</f>
        <v/>
      </c>
      <c r="AC228" s="17">
        <f>AB228+AC216-IF(AC$1-2024&gt;(p_life_ind),INDEX($O$216:$AN$216,AC$1-2024-(p_life_ind)),0)</f>
        <v/>
      </c>
      <c r="AD228" s="17">
        <f>AC228+AD216-IF(AD$1-2024&gt;(p_life_ind),INDEX($O$216:$AN$216,AD$1-2024-(p_life_ind)),0)</f>
        <v/>
      </c>
      <c r="AE228" s="17">
        <f>AD228+AE216-IF(AE$1-2024&gt;(p_life_ind),INDEX($O$216:$AN$216,AE$1-2024-(p_life_ind)),0)</f>
        <v/>
      </c>
      <c r="AF228" s="17">
        <f>AE228+AF216-IF(AF$1-2024&gt;(p_life_ind),INDEX($O$216:$AN$216,AF$1-2024-(p_life_ind)),0)</f>
        <v/>
      </c>
      <c r="AG228" s="17">
        <f>AF228+AG216-IF(AG$1-2024&gt;(p_life_ind),INDEX($O$216:$AN$216,AG$1-2024-(p_life_ind)),0)</f>
        <v/>
      </c>
      <c r="AH228" s="17">
        <f>AG228+AH216-IF(AH$1-2024&gt;(p_life_ind),INDEX($O$216:$AN$216,AH$1-2024-(p_life_ind)),0)</f>
        <v/>
      </c>
      <c r="AI228" s="17">
        <f>AH228+AI216-IF(AI$1-2024&gt;(p_life_ind),INDEX($O$216:$AN$216,AI$1-2024-(p_life_ind)),0)</f>
        <v/>
      </c>
      <c r="AJ228" s="17">
        <f>AI228+AJ216-IF(AJ$1-2024&gt;(p_life_ind),INDEX($O$216:$AN$216,AJ$1-2024-(p_life_ind)),0)</f>
        <v/>
      </c>
      <c r="AK228" s="17">
        <f>AJ228+AK216-IF(AK$1-2024&gt;(p_life_ind),INDEX($O$216:$AN$216,AK$1-2024-(p_life_ind)),0)</f>
        <v/>
      </c>
      <c r="AL228" s="17">
        <f>AK228+AL216-IF(AL$1-2024&gt;(p_life_ind),INDEX($O$216:$AN$216,AL$1-2024-(p_life_ind)),0)</f>
        <v/>
      </c>
      <c r="AM228" s="17">
        <f>AL228+AM216-IF(AM$1-2024&gt;(p_life_ind),INDEX($O$216:$AN$216,AM$1-2024-(p_life_ind)),0)</f>
        <v/>
      </c>
      <c r="AN228" s="17">
        <f>AM228+AN216-IF(AN$1-2024&gt;(p_life_ind),INDEX($O$216:$AN$216,AN$1-2024-(p_life_ind)),0)</f>
        <v/>
      </c>
    </row>
    <row r="229">
      <c r="A229" s="9" t="n">
        <v>11</v>
      </c>
      <c r="B229" s="9" t="inlineStr"/>
      <c r="C229" s="9" t="inlineStr"/>
      <c r="D229" s="9" t="inlineStr">
        <is>
          <t>Incremental capital in service: unmodelled clean investment (calibration)</t>
        </is>
      </c>
      <c r="E229" s="9" t="inlineStr">
        <is>
          <t>USD bn</t>
        </is>
      </c>
      <c r="F229" s="9" t="inlineStr">
        <is>
          <t>Model</t>
        </is>
      </c>
      <c r="G229" s="18" t="n"/>
      <c r="H229" s="18" t="inlineStr">
        <is>
          <t>mit.alive.cal</t>
        </is>
      </c>
      <c r="I229" s="9" t="n"/>
      <c r="J229" s="9" t="n"/>
      <c r="K229" s="17" t="n"/>
      <c r="L229" s="17" t="n"/>
      <c r="M229" s="17" t="n"/>
      <c r="N229" s="19">
        <f>0</f>
        <v/>
      </c>
      <c r="O229" s="17">
        <f>N229+O219-IF(O$1-2024&gt;(p_life_vre),INDEX($O$219:$AN$219,O$1-2024-(p_life_vre)),0)</f>
        <v/>
      </c>
      <c r="P229" s="17">
        <f>O229+P219-IF(P$1-2024&gt;(p_life_vre),INDEX($O$219:$AN$219,P$1-2024-(p_life_vre)),0)</f>
        <v/>
      </c>
      <c r="Q229" s="17">
        <f>P229+Q219-IF(Q$1-2024&gt;(p_life_vre),INDEX($O$219:$AN$219,Q$1-2024-(p_life_vre)),0)</f>
        <v/>
      </c>
      <c r="R229" s="17">
        <f>Q229+R219-IF(R$1-2024&gt;(p_life_vre),INDEX($O$219:$AN$219,R$1-2024-(p_life_vre)),0)</f>
        <v/>
      </c>
      <c r="S229" s="17">
        <f>R229+S219-IF(S$1-2024&gt;(p_life_vre),INDEX($O$219:$AN$219,S$1-2024-(p_life_vre)),0)</f>
        <v/>
      </c>
      <c r="T229" s="17">
        <f>S229+T219-IF(T$1-2024&gt;(p_life_vre),INDEX($O$219:$AN$219,T$1-2024-(p_life_vre)),0)</f>
        <v/>
      </c>
      <c r="U229" s="17">
        <f>T229+U219-IF(U$1-2024&gt;(p_life_vre),INDEX($O$219:$AN$219,U$1-2024-(p_life_vre)),0)</f>
        <v/>
      </c>
      <c r="V229" s="17">
        <f>U229+V219-IF(V$1-2024&gt;(p_life_vre),INDEX($O$219:$AN$219,V$1-2024-(p_life_vre)),0)</f>
        <v/>
      </c>
      <c r="W229" s="17">
        <f>V229+W219-IF(W$1-2024&gt;(p_life_vre),INDEX($O$219:$AN$219,W$1-2024-(p_life_vre)),0)</f>
        <v/>
      </c>
      <c r="X229" s="17">
        <f>W229+X219-IF(X$1-2024&gt;(p_life_vre),INDEX($O$219:$AN$219,X$1-2024-(p_life_vre)),0)</f>
        <v/>
      </c>
      <c r="Y229" s="17">
        <f>X229+Y219-IF(Y$1-2024&gt;(p_life_vre),INDEX($O$219:$AN$219,Y$1-2024-(p_life_vre)),0)</f>
        <v/>
      </c>
      <c r="Z229" s="17">
        <f>Y229+Z219-IF(Z$1-2024&gt;(p_life_vre),INDEX($O$219:$AN$219,Z$1-2024-(p_life_vre)),0)</f>
        <v/>
      </c>
      <c r="AA229" s="17">
        <f>Z229+AA219-IF(AA$1-2024&gt;(p_life_vre),INDEX($O$219:$AN$219,AA$1-2024-(p_life_vre)),0)</f>
        <v/>
      </c>
      <c r="AB229" s="17">
        <f>AA229+AB219-IF(AB$1-2024&gt;(p_life_vre),INDEX($O$219:$AN$219,AB$1-2024-(p_life_vre)),0)</f>
        <v/>
      </c>
      <c r="AC229" s="17">
        <f>AB229+AC219-IF(AC$1-2024&gt;(p_life_vre),INDEX($O$219:$AN$219,AC$1-2024-(p_life_vre)),0)</f>
        <v/>
      </c>
      <c r="AD229" s="17">
        <f>AC229+AD219-IF(AD$1-2024&gt;(p_life_vre),INDEX($O$219:$AN$219,AD$1-2024-(p_life_vre)),0)</f>
        <v/>
      </c>
      <c r="AE229" s="17">
        <f>AD229+AE219-IF(AE$1-2024&gt;(p_life_vre),INDEX($O$219:$AN$219,AE$1-2024-(p_life_vre)),0)</f>
        <v/>
      </c>
      <c r="AF229" s="17">
        <f>AE229+AF219-IF(AF$1-2024&gt;(p_life_vre),INDEX($O$219:$AN$219,AF$1-2024-(p_life_vre)),0)</f>
        <v/>
      </c>
      <c r="AG229" s="17">
        <f>AF229+AG219-IF(AG$1-2024&gt;(p_life_vre),INDEX($O$219:$AN$219,AG$1-2024-(p_life_vre)),0)</f>
        <v/>
      </c>
      <c r="AH229" s="17">
        <f>AG229+AH219-IF(AH$1-2024&gt;(p_life_vre),INDEX($O$219:$AN$219,AH$1-2024-(p_life_vre)),0)</f>
        <v/>
      </c>
      <c r="AI229" s="17">
        <f>AH229+AI219-IF(AI$1-2024&gt;(p_life_vre),INDEX($O$219:$AN$219,AI$1-2024-(p_life_vre)),0)</f>
        <v/>
      </c>
      <c r="AJ229" s="17">
        <f>AI229+AJ219-IF(AJ$1-2024&gt;(p_life_vre),INDEX($O$219:$AN$219,AJ$1-2024-(p_life_vre)),0)</f>
        <v/>
      </c>
      <c r="AK229" s="17">
        <f>AJ229+AK219-IF(AK$1-2024&gt;(p_life_vre),INDEX($O$219:$AN$219,AK$1-2024-(p_life_vre)),0)</f>
        <v/>
      </c>
      <c r="AL229" s="17">
        <f>AK229+AL219-IF(AL$1-2024&gt;(p_life_vre),INDEX($O$219:$AN$219,AL$1-2024-(p_life_vre)),0)</f>
        <v/>
      </c>
      <c r="AM229" s="17">
        <f>AL229+AM219-IF(AM$1-2024&gt;(p_life_vre),INDEX($O$219:$AN$219,AM$1-2024-(p_life_vre)),0)</f>
        <v/>
      </c>
      <c r="AN229" s="17">
        <f>AM229+AN219-IF(AN$1-2024&gt;(p_life_vre),INDEX($O$219:$AN$219,AN$1-2024-(p_life_vre)),0)</f>
        <v/>
      </c>
    </row>
    <row r="230">
      <c r="A230" s="9" t="n">
        <v>11</v>
      </c>
      <c r="B230" s="9" t="inlineStr"/>
      <c r="C230" s="9" t="inlineStr"/>
      <c r="D230" s="9" t="inlineStr">
        <is>
          <t>Capital charge on incremental capital, lens (a)</t>
        </is>
      </c>
      <c r="E230" s="9" t="inlineStr">
        <is>
          <t>USD bn</t>
        </is>
      </c>
      <c r="F230" s="9" t="inlineStr">
        <is>
          <t>Model</t>
        </is>
      </c>
      <c r="G230" s="18" t="n"/>
      <c r="H230" s="18" t="inlineStr">
        <is>
          <t>mit.kchg.a</t>
        </is>
      </c>
      <c r="I230" s="9" t="n"/>
      <c r="J230" s="9" t="n"/>
      <c r="K230" s="17" t="n"/>
      <c r="L230" s="17" t="n"/>
      <c r="M230" s="17" t="n"/>
      <c r="N230" s="19">
        <f>0</f>
        <v/>
      </c>
      <c r="O230" s="17">
        <f>O224*$J$37+O225*$J$36+O226*$J$38+O227*$J$39+O228*$J$40+O229*$J$37+O217+O218</f>
        <v/>
      </c>
      <c r="P230" s="17">
        <f>P224*$J$37+P225*$J$36+P226*$J$38+P227*$J$39+P228*$J$40+P229*$J$37+P217+P218</f>
        <v/>
      </c>
      <c r="Q230" s="17">
        <f>Q224*$J$37+Q225*$J$36+Q226*$J$38+Q227*$J$39+Q228*$J$40+Q229*$J$37+Q217+Q218</f>
        <v/>
      </c>
      <c r="R230" s="17">
        <f>R224*$J$37+R225*$J$36+R226*$J$38+R227*$J$39+R228*$J$40+R229*$J$37+R217+R218</f>
        <v/>
      </c>
      <c r="S230" s="17">
        <f>S224*$J$37+S225*$J$36+S226*$J$38+S227*$J$39+S228*$J$40+S229*$J$37+S217+S218</f>
        <v/>
      </c>
      <c r="T230" s="17">
        <f>T224*$J$37+T225*$J$36+T226*$J$38+T227*$J$39+T228*$J$40+T229*$J$37+T217+T218</f>
        <v/>
      </c>
      <c r="U230" s="17">
        <f>U224*$J$37+U225*$J$36+U226*$J$38+U227*$J$39+U228*$J$40+U229*$J$37+U217+U218</f>
        <v/>
      </c>
      <c r="V230" s="17">
        <f>V224*$J$37+V225*$J$36+V226*$J$38+V227*$J$39+V228*$J$40+V229*$J$37+V217+V218</f>
        <v/>
      </c>
      <c r="W230" s="17">
        <f>W224*$J$37+W225*$J$36+W226*$J$38+W227*$J$39+W228*$J$40+W229*$J$37+W217+W218</f>
        <v/>
      </c>
      <c r="X230" s="17">
        <f>X224*$J$37+X225*$J$36+X226*$J$38+X227*$J$39+X228*$J$40+X229*$J$37+X217+X218</f>
        <v/>
      </c>
      <c r="Y230" s="17">
        <f>Y224*$J$37+Y225*$J$36+Y226*$J$38+Y227*$J$39+Y228*$J$40+Y229*$J$37+Y217+Y218</f>
        <v/>
      </c>
      <c r="Z230" s="17">
        <f>Z224*$J$37+Z225*$J$36+Z226*$J$38+Z227*$J$39+Z228*$J$40+Z229*$J$37+Z217+Z218</f>
        <v/>
      </c>
      <c r="AA230" s="17">
        <f>AA224*$J$37+AA225*$J$36+AA226*$J$38+AA227*$J$39+AA228*$J$40+AA229*$J$37+AA217+AA218</f>
        <v/>
      </c>
      <c r="AB230" s="17">
        <f>AB224*$J$37+AB225*$J$36+AB226*$J$38+AB227*$J$39+AB228*$J$40+AB229*$J$37+AB217+AB218</f>
        <v/>
      </c>
      <c r="AC230" s="17">
        <f>AC224*$J$37+AC225*$J$36+AC226*$J$38+AC227*$J$39+AC228*$J$40+AC229*$J$37+AC217+AC218</f>
        <v/>
      </c>
      <c r="AD230" s="17">
        <f>AD224*$J$37+AD225*$J$36+AD226*$J$38+AD227*$J$39+AD228*$J$40+AD229*$J$37+AD217+AD218</f>
        <v/>
      </c>
      <c r="AE230" s="17">
        <f>AE224*$J$37+AE225*$J$36+AE226*$J$38+AE227*$J$39+AE228*$J$40+AE229*$J$37+AE217+AE218</f>
        <v/>
      </c>
      <c r="AF230" s="17">
        <f>AF224*$J$37+AF225*$J$36+AF226*$J$38+AF227*$J$39+AF228*$J$40+AF229*$J$37+AF217+AF218</f>
        <v/>
      </c>
      <c r="AG230" s="17">
        <f>AG224*$J$37+AG225*$J$36+AG226*$J$38+AG227*$J$39+AG228*$J$40+AG229*$J$37+AG217+AG218</f>
        <v/>
      </c>
      <c r="AH230" s="17">
        <f>AH224*$J$37+AH225*$J$36+AH226*$J$38+AH227*$J$39+AH228*$J$40+AH229*$J$37+AH217+AH218</f>
        <v/>
      </c>
      <c r="AI230" s="17">
        <f>AI224*$J$37+AI225*$J$36+AI226*$J$38+AI227*$J$39+AI228*$J$40+AI229*$J$37+AI217+AI218</f>
        <v/>
      </c>
      <c r="AJ230" s="17">
        <f>AJ224*$J$37+AJ225*$J$36+AJ226*$J$38+AJ227*$J$39+AJ228*$J$40+AJ229*$J$37+AJ217+AJ218</f>
        <v/>
      </c>
      <c r="AK230" s="17">
        <f>AK224*$J$37+AK225*$J$36+AK226*$J$38+AK227*$J$39+AK228*$J$40+AK229*$J$37+AK217+AK218</f>
        <v/>
      </c>
      <c r="AL230" s="17">
        <f>AL224*$J$37+AL225*$J$36+AL226*$J$38+AL227*$J$39+AL228*$J$40+AL229*$J$37+AL217+AL218</f>
        <v/>
      </c>
      <c r="AM230" s="17">
        <f>AM224*$J$37+AM225*$J$36+AM226*$J$38+AM227*$J$39+AM228*$J$40+AM229*$J$37+AM217+AM218</f>
        <v/>
      </c>
      <c r="AN230" s="17">
        <f>AN224*$J$37+AN225*$J$36+AN226*$J$38+AN227*$J$39+AN228*$J$40+AN229*$J$37+AN217+AN218</f>
        <v/>
      </c>
    </row>
    <row r="231">
      <c r="A231" s="9" t="n">
        <v>11</v>
      </c>
      <c r="B231" s="9" t="inlineStr"/>
      <c r="C231" s="9" t="inlineStr"/>
      <c r="D231" s="9" t="inlineStr">
        <is>
          <t>Capital charge on incremental capital, lens (b)</t>
        </is>
      </c>
      <c r="E231" s="9" t="inlineStr">
        <is>
          <t>USD bn</t>
        </is>
      </c>
      <c r="F231" s="9" t="inlineStr">
        <is>
          <t>Model</t>
        </is>
      </c>
      <c r="G231" s="18" t="n"/>
      <c r="H231" s="18" t="inlineStr">
        <is>
          <t>mit.kchg.b</t>
        </is>
      </c>
      <c r="I231" s="9" t="n"/>
      <c r="J231" s="9" t="n"/>
      <c r="K231" s="17" t="n"/>
      <c r="L231" s="17" t="n"/>
      <c r="M231" s="17" t="n"/>
      <c r="N231" s="19">
        <f>0</f>
        <v/>
      </c>
      <c r="O231" s="17">
        <f>O224*$J$42+O225*$J$41+O226*$J$43+O227*$J$44+O228*$J$45+O229*$J$42+O217+O218</f>
        <v/>
      </c>
      <c r="P231" s="17">
        <f>P224*$J$42+P225*$J$41+P226*$J$43+P227*$J$44+P228*$J$45+P229*$J$42+P217+P218</f>
        <v/>
      </c>
      <c r="Q231" s="17">
        <f>Q224*$J$42+Q225*$J$41+Q226*$J$43+Q227*$J$44+Q228*$J$45+Q229*$J$42+Q217+Q218</f>
        <v/>
      </c>
      <c r="R231" s="17">
        <f>R224*$J$42+R225*$J$41+R226*$J$43+R227*$J$44+R228*$J$45+R229*$J$42+R217+R218</f>
        <v/>
      </c>
      <c r="S231" s="17">
        <f>S224*$J$42+S225*$J$41+S226*$J$43+S227*$J$44+S228*$J$45+S229*$J$42+S217+S218</f>
        <v/>
      </c>
      <c r="T231" s="17">
        <f>T224*$J$42+T225*$J$41+T226*$J$43+T227*$J$44+T228*$J$45+T229*$J$42+T217+T218</f>
        <v/>
      </c>
      <c r="U231" s="17">
        <f>U224*$J$42+U225*$J$41+U226*$J$43+U227*$J$44+U228*$J$45+U229*$J$42+U217+U218</f>
        <v/>
      </c>
      <c r="V231" s="17">
        <f>V224*$J$42+V225*$J$41+V226*$J$43+V227*$J$44+V228*$J$45+V229*$J$42+V217+V218</f>
        <v/>
      </c>
      <c r="W231" s="17">
        <f>W224*$J$42+W225*$J$41+W226*$J$43+W227*$J$44+W228*$J$45+W229*$J$42+W217+W218</f>
        <v/>
      </c>
      <c r="X231" s="17">
        <f>X224*$J$42+X225*$J$41+X226*$J$43+X227*$J$44+X228*$J$45+X229*$J$42+X217+X218</f>
        <v/>
      </c>
      <c r="Y231" s="17">
        <f>Y224*$J$42+Y225*$J$41+Y226*$J$43+Y227*$J$44+Y228*$J$45+Y229*$J$42+Y217+Y218</f>
        <v/>
      </c>
      <c r="Z231" s="17">
        <f>Z224*$J$42+Z225*$J$41+Z226*$J$43+Z227*$J$44+Z228*$J$45+Z229*$J$42+Z217+Z218</f>
        <v/>
      </c>
      <c r="AA231" s="17">
        <f>AA224*$J$42+AA225*$J$41+AA226*$J$43+AA227*$J$44+AA228*$J$45+AA229*$J$42+AA217+AA218</f>
        <v/>
      </c>
      <c r="AB231" s="17">
        <f>AB224*$J$42+AB225*$J$41+AB226*$J$43+AB227*$J$44+AB228*$J$45+AB229*$J$42+AB217+AB218</f>
        <v/>
      </c>
      <c r="AC231" s="17">
        <f>AC224*$J$42+AC225*$J$41+AC226*$J$43+AC227*$J$44+AC228*$J$45+AC229*$J$42+AC217+AC218</f>
        <v/>
      </c>
      <c r="AD231" s="17">
        <f>AD224*$J$42+AD225*$J$41+AD226*$J$43+AD227*$J$44+AD228*$J$45+AD229*$J$42+AD217+AD218</f>
        <v/>
      </c>
      <c r="AE231" s="17">
        <f>AE224*$J$42+AE225*$J$41+AE226*$J$43+AE227*$J$44+AE228*$J$45+AE229*$J$42+AE217+AE218</f>
        <v/>
      </c>
      <c r="AF231" s="17">
        <f>AF224*$J$42+AF225*$J$41+AF226*$J$43+AF227*$J$44+AF228*$J$45+AF229*$J$42+AF217+AF218</f>
        <v/>
      </c>
      <c r="AG231" s="17">
        <f>AG224*$J$42+AG225*$J$41+AG226*$J$43+AG227*$J$44+AG228*$J$45+AG229*$J$42+AG217+AG218</f>
        <v/>
      </c>
      <c r="AH231" s="17">
        <f>AH224*$J$42+AH225*$J$41+AH226*$J$43+AH227*$J$44+AH228*$J$45+AH229*$J$42+AH217+AH218</f>
        <v/>
      </c>
      <c r="AI231" s="17">
        <f>AI224*$J$42+AI225*$J$41+AI226*$J$43+AI227*$J$44+AI228*$J$45+AI229*$J$42+AI217+AI218</f>
        <v/>
      </c>
      <c r="AJ231" s="17">
        <f>AJ224*$J$42+AJ225*$J$41+AJ226*$J$43+AJ227*$J$44+AJ228*$J$45+AJ229*$J$42+AJ217+AJ218</f>
        <v/>
      </c>
      <c r="AK231" s="17">
        <f>AK224*$J$42+AK225*$J$41+AK226*$J$43+AK227*$J$44+AK228*$J$45+AK229*$J$42+AK217+AK218</f>
        <v/>
      </c>
      <c r="AL231" s="17">
        <f>AL224*$J$42+AL225*$J$41+AL226*$J$43+AL227*$J$44+AL228*$J$45+AL229*$J$42+AL217+AL218</f>
        <v/>
      </c>
      <c r="AM231" s="17">
        <f>AM224*$J$42+AM225*$J$41+AM226*$J$43+AM227*$J$44+AM228*$J$45+AM229*$J$42+AM217+AM218</f>
        <v/>
      </c>
      <c r="AN231" s="17">
        <f>AN224*$J$42+AN225*$J$41+AN226*$J$43+AN227*$J$44+AN228*$J$45+AN229*$J$42+AN217+AN218</f>
        <v/>
      </c>
    </row>
    <row r="232">
      <c r="A232" s="9" t="n">
        <v>11</v>
      </c>
      <c r="B232" s="9" t="inlineStr"/>
      <c r="C232" s="9" t="inlineStr"/>
      <c r="D232" s="9" t="inlineStr">
        <is>
          <t>Change in O&amp;M (net zero less baseline)</t>
        </is>
      </c>
      <c r="E232" s="9" t="inlineStr">
        <is>
          <t>USD bn</t>
        </is>
      </c>
      <c r="F232" s="9" t="inlineStr">
        <is>
          <t>Model</t>
        </is>
      </c>
      <c r="G232" s="18" t="n"/>
      <c r="H232" s="18" t="inlineStr">
        <is>
          <t>mit.dom</t>
        </is>
      </c>
      <c r="I232" s="9" t="n"/>
      <c r="J232" s="9" t="n"/>
      <c r="K232" s="17" t="n"/>
      <c r="L232" s="17" t="n"/>
      <c r="M232" s="17" t="n"/>
      <c r="N232" s="19">
        <f>0</f>
        <v/>
      </c>
      <c r="O232" s="17">
        <f>O190+O116-O169-O109</f>
        <v/>
      </c>
      <c r="P232" s="17">
        <f>P190+P116-P169-P109</f>
        <v/>
      </c>
      <c r="Q232" s="17">
        <f>Q190+Q116-Q169-Q109</f>
        <v/>
      </c>
      <c r="R232" s="17">
        <f>R190+R116-R169-R109</f>
        <v/>
      </c>
      <c r="S232" s="17">
        <f>S190+S116-S169-S109</f>
        <v/>
      </c>
      <c r="T232" s="17">
        <f>T190+T116-T169-T109</f>
        <v/>
      </c>
      <c r="U232" s="17">
        <f>U190+U116-U169-U109</f>
        <v/>
      </c>
      <c r="V232" s="17">
        <f>V190+V116-V169-V109</f>
        <v/>
      </c>
      <c r="W232" s="17">
        <f>W190+W116-W169-W109</f>
        <v/>
      </c>
      <c r="X232" s="17">
        <f>X190+X116-X169-X109</f>
        <v/>
      </c>
      <c r="Y232" s="17">
        <f>Y190+Y116-Y169-Y109</f>
        <v/>
      </c>
      <c r="Z232" s="17">
        <f>Z190+Z116-Z169-Z109</f>
        <v/>
      </c>
      <c r="AA232" s="17">
        <f>AA190+AA116-AA169-AA109</f>
        <v/>
      </c>
      <c r="AB232" s="17">
        <f>AB190+AB116-AB169-AB109</f>
        <v/>
      </c>
      <c r="AC232" s="17">
        <f>AC190+AC116-AC169-AC109</f>
        <v/>
      </c>
      <c r="AD232" s="17">
        <f>AD190+AD116-AD169-AD109</f>
        <v/>
      </c>
      <c r="AE232" s="17">
        <f>AE190+AE116-AE169-AE109</f>
        <v/>
      </c>
      <c r="AF232" s="17">
        <f>AF190+AF116-AF169-AF109</f>
        <v/>
      </c>
      <c r="AG232" s="17">
        <f>AG190+AG116-AG169-AG109</f>
        <v/>
      </c>
      <c r="AH232" s="17">
        <f>AH190+AH116-AH169-AH109</f>
        <v/>
      </c>
      <c r="AI232" s="17">
        <f>AI190+AI116-AI169-AI109</f>
        <v/>
      </c>
      <c r="AJ232" s="17">
        <f>AJ190+AJ116-AJ169-AJ109</f>
        <v/>
      </c>
      <c r="AK232" s="17">
        <f>AK190+AK116-AK169-AK109</f>
        <v/>
      </c>
      <c r="AL232" s="17">
        <f>AL190+AL116-AL169-AL109</f>
        <v/>
      </c>
      <c r="AM232" s="17">
        <f>AM190+AM116-AM169-AM109</f>
        <v/>
      </c>
      <c r="AN232" s="17">
        <f>AN190+AN116-AN169-AN109</f>
        <v/>
      </c>
    </row>
    <row r="233">
      <c r="A233" s="9" t="n">
        <v>11</v>
      </c>
      <c r="B233" s="9" t="inlineStr"/>
      <c r="C233" s="9" t="inlineStr"/>
      <c r="D233" s="9" t="inlineStr">
        <is>
          <t>Fuel savings (baseline less net zero)</t>
        </is>
      </c>
      <c r="E233" s="9" t="inlineStr">
        <is>
          <t>USD bn</t>
        </is>
      </c>
      <c r="F233" s="9" t="inlineStr">
        <is>
          <t>Model</t>
        </is>
      </c>
      <c r="G233" s="18" t="n"/>
      <c r="H233" s="18" t="inlineStr">
        <is>
          <t>mit.dfuel</t>
        </is>
      </c>
      <c r="I233" s="9" t="n"/>
      <c r="J233" s="9" t="n"/>
      <c r="K233" s="17" t="n"/>
      <c r="L233" s="17" t="n"/>
      <c r="M233" s="17" t="n"/>
      <c r="N233" s="19">
        <f>0</f>
        <v/>
      </c>
      <c r="O233" s="17">
        <f>O201-O207</f>
        <v/>
      </c>
      <c r="P233" s="17">
        <f>P201-P207</f>
        <v/>
      </c>
      <c r="Q233" s="17">
        <f>Q201-Q207</f>
        <v/>
      </c>
      <c r="R233" s="17">
        <f>R201-R207</f>
        <v/>
      </c>
      <c r="S233" s="17">
        <f>S201-S207</f>
        <v/>
      </c>
      <c r="T233" s="17">
        <f>T201-T207</f>
        <v/>
      </c>
      <c r="U233" s="17">
        <f>U201-U207</f>
        <v/>
      </c>
      <c r="V233" s="17">
        <f>V201-V207</f>
        <v/>
      </c>
      <c r="W233" s="17">
        <f>W201-W207</f>
        <v/>
      </c>
      <c r="X233" s="17">
        <f>X201-X207</f>
        <v/>
      </c>
      <c r="Y233" s="17">
        <f>Y201-Y207</f>
        <v/>
      </c>
      <c r="Z233" s="17">
        <f>Z201-Z207</f>
        <v/>
      </c>
      <c r="AA233" s="17">
        <f>AA201-AA207</f>
        <v/>
      </c>
      <c r="AB233" s="17">
        <f>AB201-AB207</f>
        <v/>
      </c>
      <c r="AC233" s="17">
        <f>AC201-AC207</f>
        <v/>
      </c>
      <c r="AD233" s="17">
        <f>AD201-AD207</f>
        <v/>
      </c>
      <c r="AE233" s="17">
        <f>AE201-AE207</f>
        <v/>
      </c>
      <c r="AF233" s="17">
        <f>AF201-AF207</f>
        <v/>
      </c>
      <c r="AG233" s="17">
        <f>AG201-AG207</f>
        <v/>
      </c>
      <c r="AH233" s="17">
        <f>AH201-AH207</f>
        <v/>
      </c>
      <c r="AI233" s="17">
        <f>AI201-AI207</f>
        <v/>
      </c>
      <c r="AJ233" s="17">
        <f>AJ201-AJ207</f>
        <v/>
      </c>
      <c r="AK233" s="17">
        <f>AK201-AK207</f>
        <v/>
      </c>
      <c r="AL233" s="17">
        <f>AL201-AL207</f>
        <v/>
      </c>
      <c r="AM233" s="17">
        <f>AM201-AM207</f>
        <v/>
      </c>
      <c r="AN233" s="17">
        <f>AN201-AN207</f>
        <v/>
      </c>
    </row>
    <row r="234">
      <c r="A234" s="9" t="n">
        <v>11</v>
      </c>
      <c r="B234" s="9" t="inlineStr"/>
      <c r="C234" s="9" t="inlineStr"/>
      <c r="D234" s="9" t="inlineStr">
        <is>
          <t>Air pollution avoided</t>
        </is>
      </c>
      <c r="E234" s="9" t="inlineStr">
        <is>
          <t>USD bn</t>
        </is>
      </c>
      <c r="F234" s="9" t="inlineStr">
        <is>
          <t>Model</t>
        </is>
      </c>
      <c r="G234" s="18" t="n"/>
      <c r="H234" s="18" t="inlineStr">
        <is>
          <t>mit.dap</t>
        </is>
      </c>
      <c r="I234" s="9" t="n"/>
      <c r="J234" s="9" t="n"/>
      <c r="K234" s="17" t="n"/>
      <c r="L234" s="17" t="n"/>
      <c r="M234" s="17" t="n"/>
      <c r="N234" s="19">
        <f>0</f>
        <v/>
      </c>
      <c r="O234" s="17">
        <f>O202-O208</f>
        <v/>
      </c>
      <c r="P234" s="17">
        <f>P202-P208</f>
        <v/>
      </c>
      <c r="Q234" s="17">
        <f>Q202-Q208</f>
        <v/>
      </c>
      <c r="R234" s="17">
        <f>R202-R208</f>
        <v/>
      </c>
      <c r="S234" s="17">
        <f>S202-S208</f>
        <v/>
      </c>
      <c r="T234" s="17">
        <f>T202-T208</f>
        <v/>
      </c>
      <c r="U234" s="17">
        <f>U202-U208</f>
        <v/>
      </c>
      <c r="V234" s="17">
        <f>V202-V208</f>
        <v/>
      </c>
      <c r="W234" s="17">
        <f>W202-W208</f>
        <v/>
      </c>
      <c r="X234" s="17">
        <f>X202-X208</f>
        <v/>
      </c>
      <c r="Y234" s="17">
        <f>Y202-Y208</f>
        <v/>
      </c>
      <c r="Z234" s="17">
        <f>Z202-Z208</f>
        <v/>
      </c>
      <c r="AA234" s="17">
        <f>AA202-AA208</f>
        <v/>
      </c>
      <c r="AB234" s="17">
        <f>AB202-AB208</f>
        <v/>
      </c>
      <c r="AC234" s="17">
        <f>AC202-AC208</f>
        <v/>
      </c>
      <c r="AD234" s="17">
        <f>AD202-AD208</f>
        <v/>
      </c>
      <c r="AE234" s="17">
        <f>AE202-AE208</f>
        <v/>
      </c>
      <c r="AF234" s="17">
        <f>AF202-AF208</f>
        <v/>
      </c>
      <c r="AG234" s="17">
        <f>AG202-AG208</f>
        <v/>
      </c>
      <c r="AH234" s="17">
        <f>AH202-AH208</f>
        <v/>
      </c>
      <c r="AI234" s="17">
        <f>AI202-AI208</f>
        <v/>
      </c>
      <c r="AJ234" s="17">
        <f>AJ202-AJ208</f>
        <v/>
      </c>
      <c r="AK234" s="17">
        <f>AK202-AK208</f>
        <v/>
      </c>
      <c r="AL234" s="17">
        <f>AL202-AL208</f>
        <v/>
      </c>
      <c r="AM234" s="17">
        <f>AM202-AM208</f>
        <v/>
      </c>
      <c r="AN234" s="17">
        <f>AN202-AN208</f>
        <v/>
      </c>
    </row>
    <row r="235">
      <c r="A235" s="9" t="n">
        <v>11</v>
      </c>
      <c r="B235" s="9" t="inlineStr"/>
      <c r="C235" s="9" t="inlineStr"/>
      <c r="D235" s="20" t="inlineStr">
        <is>
          <t>INCREMENTAL COST (a) market WACC</t>
        </is>
      </c>
      <c r="E235" s="20" t="inlineStr">
        <is>
          <t>USD bn</t>
        </is>
      </c>
      <c r="F235" s="20" t="inlineStr">
        <is>
          <t>Model</t>
        </is>
      </c>
      <c r="G235" s="20" t="n"/>
      <c r="H235" s="20" t="inlineStr">
        <is>
          <t>mit.ic.a</t>
        </is>
      </c>
      <c r="I235" s="20" t="n"/>
      <c r="J235" s="20" t="n"/>
      <c r="K235" s="21" t="n"/>
      <c r="L235" s="21" t="n"/>
      <c r="M235" s="21" t="n"/>
      <c r="N235" s="21">
        <f>0</f>
        <v/>
      </c>
      <c r="O235" s="21">
        <f>O230+O232-O233</f>
        <v/>
      </c>
      <c r="P235" s="21">
        <f>P230+P232-P233</f>
        <v/>
      </c>
      <c r="Q235" s="21">
        <f>Q230+Q232-Q233</f>
        <v/>
      </c>
      <c r="R235" s="21">
        <f>R230+R232-R233</f>
        <v/>
      </c>
      <c r="S235" s="21">
        <f>S230+S232-S233</f>
        <v/>
      </c>
      <c r="T235" s="21">
        <f>T230+T232-T233</f>
        <v/>
      </c>
      <c r="U235" s="21">
        <f>U230+U232-U233</f>
        <v/>
      </c>
      <c r="V235" s="21">
        <f>V230+V232-V233</f>
        <v/>
      </c>
      <c r="W235" s="21">
        <f>W230+W232-W233</f>
        <v/>
      </c>
      <c r="X235" s="21">
        <f>X230+X232-X233</f>
        <v/>
      </c>
      <c r="Y235" s="21">
        <f>Y230+Y232-Y233</f>
        <v/>
      </c>
      <c r="Z235" s="21">
        <f>Z230+Z232-Z233</f>
        <v/>
      </c>
      <c r="AA235" s="21">
        <f>AA230+AA232-AA233</f>
        <v/>
      </c>
      <c r="AB235" s="21">
        <f>AB230+AB232-AB233</f>
        <v/>
      </c>
      <c r="AC235" s="21">
        <f>AC230+AC232-AC233</f>
        <v/>
      </c>
      <c r="AD235" s="21">
        <f>AD230+AD232-AD233</f>
        <v/>
      </c>
      <c r="AE235" s="21">
        <f>AE230+AE232-AE233</f>
        <v/>
      </c>
      <c r="AF235" s="21">
        <f>AF230+AF232-AF233</f>
        <v/>
      </c>
      <c r="AG235" s="21">
        <f>AG230+AG232-AG233</f>
        <v/>
      </c>
      <c r="AH235" s="21">
        <f>AH230+AH232-AH233</f>
        <v/>
      </c>
      <c r="AI235" s="21">
        <f>AI230+AI232-AI233</f>
        <v/>
      </c>
      <c r="AJ235" s="21">
        <f>AJ230+AJ232-AJ233</f>
        <v/>
      </c>
      <c r="AK235" s="21">
        <f>AK230+AK232-AK233</f>
        <v/>
      </c>
      <c r="AL235" s="21">
        <f>AL230+AL232-AL233</f>
        <v/>
      </c>
      <c r="AM235" s="21">
        <f>AM230+AM232-AM233</f>
        <v/>
      </c>
      <c r="AN235" s="21">
        <f>AN230+AN232-AN233</f>
        <v/>
      </c>
    </row>
    <row r="236">
      <c r="A236" s="9" t="n">
        <v>11</v>
      </c>
      <c r="B236" s="9" t="inlineStr"/>
      <c r="C236" s="9" t="inlineStr"/>
      <c r="D236" s="20" t="inlineStr">
        <is>
          <t>INCREMENTAL COST (b) World Bank 6%</t>
        </is>
      </c>
      <c r="E236" s="20" t="inlineStr">
        <is>
          <t>USD bn</t>
        </is>
      </c>
      <c r="F236" s="20" t="inlineStr">
        <is>
          <t>Model</t>
        </is>
      </c>
      <c r="G236" s="20" t="n"/>
      <c r="H236" s="20" t="inlineStr">
        <is>
          <t>mit.ic.b</t>
        </is>
      </c>
      <c r="I236" s="20" t="n"/>
      <c r="J236" s="20" t="n"/>
      <c r="K236" s="21" t="n"/>
      <c r="L236" s="21" t="n"/>
      <c r="M236" s="21" t="n"/>
      <c r="N236" s="21">
        <f>0</f>
        <v/>
      </c>
      <c r="O236" s="21">
        <f>O231+O232-O233</f>
        <v/>
      </c>
      <c r="P236" s="21">
        <f>P231+P232-P233</f>
        <v/>
      </c>
      <c r="Q236" s="21">
        <f>Q231+Q232-Q233</f>
        <v/>
      </c>
      <c r="R236" s="21">
        <f>R231+R232-R233</f>
        <v/>
      </c>
      <c r="S236" s="21">
        <f>S231+S232-S233</f>
        <v/>
      </c>
      <c r="T236" s="21">
        <f>T231+T232-T233</f>
        <v/>
      </c>
      <c r="U236" s="21">
        <f>U231+U232-U233</f>
        <v/>
      </c>
      <c r="V236" s="21">
        <f>V231+V232-V233</f>
        <v/>
      </c>
      <c r="W236" s="21">
        <f>W231+W232-W233</f>
        <v/>
      </c>
      <c r="X236" s="21">
        <f>X231+X232-X233</f>
        <v/>
      </c>
      <c r="Y236" s="21">
        <f>Y231+Y232-Y233</f>
        <v/>
      </c>
      <c r="Z236" s="21">
        <f>Z231+Z232-Z233</f>
        <v/>
      </c>
      <c r="AA236" s="21">
        <f>AA231+AA232-AA233</f>
        <v/>
      </c>
      <c r="AB236" s="21">
        <f>AB231+AB232-AB233</f>
        <v/>
      </c>
      <c r="AC236" s="21">
        <f>AC231+AC232-AC233</f>
        <v/>
      </c>
      <c r="AD236" s="21">
        <f>AD231+AD232-AD233</f>
        <v/>
      </c>
      <c r="AE236" s="21">
        <f>AE231+AE232-AE233</f>
        <v/>
      </c>
      <c r="AF236" s="21">
        <f>AF231+AF232-AF233</f>
        <v/>
      </c>
      <c r="AG236" s="21">
        <f>AG231+AG232-AG233</f>
        <v/>
      </c>
      <c r="AH236" s="21">
        <f>AH231+AH232-AH233</f>
        <v/>
      </c>
      <c r="AI236" s="21">
        <f>AI231+AI232-AI233</f>
        <v/>
      </c>
      <c r="AJ236" s="21">
        <f>AJ231+AJ232-AJ233</f>
        <v/>
      </c>
      <c r="AK236" s="21">
        <f>AK231+AK232-AK233</f>
        <v/>
      </c>
      <c r="AL236" s="21">
        <f>AL231+AL232-AL233</f>
        <v/>
      </c>
      <c r="AM236" s="21">
        <f>AM231+AM232-AM233</f>
        <v/>
      </c>
      <c r="AN236" s="21">
        <f>AN231+AN232-AN233</f>
        <v/>
      </c>
    </row>
    <row r="237">
      <c r="A237" s="9" t="n">
        <v>11</v>
      </c>
      <c r="B237" s="9" t="inlineStr"/>
      <c r="C237" s="9" t="inlineStr"/>
      <c r="D237" s="20" t="inlineStr">
        <is>
          <t>INCREMENTAL COST (c) 6% + local co-benefits</t>
        </is>
      </c>
      <c r="E237" s="20" t="inlineStr">
        <is>
          <t>USD bn</t>
        </is>
      </c>
      <c r="F237" s="20" t="inlineStr">
        <is>
          <t>Model</t>
        </is>
      </c>
      <c r="G237" s="20" t="n"/>
      <c r="H237" s="20" t="inlineStr">
        <is>
          <t>mit.ic.c</t>
        </is>
      </c>
      <c r="I237" s="20" t="n"/>
      <c r="J237" s="20" t="n"/>
      <c r="K237" s="21" t="n"/>
      <c r="L237" s="21" t="n"/>
      <c r="M237" s="21" t="n"/>
      <c r="N237" s="21">
        <f>0</f>
        <v/>
      </c>
      <c r="O237" s="21">
        <f>O236-O234</f>
        <v/>
      </c>
      <c r="P237" s="21">
        <f>P236-P234</f>
        <v/>
      </c>
      <c r="Q237" s="21">
        <f>Q236-Q234</f>
        <v/>
      </c>
      <c r="R237" s="21">
        <f>R236-R234</f>
        <v/>
      </c>
      <c r="S237" s="21">
        <f>S236-S234</f>
        <v/>
      </c>
      <c r="T237" s="21">
        <f>T236-T234</f>
        <v/>
      </c>
      <c r="U237" s="21">
        <f>U236-U234</f>
        <v/>
      </c>
      <c r="V237" s="21">
        <f>V236-V234</f>
        <v/>
      </c>
      <c r="W237" s="21">
        <f>W236-W234</f>
        <v/>
      </c>
      <c r="X237" s="21">
        <f>X236-X234</f>
        <v/>
      </c>
      <c r="Y237" s="21">
        <f>Y236-Y234</f>
        <v/>
      </c>
      <c r="Z237" s="21">
        <f>Z236-Z234</f>
        <v/>
      </c>
      <c r="AA237" s="21">
        <f>AA236-AA234</f>
        <v/>
      </c>
      <c r="AB237" s="21">
        <f>AB236-AB234</f>
        <v/>
      </c>
      <c r="AC237" s="21">
        <f>AC236-AC234</f>
        <v/>
      </c>
      <c r="AD237" s="21">
        <f>AD236-AD234</f>
        <v/>
      </c>
      <c r="AE237" s="21">
        <f>AE236-AE234</f>
        <v/>
      </c>
      <c r="AF237" s="21">
        <f>AF236-AF234</f>
        <v/>
      </c>
      <c r="AG237" s="21">
        <f>AG236-AG234</f>
        <v/>
      </c>
      <c r="AH237" s="21">
        <f>AH236-AH234</f>
        <v/>
      </c>
      <c r="AI237" s="21">
        <f>AI236-AI234</f>
        <v/>
      </c>
      <c r="AJ237" s="21">
        <f>AJ236-AJ234</f>
        <v/>
      </c>
      <c r="AK237" s="21">
        <f>AK236-AK234</f>
        <v/>
      </c>
      <c r="AL237" s="21">
        <f>AL236-AL234</f>
        <v/>
      </c>
      <c r="AM237" s="21">
        <f>AM236-AM234</f>
        <v/>
      </c>
      <c r="AN237" s="21">
        <f>AN236-AN234</f>
        <v/>
      </c>
    </row>
    <row r="238">
      <c r="A238" s="9" t="n">
        <v>11</v>
      </c>
      <c r="B238" s="9" t="inlineStr"/>
      <c r="C238" s="9" t="inlineStr"/>
      <c r="D238" s="9" t="inlineStr">
        <is>
          <t>GHG abated (baseline less net zero)</t>
        </is>
      </c>
      <c r="E238" s="9" t="inlineStr">
        <is>
          <t>MtCO2e</t>
        </is>
      </c>
      <c r="F238" s="9" t="inlineStr">
        <is>
          <t>Model</t>
        </is>
      </c>
      <c r="G238" s="18" t="n"/>
      <c r="H238" s="18" t="inlineStr">
        <is>
          <t>mit.ghg.abt</t>
        </is>
      </c>
      <c r="I238" s="9" t="n"/>
      <c r="J238" s="9" t="n"/>
      <c r="K238" s="17" t="n"/>
      <c r="L238" s="17" t="n"/>
      <c r="M238" s="17" t="n"/>
      <c r="N238" s="19">
        <f>0</f>
        <v/>
      </c>
      <c r="O238" s="17">
        <f>O200-O206</f>
        <v/>
      </c>
      <c r="P238" s="17">
        <f>P200-P206</f>
        <v/>
      </c>
      <c r="Q238" s="17">
        <f>Q200-Q206</f>
        <v/>
      </c>
      <c r="R238" s="17">
        <f>R200-R206</f>
        <v/>
      </c>
      <c r="S238" s="17">
        <f>S200-S206</f>
        <v/>
      </c>
      <c r="T238" s="17">
        <f>T200-T206</f>
        <v/>
      </c>
      <c r="U238" s="17">
        <f>U200-U206</f>
        <v/>
      </c>
      <c r="V238" s="17">
        <f>V200-V206</f>
        <v/>
      </c>
      <c r="W238" s="17">
        <f>W200-W206</f>
        <v/>
      </c>
      <c r="X238" s="17">
        <f>X200-X206</f>
        <v/>
      </c>
      <c r="Y238" s="17">
        <f>Y200-Y206</f>
        <v/>
      </c>
      <c r="Z238" s="17">
        <f>Z200-Z206</f>
        <v/>
      </c>
      <c r="AA238" s="17">
        <f>AA200-AA206</f>
        <v/>
      </c>
      <c r="AB238" s="17">
        <f>AB200-AB206</f>
        <v/>
      </c>
      <c r="AC238" s="17">
        <f>AC200-AC206</f>
        <v/>
      </c>
      <c r="AD238" s="17">
        <f>AD200-AD206</f>
        <v/>
      </c>
      <c r="AE238" s="17">
        <f>AE200-AE206</f>
        <v/>
      </c>
      <c r="AF238" s="17">
        <f>AF200-AF206</f>
        <v/>
      </c>
      <c r="AG238" s="17">
        <f>AG200-AG206</f>
        <v/>
      </c>
      <c r="AH238" s="17">
        <f>AH200-AH206</f>
        <v/>
      </c>
      <c r="AI238" s="17">
        <f>AI200-AI206</f>
        <v/>
      </c>
      <c r="AJ238" s="17">
        <f>AJ200-AJ206</f>
        <v/>
      </c>
      <c r="AK238" s="17">
        <f>AK200-AK206</f>
        <v/>
      </c>
      <c r="AL238" s="17">
        <f>AL200-AL206</f>
        <v/>
      </c>
      <c r="AM238" s="17">
        <f>AM200-AM206</f>
        <v/>
      </c>
      <c r="AN238" s="17">
        <f>AN200-AN206</f>
        <v/>
      </c>
    </row>
    <row r="239">
      <c r="A239" s="9" t="n">
        <v>11</v>
      </c>
      <c r="B239" s="9" t="inlineStr"/>
      <c r="C239" s="9" t="inlineStr"/>
      <c r="D239" s="9" t="inlineStr">
        <is>
          <t>Discount factor, market WACC</t>
        </is>
      </c>
      <c r="E239" s="9" t="inlineStr">
        <is>
          <t>x</t>
        </is>
      </c>
      <c r="F239" s="9" t="inlineStr">
        <is>
          <t>Model</t>
        </is>
      </c>
      <c r="G239" s="18" t="n"/>
      <c r="H239" s="18" t="inlineStr">
        <is>
          <t>mit.df.a</t>
        </is>
      </c>
      <c r="I239" s="9" t="n"/>
      <c r="J239" s="9" t="n"/>
      <c r="K239" s="17" t="n"/>
      <c r="L239" s="17" t="n"/>
      <c r="M239" s="17" t="n"/>
      <c r="N239" s="19">
        <f>1</f>
        <v/>
      </c>
      <c r="O239" s="17">
        <f>(1+$J$12)^-(O$1-2024)</f>
        <v/>
      </c>
      <c r="P239" s="17">
        <f>(1+$J$12)^-(P$1-2024)</f>
        <v/>
      </c>
      <c r="Q239" s="17">
        <f>(1+$J$12)^-(Q$1-2024)</f>
        <v/>
      </c>
      <c r="R239" s="17">
        <f>(1+$J$12)^-(R$1-2024)</f>
        <v/>
      </c>
      <c r="S239" s="17">
        <f>(1+$J$12)^-(S$1-2024)</f>
        <v/>
      </c>
      <c r="T239" s="17">
        <f>(1+$J$12)^-(T$1-2024)</f>
        <v/>
      </c>
      <c r="U239" s="17">
        <f>(1+$J$12)^-(U$1-2024)</f>
        <v/>
      </c>
      <c r="V239" s="17">
        <f>(1+$J$12)^-(V$1-2024)</f>
        <v/>
      </c>
      <c r="W239" s="17">
        <f>(1+$J$12)^-(W$1-2024)</f>
        <v/>
      </c>
      <c r="X239" s="17">
        <f>(1+$J$12)^-(X$1-2024)</f>
        <v/>
      </c>
      <c r="Y239" s="17">
        <f>(1+$J$12)^-(Y$1-2024)</f>
        <v/>
      </c>
      <c r="Z239" s="17">
        <f>(1+$J$12)^-(Z$1-2024)</f>
        <v/>
      </c>
      <c r="AA239" s="17">
        <f>(1+$J$12)^-(AA$1-2024)</f>
        <v/>
      </c>
      <c r="AB239" s="17">
        <f>(1+$J$12)^-(AB$1-2024)</f>
        <v/>
      </c>
      <c r="AC239" s="17">
        <f>(1+$J$12)^-(AC$1-2024)</f>
        <v/>
      </c>
      <c r="AD239" s="17">
        <f>(1+$J$12)^-(AD$1-2024)</f>
        <v/>
      </c>
      <c r="AE239" s="17">
        <f>(1+$J$12)^-(AE$1-2024)</f>
        <v/>
      </c>
      <c r="AF239" s="17">
        <f>(1+$J$12)^-(AF$1-2024)</f>
        <v/>
      </c>
      <c r="AG239" s="17">
        <f>(1+$J$12)^-(AG$1-2024)</f>
        <v/>
      </c>
      <c r="AH239" s="17">
        <f>(1+$J$12)^-(AH$1-2024)</f>
        <v/>
      </c>
      <c r="AI239" s="17">
        <f>(1+$J$12)^-(AI$1-2024)</f>
        <v/>
      </c>
      <c r="AJ239" s="17">
        <f>(1+$J$12)^-(AJ$1-2024)</f>
        <v/>
      </c>
      <c r="AK239" s="17">
        <f>(1+$J$12)^-(AK$1-2024)</f>
        <v/>
      </c>
      <c r="AL239" s="17">
        <f>(1+$J$12)^-(AL$1-2024)</f>
        <v/>
      </c>
      <c r="AM239" s="17">
        <f>(1+$J$12)^-(AM$1-2024)</f>
        <v/>
      </c>
      <c r="AN239" s="17">
        <f>(1+$J$12)^-(AN$1-2024)</f>
        <v/>
      </c>
    </row>
    <row r="240">
      <c r="A240" s="9" t="n">
        <v>11</v>
      </c>
      <c r="B240" s="9" t="inlineStr"/>
      <c r="C240" s="9" t="inlineStr"/>
      <c r="D240" s="9" t="inlineStr">
        <is>
          <t>Discount factor, 6%</t>
        </is>
      </c>
      <c r="E240" s="9" t="inlineStr">
        <is>
          <t>x</t>
        </is>
      </c>
      <c r="F240" s="9" t="inlineStr">
        <is>
          <t>Model</t>
        </is>
      </c>
      <c r="G240" s="18" t="n"/>
      <c r="H240" s="18" t="inlineStr">
        <is>
          <t>mit.df.b</t>
        </is>
      </c>
      <c r="I240" s="9" t="n"/>
      <c r="J240" s="9" t="n"/>
      <c r="K240" s="17" t="n"/>
      <c r="L240" s="17" t="n"/>
      <c r="M240" s="17" t="n"/>
      <c r="N240" s="19">
        <f>1</f>
        <v/>
      </c>
      <c r="O240" s="17">
        <f>(1+p_r_wb)^-(O$1-2024)</f>
        <v/>
      </c>
      <c r="P240" s="17">
        <f>(1+p_r_wb)^-(P$1-2024)</f>
        <v/>
      </c>
      <c r="Q240" s="17">
        <f>(1+p_r_wb)^-(Q$1-2024)</f>
        <v/>
      </c>
      <c r="R240" s="17">
        <f>(1+p_r_wb)^-(R$1-2024)</f>
        <v/>
      </c>
      <c r="S240" s="17">
        <f>(1+p_r_wb)^-(S$1-2024)</f>
        <v/>
      </c>
      <c r="T240" s="17">
        <f>(1+p_r_wb)^-(T$1-2024)</f>
        <v/>
      </c>
      <c r="U240" s="17">
        <f>(1+p_r_wb)^-(U$1-2024)</f>
        <v/>
      </c>
      <c r="V240" s="17">
        <f>(1+p_r_wb)^-(V$1-2024)</f>
        <v/>
      </c>
      <c r="W240" s="17">
        <f>(1+p_r_wb)^-(W$1-2024)</f>
        <v/>
      </c>
      <c r="X240" s="17">
        <f>(1+p_r_wb)^-(X$1-2024)</f>
        <v/>
      </c>
      <c r="Y240" s="17">
        <f>(1+p_r_wb)^-(Y$1-2024)</f>
        <v/>
      </c>
      <c r="Z240" s="17">
        <f>(1+p_r_wb)^-(Z$1-2024)</f>
        <v/>
      </c>
      <c r="AA240" s="17">
        <f>(1+p_r_wb)^-(AA$1-2024)</f>
        <v/>
      </c>
      <c r="AB240" s="17">
        <f>(1+p_r_wb)^-(AB$1-2024)</f>
        <v/>
      </c>
      <c r="AC240" s="17">
        <f>(1+p_r_wb)^-(AC$1-2024)</f>
        <v/>
      </c>
      <c r="AD240" s="17">
        <f>(1+p_r_wb)^-(AD$1-2024)</f>
        <v/>
      </c>
      <c r="AE240" s="17">
        <f>(1+p_r_wb)^-(AE$1-2024)</f>
        <v/>
      </c>
      <c r="AF240" s="17">
        <f>(1+p_r_wb)^-(AF$1-2024)</f>
        <v/>
      </c>
      <c r="AG240" s="17">
        <f>(1+p_r_wb)^-(AG$1-2024)</f>
        <v/>
      </c>
      <c r="AH240" s="17">
        <f>(1+p_r_wb)^-(AH$1-2024)</f>
        <v/>
      </c>
      <c r="AI240" s="17">
        <f>(1+p_r_wb)^-(AI$1-2024)</f>
        <v/>
      </c>
      <c r="AJ240" s="17">
        <f>(1+p_r_wb)^-(AJ$1-2024)</f>
        <v/>
      </c>
      <c r="AK240" s="17">
        <f>(1+p_r_wb)^-(AK$1-2024)</f>
        <v/>
      </c>
      <c r="AL240" s="17">
        <f>(1+p_r_wb)^-(AL$1-2024)</f>
        <v/>
      </c>
      <c r="AM240" s="17">
        <f>(1+p_r_wb)^-(AM$1-2024)</f>
        <v/>
      </c>
      <c r="AN240" s="17">
        <f>(1+p_r_wb)^-(AN$1-2024)</f>
        <v/>
      </c>
    </row>
    <row r="241">
      <c r="A241" s="12" t="inlineStr">
        <is>
          <t>12. Investment by type: who pays (P1 pure public ... P5 pure private)</t>
        </is>
      </c>
      <c r="B241" s="13" t="n"/>
      <c r="C241" s="13" t="n"/>
      <c r="D241" s="13" t="n"/>
      <c r="E241" s="13" t="n"/>
      <c r="F241" s="13" t="n"/>
      <c r="G241" s="13" t="n"/>
      <c r="H241" s="13" t="n"/>
      <c r="I241" s="13" t="n"/>
      <c r="J241" s="13"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c r="AI241" s="16" t="n"/>
      <c r="AJ241" s="16" t="n"/>
      <c r="AK241" s="16" t="n"/>
      <c r="AL241" s="16" t="n"/>
      <c r="AM241" s="16" t="n"/>
      <c r="AN241" s="16" t="n"/>
    </row>
    <row r="242">
      <c r="A242" s="9" t="n">
        <v>12</v>
      </c>
      <c r="B242" s="9" t="inlineStr"/>
      <c r="C242" s="9" t="inlineStr"/>
      <c r="D242" s="9" t="inlineStr">
        <is>
          <t>Investment, P1 pure public, baseline</t>
        </is>
      </c>
      <c r="E242" s="9" t="inlineStr">
        <is>
          <t>USD bn</t>
        </is>
      </c>
      <c r="F242" s="9" t="inlineStr">
        <is>
          <t>Model</t>
        </is>
      </c>
      <c r="G242" s="18" t="n"/>
      <c r="H242" s="18" t="inlineStr">
        <is>
          <t>mit.typ.p1.1</t>
        </is>
      </c>
      <c r="I242" s="9" t="n"/>
      <c r="J242" s="9" t="n"/>
      <c r="K242" s="17" t="n"/>
      <c r="L242" s="17" t="n"/>
      <c r="M242" s="17" t="n"/>
      <c r="N242" s="19">
        <f>0</f>
        <v/>
      </c>
      <c r="O242" s="17">
        <f>O163*$J$54+O165*$J$60+O108*$J$65+O210*$J$79</f>
        <v/>
      </c>
      <c r="P242" s="17">
        <f>P163*$J$54+P165*$J$60+P108*$J$65+P210*$J$79</f>
        <v/>
      </c>
      <c r="Q242" s="17">
        <f>Q163*$J$54+Q165*$J$60+Q108*$J$65+Q210*$J$79</f>
        <v/>
      </c>
      <c r="R242" s="17">
        <f>R163*$J$54+R165*$J$60+R108*$J$65+R210*$J$79</f>
        <v/>
      </c>
      <c r="S242" s="17">
        <f>S163*$J$54+S165*$J$60+S108*$J$65+S210*$J$79</f>
        <v/>
      </c>
      <c r="T242" s="17">
        <f>T163*$J$54+T165*$J$60+T108*$J$65+T210*$J$79</f>
        <v/>
      </c>
      <c r="U242" s="17">
        <f>U163*$J$54+U165*$J$60+U108*$J$65+U210*$J$79</f>
        <v/>
      </c>
      <c r="V242" s="17">
        <f>V163*$J$54+V165*$J$60+V108*$J$65+V210*$J$79</f>
        <v/>
      </c>
      <c r="W242" s="17">
        <f>W163*$J$54+W165*$J$60+W108*$J$65+W210*$J$79</f>
        <v/>
      </c>
      <c r="X242" s="17">
        <f>X163*$J$54+X165*$J$60+X108*$J$65+X210*$J$79</f>
        <v/>
      </c>
      <c r="Y242" s="17">
        <f>Y163*$J$54+Y165*$J$60+Y108*$J$65+Y210*$J$79</f>
        <v/>
      </c>
      <c r="Z242" s="17">
        <f>Z163*$J$54+Z165*$J$60+Z108*$J$65+Z210*$J$79</f>
        <v/>
      </c>
      <c r="AA242" s="17">
        <f>AA163*$J$54+AA165*$J$60+AA108*$J$65+AA210*$J$79</f>
        <v/>
      </c>
      <c r="AB242" s="17">
        <f>AB163*$J$54+AB165*$J$60+AB108*$J$65+AB210*$J$79</f>
        <v/>
      </c>
      <c r="AC242" s="17">
        <f>AC163*$J$54+AC165*$J$60+AC108*$J$65+AC210*$J$79</f>
        <v/>
      </c>
      <c r="AD242" s="17">
        <f>AD163*$J$54+AD165*$J$60+AD108*$J$65+AD210*$J$79</f>
        <v/>
      </c>
      <c r="AE242" s="17">
        <f>AE163*$J$54+AE165*$J$60+AE108*$J$65+AE210*$J$79</f>
        <v/>
      </c>
      <c r="AF242" s="17">
        <f>AF163*$J$54+AF165*$J$60+AF108*$J$65+AF210*$J$79</f>
        <v/>
      </c>
      <c r="AG242" s="17">
        <f>AG163*$J$54+AG165*$J$60+AG108*$J$65+AG210*$J$79</f>
        <v/>
      </c>
      <c r="AH242" s="17">
        <f>AH163*$J$54+AH165*$J$60+AH108*$J$65+AH210*$J$79</f>
        <v/>
      </c>
      <c r="AI242" s="17">
        <f>AI163*$J$54+AI165*$J$60+AI108*$J$65+AI210*$J$79</f>
        <v/>
      </c>
      <c r="AJ242" s="17">
        <f>AJ163*$J$54+AJ165*$J$60+AJ108*$J$65+AJ210*$J$79</f>
        <v/>
      </c>
      <c r="AK242" s="17">
        <f>AK163*$J$54+AK165*$J$60+AK108*$J$65+AK210*$J$79</f>
        <v/>
      </c>
      <c r="AL242" s="17">
        <f>AL163*$J$54+AL165*$J$60+AL108*$J$65+AL210*$J$79</f>
        <v/>
      </c>
      <c r="AM242" s="17">
        <f>AM163*$J$54+AM165*$J$60+AM108*$J$65+AM210*$J$79</f>
        <v/>
      </c>
      <c r="AN242" s="17">
        <f>AN163*$J$54+AN165*$J$60+AN108*$J$65+AN210*$J$79</f>
        <v/>
      </c>
    </row>
    <row r="243">
      <c r="A243" s="9" t="n">
        <v>12</v>
      </c>
      <c r="B243" s="9" t="inlineStr"/>
      <c r="C243" s="9" t="inlineStr"/>
      <c r="D243" s="9" t="inlineStr">
        <is>
          <t>Investment, P2 regulated utility, baseline</t>
        </is>
      </c>
      <c r="E243" s="9" t="inlineStr">
        <is>
          <t>USD bn</t>
        </is>
      </c>
      <c r="F243" s="9" t="inlineStr">
        <is>
          <t>Model</t>
        </is>
      </c>
      <c r="G243" s="18" t="n"/>
      <c r="H243" s="18" t="inlineStr">
        <is>
          <t>mit.typ.p2.1</t>
        </is>
      </c>
      <c r="I243" s="9" t="n"/>
      <c r="J243" s="9" t="n"/>
      <c r="K243" s="17" t="n"/>
      <c r="L243" s="17" t="n"/>
      <c r="M243" s="17" t="n"/>
      <c r="N243" s="19">
        <f>0</f>
        <v/>
      </c>
      <c r="O243" s="17">
        <f>O163*$J$55+O165*$J$61+O108*$J$66+O210*$J$80</f>
        <v/>
      </c>
      <c r="P243" s="17">
        <f>P163*$J$55+P165*$J$61+P108*$J$66+P210*$J$80</f>
        <v/>
      </c>
      <c r="Q243" s="17">
        <f>Q163*$J$55+Q165*$J$61+Q108*$J$66+Q210*$J$80</f>
        <v/>
      </c>
      <c r="R243" s="17">
        <f>R163*$J$55+R165*$J$61+R108*$J$66+R210*$J$80</f>
        <v/>
      </c>
      <c r="S243" s="17">
        <f>S163*$J$55+S165*$J$61+S108*$J$66+S210*$J$80</f>
        <v/>
      </c>
      <c r="T243" s="17">
        <f>T163*$J$55+T165*$J$61+T108*$J$66+T210*$J$80</f>
        <v/>
      </c>
      <c r="U243" s="17">
        <f>U163*$J$55+U165*$J$61+U108*$J$66+U210*$J$80</f>
        <v/>
      </c>
      <c r="V243" s="17">
        <f>V163*$J$55+V165*$J$61+V108*$J$66+V210*$J$80</f>
        <v/>
      </c>
      <c r="W243" s="17">
        <f>W163*$J$55+W165*$J$61+W108*$J$66+W210*$J$80</f>
        <v/>
      </c>
      <c r="X243" s="17">
        <f>X163*$J$55+X165*$J$61+X108*$J$66+X210*$J$80</f>
        <v/>
      </c>
      <c r="Y243" s="17">
        <f>Y163*$J$55+Y165*$J$61+Y108*$J$66+Y210*$J$80</f>
        <v/>
      </c>
      <c r="Z243" s="17">
        <f>Z163*$J$55+Z165*$J$61+Z108*$J$66+Z210*$J$80</f>
        <v/>
      </c>
      <c r="AA243" s="17">
        <f>AA163*$J$55+AA165*$J$61+AA108*$J$66+AA210*$J$80</f>
        <v/>
      </c>
      <c r="AB243" s="17">
        <f>AB163*$J$55+AB165*$J$61+AB108*$J$66+AB210*$J$80</f>
        <v/>
      </c>
      <c r="AC243" s="17">
        <f>AC163*$J$55+AC165*$J$61+AC108*$J$66+AC210*$J$80</f>
        <v/>
      </c>
      <c r="AD243" s="17">
        <f>AD163*$J$55+AD165*$J$61+AD108*$J$66+AD210*$J$80</f>
        <v/>
      </c>
      <c r="AE243" s="17">
        <f>AE163*$J$55+AE165*$J$61+AE108*$J$66+AE210*$J$80</f>
        <v/>
      </c>
      <c r="AF243" s="17">
        <f>AF163*$J$55+AF165*$J$61+AF108*$J$66+AF210*$J$80</f>
        <v/>
      </c>
      <c r="AG243" s="17">
        <f>AG163*$J$55+AG165*$J$61+AG108*$J$66+AG210*$J$80</f>
        <v/>
      </c>
      <c r="AH243" s="17">
        <f>AH163*$J$55+AH165*$J$61+AH108*$J$66+AH210*$J$80</f>
        <v/>
      </c>
      <c r="AI243" s="17">
        <f>AI163*$J$55+AI165*$J$61+AI108*$J$66+AI210*$J$80</f>
        <v/>
      </c>
      <c r="AJ243" s="17">
        <f>AJ163*$J$55+AJ165*$J$61+AJ108*$J$66+AJ210*$J$80</f>
        <v/>
      </c>
      <c r="AK243" s="17">
        <f>AK163*$J$55+AK165*$J$61+AK108*$J$66+AK210*$J$80</f>
        <v/>
      </c>
      <c r="AL243" s="17">
        <f>AL163*$J$55+AL165*$J$61+AL108*$J$66+AL210*$J$80</f>
        <v/>
      </c>
      <c r="AM243" s="17">
        <f>AM163*$J$55+AM165*$J$61+AM108*$J$66+AM210*$J$80</f>
        <v/>
      </c>
      <c r="AN243" s="17">
        <f>AN163*$J$55+AN165*$J$61+AN108*$J$66+AN210*$J$80</f>
        <v/>
      </c>
    </row>
    <row r="244">
      <c r="A244" s="9" t="n">
        <v>12</v>
      </c>
      <c r="B244" s="9" t="inlineStr"/>
      <c r="C244" s="9" t="inlineStr"/>
      <c r="D244" s="9" t="inlineStr">
        <is>
          <t>Investment, P3 contracted revenue, baseline</t>
        </is>
      </c>
      <c r="E244" s="9" t="inlineStr">
        <is>
          <t>USD bn</t>
        </is>
      </c>
      <c r="F244" s="9" t="inlineStr">
        <is>
          <t>Model</t>
        </is>
      </c>
      <c r="G244" s="18" t="n"/>
      <c r="H244" s="18" t="inlineStr">
        <is>
          <t>mit.typ.p3.1</t>
        </is>
      </c>
      <c r="I244" s="9" t="n"/>
      <c r="J244" s="9" t="n"/>
      <c r="K244" s="17" t="n"/>
      <c r="L244" s="17" t="n"/>
      <c r="M244" s="17" t="n"/>
      <c r="N244" s="19">
        <f>0</f>
        <v/>
      </c>
      <c r="O244" s="17">
        <f>O163*$J$56+O165*$J$62+O108*$J$67+O210*$J$81</f>
        <v/>
      </c>
      <c r="P244" s="17">
        <f>P163*$J$56+P165*$J$62+P108*$J$67+P210*$J$81</f>
        <v/>
      </c>
      <c r="Q244" s="17">
        <f>Q163*$J$56+Q165*$J$62+Q108*$J$67+Q210*$J$81</f>
        <v/>
      </c>
      <c r="R244" s="17">
        <f>R163*$J$56+R165*$J$62+R108*$J$67+R210*$J$81</f>
        <v/>
      </c>
      <c r="S244" s="17">
        <f>S163*$J$56+S165*$J$62+S108*$J$67+S210*$J$81</f>
        <v/>
      </c>
      <c r="T244" s="17">
        <f>T163*$J$56+T165*$J$62+T108*$J$67+T210*$J$81</f>
        <v/>
      </c>
      <c r="U244" s="17">
        <f>U163*$J$56+U165*$J$62+U108*$J$67+U210*$J$81</f>
        <v/>
      </c>
      <c r="V244" s="17">
        <f>V163*$J$56+V165*$J$62+V108*$J$67+V210*$J$81</f>
        <v/>
      </c>
      <c r="W244" s="17">
        <f>W163*$J$56+W165*$J$62+W108*$J$67+W210*$J$81</f>
        <v/>
      </c>
      <c r="X244" s="17">
        <f>X163*$J$56+X165*$J$62+X108*$J$67+X210*$J$81</f>
        <v/>
      </c>
      <c r="Y244" s="17">
        <f>Y163*$J$56+Y165*$J$62+Y108*$J$67+Y210*$J$81</f>
        <v/>
      </c>
      <c r="Z244" s="17">
        <f>Z163*$J$56+Z165*$J$62+Z108*$J$67+Z210*$J$81</f>
        <v/>
      </c>
      <c r="AA244" s="17">
        <f>AA163*$J$56+AA165*$J$62+AA108*$J$67+AA210*$J$81</f>
        <v/>
      </c>
      <c r="AB244" s="17">
        <f>AB163*$J$56+AB165*$J$62+AB108*$J$67+AB210*$J$81</f>
        <v/>
      </c>
      <c r="AC244" s="17">
        <f>AC163*$J$56+AC165*$J$62+AC108*$J$67+AC210*$J$81</f>
        <v/>
      </c>
      <c r="AD244" s="17">
        <f>AD163*$J$56+AD165*$J$62+AD108*$J$67+AD210*$J$81</f>
        <v/>
      </c>
      <c r="AE244" s="17">
        <f>AE163*$J$56+AE165*$J$62+AE108*$J$67+AE210*$J$81</f>
        <v/>
      </c>
      <c r="AF244" s="17">
        <f>AF163*$J$56+AF165*$J$62+AF108*$J$67+AF210*$J$81</f>
        <v/>
      </c>
      <c r="AG244" s="17">
        <f>AG163*$J$56+AG165*$J$62+AG108*$J$67+AG210*$J$81</f>
        <v/>
      </c>
      <c r="AH244" s="17">
        <f>AH163*$J$56+AH165*$J$62+AH108*$J$67+AH210*$J$81</f>
        <v/>
      </c>
      <c r="AI244" s="17">
        <f>AI163*$J$56+AI165*$J$62+AI108*$J$67+AI210*$J$81</f>
        <v/>
      </c>
      <c r="AJ244" s="17">
        <f>AJ163*$J$56+AJ165*$J$62+AJ108*$J$67+AJ210*$J$81</f>
        <v/>
      </c>
      <c r="AK244" s="17">
        <f>AK163*$J$56+AK165*$J$62+AK108*$J$67+AK210*$J$81</f>
        <v/>
      </c>
      <c r="AL244" s="17">
        <f>AL163*$J$56+AL165*$J$62+AL108*$J$67+AL210*$J$81</f>
        <v/>
      </c>
      <c r="AM244" s="17">
        <f>AM163*$J$56+AM165*$J$62+AM108*$J$67+AM210*$J$81</f>
        <v/>
      </c>
      <c r="AN244" s="17">
        <f>AN163*$J$56+AN165*$J$62+AN108*$J$67+AN210*$J$81</f>
        <v/>
      </c>
    </row>
    <row r="245">
      <c r="A245" s="9" t="n">
        <v>12</v>
      </c>
      <c r="B245" s="9" t="inlineStr"/>
      <c r="C245" s="9" t="inlineStr"/>
      <c r="D245" s="9" t="inlineStr">
        <is>
          <t>Investment, P4 viability gap, baseline</t>
        </is>
      </c>
      <c r="E245" s="9" t="inlineStr">
        <is>
          <t>USD bn</t>
        </is>
      </c>
      <c r="F245" s="9" t="inlineStr">
        <is>
          <t>Model</t>
        </is>
      </c>
      <c r="G245" s="18" t="n"/>
      <c r="H245" s="18" t="inlineStr">
        <is>
          <t>mit.typ.p4.1</t>
        </is>
      </c>
      <c r="I245" s="9" t="n"/>
      <c r="J245" s="9" t="n"/>
      <c r="K245" s="17" t="n"/>
      <c r="L245" s="17" t="n"/>
      <c r="M245" s="17" t="n"/>
      <c r="N245" s="19">
        <f>0</f>
        <v/>
      </c>
      <c r="O245" s="17">
        <f>O163*$J$57+O165*$J$63+O108*$J$68+O210*$J$82</f>
        <v/>
      </c>
      <c r="P245" s="17">
        <f>P163*$J$57+P165*$J$63+P108*$J$68+P210*$J$82</f>
        <v/>
      </c>
      <c r="Q245" s="17">
        <f>Q163*$J$57+Q165*$J$63+Q108*$J$68+Q210*$J$82</f>
        <v/>
      </c>
      <c r="R245" s="17">
        <f>R163*$J$57+R165*$J$63+R108*$J$68+R210*$J$82</f>
        <v/>
      </c>
      <c r="S245" s="17">
        <f>S163*$J$57+S165*$J$63+S108*$J$68+S210*$J$82</f>
        <v/>
      </c>
      <c r="T245" s="17">
        <f>T163*$J$57+T165*$J$63+T108*$J$68+T210*$J$82</f>
        <v/>
      </c>
      <c r="U245" s="17">
        <f>U163*$J$57+U165*$J$63+U108*$J$68+U210*$J$82</f>
        <v/>
      </c>
      <c r="V245" s="17">
        <f>V163*$J$57+V165*$J$63+V108*$J$68+V210*$J$82</f>
        <v/>
      </c>
      <c r="W245" s="17">
        <f>W163*$J$57+W165*$J$63+W108*$J$68+W210*$J$82</f>
        <v/>
      </c>
      <c r="X245" s="17">
        <f>X163*$J$57+X165*$J$63+X108*$J$68+X210*$J$82</f>
        <v/>
      </c>
      <c r="Y245" s="17">
        <f>Y163*$J$57+Y165*$J$63+Y108*$J$68+Y210*$J$82</f>
        <v/>
      </c>
      <c r="Z245" s="17">
        <f>Z163*$J$57+Z165*$J$63+Z108*$J$68+Z210*$J$82</f>
        <v/>
      </c>
      <c r="AA245" s="17">
        <f>AA163*$J$57+AA165*$J$63+AA108*$J$68+AA210*$J$82</f>
        <v/>
      </c>
      <c r="AB245" s="17">
        <f>AB163*$J$57+AB165*$J$63+AB108*$J$68+AB210*$J$82</f>
        <v/>
      </c>
      <c r="AC245" s="17">
        <f>AC163*$J$57+AC165*$J$63+AC108*$J$68+AC210*$J$82</f>
        <v/>
      </c>
      <c r="AD245" s="17">
        <f>AD163*$J$57+AD165*$J$63+AD108*$J$68+AD210*$J$82</f>
        <v/>
      </c>
      <c r="AE245" s="17">
        <f>AE163*$J$57+AE165*$J$63+AE108*$J$68+AE210*$J$82</f>
        <v/>
      </c>
      <c r="AF245" s="17">
        <f>AF163*$J$57+AF165*$J$63+AF108*$J$68+AF210*$J$82</f>
        <v/>
      </c>
      <c r="AG245" s="17">
        <f>AG163*$J$57+AG165*$J$63+AG108*$J$68+AG210*$J$82</f>
        <v/>
      </c>
      <c r="AH245" s="17">
        <f>AH163*$J$57+AH165*$J$63+AH108*$J$68+AH210*$J$82</f>
        <v/>
      </c>
      <c r="AI245" s="17">
        <f>AI163*$J$57+AI165*$J$63+AI108*$J$68+AI210*$J$82</f>
        <v/>
      </c>
      <c r="AJ245" s="17">
        <f>AJ163*$J$57+AJ165*$J$63+AJ108*$J$68+AJ210*$J$82</f>
        <v/>
      </c>
      <c r="AK245" s="17">
        <f>AK163*$J$57+AK165*$J$63+AK108*$J$68+AK210*$J$82</f>
        <v/>
      </c>
      <c r="AL245" s="17">
        <f>AL163*$J$57+AL165*$J$63+AL108*$J$68+AL210*$J$82</f>
        <v/>
      </c>
      <c r="AM245" s="17">
        <f>AM163*$J$57+AM165*$J$63+AM108*$J$68+AM210*$J$82</f>
        <v/>
      </c>
      <c r="AN245" s="17">
        <f>AN163*$J$57+AN165*$J$63+AN108*$J$68+AN210*$J$82</f>
        <v/>
      </c>
    </row>
    <row r="246">
      <c r="A246" s="9" t="n">
        <v>12</v>
      </c>
      <c r="B246" s="9" t="inlineStr"/>
      <c r="C246" s="9" t="inlineStr"/>
      <c r="D246" s="9" t="inlineStr">
        <is>
          <t>Investment, P5 pure private, baseline</t>
        </is>
      </c>
      <c r="E246" s="9" t="inlineStr">
        <is>
          <t>USD bn</t>
        </is>
      </c>
      <c r="F246" s="9" t="inlineStr">
        <is>
          <t>Model</t>
        </is>
      </c>
      <c r="G246" s="18" t="n"/>
      <c r="H246" s="18" t="inlineStr">
        <is>
          <t>mit.typ.p5.1</t>
        </is>
      </c>
      <c r="I246" s="9" t="n"/>
      <c r="J246" s="9" t="n"/>
      <c r="K246" s="17" t="n"/>
      <c r="L246" s="17" t="n"/>
      <c r="M246" s="17" t="n"/>
      <c r="N246" s="19">
        <f>0</f>
        <v/>
      </c>
      <c r="O246" s="17">
        <f>O163*$J$58+O165*$J$64+O108*$J$69+O210*$J$83</f>
        <v/>
      </c>
      <c r="P246" s="17">
        <f>P163*$J$58+P165*$J$64+P108*$J$69+P210*$J$83</f>
        <v/>
      </c>
      <c r="Q246" s="17">
        <f>Q163*$J$58+Q165*$J$64+Q108*$J$69+Q210*$J$83</f>
        <v/>
      </c>
      <c r="R246" s="17">
        <f>R163*$J$58+R165*$J$64+R108*$J$69+R210*$J$83</f>
        <v/>
      </c>
      <c r="S246" s="17">
        <f>S163*$J$58+S165*$J$64+S108*$J$69+S210*$J$83</f>
        <v/>
      </c>
      <c r="T246" s="17">
        <f>T163*$J$58+T165*$J$64+T108*$J$69+T210*$J$83</f>
        <v/>
      </c>
      <c r="U246" s="17">
        <f>U163*$J$58+U165*$J$64+U108*$J$69+U210*$J$83</f>
        <v/>
      </c>
      <c r="V246" s="17">
        <f>V163*$J$58+V165*$J$64+V108*$J$69+V210*$J$83</f>
        <v/>
      </c>
      <c r="W246" s="17">
        <f>W163*$J$58+W165*$J$64+W108*$J$69+W210*$J$83</f>
        <v/>
      </c>
      <c r="X246" s="17">
        <f>X163*$J$58+X165*$J$64+X108*$J$69+X210*$J$83</f>
        <v/>
      </c>
      <c r="Y246" s="17">
        <f>Y163*$J$58+Y165*$J$64+Y108*$J$69+Y210*$J$83</f>
        <v/>
      </c>
      <c r="Z246" s="17">
        <f>Z163*$J$58+Z165*$J$64+Z108*$J$69+Z210*$J$83</f>
        <v/>
      </c>
      <c r="AA246" s="17">
        <f>AA163*$J$58+AA165*$J$64+AA108*$J$69+AA210*$J$83</f>
        <v/>
      </c>
      <c r="AB246" s="17">
        <f>AB163*$J$58+AB165*$J$64+AB108*$J$69+AB210*$J$83</f>
        <v/>
      </c>
      <c r="AC246" s="17">
        <f>AC163*$J$58+AC165*$J$64+AC108*$J$69+AC210*$J$83</f>
        <v/>
      </c>
      <c r="AD246" s="17">
        <f>AD163*$J$58+AD165*$J$64+AD108*$J$69+AD210*$J$83</f>
        <v/>
      </c>
      <c r="AE246" s="17">
        <f>AE163*$J$58+AE165*$J$64+AE108*$J$69+AE210*$J$83</f>
        <v/>
      </c>
      <c r="AF246" s="17">
        <f>AF163*$J$58+AF165*$J$64+AF108*$J$69+AF210*$J$83</f>
        <v/>
      </c>
      <c r="AG246" s="17">
        <f>AG163*$J$58+AG165*$J$64+AG108*$J$69+AG210*$J$83</f>
        <v/>
      </c>
      <c r="AH246" s="17">
        <f>AH163*$J$58+AH165*$J$64+AH108*$J$69+AH210*$J$83</f>
        <v/>
      </c>
      <c r="AI246" s="17">
        <f>AI163*$J$58+AI165*$J$64+AI108*$J$69+AI210*$J$83</f>
        <v/>
      </c>
      <c r="AJ246" s="17">
        <f>AJ163*$J$58+AJ165*$J$64+AJ108*$J$69+AJ210*$J$83</f>
        <v/>
      </c>
      <c r="AK246" s="17">
        <f>AK163*$J$58+AK165*$J$64+AK108*$J$69+AK210*$J$83</f>
        <v/>
      </c>
      <c r="AL246" s="17">
        <f>AL163*$J$58+AL165*$J$64+AL108*$J$69+AL210*$J$83</f>
        <v/>
      </c>
      <c r="AM246" s="17">
        <f>AM163*$J$58+AM165*$J$64+AM108*$J$69+AM210*$J$83</f>
        <v/>
      </c>
      <c r="AN246" s="17">
        <f>AN163*$J$58+AN165*$J$64+AN108*$J$69+AN210*$J$83</f>
        <v/>
      </c>
    </row>
    <row r="247">
      <c r="A247" s="9" t="n">
        <v>12</v>
      </c>
      <c r="B247" s="9" t="inlineStr"/>
      <c r="C247" s="9" t="inlineStr"/>
      <c r="D247" s="9" t="inlineStr">
        <is>
          <t>Investment, P1 pure public, net zero</t>
        </is>
      </c>
      <c r="E247" s="9" t="inlineStr">
        <is>
          <t>USD bn</t>
        </is>
      </c>
      <c r="F247" s="9" t="inlineStr">
        <is>
          <t>Model</t>
        </is>
      </c>
      <c r="G247" s="18" t="n"/>
      <c r="H247" s="18" t="inlineStr">
        <is>
          <t>mit.typ.p1.2</t>
        </is>
      </c>
      <c r="I247" s="9" t="n"/>
      <c r="J247" s="9" t="n"/>
      <c r="K247" s="17" t="n"/>
      <c r="L247" s="17" t="n"/>
      <c r="M247" s="17" t="n"/>
      <c r="N247" s="19">
        <f>0</f>
        <v/>
      </c>
      <c r="O247" s="17">
        <f>O184*$J$54+O186*$J$60+O115*$J$65+O129*$J$70+O211*$J$79+O194*$J$76+O195*$J$78</f>
        <v/>
      </c>
      <c r="P247" s="17">
        <f>P184*$J$54+P186*$J$60+P115*$J$65+P129*$J$70+P211*$J$79+P194*$J$76+P195*$J$78</f>
        <v/>
      </c>
      <c r="Q247" s="17">
        <f>Q184*$J$54+Q186*$J$60+Q115*$J$65+Q129*$J$70+Q211*$J$79+Q194*$J$76+Q195*$J$78</f>
        <v/>
      </c>
      <c r="R247" s="17">
        <f>R184*$J$54+R186*$J$60+R115*$J$65+R129*$J$70+R211*$J$79+R194*$J$76+R195*$J$78</f>
        <v/>
      </c>
      <c r="S247" s="17">
        <f>S184*$J$54+S186*$J$60+S115*$J$65+S129*$J$70+S211*$J$79+S194*$J$76+S195*$J$78</f>
        <v/>
      </c>
      <c r="T247" s="17">
        <f>T184*$J$54+T186*$J$60+T115*$J$65+T129*$J$70+T211*$J$79+T194*$J$76+T195*$J$78</f>
        <v/>
      </c>
      <c r="U247" s="17">
        <f>U184*$J$54+U186*$J$60+U115*$J$65+U129*$J$70+U211*$J$79+U194*$J$76+U195*$J$78</f>
        <v/>
      </c>
      <c r="V247" s="17">
        <f>V184*$J$54+V186*$J$60+V115*$J$65+V129*$J$70+V211*$J$79+V194*$J$76+V195*$J$78</f>
        <v/>
      </c>
      <c r="W247" s="17">
        <f>W184*$J$54+W186*$J$60+W115*$J$65+W129*$J$70+W211*$J$79+W194*$J$76+W195*$J$78</f>
        <v/>
      </c>
      <c r="X247" s="17">
        <f>X184*$J$54+X186*$J$60+X115*$J$65+X129*$J$70+X211*$J$79+X194*$J$76+X195*$J$78</f>
        <v/>
      </c>
      <c r="Y247" s="17">
        <f>Y184*$J$54+Y186*$J$60+Y115*$J$65+Y129*$J$70+Y211*$J$79+Y194*$J$76+Y195*$J$78</f>
        <v/>
      </c>
      <c r="Z247" s="17">
        <f>Z184*$J$54+Z186*$J$60+Z115*$J$65+Z129*$J$70+Z211*$J$79+Z194*$J$76+Z195*$J$78</f>
        <v/>
      </c>
      <c r="AA247" s="17">
        <f>AA184*$J$54+AA186*$J$60+AA115*$J$65+AA129*$J$70+AA211*$J$79+AA194*$J$76+AA195*$J$78</f>
        <v/>
      </c>
      <c r="AB247" s="17">
        <f>AB184*$J$54+AB186*$J$60+AB115*$J$65+AB129*$J$70+AB211*$J$79+AB194*$J$76+AB195*$J$78</f>
        <v/>
      </c>
      <c r="AC247" s="17">
        <f>AC184*$J$54+AC186*$J$60+AC115*$J$65+AC129*$J$70+AC211*$J$79+AC194*$J$76+AC195*$J$78</f>
        <v/>
      </c>
      <c r="AD247" s="17">
        <f>AD184*$J$54+AD186*$J$60+AD115*$J$65+AD129*$J$70+AD211*$J$79+AD194*$J$76+AD195*$J$78</f>
        <v/>
      </c>
      <c r="AE247" s="17">
        <f>AE184*$J$54+AE186*$J$60+AE115*$J$65+AE129*$J$70+AE211*$J$79+AE194*$J$76+AE195*$J$78</f>
        <v/>
      </c>
      <c r="AF247" s="17">
        <f>AF184*$J$54+AF186*$J$60+AF115*$J$65+AF129*$J$70+AF211*$J$79+AF194*$J$76+AF195*$J$78</f>
        <v/>
      </c>
      <c r="AG247" s="17">
        <f>AG184*$J$54+AG186*$J$60+AG115*$J$65+AG129*$J$70+AG211*$J$79+AG194*$J$76+AG195*$J$78</f>
        <v/>
      </c>
      <c r="AH247" s="17">
        <f>AH184*$J$54+AH186*$J$60+AH115*$J$65+AH129*$J$70+AH211*$J$79+AH194*$J$76+AH195*$J$78</f>
        <v/>
      </c>
      <c r="AI247" s="17">
        <f>AI184*$J$54+AI186*$J$60+AI115*$J$65+AI129*$J$70+AI211*$J$79+AI194*$J$76+AI195*$J$78</f>
        <v/>
      </c>
      <c r="AJ247" s="17">
        <f>AJ184*$J$54+AJ186*$J$60+AJ115*$J$65+AJ129*$J$70+AJ211*$J$79+AJ194*$J$76+AJ195*$J$78</f>
        <v/>
      </c>
      <c r="AK247" s="17">
        <f>AK184*$J$54+AK186*$J$60+AK115*$J$65+AK129*$J$70+AK211*$J$79+AK194*$J$76+AK195*$J$78</f>
        <v/>
      </c>
      <c r="AL247" s="17">
        <f>AL184*$J$54+AL186*$J$60+AL115*$J$65+AL129*$J$70+AL211*$J$79+AL194*$J$76+AL195*$J$78</f>
        <v/>
      </c>
      <c r="AM247" s="17">
        <f>AM184*$J$54+AM186*$J$60+AM115*$J$65+AM129*$J$70+AM211*$J$79+AM194*$J$76+AM195*$J$78</f>
        <v/>
      </c>
      <c r="AN247" s="17">
        <f>AN184*$J$54+AN186*$J$60+AN115*$J$65+AN129*$J$70+AN211*$J$79+AN194*$J$76+AN195*$J$78</f>
        <v/>
      </c>
    </row>
    <row r="248">
      <c r="A248" s="9" t="n">
        <v>12</v>
      </c>
      <c r="B248" s="9" t="inlineStr"/>
      <c r="C248" s="9" t="inlineStr"/>
      <c r="D248" s="9" t="inlineStr">
        <is>
          <t>Investment, P2 regulated utility, net zero</t>
        </is>
      </c>
      <c r="E248" s="9" t="inlineStr">
        <is>
          <t>USD bn</t>
        </is>
      </c>
      <c r="F248" s="9" t="inlineStr">
        <is>
          <t>Model</t>
        </is>
      </c>
      <c r="G248" s="18" t="n"/>
      <c r="H248" s="18" t="inlineStr">
        <is>
          <t>mit.typ.p2.2</t>
        </is>
      </c>
      <c r="I248" s="9" t="n"/>
      <c r="J248" s="9" t="n"/>
      <c r="K248" s="17" t="n"/>
      <c r="L248" s="17" t="n"/>
      <c r="M248" s="17" t="n"/>
      <c r="N248" s="19">
        <f>0</f>
        <v/>
      </c>
      <c r="O248" s="17">
        <f>O184*$J$55+O186*$J$61+O115*$J$66+O129*$J$71+O211*$J$80</f>
        <v/>
      </c>
      <c r="P248" s="17">
        <f>P184*$J$55+P186*$J$61+P115*$J$66+P129*$J$71+P211*$J$80</f>
        <v/>
      </c>
      <c r="Q248" s="17">
        <f>Q184*$J$55+Q186*$J$61+Q115*$J$66+Q129*$J$71+Q211*$J$80</f>
        <v/>
      </c>
      <c r="R248" s="17">
        <f>R184*$J$55+R186*$J$61+R115*$J$66+R129*$J$71+R211*$J$80</f>
        <v/>
      </c>
      <c r="S248" s="17">
        <f>S184*$J$55+S186*$J$61+S115*$J$66+S129*$J$71+S211*$J$80</f>
        <v/>
      </c>
      <c r="T248" s="17">
        <f>T184*$J$55+T186*$J$61+T115*$J$66+T129*$J$71+T211*$J$80</f>
        <v/>
      </c>
      <c r="U248" s="17">
        <f>U184*$J$55+U186*$J$61+U115*$J$66+U129*$J$71+U211*$J$80</f>
        <v/>
      </c>
      <c r="V248" s="17">
        <f>V184*$J$55+V186*$J$61+V115*$J$66+V129*$J$71+V211*$J$80</f>
        <v/>
      </c>
      <c r="W248" s="17">
        <f>W184*$J$55+W186*$J$61+W115*$J$66+W129*$J$71+W211*$J$80</f>
        <v/>
      </c>
      <c r="X248" s="17">
        <f>X184*$J$55+X186*$J$61+X115*$J$66+X129*$J$71+X211*$J$80</f>
        <v/>
      </c>
      <c r="Y248" s="17">
        <f>Y184*$J$55+Y186*$J$61+Y115*$J$66+Y129*$J$71+Y211*$J$80</f>
        <v/>
      </c>
      <c r="Z248" s="17">
        <f>Z184*$J$55+Z186*$J$61+Z115*$J$66+Z129*$J$71+Z211*$J$80</f>
        <v/>
      </c>
      <c r="AA248" s="17">
        <f>AA184*$J$55+AA186*$J$61+AA115*$J$66+AA129*$J$71+AA211*$J$80</f>
        <v/>
      </c>
      <c r="AB248" s="17">
        <f>AB184*$J$55+AB186*$J$61+AB115*$J$66+AB129*$J$71+AB211*$J$80</f>
        <v/>
      </c>
      <c r="AC248" s="17">
        <f>AC184*$J$55+AC186*$J$61+AC115*$J$66+AC129*$J$71+AC211*$J$80</f>
        <v/>
      </c>
      <c r="AD248" s="17">
        <f>AD184*$J$55+AD186*$J$61+AD115*$J$66+AD129*$J$71+AD211*$J$80</f>
        <v/>
      </c>
      <c r="AE248" s="17">
        <f>AE184*$J$55+AE186*$J$61+AE115*$J$66+AE129*$J$71+AE211*$J$80</f>
        <v/>
      </c>
      <c r="AF248" s="17">
        <f>AF184*$J$55+AF186*$J$61+AF115*$J$66+AF129*$J$71+AF211*$J$80</f>
        <v/>
      </c>
      <c r="AG248" s="17">
        <f>AG184*$J$55+AG186*$J$61+AG115*$J$66+AG129*$J$71+AG211*$J$80</f>
        <v/>
      </c>
      <c r="AH248" s="17">
        <f>AH184*$J$55+AH186*$J$61+AH115*$J$66+AH129*$J$71+AH211*$J$80</f>
        <v/>
      </c>
      <c r="AI248" s="17">
        <f>AI184*$J$55+AI186*$J$61+AI115*$J$66+AI129*$J$71+AI211*$J$80</f>
        <v/>
      </c>
      <c r="AJ248" s="17">
        <f>AJ184*$J$55+AJ186*$J$61+AJ115*$J$66+AJ129*$J$71+AJ211*$J$80</f>
        <v/>
      </c>
      <c r="AK248" s="17">
        <f>AK184*$J$55+AK186*$J$61+AK115*$J$66+AK129*$J$71+AK211*$J$80</f>
        <v/>
      </c>
      <c r="AL248" s="17">
        <f>AL184*$J$55+AL186*$J$61+AL115*$J$66+AL129*$J$71+AL211*$J$80</f>
        <v/>
      </c>
      <c r="AM248" s="17">
        <f>AM184*$J$55+AM186*$J$61+AM115*$J$66+AM129*$J$71+AM211*$J$80</f>
        <v/>
      </c>
      <c r="AN248" s="17">
        <f>AN184*$J$55+AN186*$J$61+AN115*$J$66+AN129*$J$71+AN211*$J$80</f>
        <v/>
      </c>
    </row>
    <row r="249">
      <c r="A249" s="9" t="n">
        <v>12</v>
      </c>
      <c r="B249" s="9" t="inlineStr"/>
      <c r="C249" s="9" t="inlineStr"/>
      <c r="D249" s="9" t="inlineStr">
        <is>
          <t>Investment, P3 contracted revenue, net zero</t>
        </is>
      </c>
      <c r="E249" s="9" t="inlineStr">
        <is>
          <t>USD bn</t>
        </is>
      </c>
      <c r="F249" s="9" t="inlineStr">
        <is>
          <t>Model</t>
        </is>
      </c>
      <c r="G249" s="18" t="n"/>
      <c r="H249" s="18" t="inlineStr">
        <is>
          <t>mit.typ.p3.2</t>
        </is>
      </c>
      <c r="I249" s="9" t="n"/>
      <c r="J249" s="9" t="n"/>
      <c r="K249" s="17" t="n"/>
      <c r="L249" s="17" t="n"/>
      <c r="M249" s="17" t="n"/>
      <c r="N249" s="19">
        <f>0</f>
        <v/>
      </c>
      <c r="O249" s="17">
        <f>O184*$J$56+O186*$J$62+O115*$J$67+O129*$J$72+O211*$J$81</f>
        <v/>
      </c>
      <c r="P249" s="17">
        <f>P184*$J$56+P186*$J$62+P115*$J$67+P129*$J$72+P211*$J$81</f>
        <v/>
      </c>
      <c r="Q249" s="17">
        <f>Q184*$J$56+Q186*$J$62+Q115*$J$67+Q129*$J$72+Q211*$J$81</f>
        <v/>
      </c>
      <c r="R249" s="17">
        <f>R184*$J$56+R186*$J$62+R115*$J$67+R129*$J$72+R211*$J$81</f>
        <v/>
      </c>
      <c r="S249" s="17">
        <f>S184*$J$56+S186*$J$62+S115*$J$67+S129*$J$72+S211*$J$81</f>
        <v/>
      </c>
      <c r="T249" s="17">
        <f>T184*$J$56+T186*$J$62+T115*$J$67+T129*$J$72+T211*$J$81</f>
        <v/>
      </c>
      <c r="U249" s="17">
        <f>U184*$J$56+U186*$J$62+U115*$J$67+U129*$J$72+U211*$J$81</f>
        <v/>
      </c>
      <c r="V249" s="17">
        <f>V184*$J$56+V186*$J$62+V115*$J$67+V129*$J$72+V211*$J$81</f>
        <v/>
      </c>
      <c r="W249" s="17">
        <f>W184*$J$56+W186*$J$62+W115*$J$67+W129*$J$72+W211*$J$81</f>
        <v/>
      </c>
      <c r="X249" s="17">
        <f>X184*$J$56+X186*$J$62+X115*$J$67+X129*$J$72+X211*$J$81</f>
        <v/>
      </c>
      <c r="Y249" s="17">
        <f>Y184*$J$56+Y186*$J$62+Y115*$J$67+Y129*$J$72+Y211*$J$81</f>
        <v/>
      </c>
      <c r="Z249" s="17">
        <f>Z184*$J$56+Z186*$J$62+Z115*$J$67+Z129*$J$72+Z211*$J$81</f>
        <v/>
      </c>
      <c r="AA249" s="17">
        <f>AA184*$J$56+AA186*$J$62+AA115*$J$67+AA129*$J$72+AA211*$J$81</f>
        <v/>
      </c>
      <c r="AB249" s="17">
        <f>AB184*$J$56+AB186*$J$62+AB115*$J$67+AB129*$J$72+AB211*$J$81</f>
        <v/>
      </c>
      <c r="AC249" s="17">
        <f>AC184*$J$56+AC186*$J$62+AC115*$J$67+AC129*$J$72+AC211*$J$81</f>
        <v/>
      </c>
      <c r="AD249" s="17">
        <f>AD184*$J$56+AD186*$J$62+AD115*$J$67+AD129*$J$72+AD211*$J$81</f>
        <v/>
      </c>
      <c r="AE249" s="17">
        <f>AE184*$J$56+AE186*$J$62+AE115*$J$67+AE129*$J$72+AE211*$J$81</f>
        <v/>
      </c>
      <c r="AF249" s="17">
        <f>AF184*$J$56+AF186*$J$62+AF115*$J$67+AF129*$J$72+AF211*$J$81</f>
        <v/>
      </c>
      <c r="AG249" s="17">
        <f>AG184*$J$56+AG186*$J$62+AG115*$J$67+AG129*$J$72+AG211*$J$81</f>
        <v/>
      </c>
      <c r="AH249" s="17">
        <f>AH184*$J$56+AH186*$J$62+AH115*$J$67+AH129*$J$72+AH211*$J$81</f>
        <v/>
      </c>
      <c r="AI249" s="17">
        <f>AI184*$J$56+AI186*$J$62+AI115*$J$67+AI129*$J$72+AI211*$J$81</f>
        <v/>
      </c>
      <c r="AJ249" s="17">
        <f>AJ184*$J$56+AJ186*$J$62+AJ115*$J$67+AJ129*$J$72+AJ211*$J$81</f>
        <v/>
      </c>
      <c r="AK249" s="17">
        <f>AK184*$J$56+AK186*$J$62+AK115*$J$67+AK129*$J$72+AK211*$J$81</f>
        <v/>
      </c>
      <c r="AL249" s="17">
        <f>AL184*$J$56+AL186*$J$62+AL115*$J$67+AL129*$J$72+AL211*$J$81</f>
        <v/>
      </c>
      <c r="AM249" s="17">
        <f>AM184*$J$56+AM186*$J$62+AM115*$J$67+AM129*$J$72+AM211*$J$81</f>
        <v/>
      </c>
      <c r="AN249" s="17">
        <f>AN184*$J$56+AN186*$J$62+AN115*$J$67+AN129*$J$72+AN211*$J$81</f>
        <v/>
      </c>
    </row>
    <row r="250">
      <c r="A250" s="9" t="n">
        <v>12</v>
      </c>
      <c r="B250" s="9" t="inlineStr"/>
      <c r="C250" s="9" t="inlineStr"/>
      <c r="D250" s="9" t="inlineStr">
        <is>
          <t>Investment, P4 viability gap, net zero</t>
        </is>
      </c>
      <c r="E250" s="9" t="inlineStr">
        <is>
          <t>USD bn</t>
        </is>
      </c>
      <c r="F250" s="9" t="inlineStr">
        <is>
          <t>Model</t>
        </is>
      </c>
      <c r="G250" s="18" t="n"/>
      <c r="H250" s="18" t="inlineStr">
        <is>
          <t>mit.typ.p4.2</t>
        </is>
      </c>
      <c r="I250" s="9" t="n"/>
      <c r="J250" s="9" t="n"/>
      <c r="K250" s="17" t="n"/>
      <c r="L250" s="17" t="n"/>
      <c r="M250" s="17" t="n"/>
      <c r="N250" s="19">
        <f>0</f>
        <v/>
      </c>
      <c r="O250" s="17">
        <f>O184*$J$57+O186*$J$63+O115*$J$68+O129*$J$73+O211*$J$82+O142*$J$75+O143+O194*(1-$J$76-$J$77)+O195*(1-$J$78)+O205</f>
        <v/>
      </c>
      <c r="P250" s="17">
        <f>P184*$J$57+P186*$J$63+P115*$J$68+P129*$J$73+P211*$J$82+P142*$J$75+P143+P194*(1-$J$76-$J$77)+P195*(1-$J$78)+P205</f>
        <v/>
      </c>
      <c r="Q250" s="17">
        <f>Q184*$J$57+Q186*$J$63+Q115*$J$68+Q129*$J$73+Q211*$J$82+Q142*$J$75+Q143+Q194*(1-$J$76-$J$77)+Q195*(1-$J$78)+Q205</f>
        <v/>
      </c>
      <c r="R250" s="17">
        <f>R184*$J$57+R186*$J$63+R115*$J$68+R129*$J$73+R211*$J$82+R142*$J$75+R143+R194*(1-$J$76-$J$77)+R195*(1-$J$78)+R205</f>
        <v/>
      </c>
      <c r="S250" s="17">
        <f>S184*$J$57+S186*$J$63+S115*$J$68+S129*$J$73+S211*$J$82+S142*$J$75+S143+S194*(1-$J$76-$J$77)+S195*(1-$J$78)+S205</f>
        <v/>
      </c>
      <c r="T250" s="17">
        <f>T184*$J$57+T186*$J$63+T115*$J$68+T129*$J$73+T211*$J$82+T142*$J$75+T143+T194*(1-$J$76-$J$77)+T195*(1-$J$78)+T205</f>
        <v/>
      </c>
      <c r="U250" s="17">
        <f>U184*$J$57+U186*$J$63+U115*$J$68+U129*$J$73+U211*$J$82+U142*$J$75+U143+U194*(1-$J$76-$J$77)+U195*(1-$J$78)+U205</f>
        <v/>
      </c>
      <c r="V250" s="17">
        <f>V184*$J$57+V186*$J$63+V115*$J$68+V129*$J$73+V211*$J$82+V142*$J$75+V143+V194*(1-$J$76-$J$77)+V195*(1-$J$78)+V205</f>
        <v/>
      </c>
      <c r="W250" s="17">
        <f>W184*$J$57+W186*$J$63+W115*$J$68+W129*$J$73+W211*$J$82+W142*$J$75+W143+W194*(1-$J$76-$J$77)+W195*(1-$J$78)+W205</f>
        <v/>
      </c>
      <c r="X250" s="17">
        <f>X184*$J$57+X186*$J$63+X115*$J$68+X129*$J$73+X211*$J$82+X142*$J$75+X143+X194*(1-$J$76-$J$77)+X195*(1-$J$78)+X205</f>
        <v/>
      </c>
      <c r="Y250" s="17">
        <f>Y184*$J$57+Y186*$J$63+Y115*$J$68+Y129*$J$73+Y211*$J$82+Y142*$J$75+Y143+Y194*(1-$J$76-$J$77)+Y195*(1-$J$78)+Y205</f>
        <v/>
      </c>
      <c r="Z250" s="17">
        <f>Z184*$J$57+Z186*$J$63+Z115*$J$68+Z129*$J$73+Z211*$J$82+Z142*$J$75+Z143+Z194*(1-$J$76-$J$77)+Z195*(1-$J$78)+Z205</f>
        <v/>
      </c>
      <c r="AA250" s="17">
        <f>AA184*$J$57+AA186*$J$63+AA115*$J$68+AA129*$J$73+AA211*$J$82+AA142*$J$75+AA143+AA194*(1-$J$76-$J$77)+AA195*(1-$J$78)+AA205</f>
        <v/>
      </c>
      <c r="AB250" s="17">
        <f>AB184*$J$57+AB186*$J$63+AB115*$J$68+AB129*$J$73+AB211*$J$82+AB142*$J$75+AB143+AB194*(1-$J$76-$J$77)+AB195*(1-$J$78)+AB205</f>
        <v/>
      </c>
      <c r="AC250" s="17">
        <f>AC184*$J$57+AC186*$J$63+AC115*$J$68+AC129*$J$73+AC211*$J$82+AC142*$J$75+AC143+AC194*(1-$J$76-$J$77)+AC195*(1-$J$78)+AC205</f>
        <v/>
      </c>
      <c r="AD250" s="17">
        <f>AD184*$J$57+AD186*$J$63+AD115*$J$68+AD129*$J$73+AD211*$J$82+AD142*$J$75+AD143+AD194*(1-$J$76-$J$77)+AD195*(1-$J$78)+AD205</f>
        <v/>
      </c>
      <c r="AE250" s="17">
        <f>AE184*$J$57+AE186*$J$63+AE115*$J$68+AE129*$J$73+AE211*$J$82+AE142*$J$75+AE143+AE194*(1-$J$76-$J$77)+AE195*(1-$J$78)+AE205</f>
        <v/>
      </c>
      <c r="AF250" s="17">
        <f>AF184*$J$57+AF186*$J$63+AF115*$J$68+AF129*$J$73+AF211*$J$82+AF142*$J$75+AF143+AF194*(1-$J$76-$J$77)+AF195*(1-$J$78)+AF205</f>
        <v/>
      </c>
      <c r="AG250" s="17">
        <f>AG184*$J$57+AG186*$J$63+AG115*$J$68+AG129*$J$73+AG211*$J$82+AG142*$J$75+AG143+AG194*(1-$J$76-$J$77)+AG195*(1-$J$78)+AG205</f>
        <v/>
      </c>
      <c r="AH250" s="17">
        <f>AH184*$J$57+AH186*$J$63+AH115*$J$68+AH129*$J$73+AH211*$J$82+AH142*$J$75+AH143+AH194*(1-$J$76-$J$77)+AH195*(1-$J$78)+AH205</f>
        <v/>
      </c>
      <c r="AI250" s="17">
        <f>AI184*$J$57+AI186*$J$63+AI115*$J$68+AI129*$J$73+AI211*$J$82+AI142*$J$75+AI143+AI194*(1-$J$76-$J$77)+AI195*(1-$J$78)+AI205</f>
        <v/>
      </c>
      <c r="AJ250" s="17">
        <f>AJ184*$J$57+AJ186*$J$63+AJ115*$J$68+AJ129*$J$73+AJ211*$J$82+AJ142*$J$75+AJ143+AJ194*(1-$J$76-$J$77)+AJ195*(1-$J$78)+AJ205</f>
        <v/>
      </c>
      <c r="AK250" s="17">
        <f>AK184*$J$57+AK186*$J$63+AK115*$J$68+AK129*$J$73+AK211*$J$82+AK142*$J$75+AK143+AK194*(1-$J$76-$J$77)+AK195*(1-$J$78)+AK205</f>
        <v/>
      </c>
      <c r="AL250" s="17">
        <f>AL184*$J$57+AL186*$J$63+AL115*$J$68+AL129*$J$73+AL211*$J$82+AL142*$J$75+AL143+AL194*(1-$J$76-$J$77)+AL195*(1-$J$78)+AL205</f>
        <v/>
      </c>
      <c r="AM250" s="17">
        <f>AM184*$J$57+AM186*$J$63+AM115*$J$68+AM129*$J$73+AM211*$J$82+AM142*$J$75+AM143+AM194*(1-$J$76-$J$77)+AM195*(1-$J$78)+AM205</f>
        <v/>
      </c>
      <c r="AN250" s="17">
        <f>AN184*$J$57+AN186*$J$63+AN115*$J$68+AN129*$J$73+AN211*$J$82+AN142*$J$75+AN143+AN194*(1-$J$76-$J$77)+AN195*(1-$J$78)+AN205</f>
        <v/>
      </c>
    </row>
    <row r="251">
      <c r="A251" s="9" t="n">
        <v>12</v>
      </c>
      <c r="B251" s="9" t="inlineStr"/>
      <c r="C251" s="9" t="inlineStr"/>
      <c r="D251" s="9" t="inlineStr">
        <is>
          <t>Investment, P5 pure private, net zero</t>
        </is>
      </c>
      <c r="E251" s="9" t="inlineStr">
        <is>
          <t>USD bn</t>
        </is>
      </c>
      <c r="F251" s="9" t="inlineStr">
        <is>
          <t>Model</t>
        </is>
      </c>
      <c r="G251" s="18" t="n"/>
      <c r="H251" s="18" t="inlineStr">
        <is>
          <t>mit.typ.p5.2</t>
        </is>
      </c>
      <c r="I251" s="9" t="n"/>
      <c r="J251" s="9" t="n"/>
      <c r="K251" s="17" t="n"/>
      <c r="L251" s="17" t="n"/>
      <c r="M251" s="17" t="n"/>
      <c r="N251" s="19">
        <f>0</f>
        <v/>
      </c>
      <c r="O251" s="17">
        <f>O184*$J$58+O186*$J$64+O115*$J$69+O129*$J$74+O211*$J$83+O142*(1-$J$75)+O194*$J$77</f>
        <v/>
      </c>
      <c r="P251" s="17">
        <f>P184*$J$58+P186*$J$64+P115*$J$69+P129*$J$74+P211*$J$83+P142*(1-$J$75)+P194*$J$77</f>
        <v/>
      </c>
      <c r="Q251" s="17">
        <f>Q184*$J$58+Q186*$J$64+Q115*$J$69+Q129*$J$74+Q211*$J$83+Q142*(1-$J$75)+Q194*$J$77</f>
        <v/>
      </c>
      <c r="R251" s="17">
        <f>R184*$J$58+R186*$J$64+R115*$J$69+R129*$J$74+R211*$J$83+R142*(1-$J$75)+R194*$J$77</f>
        <v/>
      </c>
      <c r="S251" s="17">
        <f>S184*$J$58+S186*$J$64+S115*$J$69+S129*$J$74+S211*$J$83+S142*(1-$J$75)+S194*$J$77</f>
        <v/>
      </c>
      <c r="T251" s="17">
        <f>T184*$J$58+T186*$J$64+T115*$J$69+T129*$J$74+T211*$J$83+T142*(1-$J$75)+T194*$J$77</f>
        <v/>
      </c>
      <c r="U251" s="17">
        <f>U184*$J$58+U186*$J$64+U115*$J$69+U129*$J$74+U211*$J$83+U142*(1-$J$75)+U194*$J$77</f>
        <v/>
      </c>
      <c r="V251" s="17">
        <f>V184*$J$58+V186*$J$64+V115*$J$69+V129*$J$74+V211*$J$83+V142*(1-$J$75)+V194*$J$77</f>
        <v/>
      </c>
      <c r="W251" s="17">
        <f>W184*$J$58+W186*$J$64+W115*$J$69+W129*$J$74+W211*$J$83+W142*(1-$J$75)+W194*$J$77</f>
        <v/>
      </c>
      <c r="X251" s="17">
        <f>X184*$J$58+X186*$J$64+X115*$J$69+X129*$J$74+X211*$J$83+X142*(1-$J$75)+X194*$J$77</f>
        <v/>
      </c>
      <c r="Y251" s="17">
        <f>Y184*$J$58+Y186*$J$64+Y115*$J$69+Y129*$J$74+Y211*$J$83+Y142*(1-$J$75)+Y194*$J$77</f>
        <v/>
      </c>
      <c r="Z251" s="17">
        <f>Z184*$J$58+Z186*$J$64+Z115*$J$69+Z129*$J$74+Z211*$J$83+Z142*(1-$J$75)+Z194*$J$77</f>
        <v/>
      </c>
      <c r="AA251" s="17">
        <f>AA184*$J$58+AA186*$J$64+AA115*$J$69+AA129*$J$74+AA211*$J$83+AA142*(1-$J$75)+AA194*$J$77</f>
        <v/>
      </c>
      <c r="AB251" s="17">
        <f>AB184*$J$58+AB186*$J$64+AB115*$J$69+AB129*$J$74+AB211*$J$83+AB142*(1-$J$75)+AB194*$J$77</f>
        <v/>
      </c>
      <c r="AC251" s="17">
        <f>AC184*$J$58+AC186*$J$64+AC115*$J$69+AC129*$J$74+AC211*$J$83+AC142*(1-$J$75)+AC194*$J$77</f>
        <v/>
      </c>
      <c r="AD251" s="17">
        <f>AD184*$J$58+AD186*$J$64+AD115*$J$69+AD129*$J$74+AD211*$J$83+AD142*(1-$J$75)+AD194*$J$77</f>
        <v/>
      </c>
      <c r="AE251" s="17">
        <f>AE184*$J$58+AE186*$J$64+AE115*$J$69+AE129*$J$74+AE211*$J$83+AE142*(1-$J$75)+AE194*$J$77</f>
        <v/>
      </c>
      <c r="AF251" s="17">
        <f>AF184*$J$58+AF186*$J$64+AF115*$J$69+AF129*$J$74+AF211*$J$83+AF142*(1-$J$75)+AF194*$J$77</f>
        <v/>
      </c>
      <c r="AG251" s="17">
        <f>AG184*$J$58+AG186*$J$64+AG115*$J$69+AG129*$J$74+AG211*$J$83+AG142*(1-$J$75)+AG194*$J$77</f>
        <v/>
      </c>
      <c r="AH251" s="17">
        <f>AH184*$J$58+AH186*$J$64+AH115*$J$69+AH129*$J$74+AH211*$J$83+AH142*(1-$J$75)+AH194*$J$77</f>
        <v/>
      </c>
      <c r="AI251" s="17">
        <f>AI184*$J$58+AI186*$J$64+AI115*$J$69+AI129*$J$74+AI211*$J$83+AI142*(1-$J$75)+AI194*$J$77</f>
        <v/>
      </c>
      <c r="AJ251" s="17">
        <f>AJ184*$J$58+AJ186*$J$64+AJ115*$J$69+AJ129*$J$74+AJ211*$J$83+AJ142*(1-$J$75)+AJ194*$J$77</f>
        <v/>
      </c>
      <c r="AK251" s="17">
        <f>AK184*$J$58+AK186*$J$64+AK115*$J$69+AK129*$J$74+AK211*$J$83+AK142*(1-$J$75)+AK194*$J$77</f>
        <v/>
      </c>
      <c r="AL251" s="17">
        <f>AL184*$J$58+AL186*$J$64+AL115*$J$69+AL129*$J$74+AL211*$J$83+AL142*(1-$J$75)+AL194*$J$77</f>
        <v/>
      </c>
      <c r="AM251" s="17">
        <f>AM184*$J$58+AM186*$J$64+AM115*$J$69+AM129*$J$74+AM211*$J$83+AM142*(1-$J$75)+AM194*$J$77</f>
        <v/>
      </c>
      <c r="AN251" s="17">
        <f>AN184*$J$58+AN186*$J$64+AN115*$J$69+AN129*$J$74+AN211*$J$83+AN142*(1-$J$75)+AN194*$J$77</f>
        <v/>
      </c>
    </row>
    <row r="252">
      <c r="A252" s="9" t="n">
        <v>12</v>
      </c>
      <c r="B252" s="9" t="inlineStr"/>
      <c r="C252" s="9" t="inlineStr"/>
      <c r="D252" s="9" t="inlineStr">
        <is>
          <t>Incremental investment, P1 pure public</t>
        </is>
      </c>
      <c r="E252" s="9" t="inlineStr">
        <is>
          <t>USD bn</t>
        </is>
      </c>
      <c r="F252" s="9" t="inlineStr">
        <is>
          <t>Model</t>
        </is>
      </c>
      <c r="G252" s="18" t="n"/>
      <c r="H252" s="18" t="inlineStr">
        <is>
          <t>mit.dtyp.p1</t>
        </is>
      </c>
      <c r="I252" s="9" t="n"/>
      <c r="J252" s="9" t="n"/>
      <c r="K252" s="17" t="n"/>
      <c r="L252" s="17" t="n"/>
      <c r="M252" s="17" t="n"/>
      <c r="N252" s="19">
        <f>0</f>
        <v/>
      </c>
      <c r="O252" s="17">
        <f>O247-O242</f>
        <v/>
      </c>
      <c r="P252" s="17">
        <f>P247-P242</f>
        <v/>
      </c>
      <c r="Q252" s="17">
        <f>Q247-Q242</f>
        <v/>
      </c>
      <c r="R252" s="17">
        <f>R247-R242</f>
        <v/>
      </c>
      <c r="S252" s="17">
        <f>S247-S242</f>
        <v/>
      </c>
      <c r="T252" s="17">
        <f>T247-T242</f>
        <v/>
      </c>
      <c r="U252" s="17">
        <f>U247-U242</f>
        <v/>
      </c>
      <c r="V252" s="17">
        <f>V247-V242</f>
        <v/>
      </c>
      <c r="W252" s="17">
        <f>W247-W242</f>
        <v/>
      </c>
      <c r="X252" s="17">
        <f>X247-X242</f>
        <v/>
      </c>
      <c r="Y252" s="17">
        <f>Y247-Y242</f>
        <v/>
      </c>
      <c r="Z252" s="17">
        <f>Z247-Z242</f>
        <v/>
      </c>
      <c r="AA252" s="17">
        <f>AA247-AA242</f>
        <v/>
      </c>
      <c r="AB252" s="17">
        <f>AB247-AB242</f>
        <v/>
      </c>
      <c r="AC252" s="17">
        <f>AC247-AC242</f>
        <v/>
      </c>
      <c r="AD252" s="17">
        <f>AD247-AD242</f>
        <v/>
      </c>
      <c r="AE252" s="17">
        <f>AE247-AE242</f>
        <v/>
      </c>
      <c r="AF252" s="17">
        <f>AF247-AF242</f>
        <v/>
      </c>
      <c r="AG252" s="17">
        <f>AG247-AG242</f>
        <v/>
      </c>
      <c r="AH252" s="17">
        <f>AH247-AH242</f>
        <v/>
      </c>
      <c r="AI252" s="17">
        <f>AI247-AI242</f>
        <v/>
      </c>
      <c r="AJ252" s="17">
        <f>AJ247-AJ242</f>
        <v/>
      </c>
      <c r="AK252" s="17">
        <f>AK247-AK242</f>
        <v/>
      </c>
      <c r="AL252" s="17">
        <f>AL247-AL242</f>
        <v/>
      </c>
      <c r="AM252" s="17">
        <f>AM247-AM242</f>
        <v/>
      </c>
      <c r="AN252" s="17">
        <f>AN247-AN242</f>
        <v/>
      </c>
    </row>
    <row r="253">
      <c r="A253" s="9" t="n">
        <v>12</v>
      </c>
      <c r="B253" s="9" t="inlineStr"/>
      <c r="C253" s="9" t="inlineStr"/>
      <c r="D253" s="9" t="inlineStr">
        <is>
          <t>Incremental investment, P2 regulated utility</t>
        </is>
      </c>
      <c r="E253" s="9" t="inlineStr">
        <is>
          <t>USD bn</t>
        </is>
      </c>
      <c r="F253" s="9" t="inlineStr">
        <is>
          <t>Model</t>
        </is>
      </c>
      <c r="G253" s="18" t="n"/>
      <c r="H253" s="18" t="inlineStr">
        <is>
          <t>mit.dtyp.p2</t>
        </is>
      </c>
      <c r="I253" s="9" t="n"/>
      <c r="J253" s="9" t="n"/>
      <c r="K253" s="17" t="n"/>
      <c r="L253" s="17" t="n"/>
      <c r="M253" s="17" t="n"/>
      <c r="N253" s="19">
        <f>0</f>
        <v/>
      </c>
      <c r="O253" s="17">
        <f>O248-O243</f>
        <v/>
      </c>
      <c r="P253" s="17">
        <f>P248-P243</f>
        <v/>
      </c>
      <c r="Q253" s="17">
        <f>Q248-Q243</f>
        <v/>
      </c>
      <c r="R253" s="17">
        <f>R248-R243</f>
        <v/>
      </c>
      <c r="S253" s="17">
        <f>S248-S243</f>
        <v/>
      </c>
      <c r="T253" s="17">
        <f>T248-T243</f>
        <v/>
      </c>
      <c r="U253" s="17">
        <f>U248-U243</f>
        <v/>
      </c>
      <c r="V253" s="17">
        <f>V248-V243</f>
        <v/>
      </c>
      <c r="W253" s="17">
        <f>W248-W243</f>
        <v/>
      </c>
      <c r="X253" s="17">
        <f>X248-X243</f>
        <v/>
      </c>
      <c r="Y253" s="17">
        <f>Y248-Y243</f>
        <v/>
      </c>
      <c r="Z253" s="17">
        <f>Z248-Z243</f>
        <v/>
      </c>
      <c r="AA253" s="17">
        <f>AA248-AA243</f>
        <v/>
      </c>
      <c r="AB253" s="17">
        <f>AB248-AB243</f>
        <v/>
      </c>
      <c r="AC253" s="17">
        <f>AC248-AC243</f>
        <v/>
      </c>
      <c r="AD253" s="17">
        <f>AD248-AD243</f>
        <v/>
      </c>
      <c r="AE253" s="17">
        <f>AE248-AE243</f>
        <v/>
      </c>
      <c r="AF253" s="17">
        <f>AF248-AF243</f>
        <v/>
      </c>
      <c r="AG253" s="17">
        <f>AG248-AG243</f>
        <v/>
      </c>
      <c r="AH253" s="17">
        <f>AH248-AH243</f>
        <v/>
      </c>
      <c r="AI253" s="17">
        <f>AI248-AI243</f>
        <v/>
      </c>
      <c r="AJ253" s="17">
        <f>AJ248-AJ243</f>
        <v/>
      </c>
      <c r="AK253" s="17">
        <f>AK248-AK243</f>
        <v/>
      </c>
      <c r="AL253" s="17">
        <f>AL248-AL243</f>
        <v/>
      </c>
      <c r="AM253" s="17">
        <f>AM248-AM243</f>
        <v/>
      </c>
      <c r="AN253" s="17">
        <f>AN248-AN243</f>
        <v/>
      </c>
    </row>
    <row r="254">
      <c r="A254" s="9" t="n">
        <v>12</v>
      </c>
      <c r="B254" s="9" t="inlineStr"/>
      <c r="C254" s="9" t="inlineStr"/>
      <c r="D254" s="9" t="inlineStr">
        <is>
          <t>Incremental investment, P3 contracted revenue</t>
        </is>
      </c>
      <c r="E254" s="9" t="inlineStr">
        <is>
          <t>USD bn</t>
        </is>
      </c>
      <c r="F254" s="9" t="inlineStr">
        <is>
          <t>Model</t>
        </is>
      </c>
      <c r="G254" s="18" t="n"/>
      <c r="H254" s="18" t="inlineStr">
        <is>
          <t>mit.dtyp.p3</t>
        </is>
      </c>
      <c r="I254" s="9" t="n"/>
      <c r="J254" s="9" t="n"/>
      <c r="K254" s="17" t="n"/>
      <c r="L254" s="17" t="n"/>
      <c r="M254" s="17" t="n"/>
      <c r="N254" s="19">
        <f>0</f>
        <v/>
      </c>
      <c r="O254" s="17">
        <f>O249-O244</f>
        <v/>
      </c>
      <c r="P254" s="17">
        <f>P249-P244</f>
        <v/>
      </c>
      <c r="Q254" s="17">
        <f>Q249-Q244</f>
        <v/>
      </c>
      <c r="R254" s="17">
        <f>R249-R244</f>
        <v/>
      </c>
      <c r="S254" s="17">
        <f>S249-S244</f>
        <v/>
      </c>
      <c r="T254" s="17">
        <f>T249-T244</f>
        <v/>
      </c>
      <c r="U254" s="17">
        <f>U249-U244</f>
        <v/>
      </c>
      <c r="V254" s="17">
        <f>V249-V244</f>
        <v/>
      </c>
      <c r="W254" s="17">
        <f>W249-W244</f>
        <v/>
      </c>
      <c r="X254" s="17">
        <f>X249-X244</f>
        <v/>
      </c>
      <c r="Y254" s="17">
        <f>Y249-Y244</f>
        <v/>
      </c>
      <c r="Z254" s="17">
        <f>Z249-Z244</f>
        <v/>
      </c>
      <c r="AA254" s="17">
        <f>AA249-AA244</f>
        <v/>
      </c>
      <c r="AB254" s="17">
        <f>AB249-AB244</f>
        <v/>
      </c>
      <c r="AC254" s="17">
        <f>AC249-AC244</f>
        <v/>
      </c>
      <c r="AD254" s="17">
        <f>AD249-AD244</f>
        <v/>
      </c>
      <c r="AE254" s="17">
        <f>AE249-AE244</f>
        <v/>
      </c>
      <c r="AF254" s="17">
        <f>AF249-AF244</f>
        <v/>
      </c>
      <c r="AG254" s="17">
        <f>AG249-AG244</f>
        <v/>
      </c>
      <c r="AH254" s="17">
        <f>AH249-AH244</f>
        <v/>
      </c>
      <c r="AI254" s="17">
        <f>AI249-AI244</f>
        <v/>
      </c>
      <c r="AJ254" s="17">
        <f>AJ249-AJ244</f>
        <v/>
      </c>
      <c r="AK254" s="17">
        <f>AK249-AK244</f>
        <v/>
      </c>
      <c r="AL254" s="17">
        <f>AL249-AL244</f>
        <v/>
      </c>
      <c r="AM254" s="17">
        <f>AM249-AM244</f>
        <v/>
      </c>
      <c r="AN254" s="17">
        <f>AN249-AN244</f>
        <v/>
      </c>
    </row>
    <row r="255">
      <c r="A255" s="9" t="n">
        <v>12</v>
      </c>
      <c r="B255" s="9" t="inlineStr"/>
      <c r="C255" s="9" t="inlineStr"/>
      <c r="D255" s="9" t="inlineStr">
        <is>
          <t>Incremental investment, P4 viability gap</t>
        </is>
      </c>
      <c r="E255" s="9" t="inlineStr">
        <is>
          <t>USD bn</t>
        </is>
      </c>
      <c r="F255" s="9" t="inlineStr">
        <is>
          <t>Model</t>
        </is>
      </c>
      <c r="G255" s="18" t="n"/>
      <c r="H255" s="18" t="inlineStr">
        <is>
          <t>mit.dtyp.p4</t>
        </is>
      </c>
      <c r="I255" s="9" t="n"/>
      <c r="J255" s="9" t="n"/>
      <c r="K255" s="17" t="n"/>
      <c r="L255" s="17" t="n"/>
      <c r="M255" s="17" t="n"/>
      <c r="N255" s="19">
        <f>0</f>
        <v/>
      </c>
      <c r="O255" s="17">
        <f>O250-O245</f>
        <v/>
      </c>
      <c r="P255" s="17">
        <f>P250-P245</f>
        <v/>
      </c>
      <c r="Q255" s="17">
        <f>Q250-Q245</f>
        <v/>
      </c>
      <c r="R255" s="17">
        <f>R250-R245</f>
        <v/>
      </c>
      <c r="S255" s="17">
        <f>S250-S245</f>
        <v/>
      </c>
      <c r="T255" s="17">
        <f>T250-T245</f>
        <v/>
      </c>
      <c r="U255" s="17">
        <f>U250-U245</f>
        <v/>
      </c>
      <c r="V255" s="17">
        <f>V250-V245</f>
        <v/>
      </c>
      <c r="W255" s="17">
        <f>W250-W245</f>
        <v/>
      </c>
      <c r="X255" s="17">
        <f>X250-X245</f>
        <v/>
      </c>
      <c r="Y255" s="17">
        <f>Y250-Y245</f>
        <v/>
      </c>
      <c r="Z255" s="17">
        <f>Z250-Z245</f>
        <v/>
      </c>
      <c r="AA255" s="17">
        <f>AA250-AA245</f>
        <v/>
      </c>
      <c r="AB255" s="17">
        <f>AB250-AB245</f>
        <v/>
      </c>
      <c r="AC255" s="17">
        <f>AC250-AC245</f>
        <v/>
      </c>
      <c r="AD255" s="17">
        <f>AD250-AD245</f>
        <v/>
      </c>
      <c r="AE255" s="17">
        <f>AE250-AE245</f>
        <v/>
      </c>
      <c r="AF255" s="17">
        <f>AF250-AF245</f>
        <v/>
      </c>
      <c r="AG255" s="17">
        <f>AG250-AG245</f>
        <v/>
      </c>
      <c r="AH255" s="17">
        <f>AH250-AH245</f>
        <v/>
      </c>
      <c r="AI255" s="17">
        <f>AI250-AI245</f>
        <v/>
      </c>
      <c r="AJ255" s="17">
        <f>AJ250-AJ245</f>
        <v/>
      </c>
      <c r="AK255" s="17">
        <f>AK250-AK245</f>
        <v/>
      </c>
      <c r="AL255" s="17">
        <f>AL250-AL245</f>
        <v/>
      </c>
      <c r="AM255" s="17">
        <f>AM250-AM245</f>
        <v/>
      </c>
      <c r="AN255" s="17">
        <f>AN250-AN245</f>
        <v/>
      </c>
    </row>
    <row r="256">
      <c r="A256" s="9" t="n">
        <v>12</v>
      </c>
      <c r="B256" s="9" t="inlineStr"/>
      <c r="C256" s="9" t="inlineStr"/>
      <c r="D256" s="9" t="inlineStr">
        <is>
          <t>Incremental investment, P5 pure private</t>
        </is>
      </c>
      <c r="E256" s="9" t="inlineStr">
        <is>
          <t>USD bn</t>
        </is>
      </c>
      <c r="F256" s="9" t="inlineStr">
        <is>
          <t>Model</t>
        </is>
      </c>
      <c r="G256" s="18" t="n"/>
      <c r="H256" s="18" t="inlineStr">
        <is>
          <t>mit.dtyp.p5</t>
        </is>
      </c>
      <c r="I256" s="9" t="n"/>
      <c r="J256" s="9" t="n"/>
      <c r="K256" s="17" t="n"/>
      <c r="L256" s="17" t="n"/>
      <c r="M256" s="17" t="n"/>
      <c r="N256" s="19">
        <f>0</f>
        <v/>
      </c>
      <c r="O256" s="17">
        <f>O251-O246</f>
        <v/>
      </c>
      <c r="P256" s="17">
        <f>P251-P246</f>
        <v/>
      </c>
      <c r="Q256" s="17">
        <f>Q251-Q246</f>
        <v/>
      </c>
      <c r="R256" s="17">
        <f>R251-R246</f>
        <v/>
      </c>
      <c r="S256" s="17">
        <f>S251-S246</f>
        <v/>
      </c>
      <c r="T256" s="17">
        <f>T251-T246</f>
        <v/>
      </c>
      <c r="U256" s="17">
        <f>U251-U246</f>
        <v/>
      </c>
      <c r="V256" s="17">
        <f>V251-V246</f>
        <v/>
      </c>
      <c r="W256" s="17">
        <f>W251-W246</f>
        <v/>
      </c>
      <c r="X256" s="17">
        <f>X251-X246</f>
        <v/>
      </c>
      <c r="Y256" s="17">
        <f>Y251-Y246</f>
        <v/>
      </c>
      <c r="Z256" s="17">
        <f>Z251-Z246</f>
        <v/>
      </c>
      <c r="AA256" s="17">
        <f>AA251-AA246</f>
        <v/>
      </c>
      <c r="AB256" s="17">
        <f>AB251-AB246</f>
        <v/>
      </c>
      <c r="AC256" s="17">
        <f>AC251-AC246</f>
        <v/>
      </c>
      <c r="AD256" s="17">
        <f>AD251-AD246</f>
        <v/>
      </c>
      <c r="AE256" s="17">
        <f>AE251-AE246</f>
        <v/>
      </c>
      <c r="AF256" s="17">
        <f>AF251-AF246</f>
        <v/>
      </c>
      <c r="AG256" s="17">
        <f>AG251-AG246</f>
        <v/>
      </c>
      <c r="AH256" s="17">
        <f>AH251-AH246</f>
        <v/>
      </c>
      <c r="AI256" s="17">
        <f>AI251-AI246</f>
        <v/>
      </c>
      <c r="AJ256" s="17">
        <f>AJ251-AJ246</f>
        <v/>
      </c>
      <c r="AK256" s="17">
        <f>AK251-AK246</f>
        <v/>
      </c>
      <c r="AL256" s="17">
        <f>AL251-AL246</f>
        <v/>
      </c>
      <c r="AM256" s="17">
        <f>AM251-AM246</f>
        <v/>
      </c>
      <c r="AN256" s="17">
        <f>AN251-AN246</f>
        <v/>
      </c>
    </row>
    <row r="257">
      <c r="A257" s="9" t="n">
        <v>12</v>
      </c>
      <c r="B257" s="9" t="inlineStr"/>
      <c r="C257" s="9" t="inlineStr"/>
      <c r="D257" s="9" t="inlineStr">
        <is>
          <t>Direct budget need, net zero: P1 + public gap share of P4</t>
        </is>
      </c>
      <c r="E257" s="9" t="inlineStr">
        <is>
          <t>USD bn</t>
        </is>
      </c>
      <c r="F257" s="9" t="inlineStr">
        <is>
          <t>Model</t>
        </is>
      </c>
      <c r="G257" s="18" t="n"/>
      <c r="H257" s="18" t="inlineStr">
        <is>
          <t>mit.typ.bud.2</t>
        </is>
      </c>
      <c r="I257" s="9" t="n"/>
      <c r="J257" s="9" t="n"/>
      <c r="K257" s="17" t="n"/>
      <c r="L257" s="17" t="n"/>
      <c r="M257" s="17" t="n"/>
      <c r="N257" s="19">
        <f>0</f>
        <v/>
      </c>
      <c r="O257" s="17">
        <f>O247+p_ty_p4_gap*O250</f>
        <v/>
      </c>
      <c r="P257" s="17">
        <f>P247+p_ty_p4_gap*P250</f>
        <v/>
      </c>
      <c r="Q257" s="17">
        <f>Q247+p_ty_p4_gap*Q250</f>
        <v/>
      </c>
      <c r="R257" s="17">
        <f>R247+p_ty_p4_gap*R250</f>
        <v/>
      </c>
      <c r="S257" s="17">
        <f>S247+p_ty_p4_gap*S250</f>
        <v/>
      </c>
      <c r="T257" s="17">
        <f>T247+p_ty_p4_gap*T250</f>
        <v/>
      </c>
      <c r="U257" s="17">
        <f>U247+p_ty_p4_gap*U250</f>
        <v/>
      </c>
      <c r="V257" s="17">
        <f>V247+p_ty_p4_gap*V250</f>
        <v/>
      </c>
      <c r="W257" s="17">
        <f>W247+p_ty_p4_gap*W250</f>
        <v/>
      </c>
      <c r="X257" s="17">
        <f>X247+p_ty_p4_gap*X250</f>
        <v/>
      </c>
      <c r="Y257" s="17">
        <f>Y247+p_ty_p4_gap*Y250</f>
        <v/>
      </c>
      <c r="Z257" s="17">
        <f>Z247+p_ty_p4_gap*Z250</f>
        <v/>
      </c>
      <c r="AA257" s="17">
        <f>AA247+p_ty_p4_gap*AA250</f>
        <v/>
      </c>
      <c r="AB257" s="17">
        <f>AB247+p_ty_p4_gap*AB250</f>
        <v/>
      </c>
      <c r="AC257" s="17">
        <f>AC247+p_ty_p4_gap*AC250</f>
        <v/>
      </c>
      <c r="AD257" s="17">
        <f>AD247+p_ty_p4_gap*AD250</f>
        <v/>
      </c>
      <c r="AE257" s="17">
        <f>AE247+p_ty_p4_gap*AE250</f>
        <v/>
      </c>
      <c r="AF257" s="17">
        <f>AF247+p_ty_p4_gap*AF250</f>
        <v/>
      </c>
      <c r="AG257" s="17">
        <f>AG247+p_ty_p4_gap*AG250</f>
        <v/>
      </c>
      <c r="AH257" s="17">
        <f>AH247+p_ty_p4_gap*AH250</f>
        <v/>
      </c>
      <c r="AI257" s="17">
        <f>AI247+p_ty_p4_gap*AI250</f>
        <v/>
      </c>
      <c r="AJ257" s="17">
        <f>AJ247+p_ty_p4_gap*AJ250</f>
        <v/>
      </c>
      <c r="AK257" s="17">
        <f>AK247+p_ty_p4_gap*AK250</f>
        <v/>
      </c>
      <c r="AL257" s="17">
        <f>AL247+p_ty_p4_gap*AL250</f>
        <v/>
      </c>
      <c r="AM257" s="17">
        <f>AM247+p_ty_p4_gap*AM250</f>
        <v/>
      </c>
      <c r="AN257" s="17">
        <f>AN247+p_ty_p4_gap*AN250</f>
        <v/>
      </c>
    </row>
    <row r="258">
      <c r="A258" s="9" t="n">
        <v>12</v>
      </c>
      <c r="B258" s="9" t="inlineStr"/>
      <c r="C258" s="9" t="inlineStr"/>
      <c r="D258" s="9" t="inlineStr">
        <is>
          <t>Direct budget need, incremental: P1 + public gap share of P4</t>
        </is>
      </c>
      <c r="E258" s="9" t="inlineStr">
        <is>
          <t>USD bn</t>
        </is>
      </c>
      <c r="F258" s="9" t="inlineStr">
        <is>
          <t>Model</t>
        </is>
      </c>
      <c r="G258" s="18" t="n"/>
      <c r="H258" s="18" t="inlineStr">
        <is>
          <t>mit.dtyp.bud</t>
        </is>
      </c>
      <c r="I258" s="9" t="n"/>
      <c r="J258" s="9" t="n"/>
      <c r="K258" s="17" t="n"/>
      <c r="L258" s="17" t="n"/>
      <c r="M258" s="17" t="n"/>
      <c r="N258" s="19">
        <f>0</f>
        <v/>
      </c>
      <c r="O258" s="17">
        <f>O252+p_ty_p4_gap*O255</f>
        <v/>
      </c>
      <c r="P258" s="17">
        <f>P252+p_ty_p4_gap*P255</f>
        <v/>
      </c>
      <c r="Q258" s="17">
        <f>Q252+p_ty_p4_gap*Q255</f>
        <v/>
      </c>
      <c r="R258" s="17">
        <f>R252+p_ty_p4_gap*R255</f>
        <v/>
      </c>
      <c r="S258" s="17">
        <f>S252+p_ty_p4_gap*S255</f>
        <v/>
      </c>
      <c r="T258" s="17">
        <f>T252+p_ty_p4_gap*T255</f>
        <v/>
      </c>
      <c r="U258" s="17">
        <f>U252+p_ty_p4_gap*U255</f>
        <v/>
      </c>
      <c r="V258" s="17">
        <f>V252+p_ty_p4_gap*V255</f>
        <v/>
      </c>
      <c r="W258" s="17">
        <f>W252+p_ty_p4_gap*W255</f>
        <v/>
      </c>
      <c r="X258" s="17">
        <f>X252+p_ty_p4_gap*X255</f>
        <v/>
      </c>
      <c r="Y258" s="17">
        <f>Y252+p_ty_p4_gap*Y255</f>
        <v/>
      </c>
      <c r="Z258" s="17">
        <f>Z252+p_ty_p4_gap*Z255</f>
        <v/>
      </c>
      <c r="AA258" s="17">
        <f>AA252+p_ty_p4_gap*AA255</f>
        <v/>
      </c>
      <c r="AB258" s="17">
        <f>AB252+p_ty_p4_gap*AB255</f>
        <v/>
      </c>
      <c r="AC258" s="17">
        <f>AC252+p_ty_p4_gap*AC255</f>
        <v/>
      </c>
      <c r="AD258" s="17">
        <f>AD252+p_ty_p4_gap*AD255</f>
        <v/>
      </c>
      <c r="AE258" s="17">
        <f>AE252+p_ty_p4_gap*AE255</f>
        <v/>
      </c>
      <c r="AF258" s="17">
        <f>AF252+p_ty_p4_gap*AF255</f>
        <v/>
      </c>
      <c r="AG258" s="17">
        <f>AG252+p_ty_p4_gap*AG255</f>
        <v/>
      </c>
      <c r="AH258" s="17">
        <f>AH252+p_ty_p4_gap*AH255</f>
        <v/>
      </c>
      <c r="AI258" s="17">
        <f>AI252+p_ty_p4_gap*AI255</f>
        <v/>
      </c>
      <c r="AJ258" s="17">
        <f>AJ252+p_ty_p4_gap*AJ255</f>
        <v/>
      </c>
      <c r="AK258" s="17">
        <f>AK252+p_ty_p4_gap*AK255</f>
        <v/>
      </c>
      <c r="AL258" s="17">
        <f>AL252+p_ty_p4_gap*AL255</f>
        <v/>
      </c>
      <c r="AM258" s="17">
        <f>AM252+p_ty_p4_gap*AM255</f>
        <v/>
      </c>
      <c r="AN258" s="17">
        <f>AN252+p_ty_p4_gap*AN255</f>
        <v/>
      </c>
    </row>
    <row r="259">
      <c r="A259" s="9" t="n">
        <v>12</v>
      </c>
      <c r="B259" s="9" t="inlineStr"/>
      <c r="C259" s="9" t="inlineStr"/>
      <c r="D259" s="9" t="inlineStr">
        <is>
          <t>Revenue resting on a public tariff or buyer, net zero (P2 + P3)</t>
        </is>
      </c>
      <c r="E259" s="9" t="inlineStr">
        <is>
          <t>USD bn</t>
        </is>
      </c>
      <c r="F259" s="9" t="inlineStr">
        <is>
          <t>Model</t>
        </is>
      </c>
      <c r="G259" s="18" t="n"/>
      <c r="H259" s="18" t="inlineStr">
        <is>
          <t>mit.typ.cnt.2</t>
        </is>
      </c>
      <c r="I259" s="9" t="n"/>
      <c r="J259" s="9" t="n"/>
      <c r="K259" s="17" t="n"/>
      <c r="L259" s="17" t="n"/>
      <c r="M259" s="17" t="n"/>
      <c r="N259" s="19">
        <f>0</f>
        <v/>
      </c>
      <c r="O259" s="17">
        <f>O248+O249</f>
        <v/>
      </c>
      <c r="P259" s="17">
        <f>P248+P249</f>
        <v/>
      </c>
      <c r="Q259" s="17">
        <f>Q248+Q249</f>
        <v/>
      </c>
      <c r="R259" s="17">
        <f>R248+R249</f>
        <v/>
      </c>
      <c r="S259" s="17">
        <f>S248+S249</f>
        <v/>
      </c>
      <c r="T259" s="17">
        <f>T248+T249</f>
        <v/>
      </c>
      <c r="U259" s="17">
        <f>U248+U249</f>
        <v/>
      </c>
      <c r="V259" s="17">
        <f>V248+V249</f>
        <v/>
      </c>
      <c r="W259" s="17">
        <f>W248+W249</f>
        <v/>
      </c>
      <c r="X259" s="17">
        <f>X248+X249</f>
        <v/>
      </c>
      <c r="Y259" s="17">
        <f>Y248+Y249</f>
        <v/>
      </c>
      <c r="Z259" s="17">
        <f>Z248+Z249</f>
        <v/>
      </c>
      <c r="AA259" s="17">
        <f>AA248+AA249</f>
        <v/>
      </c>
      <c r="AB259" s="17">
        <f>AB248+AB249</f>
        <v/>
      </c>
      <c r="AC259" s="17">
        <f>AC248+AC249</f>
        <v/>
      </c>
      <c r="AD259" s="17">
        <f>AD248+AD249</f>
        <v/>
      </c>
      <c r="AE259" s="17">
        <f>AE248+AE249</f>
        <v/>
      </c>
      <c r="AF259" s="17">
        <f>AF248+AF249</f>
        <v/>
      </c>
      <c r="AG259" s="17">
        <f>AG248+AG249</f>
        <v/>
      </c>
      <c r="AH259" s="17">
        <f>AH248+AH249</f>
        <v/>
      </c>
      <c r="AI259" s="17">
        <f>AI248+AI249</f>
        <v/>
      </c>
      <c r="AJ259" s="17">
        <f>AJ248+AJ249</f>
        <v/>
      </c>
      <c r="AK259" s="17">
        <f>AK248+AK249</f>
        <v/>
      </c>
      <c r="AL259" s="17">
        <f>AL248+AL249</f>
        <v/>
      </c>
      <c r="AM259" s="17">
        <f>AM248+AM249</f>
        <v/>
      </c>
      <c r="AN259" s="17">
        <f>AN248+AN249</f>
        <v/>
      </c>
    </row>
    <row r="260">
      <c r="A260" s="9" t="n">
        <v>12</v>
      </c>
      <c r="B260" s="9" t="inlineStr"/>
      <c r="C260" s="9" t="inlineStr"/>
      <c r="D260" s="9" t="inlineStr">
        <is>
          <t>Private capital, net zero: P3 + P5 + private part of P4</t>
        </is>
      </c>
      <c r="E260" s="9" t="inlineStr">
        <is>
          <t>USD bn</t>
        </is>
      </c>
      <c r="F260" s="9" t="inlineStr">
        <is>
          <t>Model</t>
        </is>
      </c>
      <c r="G260" s="18" t="n"/>
      <c r="H260" s="18" t="inlineStr">
        <is>
          <t>mit.typ.prv.2</t>
        </is>
      </c>
      <c r="I260" s="9" t="n"/>
      <c r="J260" s="9" t="n"/>
      <c r="K260" s="17" t="n"/>
      <c r="L260" s="17" t="n"/>
      <c r="M260" s="17" t="n"/>
      <c r="N260" s="19">
        <f>0</f>
        <v/>
      </c>
      <c r="O260" s="17">
        <f>O249+O251+(1-p_ty_p4_gap)*O250</f>
        <v/>
      </c>
      <c r="P260" s="17">
        <f>P249+P251+(1-p_ty_p4_gap)*P250</f>
        <v/>
      </c>
      <c r="Q260" s="17">
        <f>Q249+Q251+(1-p_ty_p4_gap)*Q250</f>
        <v/>
      </c>
      <c r="R260" s="17">
        <f>R249+R251+(1-p_ty_p4_gap)*R250</f>
        <v/>
      </c>
      <c r="S260" s="17">
        <f>S249+S251+(1-p_ty_p4_gap)*S250</f>
        <v/>
      </c>
      <c r="T260" s="17">
        <f>T249+T251+(1-p_ty_p4_gap)*T250</f>
        <v/>
      </c>
      <c r="U260" s="17">
        <f>U249+U251+(1-p_ty_p4_gap)*U250</f>
        <v/>
      </c>
      <c r="V260" s="17">
        <f>V249+V251+(1-p_ty_p4_gap)*V250</f>
        <v/>
      </c>
      <c r="W260" s="17">
        <f>W249+W251+(1-p_ty_p4_gap)*W250</f>
        <v/>
      </c>
      <c r="X260" s="17">
        <f>X249+X251+(1-p_ty_p4_gap)*X250</f>
        <v/>
      </c>
      <c r="Y260" s="17">
        <f>Y249+Y251+(1-p_ty_p4_gap)*Y250</f>
        <v/>
      </c>
      <c r="Z260" s="17">
        <f>Z249+Z251+(1-p_ty_p4_gap)*Z250</f>
        <v/>
      </c>
      <c r="AA260" s="17">
        <f>AA249+AA251+(1-p_ty_p4_gap)*AA250</f>
        <v/>
      </c>
      <c r="AB260" s="17">
        <f>AB249+AB251+(1-p_ty_p4_gap)*AB250</f>
        <v/>
      </c>
      <c r="AC260" s="17">
        <f>AC249+AC251+(1-p_ty_p4_gap)*AC250</f>
        <v/>
      </c>
      <c r="AD260" s="17">
        <f>AD249+AD251+(1-p_ty_p4_gap)*AD250</f>
        <v/>
      </c>
      <c r="AE260" s="17">
        <f>AE249+AE251+(1-p_ty_p4_gap)*AE250</f>
        <v/>
      </c>
      <c r="AF260" s="17">
        <f>AF249+AF251+(1-p_ty_p4_gap)*AF250</f>
        <v/>
      </c>
      <c r="AG260" s="17">
        <f>AG249+AG251+(1-p_ty_p4_gap)*AG250</f>
        <v/>
      </c>
      <c r="AH260" s="17">
        <f>AH249+AH251+(1-p_ty_p4_gap)*AH250</f>
        <v/>
      </c>
      <c r="AI260" s="17">
        <f>AI249+AI251+(1-p_ty_p4_gap)*AI250</f>
        <v/>
      </c>
      <c r="AJ260" s="17">
        <f>AJ249+AJ251+(1-p_ty_p4_gap)*AJ250</f>
        <v/>
      </c>
      <c r="AK260" s="17">
        <f>AK249+AK251+(1-p_ty_p4_gap)*AK250</f>
        <v/>
      </c>
      <c r="AL260" s="17">
        <f>AL249+AL251+(1-p_ty_p4_gap)*AL250</f>
        <v/>
      </c>
      <c r="AM260" s="17">
        <f>AM249+AM251+(1-p_ty_p4_gap)*AM250</f>
        <v/>
      </c>
      <c r="AN260" s="17">
        <f>AN249+AN251+(1-p_ty_p4_gap)*AN250</f>
        <v/>
      </c>
    </row>
    <row r="261">
      <c r="A261" s="9" t="n"/>
      <c r="B261" s="9" t="n"/>
      <c r="C261" s="9" t="n"/>
      <c r="D261" s="9" t="n"/>
      <c r="E261" s="9" t="n"/>
      <c r="F261" s="9" t="n"/>
      <c r="G261" s="9" t="n"/>
      <c r="H261" s="9" t="n"/>
      <c r="I261" s="9" t="n"/>
      <c r="J261" s="9" t="n"/>
      <c r="K261" s="17" t="n"/>
      <c r="L261" s="17" t="n"/>
      <c r="M261" s="17" t="n"/>
      <c r="N261" s="17" t="n"/>
      <c r="O261" s="17" t="n"/>
      <c r="P261" s="17" t="n"/>
      <c r="Q261" s="17" t="n"/>
      <c r="R261" s="17" t="n"/>
      <c r="S261" s="17" t="n"/>
      <c r="T261" s="17" t="n"/>
      <c r="U261" s="17" t="n"/>
      <c r="V261" s="17" t="n"/>
      <c r="W261" s="17" t="n"/>
      <c r="X261" s="17" t="n"/>
      <c r="Y261" s="17" t="n"/>
      <c r="Z261" s="17" t="n"/>
      <c r="AA261" s="17" t="n"/>
      <c r="AB261" s="17" t="n"/>
      <c r="AC261" s="17" t="n"/>
      <c r="AD261" s="17" t="n"/>
      <c r="AE261" s="17" t="n"/>
      <c r="AF261" s="17" t="n"/>
      <c r="AG261" s="17" t="n"/>
      <c r="AH261" s="17" t="n"/>
      <c r="AI261" s="17" t="n"/>
      <c r="AJ261" s="17" t="n"/>
      <c r="AK261" s="17" t="n"/>
      <c r="AL261" s="17" t="n"/>
      <c r="AM261" s="17" t="n"/>
      <c r="AN261" s="1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9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c r="A1" s="1" t="inlineStr">
        <is>
          <t>Results for all countries (Python engine, values), USD bn and MtCO2e</t>
        </is>
      </c>
      <c r="B1" s="2" t="n"/>
      <c r="C1" s="2" t="n"/>
      <c r="D1" s="2" t="n"/>
      <c r="E1" s="2" t="n"/>
      <c r="F1" s="2" t="n"/>
      <c r="G1" s="2" t="n"/>
      <c r="H1" s="2" t="n"/>
      <c r="I1" s="2" t="n"/>
      <c r="J1" s="2" t="n"/>
      <c r="K1" s="2" t="n"/>
      <c r="L1" s="2" t="n"/>
      <c r="M1" s="2" t="n"/>
      <c r="N1" s="2" t="n"/>
      <c r="O1" s="2" t="n"/>
      <c r="P1" s="2" t="n"/>
      <c r="Q1" s="2" t="n"/>
      <c r="R1" s="2" t="n"/>
      <c r="S1" s="2" t="n"/>
      <c r="T1" s="2" t="n"/>
      <c r="U1" s="2" t="n"/>
      <c r="V1" s="2" t="n"/>
    </row>
    <row r="2">
      <c r="A2" s="6" t="inlineStr">
        <is>
          <t>Incremental cost is the annual cost in that year of all incremental capital in service (capital charge) plus the change in O&amp;M, less fuel savings (less air pollution avoided in lens c). Positive = net cost. PV = present value 2025-2050 at the lens rate.</t>
        </is>
      </c>
    </row>
    <row r="4" ht="40" customHeight="1">
      <c r="A4" s="22" t="inlineStr">
        <is>
          <t>ISO3</t>
        </is>
      </c>
      <c r="B4" s="22" t="inlineStr">
        <is>
          <t>Country</t>
        </is>
      </c>
      <c r="C4" s="22" t="inlineStr">
        <is>
          <t>Group</t>
        </is>
      </c>
      <c r="D4" s="22" t="inlineStr">
        <is>
          <t>Market WACC</t>
        </is>
      </c>
      <c r="E4" s="22" t="inlineStr">
        <is>
          <t>GDP 2030</t>
        </is>
      </c>
      <c r="F4" s="22" t="inlineStr">
        <is>
          <t>Investment 2030, baseline</t>
        </is>
      </c>
      <c r="G4" s="22" t="inlineStr">
        <is>
          <t>Investment 2030, net zero</t>
        </is>
      </c>
      <c r="H4" s="22" t="inlineStr">
        <is>
          <t>Incremental investment 2030</t>
        </is>
      </c>
      <c r="I4" s="22" t="inlineStr">
        <is>
          <t>Incr. cost 2030 (a) market</t>
        </is>
      </c>
      <c r="J4" s="22" t="inlineStr">
        <is>
          <t>Incr. cost 2030 (b) 6%</t>
        </is>
      </c>
      <c r="K4" s="22" t="inlineStr">
        <is>
          <t>Incr. cost 2030 (c) 6% + co-ben.</t>
        </is>
      </c>
      <c r="L4" s="22" t="inlineStr">
        <is>
          <t>GHG 2030 baseline</t>
        </is>
      </c>
      <c r="M4" s="22" t="inlineStr">
        <is>
          <t>GHG 2030 net zero</t>
        </is>
      </c>
      <c r="N4" s="22" t="inlineStr">
        <is>
          <t>GHG 2050 net zero</t>
        </is>
      </c>
      <c r="O4" s="22" t="inlineStr">
        <is>
          <t>Cumulative investment 2025-50, net zero</t>
        </is>
      </c>
      <c r="P4" s="22" t="inlineStr">
        <is>
          <t>Cumulative incremental 2025-50</t>
        </is>
      </c>
      <c r="Q4" s="22" t="inlineStr">
        <is>
          <t>PV incr. cost (a)</t>
        </is>
      </c>
      <c r="R4" s="22" t="inlineStr">
        <is>
          <t>PV incr. cost (b)</t>
        </is>
      </c>
      <c r="S4" s="22" t="inlineStr">
        <is>
          <t>PV incr. cost (c)</t>
        </is>
      </c>
      <c r="T4" s="22" t="inlineStr">
        <is>
          <t>Cumulative abatement 2025-50</t>
        </is>
      </c>
      <c r="U4" s="22" t="inlineStr">
        <is>
          <t>Energy CO2 2024, model</t>
        </is>
      </c>
      <c r="V4" s="22" t="inlineStr">
        <is>
          <t>Energy CO2 2024, CPAT</t>
        </is>
      </c>
      <c r="W4" s="22" t="inlineStr">
        <is>
          <t>Power market (1 VIU, 2 single buyer, 3 wholesale)</t>
        </is>
      </c>
      <c r="X4" s="22" t="inlineStr">
        <is>
          <t>Electricity cost recovery</t>
        </is>
      </c>
      <c r="Y4" s="22" t="inlineStr">
        <is>
          <t>2030 net zero: P1 pure public</t>
        </is>
      </c>
      <c r="Z4" s="22" t="inlineStr">
        <is>
          <t>P2 regulated utility</t>
        </is>
      </c>
      <c r="AA4" s="22" t="inlineStr">
        <is>
          <t>P3 contracted revenue</t>
        </is>
      </c>
      <c r="AB4" s="22" t="inlineStr">
        <is>
          <t>P4 viability gap</t>
        </is>
      </c>
      <c r="AC4" s="22" t="inlineStr">
        <is>
          <t>P5 pure private</t>
        </is>
      </c>
      <c r="AD4" s="22" t="inlineStr">
        <is>
          <t>Direct budget need 2030 (P1 + gap of P4)</t>
        </is>
      </c>
      <c r="AE4" s="22" t="inlineStr">
        <is>
          <t>Incremental budget need 2030</t>
        </is>
      </c>
      <c r="AF4" s="22" t="inlineStr">
        <is>
          <t>Private capital 2030</t>
        </is>
      </c>
    </row>
    <row r="5">
      <c r="A5" s="9" t="inlineStr">
        <is>
          <t>USA</t>
        </is>
      </c>
      <c r="B5" s="9" t="inlineStr">
        <is>
          <t>United States</t>
        </is>
      </c>
      <c r="C5" s="9" t="inlineStr">
        <is>
          <t>AE</t>
        </is>
      </c>
      <c r="D5" s="23" t="n">
        <v>0.057</v>
      </c>
      <c r="E5" s="24" t="n">
        <v>33367.5025</v>
      </c>
      <c r="F5" s="24" t="n">
        <v>487.1625</v>
      </c>
      <c r="G5" s="24" t="n">
        <v>1060.8972</v>
      </c>
      <c r="H5" s="24" t="n">
        <v>573.7347</v>
      </c>
      <c r="I5" s="24" t="n">
        <v>96.7671</v>
      </c>
      <c r="J5" s="24" t="n">
        <v>102.7929</v>
      </c>
      <c r="K5" s="24" t="n">
        <v>70.8357</v>
      </c>
      <c r="L5" s="24" t="n">
        <v>6790.3026</v>
      </c>
      <c r="M5" s="24" t="n">
        <v>5077.4784</v>
      </c>
      <c r="N5" s="24" t="n">
        <v>982.2613</v>
      </c>
      <c r="O5" s="24" t="n">
        <v>25662.9772</v>
      </c>
      <c r="P5" s="24" t="n">
        <v>12880.514</v>
      </c>
      <c r="Q5" s="24" t="n">
        <v>1746.394</v>
      </c>
      <c r="R5" s="24" t="n">
        <v>1821.3497</v>
      </c>
      <c r="S5" s="24" t="n">
        <v>1086.8989</v>
      </c>
      <c r="T5" s="24" t="n">
        <v>86412.4405</v>
      </c>
      <c r="U5" s="24" t="n">
        <v>4997.031</v>
      </c>
      <c r="V5" s="24" t="n">
        <v>5445.106</v>
      </c>
      <c r="W5" s="25" t="n">
        <v>3</v>
      </c>
      <c r="X5" s="26" t="n">
        <v>1.0027</v>
      </c>
      <c r="Y5" s="24" t="n">
        <v>87.27849999999999</v>
      </c>
      <c r="Z5" s="24" t="n">
        <v>206.5294</v>
      </c>
      <c r="AA5" s="24" t="n">
        <v>239.2082</v>
      </c>
      <c r="AB5" s="24" t="n">
        <v>49.7901</v>
      </c>
      <c r="AC5" s="24" t="n">
        <v>478.091</v>
      </c>
      <c r="AD5" s="24" t="n">
        <v>102.2155</v>
      </c>
      <c r="AE5" s="24" t="n">
        <v>56.3425</v>
      </c>
      <c r="AF5" s="24" t="n">
        <v>752.1523</v>
      </c>
    </row>
    <row r="6">
      <c r="A6" s="9" t="inlineStr">
        <is>
          <t>CHN</t>
        </is>
      </c>
      <c r="B6" s="9" t="inlineStr">
        <is>
          <t>China</t>
        </is>
      </c>
      <c r="C6" s="9" t="inlineStr">
        <is>
          <t>China</t>
        </is>
      </c>
      <c r="D6" s="23" t="n">
        <v>0.0389</v>
      </c>
      <c r="E6" s="24" t="n">
        <v>24439.1231</v>
      </c>
      <c r="F6" s="24" t="n">
        <v>704.6814000000001</v>
      </c>
      <c r="G6" s="24" t="n">
        <v>1526.2789</v>
      </c>
      <c r="H6" s="24" t="n">
        <v>821.5975</v>
      </c>
      <c r="I6" s="24" t="n">
        <v>152.4876</v>
      </c>
      <c r="J6" s="24" t="n">
        <v>206.8429</v>
      </c>
      <c r="K6" s="24" t="n">
        <v>-104.7182</v>
      </c>
      <c r="L6" s="24" t="n">
        <v>16649.5291</v>
      </c>
      <c r="M6" s="24" t="n">
        <v>13657.9295</v>
      </c>
      <c r="N6" s="24" t="n">
        <v>1962.2461</v>
      </c>
      <c r="O6" s="24" t="n">
        <v>47666.0736</v>
      </c>
      <c r="P6" s="24" t="n">
        <v>26520.332</v>
      </c>
      <c r="Q6" s="24" t="n">
        <v>5220.0989</v>
      </c>
      <c r="R6" s="24" t="n">
        <v>5417.0399</v>
      </c>
      <c r="S6" s="24" t="n">
        <v>-2977.9423</v>
      </c>
      <c r="T6" s="24" t="n">
        <v>184240.9535</v>
      </c>
      <c r="U6" s="24" t="n">
        <v>10506.0508</v>
      </c>
      <c r="V6" s="24" t="n">
        <v>13206.767</v>
      </c>
      <c r="W6" s="25" t="n">
        <v>2</v>
      </c>
      <c r="X6" s="26" t="n">
        <v>0.9676</v>
      </c>
      <c r="Y6" s="24" t="n">
        <v>69.702</v>
      </c>
      <c r="Z6" s="24" t="n">
        <v>619.6184</v>
      </c>
      <c r="AA6" s="24" t="n">
        <v>345.7207</v>
      </c>
      <c r="AB6" s="24" t="n">
        <v>166.7166</v>
      </c>
      <c r="AC6" s="24" t="n">
        <v>324.5212</v>
      </c>
      <c r="AD6" s="24" t="n">
        <v>119.717</v>
      </c>
      <c r="AE6" s="24" t="n">
        <v>81.7963</v>
      </c>
      <c r="AF6" s="24" t="n">
        <v>786.9435</v>
      </c>
    </row>
    <row r="7">
      <c r="A7" s="9" t="inlineStr">
        <is>
          <t>IND</t>
        </is>
      </c>
      <c r="B7" s="9" t="inlineStr">
        <is>
          <t>India</t>
        </is>
      </c>
      <c r="C7" s="9" t="inlineStr">
        <is>
          <t>EMDC</t>
        </is>
      </c>
      <c r="D7" s="23" t="n">
        <v>0.095</v>
      </c>
      <c r="E7" s="24" t="n">
        <v>5447.8957</v>
      </c>
      <c r="F7" s="24" t="n">
        <v>80.38979999999999</v>
      </c>
      <c r="G7" s="24" t="n">
        <v>225.4337</v>
      </c>
      <c r="H7" s="24" t="n">
        <v>145.0439</v>
      </c>
      <c r="I7" s="24" t="n">
        <v>51.3651</v>
      </c>
      <c r="J7" s="24" t="n">
        <v>35.0491</v>
      </c>
      <c r="K7" s="24" t="n">
        <v>1.8928</v>
      </c>
      <c r="L7" s="24" t="n">
        <v>4680.0616</v>
      </c>
      <c r="M7" s="24" t="n">
        <v>3882.6482</v>
      </c>
      <c r="N7" s="24" t="n">
        <v>1010.2699</v>
      </c>
      <c r="O7" s="24" t="n">
        <v>8363.0255</v>
      </c>
      <c r="P7" s="24" t="n">
        <v>5824.1169</v>
      </c>
      <c r="Q7" s="24" t="n">
        <v>680.4675</v>
      </c>
      <c r="R7" s="24" t="n">
        <v>557.3367</v>
      </c>
      <c r="S7" s="24" t="n">
        <v>-555.4278</v>
      </c>
      <c r="T7" s="24" t="n">
        <v>57586.0058</v>
      </c>
      <c r="U7" s="24" t="n">
        <v>2415.9374</v>
      </c>
      <c r="V7" s="24" t="n">
        <v>2845.008</v>
      </c>
      <c r="W7" s="25" t="n">
        <v>3</v>
      </c>
      <c r="X7" s="26" t="n">
        <v>0.7965</v>
      </c>
      <c r="Y7" s="24" t="n">
        <v>30.7108</v>
      </c>
      <c r="Z7" s="24" t="n">
        <v>34.6382</v>
      </c>
      <c r="AA7" s="24" t="n">
        <v>44.6073</v>
      </c>
      <c r="AB7" s="24" t="n">
        <v>63.1711</v>
      </c>
      <c r="AC7" s="24" t="n">
        <v>52.3064</v>
      </c>
      <c r="AD7" s="24" t="n">
        <v>49.6621</v>
      </c>
      <c r="AE7" s="24" t="n">
        <v>34.7643</v>
      </c>
      <c r="AF7" s="24" t="n">
        <v>141.1334</v>
      </c>
    </row>
    <row r="8">
      <c r="A8" s="9" t="inlineStr">
        <is>
          <t>DEU</t>
        </is>
      </c>
      <c r="B8" s="9" t="inlineStr">
        <is>
          <t>Germany</t>
        </is>
      </c>
      <c r="C8" s="9" t="inlineStr">
        <is>
          <t>AE</t>
        </is>
      </c>
      <c r="D8" s="23" t="n">
        <v>0.0232</v>
      </c>
      <c r="E8" s="24" t="n">
        <v>4908.6727</v>
      </c>
      <c r="F8" s="24" t="n">
        <v>74.6443</v>
      </c>
      <c r="G8" s="24" t="n">
        <v>157.6997</v>
      </c>
      <c r="H8" s="24" t="n">
        <v>83.0553</v>
      </c>
      <c r="I8" s="24" t="n">
        <v>-5.7167</v>
      </c>
      <c r="J8" s="24" t="n">
        <v>5.1837</v>
      </c>
      <c r="K8" s="24" t="n">
        <v>0.8202</v>
      </c>
      <c r="L8" s="24" t="n">
        <v>688.0652</v>
      </c>
      <c r="M8" s="24" t="n">
        <v>545.8375</v>
      </c>
      <c r="N8" s="24" t="n">
        <v>86.35550000000001</v>
      </c>
      <c r="O8" s="24" t="n">
        <v>3845.6213</v>
      </c>
      <c r="P8" s="24" t="n">
        <v>1827.4695</v>
      </c>
      <c r="Q8" s="24" t="n">
        <v>-261.7686</v>
      </c>
      <c r="R8" s="24" t="n">
        <v>95.8305</v>
      </c>
      <c r="S8" s="24" t="n">
        <v>-18.5959</v>
      </c>
      <c r="T8" s="24" t="n">
        <v>7355.6659</v>
      </c>
      <c r="U8" s="24" t="n">
        <v>594.9479</v>
      </c>
      <c r="V8" s="24" t="n">
        <v>658.3680000000001</v>
      </c>
      <c r="W8" s="25" t="n">
        <v>3</v>
      </c>
      <c r="X8" s="26" t="n">
        <v>1.1808</v>
      </c>
      <c r="Y8" s="24" t="n">
        <v>11.6467</v>
      </c>
      <c r="Z8" s="24" t="n">
        <v>38.9085</v>
      </c>
      <c r="AA8" s="24" t="n">
        <v>38.3148</v>
      </c>
      <c r="AB8" s="24" t="n">
        <v>5.9538</v>
      </c>
      <c r="AC8" s="24" t="n">
        <v>62.8759</v>
      </c>
      <c r="AD8" s="24" t="n">
        <v>13.4328</v>
      </c>
      <c r="AE8" s="24" t="n">
        <v>6.9739</v>
      </c>
      <c r="AF8" s="24" t="n">
        <v>105.3584</v>
      </c>
    </row>
    <row r="9">
      <c r="A9" s="9" t="inlineStr">
        <is>
          <t>JPN</t>
        </is>
      </c>
      <c r="B9" s="9" t="inlineStr">
        <is>
          <t>Japan</t>
        </is>
      </c>
      <c r="C9" s="9" t="inlineStr">
        <is>
          <t>AE</t>
        </is>
      </c>
      <c r="D9" s="23" t="n">
        <v>0.055</v>
      </c>
      <c r="E9" s="24" t="n">
        <v>4419.0183</v>
      </c>
      <c r="F9" s="24" t="n">
        <v>66.82299999999999</v>
      </c>
      <c r="G9" s="24" t="n">
        <v>182.8694</v>
      </c>
      <c r="H9" s="24" t="n">
        <v>116.0463</v>
      </c>
      <c r="I9" s="24" t="n">
        <v>-2.4332</v>
      </c>
      <c r="J9" s="24" t="n">
        <v>-0.2849</v>
      </c>
      <c r="K9" s="24" t="n">
        <v>-12.7031</v>
      </c>
      <c r="L9" s="24" t="n">
        <v>1228.4346</v>
      </c>
      <c r="M9" s="24" t="n">
        <v>925.189</v>
      </c>
      <c r="N9" s="24" t="n">
        <v>120.7745</v>
      </c>
      <c r="O9" s="24" t="n">
        <v>4378.3625</v>
      </c>
      <c r="P9" s="24" t="n">
        <v>2474.1672</v>
      </c>
      <c r="Q9" s="24" t="n">
        <v>28.367</v>
      </c>
      <c r="R9" s="24" t="n">
        <v>74.37439999999999</v>
      </c>
      <c r="S9" s="24" t="n">
        <v>-197.8789</v>
      </c>
      <c r="T9" s="24" t="n">
        <v>14756.3469</v>
      </c>
      <c r="U9" s="24" t="n">
        <v>1121.5329</v>
      </c>
      <c r="V9" s="24" t="n">
        <v>1205.177</v>
      </c>
      <c r="W9" s="25" t="n">
        <v>3</v>
      </c>
      <c r="X9" s="26" t="n">
        <v>1.0476</v>
      </c>
      <c r="Y9" s="24" t="n">
        <v>9.4726</v>
      </c>
      <c r="Z9" s="24" t="n">
        <v>47.3024</v>
      </c>
      <c r="AA9" s="24" t="n">
        <v>47.3628</v>
      </c>
      <c r="AB9" s="24" t="n">
        <v>9.8093</v>
      </c>
      <c r="AC9" s="24" t="n">
        <v>68.92230000000001</v>
      </c>
      <c r="AD9" s="24" t="n">
        <v>12.4154</v>
      </c>
      <c r="AE9" s="24" t="n">
        <v>6.5199</v>
      </c>
      <c r="AF9" s="24" t="n">
        <v>123.1516</v>
      </c>
    </row>
    <row r="10">
      <c r="A10" s="9" t="inlineStr">
        <is>
          <t>GBR</t>
        </is>
      </c>
      <c r="B10" s="9" t="inlineStr">
        <is>
          <t>United Kingdom</t>
        </is>
      </c>
      <c r="C10" s="9" t="inlineStr">
        <is>
          <t>AE</t>
        </is>
      </c>
      <c r="D10" s="23" t="n">
        <v>0.0359</v>
      </c>
      <c r="E10" s="24" t="n">
        <v>3915.292</v>
      </c>
      <c r="F10" s="24" t="n">
        <v>50.4006</v>
      </c>
      <c r="G10" s="24" t="n">
        <v>102.786</v>
      </c>
      <c r="H10" s="24" t="n">
        <v>52.3854</v>
      </c>
      <c r="I10" s="24" t="n">
        <v>-4.7805</v>
      </c>
      <c r="J10" s="24" t="n">
        <v>-0.0883</v>
      </c>
      <c r="K10" s="24" t="n">
        <v>-2.4179</v>
      </c>
      <c r="L10" s="24" t="n">
        <v>424.7509</v>
      </c>
      <c r="M10" s="24" t="n">
        <v>337.5557</v>
      </c>
      <c r="N10" s="24" t="n">
        <v>63.5164</v>
      </c>
      <c r="O10" s="24" t="n">
        <v>2549.8621</v>
      </c>
      <c r="P10" s="24" t="n">
        <v>1184.014</v>
      </c>
      <c r="Q10" s="24" t="n">
        <v>-177.4841</v>
      </c>
      <c r="R10" s="24" t="n">
        <v>-17.7496</v>
      </c>
      <c r="S10" s="24" t="n">
        <v>-72.1397</v>
      </c>
      <c r="T10" s="24" t="n">
        <v>4524.0143</v>
      </c>
      <c r="U10" s="24" t="n">
        <v>343.3351</v>
      </c>
      <c r="V10" s="24" t="n">
        <v>370.094</v>
      </c>
      <c r="W10" s="25" t="n">
        <v>3</v>
      </c>
      <c r="X10" s="26" t="n">
        <v>1.095</v>
      </c>
      <c r="Y10" s="24" t="n">
        <v>9.620100000000001</v>
      </c>
      <c r="Z10" s="24" t="n">
        <v>21.1711</v>
      </c>
      <c r="AA10" s="24" t="n">
        <v>24.0527</v>
      </c>
      <c r="AB10" s="24" t="n">
        <v>4.2896</v>
      </c>
      <c r="AC10" s="24" t="n">
        <v>43.6525</v>
      </c>
      <c r="AD10" s="24" t="n">
        <v>10.907</v>
      </c>
      <c r="AE10" s="24" t="n">
        <v>5.6119</v>
      </c>
      <c r="AF10" s="24" t="n">
        <v>70.7079</v>
      </c>
    </row>
    <row r="11">
      <c r="A11" s="9" t="inlineStr">
        <is>
          <t>FRA</t>
        </is>
      </c>
      <c r="B11" s="9" t="inlineStr">
        <is>
          <t>France</t>
        </is>
      </c>
      <c r="C11" s="9" t="inlineStr">
        <is>
          <t>AE</t>
        </is>
      </c>
      <c r="D11" s="23" t="n">
        <v>0.033</v>
      </c>
      <c r="E11" s="24" t="n">
        <v>3344.7754</v>
      </c>
      <c r="F11" s="24" t="n">
        <v>39.8224</v>
      </c>
      <c r="G11" s="24" t="n">
        <v>74.93770000000001</v>
      </c>
      <c r="H11" s="24" t="n">
        <v>35.1154</v>
      </c>
      <c r="I11" s="24" t="n">
        <v>-0.7779</v>
      </c>
      <c r="J11" s="24" t="n">
        <v>2.7653</v>
      </c>
      <c r="K11" s="24" t="n">
        <v>0.9473</v>
      </c>
      <c r="L11" s="24" t="n">
        <v>391.7834</v>
      </c>
      <c r="M11" s="24" t="n">
        <v>310.0166</v>
      </c>
      <c r="N11" s="24" t="n">
        <v>72.18519999999999</v>
      </c>
      <c r="O11" s="24" t="n">
        <v>2036.4025</v>
      </c>
      <c r="P11" s="24" t="n">
        <v>914.7157</v>
      </c>
      <c r="Q11" s="24" t="n">
        <v>-80.9002</v>
      </c>
      <c r="R11" s="24" t="n">
        <v>29.2257</v>
      </c>
      <c r="S11" s="24" t="n">
        <v>-15.0187</v>
      </c>
      <c r="T11" s="24" t="n">
        <v>4218.4369</v>
      </c>
      <c r="U11" s="24" t="n">
        <v>279.3269</v>
      </c>
      <c r="V11" s="24" t="n">
        <v>322.969</v>
      </c>
      <c r="W11" s="25" t="n">
        <v>3</v>
      </c>
      <c r="X11" s="26" t="n">
        <v>1.1236</v>
      </c>
      <c r="Y11" s="24" t="n">
        <v>7.1726</v>
      </c>
      <c r="Z11" s="24" t="n">
        <v>11.6028</v>
      </c>
      <c r="AA11" s="24" t="n">
        <v>17.9253</v>
      </c>
      <c r="AB11" s="24" t="n">
        <v>3.1661</v>
      </c>
      <c r="AC11" s="24" t="n">
        <v>35.0709</v>
      </c>
      <c r="AD11" s="24" t="n">
        <v>8.122400000000001</v>
      </c>
      <c r="AE11" s="24" t="n">
        <v>3.7189</v>
      </c>
      <c r="AF11" s="24" t="n">
        <v>55.2125</v>
      </c>
    </row>
    <row r="12">
      <c r="A12" s="9" t="inlineStr">
        <is>
          <t>CAN</t>
        </is>
      </c>
      <c r="B12" s="9" t="inlineStr">
        <is>
          <t>Canada</t>
        </is>
      </c>
      <c r="C12" s="9" t="inlineStr">
        <is>
          <t>AE</t>
        </is>
      </c>
      <c r="D12" s="23" t="n">
        <v>0.055</v>
      </c>
      <c r="E12" s="24" t="n">
        <v>2488.1419</v>
      </c>
      <c r="F12" s="24" t="n">
        <v>34.5276</v>
      </c>
      <c r="G12" s="24" t="n">
        <v>104.5845</v>
      </c>
      <c r="H12" s="24" t="n">
        <v>70.0569</v>
      </c>
      <c r="I12" s="24" t="n">
        <v>14.1255</v>
      </c>
      <c r="J12" s="24" t="n">
        <v>15.4926</v>
      </c>
      <c r="K12" s="24" t="n">
        <v>14.4429</v>
      </c>
      <c r="L12" s="24" t="n">
        <v>690.5561</v>
      </c>
      <c r="M12" s="24" t="n">
        <v>531.3236000000001</v>
      </c>
      <c r="N12" s="24" t="n">
        <v>107.9266</v>
      </c>
      <c r="O12" s="24" t="n">
        <v>2682.114</v>
      </c>
      <c r="P12" s="24" t="n">
        <v>1763.9372</v>
      </c>
      <c r="Q12" s="24" t="n">
        <v>302.1613</v>
      </c>
      <c r="R12" s="24" t="n">
        <v>313.9716</v>
      </c>
      <c r="S12" s="24" t="n">
        <v>288.5377</v>
      </c>
      <c r="T12" s="24" t="n">
        <v>8558.701800000001</v>
      </c>
      <c r="U12" s="24" t="n">
        <v>539.5996</v>
      </c>
      <c r="V12" s="24" t="n">
        <v>554.217</v>
      </c>
      <c r="W12" s="25" t="n">
        <v>2</v>
      </c>
      <c r="X12" s="26" t="n">
        <v>1.1083</v>
      </c>
      <c r="Y12" s="24" t="n">
        <v>7.5397</v>
      </c>
      <c r="Z12" s="24" t="n">
        <v>28.3058</v>
      </c>
      <c r="AA12" s="24" t="n">
        <v>20.0174</v>
      </c>
      <c r="AB12" s="24" t="n">
        <v>7.6102</v>
      </c>
      <c r="AC12" s="24" t="n">
        <v>41.1113</v>
      </c>
      <c r="AD12" s="24" t="n">
        <v>9.822800000000001</v>
      </c>
      <c r="AE12" s="24" t="n">
        <v>6.3928</v>
      </c>
      <c r="AF12" s="24" t="n">
        <v>66.4559</v>
      </c>
    </row>
    <row r="13">
      <c r="A13" s="9" t="inlineStr">
        <is>
          <t>BRA</t>
        </is>
      </c>
      <c r="B13" s="9" t="inlineStr">
        <is>
          <t>Brazil</t>
        </is>
      </c>
      <c r="C13" s="9" t="inlineStr">
        <is>
          <t>EMDC</t>
        </is>
      </c>
      <c r="D13" s="23" t="n">
        <v>0.0978</v>
      </c>
      <c r="E13" s="24" t="n">
        <v>2476.5515</v>
      </c>
      <c r="F13" s="24" t="n">
        <v>21.9829</v>
      </c>
      <c r="G13" s="24" t="n">
        <v>83.6647</v>
      </c>
      <c r="H13" s="24" t="n">
        <v>61.6818</v>
      </c>
      <c r="I13" s="24" t="n">
        <v>36.68</v>
      </c>
      <c r="J13" s="24" t="n">
        <v>32.3176</v>
      </c>
      <c r="K13" s="24" t="n">
        <v>29.41</v>
      </c>
      <c r="L13" s="24" t="n">
        <v>1785.1893</v>
      </c>
      <c r="M13" s="24" t="n">
        <v>1043.0369</v>
      </c>
      <c r="N13" s="24" t="n">
        <v>442.9016</v>
      </c>
      <c r="O13" s="24" t="n">
        <v>2579.987</v>
      </c>
      <c r="P13" s="24" t="n">
        <v>1900.8246</v>
      </c>
      <c r="Q13" s="24" t="n">
        <v>271.9456</v>
      </c>
      <c r="R13" s="24" t="n">
        <v>286.2362</v>
      </c>
      <c r="S13" s="24" t="n">
        <v>189.706</v>
      </c>
      <c r="T13" s="24" t="n">
        <v>24611.5556</v>
      </c>
      <c r="U13" s="24" t="n">
        <v>411.7179</v>
      </c>
      <c r="V13" s="24" t="n">
        <v>505.632</v>
      </c>
      <c r="W13" s="25" t="n">
        <v>3</v>
      </c>
      <c r="X13" s="26" t="n">
        <v>1.0181</v>
      </c>
      <c r="Y13" s="24" t="n">
        <v>17.459</v>
      </c>
      <c r="Z13" s="24" t="n">
        <v>10.836</v>
      </c>
      <c r="AA13" s="24" t="n">
        <v>11.9482</v>
      </c>
      <c r="AB13" s="24" t="n">
        <v>23.4524</v>
      </c>
      <c r="AC13" s="24" t="n">
        <v>19.9692</v>
      </c>
      <c r="AD13" s="24" t="n">
        <v>24.4947</v>
      </c>
      <c r="AE13" s="24" t="n">
        <v>22.2945</v>
      </c>
      <c r="AF13" s="24" t="n">
        <v>48.334</v>
      </c>
    </row>
    <row r="14">
      <c r="A14" s="9" t="inlineStr">
        <is>
          <t>ITA</t>
        </is>
      </c>
      <c r="B14" s="9" t="inlineStr">
        <is>
          <t>Italy</t>
        </is>
      </c>
      <c r="C14" s="9" t="inlineStr">
        <is>
          <t>AE</t>
        </is>
      </c>
      <c r="D14" s="23" t="n">
        <v>0.0438</v>
      </c>
      <c r="E14" s="24" t="n">
        <v>2475.7888</v>
      </c>
      <c r="F14" s="24" t="n">
        <v>33.0825</v>
      </c>
      <c r="G14" s="24" t="n">
        <v>75.2501</v>
      </c>
      <c r="H14" s="24" t="n">
        <v>42.1676</v>
      </c>
      <c r="I14" s="24" t="n">
        <v>-4.3887</v>
      </c>
      <c r="J14" s="24" t="n">
        <v>-1.9035</v>
      </c>
      <c r="K14" s="24" t="n">
        <v>-5.161</v>
      </c>
      <c r="L14" s="24" t="n">
        <v>419.3619</v>
      </c>
      <c r="M14" s="24" t="n">
        <v>328.2704</v>
      </c>
      <c r="N14" s="24" t="n">
        <v>63.4136</v>
      </c>
      <c r="O14" s="24" t="n">
        <v>1852.1536</v>
      </c>
      <c r="P14" s="24" t="n">
        <v>921.2433</v>
      </c>
      <c r="Q14" s="24" t="n">
        <v>-131.039</v>
      </c>
      <c r="R14" s="24" t="n">
        <v>-47.513</v>
      </c>
      <c r="S14" s="24" t="n">
        <v>-125.8911</v>
      </c>
      <c r="T14" s="24" t="n">
        <v>4561.9678</v>
      </c>
      <c r="U14" s="24" t="n">
        <v>315.8296</v>
      </c>
      <c r="V14" s="24" t="n">
        <v>363.035</v>
      </c>
      <c r="W14" s="25" t="n">
        <v>3</v>
      </c>
      <c r="X14" s="26" t="n">
        <v>1.2138</v>
      </c>
      <c r="Y14" s="24" t="n">
        <v>6.3305</v>
      </c>
      <c r="Z14" s="24" t="n">
        <v>16.0338</v>
      </c>
      <c r="AA14" s="24" t="n">
        <v>17.7496</v>
      </c>
      <c r="AB14" s="24" t="n">
        <v>3.231</v>
      </c>
      <c r="AC14" s="24" t="n">
        <v>31.9052</v>
      </c>
      <c r="AD14" s="24" t="n">
        <v>7.2998</v>
      </c>
      <c r="AE14" s="24" t="n">
        <v>4.0282</v>
      </c>
      <c r="AF14" s="24" t="n">
        <v>51.9165</v>
      </c>
    </row>
    <row r="15">
      <c r="A15" s="9" t="inlineStr">
        <is>
          <t>RUS</t>
        </is>
      </c>
      <c r="B15" s="9" t="inlineStr">
        <is>
          <t>Russian Federation</t>
        </is>
      </c>
      <c r="C15" s="9" t="inlineStr">
        <is>
          <t>EMDC</t>
        </is>
      </c>
      <c r="D15" s="23" t="n">
        <v>0.105</v>
      </c>
      <c r="E15" s="24" t="n">
        <v>2361.9368</v>
      </c>
      <c r="F15" s="24" t="n">
        <v>20.5356</v>
      </c>
      <c r="G15" s="24" t="n">
        <v>138.5391</v>
      </c>
      <c r="H15" s="24" t="n">
        <v>118.0034</v>
      </c>
      <c r="I15" s="24" t="n">
        <v>60.0054</v>
      </c>
      <c r="J15" s="24" t="n">
        <v>38.6279</v>
      </c>
      <c r="K15" s="24" t="n">
        <v>17.4818</v>
      </c>
      <c r="L15" s="24" t="n">
        <v>2477.3478</v>
      </c>
      <c r="M15" s="24" t="n">
        <v>2079.0048</v>
      </c>
      <c r="N15" s="24" t="n">
        <v>447.818</v>
      </c>
      <c r="O15" s="24" t="n">
        <v>5217.1106</v>
      </c>
      <c r="P15" s="24" t="n">
        <v>4525.7167</v>
      </c>
      <c r="Q15" s="24" t="n">
        <v>815.6703</v>
      </c>
      <c r="R15" s="24" t="n">
        <v>894.9837</v>
      </c>
      <c r="S15" s="24" t="n">
        <v>135.465</v>
      </c>
      <c r="T15" s="24" t="n">
        <v>30837.0706</v>
      </c>
      <c r="U15" s="24" t="n">
        <v>1740.9558</v>
      </c>
      <c r="V15" s="24" t="n">
        <v>1982.113</v>
      </c>
      <c r="W15" s="25" t="n">
        <v>3</v>
      </c>
      <c r="X15" s="26" t="n">
        <v>0.4543</v>
      </c>
      <c r="Y15" s="24" t="n">
        <v>25.7277</v>
      </c>
      <c r="Z15" s="24" t="n">
        <v>12.075</v>
      </c>
      <c r="AA15" s="24" t="n">
        <v>20.229</v>
      </c>
      <c r="AB15" s="24" t="n">
        <v>46.0382</v>
      </c>
      <c r="AC15" s="24" t="n">
        <v>34.4692</v>
      </c>
      <c r="AD15" s="24" t="n">
        <v>39.5391</v>
      </c>
      <c r="AE15" s="24" t="n">
        <v>33.8771</v>
      </c>
      <c r="AF15" s="24" t="n">
        <v>86.925</v>
      </c>
    </row>
    <row r="16">
      <c r="A16" s="9" t="inlineStr">
        <is>
          <t>KOR</t>
        </is>
      </c>
      <c r="B16" s="9" t="inlineStr">
        <is>
          <t>Korea, Rep.</t>
        </is>
      </c>
      <c r="C16" s="9" t="inlineStr">
        <is>
          <t>AE</t>
        </is>
      </c>
      <c r="D16" s="23" t="n">
        <v>0.055</v>
      </c>
      <c r="E16" s="24" t="n">
        <v>2072.0525</v>
      </c>
      <c r="F16" s="24" t="n">
        <v>34.5022</v>
      </c>
      <c r="G16" s="24" t="n">
        <v>104.6285</v>
      </c>
      <c r="H16" s="24" t="n">
        <v>70.1263</v>
      </c>
      <c r="I16" s="24" t="n">
        <v>2.8344</v>
      </c>
      <c r="J16" s="24" t="n">
        <v>4.0867</v>
      </c>
      <c r="K16" s="24" t="n">
        <v>-2.2581</v>
      </c>
      <c r="L16" s="24" t="n">
        <v>818.0975</v>
      </c>
      <c r="M16" s="24" t="n">
        <v>598.6343000000001</v>
      </c>
      <c r="N16" s="24" t="n">
        <v>84.6938</v>
      </c>
      <c r="O16" s="24" t="n">
        <v>2537.3706</v>
      </c>
      <c r="P16" s="24" t="n">
        <v>1617.4028</v>
      </c>
      <c r="Q16" s="24" t="n">
        <v>96.2606</v>
      </c>
      <c r="R16" s="24" t="n">
        <v>119.2885</v>
      </c>
      <c r="S16" s="24" t="n">
        <v>-25.8957</v>
      </c>
      <c r="T16" s="24" t="n">
        <v>11124.1914</v>
      </c>
      <c r="U16" s="24" t="n">
        <v>634.328</v>
      </c>
      <c r="V16" s="24" t="n">
        <v>732.861</v>
      </c>
      <c r="W16" s="25" t="n">
        <v>2</v>
      </c>
      <c r="X16" s="26" t="n">
        <v>1.0217</v>
      </c>
      <c r="Y16" s="24" t="n">
        <v>5.0886</v>
      </c>
      <c r="Z16" s="24" t="n">
        <v>40.0242</v>
      </c>
      <c r="AA16" s="24" t="n">
        <v>24.6505</v>
      </c>
      <c r="AB16" s="24" t="n">
        <v>7.201</v>
      </c>
      <c r="AC16" s="24" t="n">
        <v>27.6642</v>
      </c>
      <c r="AD16" s="24" t="n">
        <v>7.2489</v>
      </c>
      <c r="AE16" s="24" t="n">
        <v>4.3831</v>
      </c>
      <c r="AF16" s="24" t="n">
        <v>57.3554</v>
      </c>
    </row>
    <row r="17">
      <c r="A17" s="9" t="inlineStr">
        <is>
          <t>AUS</t>
        </is>
      </c>
      <c r="B17" s="9" t="inlineStr">
        <is>
          <t>Australia</t>
        </is>
      </c>
      <c r="C17" s="9" t="inlineStr">
        <is>
          <t>AE</t>
        </is>
      </c>
      <c r="D17" s="23" t="n">
        <v>0.0502</v>
      </c>
      <c r="E17" s="24" t="n">
        <v>2019.5401</v>
      </c>
      <c r="F17" s="24" t="n">
        <v>33.3678</v>
      </c>
      <c r="G17" s="24" t="n">
        <v>81.3395</v>
      </c>
      <c r="H17" s="24" t="n">
        <v>47.9718</v>
      </c>
      <c r="I17" s="24" t="n">
        <v>6.3124</v>
      </c>
      <c r="J17" s="24" t="n">
        <v>7.9537</v>
      </c>
      <c r="K17" s="24" t="n">
        <v>6.3111</v>
      </c>
      <c r="L17" s="24" t="n">
        <v>510.5496</v>
      </c>
      <c r="M17" s="24" t="n">
        <v>394.7659</v>
      </c>
      <c r="N17" s="24" t="n">
        <v>86.9348</v>
      </c>
      <c r="O17" s="24" t="n">
        <v>1982.86</v>
      </c>
      <c r="P17" s="24" t="n">
        <v>1075.9272</v>
      </c>
      <c r="Q17" s="24" t="n">
        <v>135.1921</v>
      </c>
      <c r="R17" s="24" t="n">
        <v>157.6167</v>
      </c>
      <c r="S17" s="24" t="n">
        <v>117.4581</v>
      </c>
      <c r="T17" s="24" t="n">
        <v>5674.3323</v>
      </c>
      <c r="U17" s="24" t="n">
        <v>393.3457</v>
      </c>
      <c r="V17" s="24" t="n">
        <v>386.813</v>
      </c>
      <c r="W17" s="25" t="n">
        <v>3</v>
      </c>
      <c r="X17" s="26" t="n">
        <v>1.4963</v>
      </c>
      <c r="Y17" s="24" t="n">
        <v>4.0548</v>
      </c>
      <c r="Z17" s="24" t="n">
        <v>20.4837</v>
      </c>
      <c r="AA17" s="24" t="n">
        <v>19.4452</v>
      </c>
      <c r="AB17" s="24" t="n">
        <v>4.8235</v>
      </c>
      <c r="AC17" s="24" t="n">
        <v>32.5323</v>
      </c>
      <c r="AD17" s="24" t="n">
        <v>5.5018</v>
      </c>
      <c r="AE17" s="24" t="n">
        <v>2.726</v>
      </c>
      <c r="AF17" s="24" t="n">
        <v>55.354</v>
      </c>
    </row>
    <row r="18">
      <c r="A18" s="9" t="inlineStr">
        <is>
          <t>MEX</t>
        </is>
      </c>
      <c r="B18" s="9" t="inlineStr">
        <is>
          <t>Mexico</t>
        </is>
      </c>
      <c r="C18" s="9" t="inlineStr">
        <is>
          <t>EMDC</t>
        </is>
      </c>
      <c r="D18" s="23" t="n">
        <v>0.11</v>
      </c>
      <c r="E18" s="24" t="n">
        <v>2015.8159</v>
      </c>
      <c r="F18" s="24" t="n">
        <v>16.9036</v>
      </c>
      <c r="G18" s="24" t="n">
        <v>47.3409</v>
      </c>
      <c r="H18" s="24" t="n">
        <v>30.4373</v>
      </c>
      <c r="I18" s="24" t="n">
        <v>14.3443</v>
      </c>
      <c r="J18" s="24" t="n">
        <v>9.7324</v>
      </c>
      <c r="K18" s="24" t="n">
        <v>6.3149</v>
      </c>
      <c r="L18" s="24" t="n">
        <v>973.6275000000001</v>
      </c>
      <c r="M18" s="24" t="n">
        <v>758.5248</v>
      </c>
      <c r="N18" s="24" t="n">
        <v>248.2156</v>
      </c>
      <c r="O18" s="24" t="n">
        <v>1687.0883</v>
      </c>
      <c r="P18" s="24" t="n">
        <v>1158.6379</v>
      </c>
      <c r="Q18" s="24" t="n">
        <v>119.9081</v>
      </c>
      <c r="R18" s="24" t="n">
        <v>86.6944</v>
      </c>
      <c r="S18" s="24" t="n">
        <v>-23.8383</v>
      </c>
      <c r="T18" s="24" t="n">
        <v>11478.2518</v>
      </c>
      <c r="U18" s="24" t="n">
        <v>381.8971</v>
      </c>
      <c r="V18" s="24" t="n">
        <v>582.567</v>
      </c>
      <c r="W18" s="25" t="n">
        <v>3</v>
      </c>
      <c r="X18" s="26" t="n">
        <v>0.9915</v>
      </c>
      <c r="Y18" s="24" t="n">
        <v>3.8403</v>
      </c>
      <c r="Z18" s="24" t="n">
        <v>6.8231</v>
      </c>
      <c r="AA18" s="24" t="n">
        <v>8.368600000000001</v>
      </c>
      <c r="AB18" s="24" t="n">
        <v>14.9599</v>
      </c>
      <c r="AC18" s="24" t="n">
        <v>13.349</v>
      </c>
      <c r="AD18" s="24" t="n">
        <v>8.328200000000001</v>
      </c>
      <c r="AE18" s="24" t="n">
        <v>6.349</v>
      </c>
      <c r="AF18" s="24" t="n">
        <v>32.1895</v>
      </c>
    </row>
    <row r="19">
      <c r="A19" s="9" t="inlineStr">
        <is>
          <t>ESP</t>
        </is>
      </c>
      <c r="B19" s="9" t="inlineStr">
        <is>
          <t>Spain</t>
        </is>
      </c>
      <c r="C19" s="9" t="inlineStr">
        <is>
          <t>AE</t>
        </is>
      </c>
      <c r="D19" s="23" t="n">
        <v>0.0512</v>
      </c>
      <c r="E19" s="24" t="n">
        <v>1957.9381</v>
      </c>
      <c r="F19" s="24" t="n">
        <v>33.6239</v>
      </c>
      <c r="G19" s="24" t="n">
        <v>60.1847</v>
      </c>
      <c r="H19" s="24" t="n">
        <v>26.5608</v>
      </c>
      <c r="I19" s="24" t="n">
        <v>1.8014</v>
      </c>
      <c r="J19" s="24" t="n">
        <v>2.6543</v>
      </c>
      <c r="K19" s="24" t="n">
        <v>1.0575</v>
      </c>
      <c r="L19" s="24" t="n">
        <v>326.4762</v>
      </c>
      <c r="M19" s="24" t="n">
        <v>265.9994</v>
      </c>
      <c r="N19" s="24" t="n">
        <v>54.2634</v>
      </c>
      <c r="O19" s="24" t="n">
        <v>1537.9083</v>
      </c>
      <c r="P19" s="24" t="n">
        <v>695.0028</v>
      </c>
      <c r="Q19" s="24" t="n">
        <v>10.4024</v>
      </c>
      <c r="R19" s="24" t="n">
        <v>30.2947</v>
      </c>
      <c r="S19" s="24" t="n">
        <v>-10.3649</v>
      </c>
      <c r="T19" s="24" t="n">
        <v>3401.2423</v>
      </c>
      <c r="U19" s="24" t="n">
        <v>246.6276</v>
      </c>
      <c r="V19" s="24" t="n">
        <v>279.606</v>
      </c>
      <c r="W19" s="25" t="n">
        <v>3</v>
      </c>
      <c r="X19" s="26" t="n">
        <v>1.1664</v>
      </c>
      <c r="Y19" s="24" t="n">
        <v>3.9385</v>
      </c>
      <c r="Z19" s="24" t="n">
        <v>13.4876</v>
      </c>
      <c r="AA19" s="24" t="n">
        <v>14.4675</v>
      </c>
      <c r="AB19" s="24" t="n">
        <v>3.1285</v>
      </c>
      <c r="AC19" s="24" t="n">
        <v>25.1627</v>
      </c>
      <c r="AD19" s="24" t="n">
        <v>4.877</v>
      </c>
      <c r="AE19" s="24" t="n">
        <v>2.2602</v>
      </c>
      <c r="AF19" s="24" t="n">
        <v>41.8201</v>
      </c>
    </row>
    <row r="20">
      <c r="A20" s="9" t="inlineStr">
        <is>
          <t>IDN</t>
        </is>
      </c>
      <c r="B20" s="9" t="inlineStr">
        <is>
          <t>Indonesia</t>
        </is>
      </c>
      <c r="C20" s="9" t="inlineStr">
        <is>
          <t>EMDC</t>
        </is>
      </c>
      <c r="D20" s="23" t="n">
        <v>0.0819</v>
      </c>
      <c r="E20" s="24" t="n">
        <v>1856.5926</v>
      </c>
      <c r="F20" s="24" t="n">
        <v>17.4613</v>
      </c>
      <c r="G20" s="24" t="n">
        <v>63.7402</v>
      </c>
      <c r="H20" s="24" t="n">
        <v>46.2789</v>
      </c>
      <c r="I20" s="24" t="n">
        <v>17.912</v>
      </c>
      <c r="J20" s="24" t="n">
        <v>15.4476</v>
      </c>
      <c r="K20" s="24" t="n">
        <v>8.6065</v>
      </c>
      <c r="L20" s="24" t="n">
        <v>1539.9761</v>
      </c>
      <c r="M20" s="24" t="n">
        <v>1088.0442</v>
      </c>
      <c r="N20" s="24" t="n">
        <v>367.5397</v>
      </c>
      <c r="O20" s="24" t="n">
        <v>2219.203</v>
      </c>
      <c r="P20" s="24" t="n">
        <v>1651.2498</v>
      </c>
      <c r="Q20" s="24" t="n">
        <v>95.65219999999999</v>
      </c>
      <c r="R20" s="24" t="n">
        <v>33.5281</v>
      </c>
      <c r="S20" s="24" t="n">
        <v>-199.1245</v>
      </c>
      <c r="T20" s="24" t="n">
        <v>21959.6545</v>
      </c>
      <c r="U20" s="24" t="n">
        <v>641.7388</v>
      </c>
      <c r="V20" s="24" t="n">
        <v>700.991</v>
      </c>
      <c r="W20" s="25" t="n">
        <v>2</v>
      </c>
      <c r="X20" s="26" t="n">
        <v>0.9282</v>
      </c>
      <c r="Y20" s="24" t="n">
        <v>12.9039</v>
      </c>
      <c r="Z20" s="24" t="n">
        <v>11.0325</v>
      </c>
      <c r="AA20" s="24" t="n">
        <v>8.815</v>
      </c>
      <c r="AB20" s="24" t="n">
        <v>19.7823</v>
      </c>
      <c r="AC20" s="24" t="n">
        <v>11.2066</v>
      </c>
      <c r="AD20" s="24" t="n">
        <v>18.8386</v>
      </c>
      <c r="AE20" s="24" t="n">
        <v>15.9049</v>
      </c>
      <c r="AF20" s="24" t="n">
        <v>33.8691</v>
      </c>
    </row>
    <row r="21">
      <c r="A21" s="9" t="inlineStr">
        <is>
          <t>TUR</t>
        </is>
      </c>
      <c r="B21" s="9" t="inlineStr">
        <is>
          <t>Türkiye</t>
        </is>
      </c>
      <c r="C21" s="9" t="inlineStr">
        <is>
          <t>EMDC</t>
        </is>
      </c>
      <c r="D21" s="23" t="n">
        <v>0.0842</v>
      </c>
      <c r="E21" s="24" t="n">
        <v>1656.3438</v>
      </c>
      <c r="F21" s="24" t="n">
        <v>15.1034</v>
      </c>
      <c r="G21" s="24" t="n">
        <v>42.6917</v>
      </c>
      <c r="H21" s="24" t="n">
        <v>27.5883</v>
      </c>
      <c r="I21" s="24" t="n">
        <v>5.4315</v>
      </c>
      <c r="J21" s="24" t="n">
        <v>2.8473</v>
      </c>
      <c r="K21" s="24" t="n">
        <v>-11.9094</v>
      </c>
      <c r="L21" s="24" t="n">
        <v>738.5997</v>
      </c>
      <c r="M21" s="24" t="n">
        <v>611.093</v>
      </c>
      <c r="N21" s="24" t="n">
        <v>112.712</v>
      </c>
      <c r="O21" s="24" t="n">
        <v>1385.5398</v>
      </c>
      <c r="P21" s="24" t="n">
        <v>934.5359</v>
      </c>
      <c r="Q21" s="24" t="n">
        <v>51.492</v>
      </c>
      <c r="R21" s="24" t="n">
        <v>-2.3143</v>
      </c>
      <c r="S21" s="24" t="n">
        <v>-390.8622</v>
      </c>
      <c r="T21" s="24" t="n">
        <v>9475.6569</v>
      </c>
      <c r="U21" s="24" t="n">
        <v>515.9234</v>
      </c>
      <c r="V21" s="24" t="n">
        <v>573.016</v>
      </c>
      <c r="W21" s="25" t="n">
        <v>3</v>
      </c>
      <c r="X21" s="26" t="n">
        <v>1.0181</v>
      </c>
      <c r="Y21" s="24" t="n">
        <v>3.8961</v>
      </c>
      <c r="Z21" s="24" t="n">
        <v>7.8755</v>
      </c>
      <c r="AA21" s="24" t="n">
        <v>8.587999999999999</v>
      </c>
      <c r="AB21" s="24" t="n">
        <v>7.199</v>
      </c>
      <c r="AC21" s="24" t="n">
        <v>15.1331</v>
      </c>
      <c r="AD21" s="24" t="n">
        <v>6.0558</v>
      </c>
      <c r="AE21" s="24" t="n">
        <v>4.6748</v>
      </c>
      <c r="AF21" s="24" t="n">
        <v>28.7604</v>
      </c>
    </row>
    <row r="22">
      <c r="A22" s="9" t="inlineStr">
        <is>
          <t>SAU</t>
        </is>
      </c>
      <c r="B22" s="9" t="inlineStr">
        <is>
          <t>Saudi Arabia</t>
        </is>
      </c>
      <c r="C22" s="9" t="inlineStr">
        <is>
          <t>EMDC</t>
        </is>
      </c>
      <c r="D22" s="23" t="n">
        <v>0.042</v>
      </c>
      <c r="E22" s="24" t="n">
        <v>1510.8226</v>
      </c>
      <c r="F22" s="24" t="n">
        <v>15.9285</v>
      </c>
      <c r="G22" s="24" t="n">
        <v>43.7822</v>
      </c>
      <c r="H22" s="24" t="n">
        <v>27.8537</v>
      </c>
      <c r="I22" s="24" t="n">
        <v>-1.9183</v>
      </c>
      <c r="J22" s="24" t="n">
        <v>-0.2338</v>
      </c>
      <c r="K22" s="24" t="n">
        <v>-4.0314</v>
      </c>
      <c r="L22" s="24" t="n">
        <v>859.421</v>
      </c>
      <c r="M22" s="24" t="n">
        <v>714.054</v>
      </c>
      <c r="N22" s="24" t="n">
        <v>142.8524</v>
      </c>
      <c r="O22" s="24" t="n">
        <v>1375.5113</v>
      </c>
      <c r="P22" s="24" t="n">
        <v>960.8616</v>
      </c>
      <c r="Q22" s="24" t="n">
        <v>-265.6458</v>
      </c>
      <c r="R22" s="24" t="n">
        <v>-145.1251</v>
      </c>
      <c r="S22" s="24" t="n">
        <v>-271.6861</v>
      </c>
      <c r="T22" s="24" t="n">
        <v>10198.6573</v>
      </c>
      <c r="U22" s="24" t="n">
        <v>596.6497000000001</v>
      </c>
      <c r="V22" s="24" t="n">
        <v>558.375</v>
      </c>
      <c r="W22" s="25" t="n">
        <v>2</v>
      </c>
      <c r="X22" s="26" t="n">
        <v>0.5456</v>
      </c>
      <c r="Y22" s="24" t="n">
        <v>8.825200000000001</v>
      </c>
      <c r="Z22" s="24" t="n">
        <v>6.7229</v>
      </c>
      <c r="AA22" s="24" t="n">
        <v>6.3143</v>
      </c>
      <c r="AB22" s="24" t="n">
        <v>9.9817</v>
      </c>
      <c r="AC22" s="24" t="n">
        <v>11.9381</v>
      </c>
      <c r="AD22" s="24" t="n">
        <v>11.8197</v>
      </c>
      <c r="AE22" s="24" t="n">
        <v>7.087</v>
      </c>
      <c r="AF22" s="24" t="n">
        <v>25.2396</v>
      </c>
    </row>
    <row r="23">
      <c r="A23" s="9" t="inlineStr">
        <is>
          <t>NLD</t>
        </is>
      </c>
      <c r="B23" s="9" t="inlineStr">
        <is>
          <t>Netherlands</t>
        </is>
      </c>
      <c r="C23" s="9" t="inlineStr">
        <is>
          <t>AE</t>
        </is>
      </c>
      <c r="D23" s="23" t="n">
        <v>0.0233</v>
      </c>
      <c r="E23" s="24" t="n">
        <v>1317.7553</v>
      </c>
      <c r="F23" s="24" t="n">
        <v>17.6939</v>
      </c>
      <c r="G23" s="24" t="n">
        <v>39.262</v>
      </c>
      <c r="H23" s="24" t="n">
        <v>21.5681</v>
      </c>
      <c r="I23" s="24" t="n">
        <v>-0.7773</v>
      </c>
      <c r="J23" s="24" t="n">
        <v>2.0459</v>
      </c>
      <c r="K23" s="24" t="n">
        <v>1.4625</v>
      </c>
      <c r="L23" s="24" t="n">
        <v>147.8998</v>
      </c>
      <c r="M23" s="24" t="n">
        <v>112.6058</v>
      </c>
      <c r="N23" s="24" t="n">
        <v>19.769</v>
      </c>
      <c r="O23" s="24" t="n">
        <v>947.1078</v>
      </c>
      <c r="P23" s="24" t="n">
        <v>458.6298</v>
      </c>
      <c r="Q23" s="24" t="n">
        <v>-40.5523</v>
      </c>
      <c r="R23" s="24" t="n">
        <v>40.7705</v>
      </c>
      <c r="S23" s="24" t="n">
        <v>26.4507</v>
      </c>
      <c r="T23" s="24" t="n">
        <v>1692.2513</v>
      </c>
      <c r="U23" s="24" t="n">
        <v>123.6037</v>
      </c>
      <c r="V23" s="24" t="n">
        <v>122.936</v>
      </c>
      <c r="W23" s="25" t="n">
        <v>3</v>
      </c>
      <c r="X23" s="26" t="n">
        <v>0.9691</v>
      </c>
      <c r="Y23" s="24" t="n">
        <v>3.7271</v>
      </c>
      <c r="Z23" s="24" t="n">
        <v>9.3721</v>
      </c>
      <c r="AA23" s="24" t="n">
        <v>9.1593</v>
      </c>
      <c r="AB23" s="24" t="n">
        <v>1.3969</v>
      </c>
      <c r="AC23" s="24" t="n">
        <v>15.6066</v>
      </c>
      <c r="AD23" s="24" t="n">
        <v>4.1461</v>
      </c>
      <c r="AE23" s="24" t="n">
        <v>2.2842</v>
      </c>
      <c r="AF23" s="24" t="n">
        <v>25.7437</v>
      </c>
    </row>
    <row r="24">
      <c r="A24" s="9" t="inlineStr">
        <is>
          <t>POL</t>
        </is>
      </c>
      <c r="B24" s="9" t="inlineStr">
        <is>
          <t>Poland</t>
        </is>
      </c>
      <c r="C24" s="9" t="inlineStr">
        <is>
          <t>EMDC</t>
        </is>
      </c>
      <c r="D24" s="23" t="n">
        <v>0.058</v>
      </c>
      <c r="E24" s="24" t="n">
        <v>1105.1731</v>
      </c>
      <c r="F24" s="24" t="n">
        <v>11.94</v>
      </c>
      <c r="G24" s="24" t="n">
        <v>29.6793</v>
      </c>
      <c r="H24" s="24" t="n">
        <v>17.7392</v>
      </c>
      <c r="I24" s="24" t="n">
        <v>0.7946</v>
      </c>
      <c r="J24" s="24" t="n">
        <v>0.9234</v>
      </c>
      <c r="K24" s="24" t="n">
        <v>-6.6443</v>
      </c>
      <c r="L24" s="24" t="n">
        <v>425.2729</v>
      </c>
      <c r="M24" s="24" t="n">
        <v>372.4046</v>
      </c>
      <c r="N24" s="24" t="n">
        <v>66.7253</v>
      </c>
      <c r="O24" s="24" t="n">
        <v>882.1511</v>
      </c>
      <c r="P24" s="24" t="n">
        <v>557.3351</v>
      </c>
      <c r="Q24" s="24" t="n">
        <v>-42.8679</v>
      </c>
      <c r="R24" s="24" t="n">
        <v>-37.7778</v>
      </c>
      <c r="S24" s="24" t="n">
        <v>-236.1644</v>
      </c>
      <c r="T24" s="24" t="n">
        <v>3836.5213</v>
      </c>
      <c r="U24" s="24" t="n">
        <v>327.8025</v>
      </c>
      <c r="V24" s="24" t="n">
        <v>353.737</v>
      </c>
      <c r="W24" s="25" t="n">
        <v>3</v>
      </c>
      <c r="X24" s="26" t="n">
        <v>1</v>
      </c>
      <c r="Y24" s="24" t="n">
        <v>2.0353</v>
      </c>
      <c r="Z24" s="24" t="n">
        <v>6.6163</v>
      </c>
      <c r="AA24" s="24" t="n">
        <v>6.7449</v>
      </c>
      <c r="AB24" s="24" t="n">
        <v>3.7791</v>
      </c>
      <c r="AC24" s="24" t="n">
        <v>10.5037</v>
      </c>
      <c r="AD24" s="24" t="n">
        <v>3.1691</v>
      </c>
      <c r="AE24" s="24" t="n">
        <v>2.3949</v>
      </c>
      <c r="AF24" s="24" t="n">
        <v>19.894</v>
      </c>
    </row>
    <row r="25">
      <c r="A25" s="9" t="inlineStr">
        <is>
          <t>CHE</t>
        </is>
      </c>
      <c r="B25" s="9" t="inlineStr">
        <is>
          <t>Switzerland</t>
        </is>
      </c>
      <c r="C25" s="9" t="inlineStr">
        <is>
          <t>AE</t>
        </is>
      </c>
      <c r="D25" s="23" t="n">
        <v>0.0397</v>
      </c>
      <c r="E25" s="24" t="n">
        <v>1051.4221</v>
      </c>
      <c r="F25" s="24" t="n">
        <v>10.9738</v>
      </c>
      <c r="G25" s="24" t="n">
        <v>16.6533</v>
      </c>
      <c r="H25" s="24" t="n">
        <v>5.6795</v>
      </c>
      <c r="I25" s="24" t="n">
        <v>-0.112</v>
      </c>
      <c r="J25" s="24" t="n">
        <v>0.3294</v>
      </c>
      <c r="K25" s="24" t="n">
        <v>0.1446</v>
      </c>
      <c r="L25" s="24" t="n">
        <v>43.7375</v>
      </c>
      <c r="M25" s="24" t="n">
        <v>34.9055</v>
      </c>
      <c r="N25" s="24" t="n">
        <v>7.7942</v>
      </c>
      <c r="O25" s="24" t="n">
        <v>456.5563</v>
      </c>
      <c r="P25" s="24" t="n">
        <v>148.0446</v>
      </c>
      <c r="Q25" s="24" t="n">
        <v>-6.4572</v>
      </c>
      <c r="R25" s="24" t="n">
        <v>5.7047</v>
      </c>
      <c r="S25" s="24" t="n">
        <v>0.5467</v>
      </c>
      <c r="T25" s="24" t="n">
        <v>468.1708</v>
      </c>
      <c r="U25" s="24" t="n">
        <v>33.1093</v>
      </c>
      <c r="V25" s="24" t="n">
        <v>35.583</v>
      </c>
      <c r="W25" s="25" t="n">
        <v>3</v>
      </c>
      <c r="X25" s="26" t="n">
        <v>1.131</v>
      </c>
      <c r="Y25" s="24" t="n">
        <v>1.6757</v>
      </c>
      <c r="Z25" s="24" t="n">
        <v>2.3533</v>
      </c>
      <c r="AA25" s="24" t="n">
        <v>4.3708</v>
      </c>
      <c r="AB25" s="24" t="n">
        <v>0.4051</v>
      </c>
      <c r="AC25" s="24" t="n">
        <v>7.8484</v>
      </c>
      <c r="AD25" s="24" t="n">
        <v>1.7972</v>
      </c>
      <c r="AE25" s="24" t="n">
        <v>0.4422</v>
      </c>
      <c r="AF25" s="24" t="n">
        <v>12.5028</v>
      </c>
    </row>
    <row r="26">
      <c r="A26" s="9" t="inlineStr">
        <is>
          <t>ARG</t>
        </is>
      </c>
      <c r="B26" s="9" t="inlineStr">
        <is>
          <t>Argentina</t>
        </is>
      </c>
      <c r="C26" s="9" t="inlineStr">
        <is>
          <t>EMDC</t>
        </is>
      </c>
      <c r="D26" s="23" t="n">
        <v>0.1269</v>
      </c>
      <c r="E26" s="24" t="n">
        <v>779.0351000000001</v>
      </c>
      <c r="F26" s="24" t="n">
        <v>6.0957</v>
      </c>
      <c r="G26" s="24" t="n">
        <v>21.0007</v>
      </c>
      <c r="H26" s="24" t="n">
        <v>14.905</v>
      </c>
      <c r="I26" s="24" t="n">
        <v>8.618</v>
      </c>
      <c r="J26" s="24" t="n">
        <v>5.6065</v>
      </c>
      <c r="K26" s="24" t="n">
        <v>4.7908</v>
      </c>
      <c r="L26" s="24" t="n">
        <v>409.7733</v>
      </c>
      <c r="M26" s="24" t="n">
        <v>296.7357</v>
      </c>
      <c r="N26" s="24" t="n">
        <v>106.2815</v>
      </c>
      <c r="O26" s="24" t="n">
        <v>610.7525000000001</v>
      </c>
      <c r="P26" s="24" t="n">
        <v>441.8925</v>
      </c>
      <c r="Q26" s="24" t="n">
        <v>60.1436</v>
      </c>
      <c r="R26" s="24" t="n">
        <v>51.9383</v>
      </c>
      <c r="S26" s="24" t="n">
        <v>24.2547</v>
      </c>
      <c r="T26" s="24" t="n">
        <v>4475.4282</v>
      </c>
      <c r="U26" s="24" t="n">
        <v>149.688</v>
      </c>
      <c r="V26" s="24" t="n">
        <v>169.164</v>
      </c>
      <c r="W26" s="25" t="n">
        <v>3</v>
      </c>
      <c r="X26" s="26" t="n">
        <v>0.8086</v>
      </c>
      <c r="Y26" s="24" t="n">
        <v>3.3281</v>
      </c>
      <c r="Z26" s="24" t="n">
        <v>2.1877</v>
      </c>
      <c r="AA26" s="24" t="n">
        <v>2.8928</v>
      </c>
      <c r="AB26" s="24" t="n">
        <v>8.172499999999999</v>
      </c>
      <c r="AC26" s="24" t="n">
        <v>4.4195</v>
      </c>
      <c r="AD26" s="24" t="n">
        <v>5.7799</v>
      </c>
      <c r="AE26" s="24" t="n">
        <v>4.6357</v>
      </c>
      <c r="AF26" s="24" t="n">
        <v>13.0331</v>
      </c>
    </row>
    <row r="27">
      <c r="A27" s="9" t="inlineStr">
        <is>
          <t>IRL</t>
        </is>
      </c>
      <c r="B27" s="9" t="inlineStr">
        <is>
          <t>Ireland</t>
        </is>
      </c>
      <c r="C27" s="9" t="inlineStr">
        <is>
          <t>AE</t>
        </is>
      </c>
      <c r="D27" s="23" t="n">
        <v>0.0659</v>
      </c>
      <c r="E27" s="24" t="n">
        <v>769.1411000000001</v>
      </c>
      <c r="F27" s="24" t="n">
        <v>8.982699999999999</v>
      </c>
      <c r="G27" s="24" t="n">
        <v>15.6</v>
      </c>
      <c r="H27" s="24" t="n">
        <v>6.6173</v>
      </c>
      <c r="I27" s="24" t="n">
        <v>0.9339</v>
      </c>
      <c r="J27" s="24" t="n">
        <v>0.8028999999999999</v>
      </c>
      <c r="K27" s="24" t="n">
        <v>0.4255</v>
      </c>
      <c r="L27" s="24" t="n">
        <v>74.8536</v>
      </c>
      <c r="M27" s="24" t="n">
        <v>51.8024</v>
      </c>
      <c r="N27" s="24" t="n">
        <v>13.952</v>
      </c>
      <c r="O27" s="24" t="n">
        <v>398.204</v>
      </c>
      <c r="P27" s="24" t="n">
        <v>138.6381</v>
      </c>
      <c r="Q27" s="24" t="n">
        <v>12.1228</v>
      </c>
      <c r="R27" s="24" t="n">
        <v>10.0961</v>
      </c>
      <c r="S27" s="24" t="n">
        <v>1.5559</v>
      </c>
      <c r="T27" s="24" t="n">
        <v>910.7283</v>
      </c>
      <c r="U27" s="24" t="n">
        <v>34.8486</v>
      </c>
      <c r="V27" s="24" t="n">
        <v>41.612</v>
      </c>
      <c r="W27" s="25" t="n">
        <v>3</v>
      </c>
      <c r="X27" s="26" t="n">
        <v>0.8596</v>
      </c>
      <c r="Y27" s="24" t="n">
        <v>2.1231</v>
      </c>
      <c r="Z27" s="24" t="n">
        <v>2.5452</v>
      </c>
      <c r="AA27" s="24" t="n">
        <v>3.3915</v>
      </c>
      <c r="AB27" s="24" t="n">
        <v>1.2953</v>
      </c>
      <c r="AC27" s="24" t="n">
        <v>6.2448</v>
      </c>
      <c r="AD27" s="24" t="n">
        <v>2.5117</v>
      </c>
      <c r="AE27" s="24" t="n">
        <v>1.1912</v>
      </c>
      <c r="AF27" s="24" t="n">
        <v>10.543</v>
      </c>
    </row>
    <row r="28">
      <c r="A28" s="9" t="inlineStr">
        <is>
          <t>SGP</t>
        </is>
      </c>
      <c r="B28" s="9" t="inlineStr">
        <is>
          <t>Singapore</t>
        </is>
      </c>
      <c r="C28" s="9" t="inlineStr">
        <is>
          <t>AE</t>
        </is>
      </c>
      <c r="D28" s="23" t="n">
        <v>0.0546</v>
      </c>
      <c r="E28" s="24" t="n">
        <v>704.9639</v>
      </c>
      <c r="F28" s="24" t="n">
        <v>7.5752</v>
      </c>
      <c r="G28" s="24" t="n">
        <v>15.8772</v>
      </c>
      <c r="H28" s="24" t="n">
        <v>8.302</v>
      </c>
      <c r="I28" s="24" t="n">
        <v>-6.294</v>
      </c>
      <c r="J28" s="24" t="n">
        <v>-6.1507</v>
      </c>
      <c r="K28" s="24" t="n">
        <v>-6.7954</v>
      </c>
      <c r="L28" s="24" t="n">
        <v>79.6572</v>
      </c>
      <c r="M28" s="24" t="n">
        <v>56.8787</v>
      </c>
      <c r="N28" s="24" t="n">
        <v>12.1001</v>
      </c>
      <c r="O28" s="24" t="n">
        <v>403.4922</v>
      </c>
      <c r="P28" s="24" t="n">
        <v>184.9739</v>
      </c>
      <c r="Q28" s="24" t="n">
        <v>-129.7409</v>
      </c>
      <c r="R28" s="24" t="n">
        <v>-117.1308</v>
      </c>
      <c r="S28" s="24" t="n">
        <v>-133.206</v>
      </c>
      <c r="T28" s="24" t="n">
        <v>1149.9026</v>
      </c>
      <c r="U28" s="24" t="n">
        <v>46.8603</v>
      </c>
      <c r="V28" s="24" t="n">
        <v>56.66</v>
      </c>
      <c r="W28" s="25" t="n">
        <v>3</v>
      </c>
      <c r="X28" s="26" t="n">
        <v>1.0009</v>
      </c>
      <c r="Y28" s="24" t="n">
        <v>0.9817</v>
      </c>
      <c r="Z28" s="24" t="n">
        <v>3.7944</v>
      </c>
      <c r="AA28" s="24" t="n">
        <v>4.359</v>
      </c>
      <c r="AB28" s="24" t="n">
        <v>0.7651</v>
      </c>
      <c r="AC28" s="24" t="n">
        <v>5.9771</v>
      </c>
      <c r="AD28" s="24" t="n">
        <v>1.2112</v>
      </c>
      <c r="AE28" s="24" t="n">
        <v>0.3103</v>
      </c>
      <c r="AF28" s="24" t="n">
        <v>10.8717</v>
      </c>
    </row>
    <row r="29">
      <c r="A29" s="9" t="inlineStr">
        <is>
          <t>BEL</t>
        </is>
      </c>
      <c r="B29" s="9" t="inlineStr">
        <is>
          <t>Belgium</t>
        </is>
      </c>
      <c r="C29" s="9" t="inlineStr">
        <is>
          <t>AE</t>
        </is>
      </c>
      <c r="D29" s="23" t="n">
        <v>0.038</v>
      </c>
      <c r="E29" s="24" t="n">
        <v>704.566</v>
      </c>
      <c r="F29" s="24" t="n">
        <v>8.4488</v>
      </c>
      <c r="G29" s="24" t="n">
        <v>20.2233</v>
      </c>
      <c r="H29" s="24" t="n">
        <v>11.7744</v>
      </c>
      <c r="I29" s="24" t="n">
        <v>0.0193</v>
      </c>
      <c r="J29" s="24" t="n">
        <v>0.9956</v>
      </c>
      <c r="K29" s="24" t="n">
        <v>0.5255</v>
      </c>
      <c r="L29" s="24" t="n">
        <v>107.4836</v>
      </c>
      <c r="M29" s="24" t="n">
        <v>83.6658</v>
      </c>
      <c r="N29" s="24" t="n">
        <v>14.6539</v>
      </c>
      <c r="O29" s="24" t="n">
        <v>519.8393</v>
      </c>
      <c r="P29" s="24" t="n">
        <v>289.2473</v>
      </c>
      <c r="Q29" s="24" t="n">
        <v>-4.3407</v>
      </c>
      <c r="R29" s="24" t="n">
        <v>19.4635</v>
      </c>
      <c r="S29" s="24" t="n">
        <v>8.087400000000001</v>
      </c>
      <c r="T29" s="24" t="n">
        <v>1284.4402</v>
      </c>
      <c r="U29" s="24" t="n">
        <v>79.4573</v>
      </c>
      <c r="V29" s="24" t="n">
        <v>95.476</v>
      </c>
      <c r="W29" s="25" t="n">
        <v>3</v>
      </c>
      <c r="X29" s="26" t="n">
        <v>1.266</v>
      </c>
      <c r="Y29" s="24" t="n">
        <v>1.787</v>
      </c>
      <c r="Z29" s="24" t="n">
        <v>3.934</v>
      </c>
      <c r="AA29" s="24" t="n">
        <v>4.5326</v>
      </c>
      <c r="AB29" s="24" t="n">
        <v>1.0475</v>
      </c>
      <c r="AC29" s="24" t="n">
        <v>8.9222</v>
      </c>
      <c r="AD29" s="24" t="n">
        <v>2.1012</v>
      </c>
      <c r="AE29" s="24" t="n">
        <v>1.1776</v>
      </c>
      <c r="AF29" s="24" t="n">
        <v>14.188</v>
      </c>
    </row>
    <row r="30">
      <c r="A30" s="9" t="inlineStr">
        <is>
          <t>VNM</t>
        </is>
      </c>
      <c r="B30" s="9" t="inlineStr">
        <is>
          <t>Viet Nam</t>
        </is>
      </c>
      <c r="C30" s="9" t="inlineStr">
        <is>
          <t>EMDC</t>
        </is>
      </c>
      <c r="D30" s="23" t="n">
        <v>0.0931</v>
      </c>
      <c r="E30" s="24" t="n">
        <v>684.9784</v>
      </c>
      <c r="F30" s="24" t="n">
        <v>10.8548</v>
      </c>
      <c r="G30" s="24" t="n">
        <v>25.0407</v>
      </c>
      <c r="H30" s="24" t="n">
        <v>14.1859</v>
      </c>
      <c r="I30" s="24" t="n">
        <v>2.9998</v>
      </c>
      <c r="J30" s="24" t="n">
        <v>1.5259</v>
      </c>
      <c r="K30" s="24" t="n">
        <v>-0.4338</v>
      </c>
      <c r="L30" s="24" t="n">
        <v>527.7303000000001</v>
      </c>
      <c r="M30" s="24" t="n">
        <v>414.4879</v>
      </c>
      <c r="N30" s="24" t="n">
        <v>108.5209</v>
      </c>
      <c r="O30" s="24" t="n">
        <v>868.8203999999999</v>
      </c>
      <c r="P30" s="24" t="n">
        <v>539.8515</v>
      </c>
      <c r="Q30" s="24" t="n">
        <v>18.017</v>
      </c>
      <c r="R30" s="24" t="n">
        <v>-22.7443</v>
      </c>
      <c r="S30" s="24" t="n">
        <v>-86.2071</v>
      </c>
      <c r="T30" s="24" t="n">
        <v>7779.678</v>
      </c>
      <c r="U30" s="24" t="n">
        <v>240.5028</v>
      </c>
      <c r="V30" s="24" t="n">
        <v>291.761</v>
      </c>
      <c r="W30" s="25" t="n">
        <v>3</v>
      </c>
      <c r="X30" s="26" t="n">
        <v>0.8184</v>
      </c>
      <c r="Y30" s="24" t="n">
        <v>3.1325</v>
      </c>
      <c r="Z30" s="24" t="n">
        <v>4.17</v>
      </c>
      <c r="AA30" s="24" t="n">
        <v>5.278</v>
      </c>
      <c r="AB30" s="24" t="n">
        <v>6.6591</v>
      </c>
      <c r="AC30" s="24" t="n">
        <v>5.8011</v>
      </c>
      <c r="AD30" s="24" t="n">
        <v>5.1302</v>
      </c>
      <c r="AE30" s="24" t="n">
        <v>3.2839</v>
      </c>
      <c r="AF30" s="24" t="n">
        <v>15.7404</v>
      </c>
    </row>
    <row r="31">
      <c r="A31" s="9" t="inlineStr">
        <is>
          <t>SWE</t>
        </is>
      </c>
      <c r="B31" s="9" t="inlineStr">
        <is>
          <t>Sweden</t>
        </is>
      </c>
      <c r="C31" s="9" t="inlineStr">
        <is>
          <t>AE</t>
        </is>
      </c>
      <c r="D31" s="23" t="n">
        <v>0.035</v>
      </c>
      <c r="E31" s="24" t="n">
        <v>674.6599</v>
      </c>
      <c r="F31" s="24" t="n">
        <v>10.2589</v>
      </c>
      <c r="G31" s="24" t="n">
        <v>14.1083</v>
      </c>
      <c r="H31" s="24" t="n">
        <v>3.8494</v>
      </c>
      <c r="I31" s="24" t="n">
        <v>0.2828</v>
      </c>
      <c r="J31" s="24" t="n">
        <v>0.6349</v>
      </c>
      <c r="K31" s="24" t="n">
        <v>0.5548</v>
      </c>
      <c r="L31" s="24" t="n">
        <v>42.6191</v>
      </c>
      <c r="M31" s="24" t="n">
        <v>34.9814</v>
      </c>
      <c r="N31" s="24" t="n">
        <v>8.350899999999999</v>
      </c>
      <c r="O31" s="24" t="n">
        <v>373.3305</v>
      </c>
      <c r="P31" s="24" t="n">
        <v>104.2148</v>
      </c>
      <c r="Q31" s="24" t="n">
        <v>-0.0203</v>
      </c>
      <c r="R31" s="24" t="n">
        <v>8.851599999999999</v>
      </c>
      <c r="S31" s="24" t="n">
        <v>6.7906</v>
      </c>
      <c r="T31" s="24" t="n">
        <v>430.0719</v>
      </c>
      <c r="U31" s="24" t="n">
        <v>35.0347</v>
      </c>
      <c r="V31" s="24" t="n">
        <v>35.221</v>
      </c>
      <c r="W31" s="25" t="n">
        <v>3</v>
      </c>
      <c r="X31" s="26" t="n">
        <v>1.2232</v>
      </c>
      <c r="Y31" s="24" t="n">
        <v>0.9559</v>
      </c>
      <c r="Z31" s="24" t="n">
        <v>2.8377</v>
      </c>
      <c r="AA31" s="24" t="n">
        <v>4.0012</v>
      </c>
      <c r="AB31" s="24" t="n">
        <v>0.3733</v>
      </c>
      <c r="AC31" s="24" t="n">
        <v>5.9402</v>
      </c>
      <c r="AD31" s="24" t="n">
        <v>1.0679</v>
      </c>
      <c r="AE31" s="24" t="n">
        <v>0.1874</v>
      </c>
      <c r="AF31" s="24" t="n">
        <v>10.2027</v>
      </c>
    </row>
    <row r="32">
      <c r="A32" s="9" t="inlineStr">
        <is>
          <t>ARE</t>
        </is>
      </c>
      <c r="B32" s="9" t="inlineStr">
        <is>
          <t>United Arab Emirates</t>
        </is>
      </c>
      <c r="C32" s="9" t="inlineStr">
        <is>
          <t>EMDC</t>
        </is>
      </c>
      <c r="D32" s="23" t="n">
        <v>0.0535</v>
      </c>
      <c r="E32" s="24" t="n">
        <v>674.4437</v>
      </c>
      <c r="F32" s="24" t="n">
        <v>7.583</v>
      </c>
      <c r="G32" s="24" t="n">
        <v>22.9743</v>
      </c>
      <c r="H32" s="24" t="n">
        <v>15.3913</v>
      </c>
      <c r="I32" s="24" t="n">
        <v>4.7892</v>
      </c>
      <c r="J32" s="24" t="n">
        <v>5.1343</v>
      </c>
      <c r="K32" s="24" t="n">
        <v>4.7608</v>
      </c>
      <c r="L32" s="24" t="n">
        <v>324.1665</v>
      </c>
      <c r="M32" s="24" t="n">
        <v>275.7534</v>
      </c>
      <c r="N32" s="24" t="n">
        <v>70.89490000000001</v>
      </c>
      <c r="O32" s="24" t="n">
        <v>716.1137</v>
      </c>
      <c r="P32" s="24" t="n">
        <v>511.1385</v>
      </c>
      <c r="Q32" s="24" t="n">
        <v>82.04600000000001</v>
      </c>
      <c r="R32" s="24" t="n">
        <v>84.64790000000001</v>
      </c>
      <c r="S32" s="24" t="n">
        <v>73.1524</v>
      </c>
      <c r="T32" s="24" t="n">
        <v>3052.8966</v>
      </c>
      <c r="U32" s="24" t="n">
        <v>191.0236</v>
      </c>
      <c r="V32" s="24" t="n">
        <v>230.363</v>
      </c>
      <c r="W32" s="25" t="n">
        <v>2</v>
      </c>
      <c r="X32" s="26" t="n">
        <v>0.7796999999999999</v>
      </c>
      <c r="Y32" s="24" t="n">
        <v>2.3807</v>
      </c>
      <c r="Z32" s="24" t="n">
        <v>5.0676</v>
      </c>
      <c r="AA32" s="24" t="n">
        <v>3.7279</v>
      </c>
      <c r="AB32" s="24" t="n">
        <v>5.4235</v>
      </c>
      <c r="AC32" s="24" t="n">
        <v>6.3745</v>
      </c>
      <c r="AD32" s="24" t="n">
        <v>4.0078</v>
      </c>
      <c r="AE32" s="24" t="n">
        <v>2.6414</v>
      </c>
      <c r="AF32" s="24" t="n">
        <v>13.8989</v>
      </c>
    </row>
    <row r="33">
      <c r="A33" s="9" t="inlineStr">
        <is>
          <t>ISR</t>
        </is>
      </c>
      <c r="B33" s="9" t="inlineStr">
        <is>
          <t>Israel</t>
        </is>
      </c>
      <c r="C33" s="9" t="inlineStr">
        <is>
          <t>AE</t>
        </is>
      </c>
      <c r="D33" s="23" t="n">
        <v>0.055</v>
      </c>
      <c r="E33" s="24" t="n">
        <v>654.6505</v>
      </c>
      <c r="F33" s="24" t="n">
        <v>10.4354</v>
      </c>
      <c r="G33" s="24" t="n">
        <v>20.7292</v>
      </c>
      <c r="H33" s="24" t="n">
        <v>10.2938</v>
      </c>
      <c r="I33" s="24" t="n">
        <v>2.3101</v>
      </c>
      <c r="J33" s="24" t="n">
        <v>2.4764</v>
      </c>
      <c r="K33" s="24" t="n">
        <v>2.1547</v>
      </c>
      <c r="L33" s="24" t="n">
        <v>91.2586</v>
      </c>
      <c r="M33" s="24" t="n">
        <v>66.5244</v>
      </c>
      <c r="N33" s="24" t="n">
        <v>16.8958</v>
      </c>
      <c r="O33" s="24" t="n">
        <v>472.771</v>
      </c>
      <c r="P33" s="24" t="n">
        <v>187.8244</v>
      </c>
      <c r="Q33" s="24" t="n">
        <v>47.6471</v>
      </c>
      <c r="R33" s="24" t="n">
        <v>48.3851</v>
      </c>
      <c r="S33" s="24" t="n">
        <v>40.5899</v>
      </c>
      <c r="T33" s="24" t="n">
        <v>1081.214</v>
      </c>
      <c r="U33" s="24" t="n">
        <v>54.9207</v>
      </c>
      <c r="V33" s="24" t="n">
        <v>62.811</v>
      </c>
      <c r="W33" s="25" t="n">
        <v>2</v>
      </c>
      <c r="X33" s="26" t="n">
        <v>1.1643</v>
      </c>
      <c r="Y33" s="24" t="n">
        <v>1.023</v>
      </c>
      <c r="Z33" s="24" t="n">
        <v>8.690200000000001</v>
      </c>
      <c r="AA33" s="24" t="n">
        <v>5.3618</v>
      </c>
      <c r="AB33" s="24" t="n">
        <v>0.6413</v>
      </c>
      <c r="AC33" s="24" t="n">
        <v>5.0129</v>
      </c>
      <c r="AD33" s="24" t="n">
        <v>1.2154</v>
      </c>
      <c r="AE33" s="24" t="n">
        <v>0.3394</v>
      </c>
      <c r="AF33" s="24" t="n">
        <v>10.8236</v>
      </c>
    </row>
    <row r="34">
      <c r="A34" s="9" t="inlineStr">
        <is>
          <t>THA</t>
        </is>
      </c>
      <c r="B34" s="9" t="inlineStr">
        <is>
          <t>Thailand</t>
        </is>
      </c>
      <c r="C34" s="9" t="inlineStr">
        <is>
          <t>EMDC</t>
        </is>
      </c>
      <c r="D34" s="23" t="n">
        <v>0.0905</v>
      </c>
      <c r="E34" s="24" t="n">
        <v>590.2485</v>
      </c>
      <c r="F34" s="24" t="n">
        <v>5.6257</v>
      </c>
      <c r="G34" s="24" t="n">
        <v>19.0699</v>
      </c>
      <c r="H34" s="24" t="n">
        <v>13.4442</v>
      </c>
      <c r="I34" s="24" t="n">
        <v>2.9816</v>
      </c>
      <c r="J34" s="24" t="n">
        <v>1.8043</v>
      </c>
      <c r="K34" s="24" t="n">
        <v>-0.8954</v>
      </c>
      <c r="L34" s="24" t="n">
        <v>497.4464</v>
      </c>
      <c r="M34" s="24" t="n">
        <v>380.3069</v>
      </c>
      <c r="N34" s="24" t="n">
        <v>123.4409</v>
      </c>
      <c r="O34" s="24" t="n">
        <v>674.5614</v>
      </c>
      <c r="P34" s="24" t="n">
        <v>499.5641</v>
      </c>
      <c r="Q34" s="24" t="n">
        <v>-1.6844</v>
      </c>
      <c r="R34" s="24" t="n">
        <v>-44.9755</v>
      </c>
      <c r="S34" s="24" t="n">
        <v>-128.8958</v>
      </c>
      <c r="T34" s="24" t="n">
        <v>6062.8184</v>
      </c>
      <c r="U34" s="24" t="n">
        <v>251.8793</v>
      </c>
      <c r="V34" s="24" t="n">
        <v>290.725</v>
      </c>
      <c r="W34" s="25" t="n">
        <v>2</v>
      </c>
      <c r="X34" s="26" t="n">
        <v>1.0017</v>
      </c>
      <c r="Y34" s="24" t="n">
        <v>1.6997</v>
      </c>
      <c r="Z34" s="24" t="n">
        <v>4.5803</v>
      </c>
      <c r="AA34" s="24" t="n">
        <v>3.1738</v>
      </c>
      <c r="AB34" s="24" t="n">
        <v>4.4731</v>
      </c>
      <c r="AC34" s="24" t="n">
        <v>5.143</v>
      </c>
      <c r="AD34" s="24" t="n">
        <v>3.0416</v>
      </c>
      <c r="AE34" s="24" t="n">
        <v>2.5558</v>
      </c>
      <c r="AF34" s="24" t="n">
        <v>11.448</v>
      </c>
    </row>
    <row r="35">
      <c r="A35" s="9" t="inlineStr">
        <is>
          <t>PHL</t>
        </is>
      </c>
      <c r="B35" s="9" t="inlineStr">
        <is>
          <t>Philippines</t>
        </is>
      </c>
      <c r="C35" s="9" t="inlineStr">
        <is>
          <t>EMDC</t>
        </is>
      </c>
      <c r="D35" s="23" t="n">
        <v>0.0781</v>
      </c>
      <c r="E35" s="24" t="n">
        <v>587.9526</v>
      </c>
      <c r="F35" s="24" t="n">
        <v>5.2894</v>
      </c>
      <c r="G35" s="24" t="n">
        <v>13.6766</v>
      </c>
      <c r="H35" s="24" t="n">
        <v>8.3872</v>
      </c>
      <c r="I35" s="24" t="n">
        <v>0.9058</v>
      </c>
      <c r="J35" s="24" t="n">
        <v>0.4669</v>
      </c>
      <c r="K35" s="24" t="n">
        <v>-2.7414</v>
      </c>
      <c r="L35" s="24" t="n">
        <v>291.3605</v>
      </c>
      <c r="M35" s="24" t="n">
        <v>226.6378</v>
      </c>
      <c r="N35" s="24" t="n">
        <v>70.7972</v>
      </c>
      <c r="O35" s="24" t="n">
        <v>511.9446</v>
      </c>
      <c r="P35" s="24" t="n">
        <v>339.0728</v>
      </c>
      <c r="Q35" s="24" t="n">
        <v>-15.3474</v>
      </c>
      <c r="R35" s="24" t="n">
        <v>-36.9997</v>
      </c>
      <c r="S35" s="24" t="n">
        <v>-135.4451</v>
      </c>
      <c r="T35" s="24" t="n">
        <v>3885.6111</v>
      </c>
      <c r="U35" s="24" t="n">
        <v>142.5907</v>
      </c>
      <c r="V35" s="24" t="n">
        <v>157.056</v>
      </c>
      <c r="W35" s="25" t="n">
        <v>3</v>
      </c>
      <c r="X35" s="26" t="n">
        <v>0.9517</v>
      </c>
      <c r="Y35" s="24" t="n">
        <v>1.6335</v>
      </c>
      <c r="Z35" s="24" t="n">
        <v>2.3832</v>
      </c>
      <c r="AA35" s="24" t="n">
        <v>3.1454</v>
      </c>
      <c r="AB35" s="24" t="n">
        <v>2.4582</v>
      </c>
      <c r="AC35" s="24" t="n">
        <v>4.0562</v>
      </c>
      <c r="AD35" s="24" t="n">
        <v>2.371</v>
      </c>
      <c r="AE35" s="24" t="n">
        <v>1.6259</v>
      </c>
      <c r="AF35" s="24" t="n">
        <v>8.9224</v>
      </c>
    </row>
    <row r="36">
      <c r="A36" s="9" t="inlineStr">
        <is>
          <t>BGD</t>
        </is>
      </c>
      <c r="B36" s="9" t="inlineStr">
        <is>
          <t>Bangladesh</t>
        </is>
      </c>
      <c r="C36" s="9" t="inlineStr">
        <is>
          <t>EMDC</t>
        </is>
      </c>
      <c r="D36" s="23" t="n">
        <v>0.08939999999999999</v>
      </c>
      <c r="E36" s="24" t="n">
        <v>583.5646</v>
      </c>
      <c r="F36" s="24" t="n">
        <v>5.5827</v>
      </c>
      <c r="G36" s="24" t="n">
        <v>15.4244</v>
      </c>
      <c r="H36" s="24" t="n">
        <v>9.841699999999999</v>
      </c>
      <c r="I36" s="24" t="n">
        <v>3.3186</v>
      </c>
      <c r="J36" s="24" t="n">
        <v>2.5718</v>
      </c>
      <c r="K36" s="24" t="n">
        <v>-0.7208</v>
      </c>
      <c r="L36" s="24" t="n">
        <v>378.8846</v>
      </c>
      <c r="M36" s="24" t="n">
        <v>272.3811</v>
      </c>
      <c r="N36" s="24" t="n">
        <v>88.02800000000001</v>
      </c>
      <c r="O36" s="24" t="n">
        <v>569.277</v>
      </c>
      <c r="P36" s="24" t="n">
        <v>383.6638</v>
      </c>
      <c r="Q36" s="24" t="n">
        <v>28.2737</v>
      </c>
      <c r="R36" s="24" t="n">
        <v>13.829</v>
      </c>
      <c r="S36" s="24" t="n">
        <v>-89.3215</v>
      </c>
      <c r="T36" s="24" t="n">
        <v>5538.4272</v>
      </c>
      <c r="U36" s="24" t="n">
        <v>156.9885</v>
      </c>
      <c r="V36" s="24" t="n">
        <v>130.798</v>
      </c>
      <c r="W36" s="25" t="n">
        <v>2</v>
      </c>
      <c r="X36" s="26" t="n">
        <v>0.5879</v>
      </c>
      <c r="Y36" s="24" t="n">
        <v>4.4179</v>
      </c>
      <c r="Z36" s="24" t="n">
        <v>2.2002</v>
      </c>
      <c r="AA36" s="24" t="n">
        <v>2.15</v>
      </c>
      <c r="AB36" s="24" t="n">
        <v>4.5061</v>
      </c>
      <c r="AC36" s="24" t="n">
        <v>2.1502</v>
      </c>
      <c r="AD36" s="24" t="n">
        <v>5.7698</v>
      </c>
      <c r="AE36" s="24" t="n">
        <v>3.8721</v>
      </c>
      <c r="AF36" s="24" t="n">
        <v>7.4545</v>
      </c>
    </row>
    <row r="37">
      <c r="A37" s="9" t="inlineStr">
        <is>
          <t>AUT</t>
        </is>
      </c>
      <c r="B37" s="9" t="inlineStr">
        <is>
          <t>Austria</t>
        </is>
      </c>
      <c r="C37" s="9" t="inlineStr">
        <is>
          <t>AE</t>
        </is>
      </c>
      <c r="D37" s="23" t="n">
        <v>0.0611</v>
      </c>
      <c r="E37" s="24" t="n">
        <v>559.7546</v>
      </c>
      <c r="F37" s="24" t="n">
        <v>8.273300000000001</v>
      </c>
      <c r="G37" s="24" t="n">
        <v>14.4067</v>
      </c>
      <c r="H37" s="24" t="n">
        <v>6.1334</v>
      </c>
      <c r="I37" s="24" t="n">
        <v>0.5916</v>
      </c>
      <c r="J37" s="24" t="n">
        <v>0.5661</v>
      </c>
      <c r="K37" s="24" t="n">
        <v>0.3694</v>
      </c>
      <c r="L37" s="24" t="n">
        <v>70.10939999999999</v>
      </c>
      <c r="M37" s="24" t="n">
        <v>57.2257</v>
      </c>
      <c r="N37" s="24" t="n">
        <v>11.3275</v>
      </c>
      <c r="O37" s="24" t="n">
        <v>369.1438</v>
      </c>
      <c r="P37" s="24" t="n">
        <v>164.7412</v>
      </c>
      <c r="Q37" s="24" t="n">
        <v>7.3173</v>
      </c>
      <c r="R37" s="24" t="n">
        <v>6.8127</v>
      </c>
      <c r="S37" s="24" t="n">
        <v>1.544</v>
      </c>
      <c r="T37" s="24" t="n">
        <v>723.0927</v>
      </c>
      <c r="U37" s="24" t="n">
        <v>52.2897</v>
      </c>
      <c r="V37" s="24" t="n">
        <v>64.767</v>
      </c>
      <c r="W37" s="25" t="n">
        <v>3</v>
      </c>
      <c r="X37" s="26" t="n">
        <v>0.8993</v>
      </c>
      <c r="Y37" s="24" t="n">
        <v>1.4029</v>
      </c>
      <c r="Z37" s="24" t="n">
        <v>2.4988</v>
      </c>
      <c r="AA37" s="24" t="n">
        <v>3.3249</v>
      </c>
      <c r="AB37" s="24" t="n">
        <v>1.0075</v>
      </c>
      <c r="AC37" s="24" t="n">
        <v>6.1726</v>
      </c>
      <c r="AD37" s="24" t="n">
        <v>1.7051</v>
      </c>
      <c r="AE37" s="24" t="n">
        <v>0.735</v>
      </c>
      <c r="AF37" s="24" t="n">
        <v>10.2027</v>
      </c>
    </row>
    <row r="38">
      <c r="A38" s="9" t="inlineStr">
        <is>
          <t>MYS</t>
        </is>
      </c>
      <c r="B38" s="9" t="inlineStr">
        <is>
          <t>Malaysia</t>
        </is>
      </c>
      <c r="C38" s="9" t="inlineStr">
        <is>
          <t>EMDC</t>
        </is>
      </c>
      <c r="D38" s="23" t="n">
        <v>0.06560000000000001</v>
      </c>
      <c r="E38" s="24" t="n">
        <v>552.2424</v>
      </c>
      <c r="F38" s="24" t="n">
        <v>6.0832</v>
      </c>
      <c r="G38" s="24" t="n">
        <v>20.7146</v>
      </c>
      <c r="H38" s="24" t="n">
        <v>14.6314</v>
      </c>
      <c r="I38" s="24" t="n">
        <v>3.3558</v>
      </c>
      <c r="J38" s="24" t="n">
        <v>3.1433</v>
      </c>
      <c r="K38" s="24" t="n">
        <v>1.5434</v>
      </c>
      <c r="L38" s="24" t="n">
        <v>450.1257</v>
      </c>
      <c r="M38" s="24" t="n">
        <v>324.9271</v>
      </c>
      <c r="N38" s="24" t="n">
        <v>81.15519999999999</v>
      </c>
      <c r="O38" s="24" t="n">
        <v>708.0767</v>
      </c>
      <c r="P38" s="24" t="n">
        <v>531.3945</v>
      </c>
      <c r="Q38" s="24" t="n">
        <v>-9.313000000000001</v>
      </c>
      <c r="R38" s="24" t="n">
        <v>-18.2948</v>
      </c>
      <c r="S38" s="24" t="n">
        <v>-77.6712</v>
      </c>
      <c r="T38" s="24" t="n">
        <v>6556.5295</v>
      </c>
      <c r="U38" s="24" t="n">
        <v>238.6664</v>
      </c>
      <c r="V38" s="24" t="n">
        <v>276.641</v>
      </c>
      <c r="W38" s="25" t="n">
        <v>2</v>
      </c>
      <c r="X38" s="26" t="n">
        <v>1.0011</v>
      </c>
      <c r="Y38" s="24" t="n">
        <v>2.381</v>
      </c>
      <c r="Z38" s="24" t="n">
        <v>5.0996</v>
      </c>
      <c r="AA38" s="24" t="n">
        <v>3.511</v>
      </c>
      <c r="AB38" s="24" t="n">
        <v>4.6958</v>
      </c>
      <c r="AC38" s="24" t="n">
        <v>5.0272</v>
      </c>
      <c r="AD38" s="24" t="n">
        <v>3.7898</v>
      </c>
      <c r="AE38" s="24" t="n">
        <v>3.3354</v>
      </c>
      <c r="AF38" s="24" t="n">
        <v>11.8252</v>
      </c>
    </row>
    <row r="39">
      <c r="A39" s="9" t="inlineStr">
        <is>
          <t>NOR</t>
        </is>
      </c>
      <c r="B39" s="9" t="inlineStr">
        <is>
          <t>Norway</t>
        </is>
      </c>
      <c r="C39" s="9" t="inlineStr">
        <is>
          <t>AE</t>
        </is>
      </c>
      <c r="D39" s="23" t="n">
        <v>0.0478</v>
      </c>
      <c r="E39" s="24" t="n">
        <v>544.8756</v>
      </c>
      <c r="F39" s="24" t="n">
        <v>6.8971</v>
      </c>
      <c r="G39" s="24" t="n">
        <v>11.9817</v>
      </c>
      <c r="H39" s="24" t="n">
        <v>5.0846</v>
      </c>
      <c r="I39" s="24" t="n">
        <v>1.3789</v>
      </c>
      <c r="J39" s="24" t="n">
        <v>1.6235</v>
      </c>
      <c r="K39" s="24" t="n">
        <v>1.572</v>
      </c>
      <c r="L39" s="24" t="n">
        <v>48.2131</v>
      </c>
      <c r="M39" s="24" t="n">
        <v>38.8231</v>
      </c>
      <c r="N39" s="24" t="n">
        <v>8.414300000000001</v>
      </c>
      <c r="O39" s="24" t="n">
        <v>336.2433</v>
      </c>
      <c r="P39" s="24" t="n">
        <v>148.6207</v>
      </c>
      <c r="Q39" s="24" t="n">
        <v>34.1919</v>
      </c>
      <c r="R39" s="24" t="n">
        <v>34.5751</v>
      </c>
      <c r="S39" s="24" t="n">
        <v>33.2549</v>
      </c>
      <c r="T39" s="24" t="n">
        <v>528.5888</v>
      </c>
      <c r="U39" s="24" t="n">
        <v>35.94</v>
      </c>
      <c r="V39" s="24" t="n">
        <v>40.74</v>
      </c>
      <c r="W39" s="25" t="n">
        <v>3</v>
      </c>
      <c r="X39" s="26" t="n">
        <v>1.1374</v>
      </c>
      <c r="Y39" s="24" t="n">
        <v>0.7589</v>
      </c>
      <c r="Z39" s="24" t="n">
        <v>2.0405</v>
      </c>
      <c r="AA39" s="24" t="n">
        <v>3.2035</v>
      </c>
      <c r="AB39" s="24" t="n">
        <v>0.6728</v>
      </c>
      <c r="AC39" s="24" t="n">
        <v>5.306</v>
      </c>
      <c r="AD39" s="24" t="n">
        <v>0.9608</v>
      </c>
      <c r="AE39" s="24" t="n">
        <v>0.2535</v>
      </c>
      <c r="AF39" s="24" t="n">
        <v>8.980399999999999</v>
      </c>
    </row>
    <row r="40">
      <c r="A40" s="9" t="inlineStr">
        <is>
          <t>EGY</t>
        </is>
      </c>
      <c r="B40" s="9" t="inlineStr">
        <is>
          <t>Egypt, Arab Rep.</t>
        </is>
      </c>
      <c r="C40" s="9" t="inlineStr">
        <is>
          <t>EMDC</t>
        </is>
      </c>
      <c r="D40" s="23" t="n">
        <v>0.1034</v>
      </c>
      <c r="E40" s="24" t="n">
        <v>491.4085</v>
      </c>
      <c r="F40" s="24" t="n">
        <v>6.0115</v>
      </c>
      <c r="G40" s="24" t="n">
        <v>15.8924</v>
      </c>
      <c r="H40" s="24" t="n">
        <v>9.8809</v>
      </c>
      <c r="I40" s="24" t="n">
        <v>-2.2955</v>
      </c>
      <c r="J40" s="24" t="n">
        <v>-3.7583</v>
      </c>
      <c r="K40" s="24" t="n">
        <v>-10.5534</v>
      </c>
      <c r="L40" s="24" t="n">
        <v>444.8409</v>
      </c>
      <c r="M40" s="24" t="n">
        <v>362.0718</v>
      </c>
      <c r="N40" s="24" t="n">
        <v>99.49250000000001</v>
      </c>
      <c r="O40" s="24" t="n">
        <v>579.833</v>
      </c>
      <c r="P40" s="24" t="n">
        <v>388.1558</v>
      </c>
      <c r="Q40" s="24" t="n">
        <v>-78.82080000000001</v>
      </c>
      <c r="R40" s="24" t="n">
        <v>-202.5221</v>
      </c>
      <c r="S40" s="24" t="n">
        <v>-426.9389</v>
      </c>
      <c r="T40" s="24" t="n">
        <v>6131.7049</v>
      </c>
      <c r="U40" s="24" t="n">
        <v>268.4359</v>
      </c>
      <c r="V40" s="24" t="n">
        <v>282.871</v>
      </c>
      <c r="W40" s="25" t="n">
        <v>2</v>
      </c>
      <c r="X40" s="26" t="n">
        <v>0.4486</v>
      </c>
      <c r="Y40" s="24" t="n">
        <v>3.8205</v>
      </c>
      <c r="Z40" s="24" t="n">
        <v>1.5428</v>
      </c>
      <c r="AA40" s="24" t="n">
        <v>1.7989</v>
      </c>
      <c r="AB40" s="24" t="n">
        <v>6.1667</v>
      </c>
      <c r="AC40" s="24" t="n">
        <v>2.5634</v>
      </c>
      <c r="AD40" s="24" t="n">
        <v>5.6705</v>
      </c>
      <c r="AE40" s="24" t="n">
        <v>3.3549</v>
      </c>
      <c r="AF40" s="24" t="n">
        <v>8.6791</v>
      </c>
    </row>
    <row r="41">
      <c r="A41" s="9" t="inlineStr">
        <is>
          <t>COL</t>
        </is>
      </c>
      <c r="B41" s="9" t="inlineStr">
        <is>
          <t>Colombia</t>
        </is>
      </c>
      <c r="C41" s="9" t="inlineStr">
        <is>
          <t>EMDC</t>
        </is>
      </c>
      <c r="D41" s="23" t="n">
        <v>0.0684</v>
      </c>
      <c r="E41" s="24" t="n">
        <v>486.8081</v>
      </c>
      <c r="F41" s="24" t="n">
        <v>2.8645</v>
      </c>
      <c r="G41" s="24" t="n">
        <v>12.3972</v>
      </c>
      <c r="H41" s="24" t="n">
        <v>9.5327</v>
      </c>
      <c r="I41" s="24" t="n">
        <v>5.9071</v>
      </c>
      <c r="J41" s="24" t="n">
        <v>5.7907</v>
      </c>
      <c r="K41" s="24" t="n">
        <v>4.3572</v>
      </c>
      <c r="L41" s="24" t="n">
        <v>293.614</v>
      </c>
      <c r="M41" s="24" t="n">
        <v>165.5325</v>
      </c>
      <c r="N41" s="24" t="n">
        <v>68.1925</v>
      </c>
      <c r="O41" s="24" t="n">
        <v>371.8304</v>
      </c>
      <c r="P41" s="24" t="n">
        <v>279.3792</v>
      </c>
      <c r="Q41" s="24" t="n">
        <v>46.8963</v>
      </c>
      <c r="R41" s="24" t="n">
        <v>47.7067</v>
      </c>
      <c r="S41" s="24" t="n">
        <v>6.4208</v>
      </c>
      <c r="T41" s="24" t="n">
        <v>4029.2912</v>
      </c>
      <c r="U41" s="24" t="n">
        <v>74.4743</v>
      </c>
      <c r="V41" s="24" t="n">
        <v>85.273</v>
      </c>
      <c r="W41" s="25" t="n">
        <v>3</v>
      </c>
      <c r="X41" s="26" t="n">
        <v>0.9315</v>
      </c>
      <c r="Y41" s="24" t="n">
        <v>3.4242</v>
      </c>
      <c r="Z41" s="24" t="n">
        <v>0.8093</v>
      </c>
      <c r="AA41" s="24" t="n">
        <v>1.3</v>
      </c>
      <c r="AB41" s="24" t="n">
        <v>3.3216</v>
      </c>
      <c r="AC41" s="24" t="n">
        <v>3.542</v>
      </c>
      <c r="AD41" s="24" t="n">
        <v>4.4207</v>
      </c>
      <c r="AE41" s="24" t="n">
        <v>4.015</v>
      </c>
      <c r="AF41" s="24" t="n">
        <v>7.1672</v>
      </c>
    </row>
    <row r="42">
      <c r="A42" s="9" t="inlineStr">
        <is>
          <t>DNK</t>
        </is>
      </c>
      <c r="B42" s="9" t="inlineStr">
        <is>
          <t>Denmark</t>
        </is>
      </c>
      <c r="C42" s="9" t="inlineStr">
        <is>
          <t>AE</t>
        </is>
      </c>
      <c r="D42" s="23" t="n">
        <v>0.0375</v>
      </c>
      <c r="E42" s="24" t="n">
        <v>480.5177</v>
      </c>
      <c r="F42" s="24" t="n">
        <v>6.276</v>
      </c>
      <c r="G42" s="24" t="n">
        <v>9.9482</v>
      </c>
      <c r="H42" s="24" t="n">
        <v>3.6722</v>
      </c>
      <c r="I42" s="24" t="n">
        <v>0.4715</v>
      </c>
      <c r="J42" s="24" t="n">
        <v>0.7639</v>
      </c>
      <c r="K42" s="24" t="n">
        <v>0.6749000000000001</v>
      </c>
      <c r="L42" s="24" t="n">
        <v>46.9738</v>
      </c>
      <c r="M42" s="24" t="n">
        <v>35.1788</v>
      </c>
      <c r="N42" s="24" t="n">
        <v>9.493600000000001</v>
      </c>
      <c r="O42" s="24" t="n">
        <v>265.2314</v>
      </c>
      <c r="P42" s="24" t="n">
        <v>94.9417</v>
      </c>
      <c r="Q42" s="24" t="n">
        <v>4.0438</v>
      </c>
      <c r="R42" s="24" t="n">
        <v>9.913600000000001</v>
      </c>
      <c r="S42" s="24" t="n">
        <v>7.6027</v>
      </c>
      <c r="T42" s="24" t="n">
        <v>529.9396</v>
      </c>
      <c r="U42" s="24" t="n">
        <v>26.5549</v>
      </c>
      <c r="V42" s="24" t="n">
        <v>32.152</v>
      </c>
      <c r="W42" s="25" t="n">
        <v>3</v>
      </c>
      <c r="X42" s="26" t="n">
        <v>1.3827</v>
      </c>
      <c r="Y42" s="24" t="n">
        <v>0.9144</v>
      </c>
      <c r="Z42" s="24" t="n">
        <v>1.915</v>
      </c>
      <c r="AA42" s="24" t="n">
        <v>2.3373</v>
      </c>
      <c r="AB42" s="24" t="n">
        <v>0.5098</v>
      </c>
      <c r="AC42" s="24" t="n">
        <v>4.2717</v>
      </c>
      <c r="AD42" s="24" t="n">
        <v>1.0674</v>
      </c>
      <c r="AE42" s="24" t="n">
        <v>0.4334</v>
      </c>
      <c r="AF42" s="24" t="n">
        <v>6.9659</v>
      </c>
    </row>
    <row r="43">
      <c r="A43" s="9" t="inlineStr">
        <is>
          <t>HKG</t>
        </is>
      </c>
      <c r="B43" s="9" t="inlineStr">
        <is>
          <t>Hong Kong SAR, China</t>
        </is>
      </c>
      <c r="C43" s="9" t="inlineStr">
        <is>
          <t>AE</t>
        </is>
      </c>
      <c r="D43" s="23" t="n">
        <v>0.055</v>
      </c>
      <c r="E43" s="24" t="n">
        <v>473.2356</v>
      </c>
      <c r="F43" s="24" t="n">
        <v>5.3684</v>
      </c>
      <c r="G43" s="24" t="n">
        <v>10.8015</v>
      </c>
      <c r="H43" s="24" t="n">
        <v>5.433</v>
      </c>
      <c r="I43" s="24" t="n">
        <v>-2.7908</v>
      </c>
      <c r="J43" s="24" t="n">
        <v>-2.6958</v>
      </c>
      <c r="K43" s="24" t="n">
        <v>-2.6958</v>
      </c>
      <c r="L43" s="24" t="n">
        <v>49.6264</v>
      </c>
      <c r="M43" s="24" t="n">
        <v>30.742</v>
      </c>
      <c r="N43" s="24" t="n">
        <v>4.5372</v>
      </c>
      <c r="O43" s="24" t="n">
        <v>246.714</v>
      </c>
      <c r="P43" s="24" t="n">
        <v>94.6202</v>
      </c>
      <c r="Q43" s="24" t="n">
        <v>-53.6081</v>
      </c>
      <c r="R43" s="24" t="n">
        <v>-48.0312</v>
      </c>
      <c r="S43" s="24" t="n">
        <v>-48.0312</v>
      </c>
      <c r="T43" s="24" t="n">
        <v>874.1398</v>
      </c>
      <c r="U43" s="24" t="n">
        <v>40.6051</v>
      </c>
      <c r="V43" s="24" t="n">
        <v>36.233</v>
      </c>
      <c r="W43" s="25" t="n">
        <v>1</v>
      </c>
      <c r="X43" s="26" t="n">
        <v>1</v>
      </c>
      <c r="Y43" s="24" t="n">
        <v>0.708</v>
      </c>
      <c r="Z43" s="24" t="n">
        <v>6.1982</v>
      </c>
      <c r="AA43" s="24" t="n">
        <v>1.2763</v>
      </c>
      <c r="AB43" s="24" t="n">
        <v>0.1514</v>
      </c>
      <c r="AC43" s="24" t="n">
        <v>2.4676</v>
      </c>
      <c r="AD43" s="24" t="n">
        <v>0.7534</v>
      </c>
      <c r="AE43" s="24" t="n">
        <v>0.1421</v>
      </c>
      <c r="AF43" s="24" t="n">
        <v>3.8498</v>
      </c>
    </row>
    <row r="44">
      <c r="A44" s="9" t="inlineStr">
        <is>
          <t>PAK</t>
        </is>
      </c>
      <c r="B44" s="9" t="inlineStr">
        <is>
          <t>Pakistan</t>
        </is>
      </c>
      <c r="C44" s="9" t="inlineStr">
        <is>
          <t>EMDC</t>
        </is>
      </c>
      <c r="D44" s="23" t="n">
        <v>0.0891</v>
      </c>
      <c r="E44" s="24" t="n">
        <v>459.3097</v>
      </c>
      <c r="F44" s="24" t="n">
        <v>5.1802</v>
      </c>
      <c r="G44" s="24" t="n">
        <v>17.4169</v>
      </c>
      <c r="H44" s="24" t="n">
        <v>12.2367</v>
      </c>
      <c r="I44" s="24" t="n">
        <v>6.9936</v>
      </c>
      <c r="J44" s="24" t="n">
        <v>6.2232</v>
      </c>
      <c r="K44" s="24" t="n">
        <v>4.9315</v>
      </c>
      <c r="L44" s="24" t="n">
        <v>545.8447</v>
      </c>
      <c r="M44" s="24" t="n">
        <v>419.219</v>
      </c>
      <c r="N44" s="24" t="n">
        <v>179.7601</v>
      </c>
      <c r="O44" s="24" t="n">
        <v>598.6577</v>
      </c>
      <c r="P44" s="24" t="n">
        <v>426.0103</v>
      </c>
      <c r="Q44" s="24" t="n">
        <v>52.9357</v>
      </c>
      <c r="R44" s="24" t="n">
        <v>49.745</v>
      </c>
      <c r="S44" s="24" t="n">
        <v>8.6411</v>
      </c>
      <c r="T44" s="24" t="n">
        <v>5388.7715</v>
      </c>
      <c r="U44" s="24" t="n">
        <v>167.0521</v>
      </c>
      <c r="V44" s="24" t="n">
        <v>186.695</v>
      </c>
      <c r="W44" s="25" t="n">
        <v>2</v>
      </c>
      <c r="X44" s="26" t="n">
        <v>0.8202</v>
      </c>
      <c r="Y44" s="24" t="n">
        <v>3.3701</v>
      </c>
      <c r="Z44" s="24" t="n">
        <v>2.8207</v>
      </c>
      <c r="AA44" s="24" t="n">
        <v>2.1824</v>
      </c>
      <c r="AB44" s="24" t="n">
        <v>5.566</v>
      </c>
      <c r="AC44" s="24" t="n">
        <v>3.4778</v>
      </c>
      <c r="AD44" s="24" t="n">
        <v>5.0399</v>
      </c>
      <c r="AE44" s="24" t="n">
        <v>3.9165</v>
      </c>
      <c r="AF44" s="24" t="n">
        <v>9.5564</v>
      </c>
    </row>
    <row r="45">
      <c r="A45" s="9" t="inlineStr">
        <is>
          <t>ZAF</t>
        </is>
      </c>
      <c r="B45" s="9" t="inlineStr">
        <is>
          <t>South Africa</t>
        </is>
      </c>
      <c r="C45" s="9" t="inlineStr">
        <is>
          <t>EMDC</t>
        </is>
      </c>
      <c r="D45" s="23" t="n">
        <v>0.0915</v>
      </c>
      <c r="E45" s="24" t="n">
        <v>433.191</v>
      </c>
      <c r="F45" s="24" t="n">
        <v>5.806</v>
      </c>
      <c r="G45" s="24" t="n">
        <v>18.8946</v>
      </c>
      <c r="H45" s="24" t="n">
        <v>13.0886</v>
      </c>
      <c r="I45" s="24" t="n">
        <v>5.8035</v>
      </c>
      <c r="J45" s="24" t="n">
        <v>4.3461</v>
      </c>
      <c r="K45" s="24" t="n">
        <v>2.274</v>
      </c>
      <c r="L45" s="24" t="n">
        <v>533.5536</v>
      </c>
      <c r="M45" s="24" t="n">
        <v>445.9769</v>
      </c>
      <c r="N45" s="24" t="n">
        <v>92.69710000000001</v>
      </c>
      <c r="O45" s="24" t="n">
        <v>650.8846</v>
      </c>
      <c r="P45" s="24" t="n">
        <v>471.6452</v>
      </c>
      <c r="Q45" s="24" t="n">
        <v>67.32899999999999</v>
      </c>
      <c r="R45" s="24" t="n">
        <v>58.8007</v>
      </c>
      <c r="S45" s="24" t="n">
        <v>-5.2283</v>
      </c>
      <c r="T45" s="24" t="n">
        <v>5977.7092</v>
      </c>
      <c r="U45" s="24" t="n">
        <v>402.1456</v>
      </c>
      <c r="V45" s="24" t="n">
        <v>407.218</v>
      </c>
      <c r="W45" s="25" t="n">
        <v>2</v>
      </c>
      <c r="X45" s="26" t="n">
        <v>1.0102</v>
      </c>
      <c r="Y45" s="24" t="n">
        <v>1.2683</v>
      </c>
      <c r="Z45" s="24" t="n">
        <v>5.7165</v>
      </c>
      <c r="AA45" s="24" t="n">
        <v>3.5848</v>
      </c>
      <c r="AB45" s="24" t="n">
        <v>3.1986</v>
      </c>
      <c r="AC45" s="24" t="n">
        <v>5.1263</v>
      </c>
      <c r="AD45" s="24" t="n">
        <v>2.2279</v>
      </c>
      <c r="AE45" s="24" t="n">
        <v>1.8707</v>
      </c>
      <c r="AF45" s="24" t="n">
        <v>10.9501</v>
      </c>
    </row>
    <row r="46">
      <c r="A46" s="9" t="inlineStr">
        <is>
          <t>ROU</t>
        </is>
      </c>
      <c r="B46" s="9" t="inlineStr">
        <is>
          <t>Romania</t>
        </is>
      </c>
      <c r="C46" s="9" t="inlineStr">
        <is>
          <t>EMDC</t>
        </is>
      </c>
      <c r="D46" s="23" t="n">
        <v>0.07190000000000001</v>
      </c>
      <c r="E46" s="24" t="n">
        <v>405.3078</v>
      </c>
      <c r="F46" s="24" t="n">
        <v>2.868</v>
      </c>
      <c r="G46" s="24" t="n">
        <v>9.0684</v>
      </c>
      <c r="H46" s="24" t="n">
        <v>6.2004</v>
      </c>
      <c r="I46" s="24" t="n">
        <v>1.1493</v>
      </c>
      <c r="J46" s="24" t="n">
        <v>0.8742</v>
      </c>
      <c r="K46" s="24" t="n">
        <v>0.1244</v>
      </c>
      <c r="L46" s="24" t="n">
        <v>126.3724</v>
      </c>
      <c r="M46" s="24" t="n">
        <v>103.5534</v>
      </c>
      <c r="N46" s="24" t="n">
        <v>31.9809</v>
      </c>
      <c r="O46" s="24" t="n">
        <v>304.7938</v>
      </c>
      <c r="P46" s="24" t="n">
        <v>211.018</v>
      </c>
      <c r="Q46" s="24" t="n">
        <v>9.6945</v>
      </c>
      <c r="R46" s="24" t="n">
        <v>3.738</v>
      </c>
      <c r="S46" s="24" t="n">
        <v>-21.4607</v>
      </c>
      <c r="T46" s="24" t="n">
        <v>1277.499</v>
      </c>
      <c r="U46" s="24" t="n">
        <v>76.6284</v>
      </c>
      <c r="V46" s="24" t="n">
        <v>90.142</v>
      </c>
      <c r="W46" s="25" t="n">
        <v>3</v>
      </c>
      <c r="X46" s="26" t="n">
        <v>1.1376</v>
      </c>
      <c r="Y46" s="24" t="n">
        <v>0.836</v>
      </c>
      <c r="Z46" s="24" t="n">
        <v>1.6367</v>
      </c>
      <c r="AA46" s="24" t="n">
        <v>1.8257</v>
      </c>
      <c r="AB46" s="24" t="n">
        <v>1.2436</v>
      </c>
      <c r="AC46" s="24" t="n">
        <v>3.5264</v>
      </c>
      <c r="AD46" s="24" t="n">
        <v>1.2091</v>
      </c>
      <c r="AE46" s="24" t="n">
        <v>0.9038</v>
      </c>
      <c r="AF46" s="24" t="n">
        <v>6.2226</v>
      </c>
    </row>
    <row r="47">
      <c r="A47" s="9" t="inlineStr">
        <is>
          <t>CZE</t>
        </is>
      </c>
      <c r="B47" s="9" t="inlineStr">
        <is>
          <t>Czechia</t>
        </is>
      </c>
      <c r="C47" s="9" t="inlineStr">
        <is>
          <t>AE</t>
        </is>
      </c>
      <c r="D47" s="23" t="n">
        <v>0.0575</v>
      </c>
      <c r="E47" s="24" t="n">
        <v>395.4653</v>
      </c>
      <c r="F47" s="24" t="n">
        <v>6.7459</v>
      </c>
      <c r="G47" s="24" t="n">
        <v>16.5882</v>
      </c>
      <c r="H47" s="24" t="n">
        <v>9.8424</v>
      </c>
      <c r="I47" s="24" t="n">
        <v>0.9897</v>
      </c>
      <c r="J47" s="24" t="n">
        <v>1.0737</v>
      </c>
      <c r="K47" s="24" t="n">
        <v>0.1169</v>
      </c>
      <c r="L47" s="24" t="n">
        <v>113.6553</v>
      </c>
      <c r="M47" s="24" t="n">
        <v>83.2486</v>
      </c>
      <c r="N47" s="24" t="n">
        <v>16.198</v>
      </c>
      <c r="O47" s="24" t="n">
        <v>412.1554</v>
      </c>
      <c r="P47" s="24" t="n">
        <v>227.0709</v>
      </c>
      <c r="Q47" s="24" t="n">
        <v>15.1793</v>
      </c>
      <c r="R47" s="24" t="n">
        <v>16.7004</v>
      </c>
      <c r="S47" s="24" t="n">
        <v>-5.3741</v>
      </c>
      <c r="T47" s="24" t="n">
        <v>1280.9631</v>
      </c>
      <c r="U47" s="24" t="n">
        <v>78.2816</v>
      </c>
      <c r="V47" s="24" t="n">
        <v>88.264</v>
      </c>
      <c r="W47" s="25" t="n">
        <v>3</v>
      </c>
      <c r="X47" s="26" t="n">
        <v>1.1107</v>
      </c>
      <c r="Y47" s="24" t="n">
        <v>1.2897</v>
      </c>
      <c r="Z47" s="24" t="n">
        <v>3.7886</v>
      </c>
      <c r="AA47" s="24" t="n">
        <v>4.1205</v>
      </c>
      <c r="AB47" s="24" t="n">
        <v>0.9348</v>
      </c>
      <c r="AC47" s="24" t="n">
        <v>6.4546</v>
      </c>
      <c r="AD47" s="24" t="n">
        <v>1.5702</v>
      </c>
      <c r="AE47" s="24" t="n">
        <v>1.038</v>
      </c>
      <c r="AF47" s="24" t="n">
        <v>11.2295</v>
      </c>
    </row>
    <row r="48">
      <c r="A48" s="9" t="inlineStr">
        <is>
          <t>KAZ</t>
        </is>
      </c>
      <c r="B48" s="9" t="inlineStr">
        <is>
          <t>Kazakhstan</t>
        </is>
      </c>
      <c r="C48" s="9" t="inlineStr">
        <is>
          <t>EMDC</t>
        </is>
      </c>
      <c r="D48" s="23" t="n">
        <v>0.0843</v>
      </c>
      <c r="E48" s="24" t="n">
        <v>384.5592</v>
      </c>
      <c r="F48" s="24" t="n">
        <v>3.9808</v>
      </c>
      <c r="G48" s="24" t="n">
        <v>17.4921</v>
      </c>
      <c r="H48" s="24" t="n">
        <v>13.5113</v>
      </c>
      <c r="I48" s="24" t="n">
        <v>5.1012</v>
      </c>
      <c r="J48" s="24" t="n">
        <v>3.9562</v>
      </c>
      <c r="K48" s="24" t="n">
        <v>-0.5507</v>
      </c>
      <c r="L48" s="24" t="n">
        <v>349.4327</v>
      </c>
      <c r="M48" s="24" t="n">
        <v>294.5347</v>
      </c>
      <c r="N48" s="24" t="n">
        <v>73.40470000000001</v>
      </c>
      <c r="O48" s="24" t="n">
        <v>616.2773999999999</v>
      </c>
      <c r="P48" s="24" t="n">
        <v>498.2564</v>
      </c>
      <c r="Q48" s="24" t="n">
        <v>63.2277</v>
      </c>
      <c r="R48" s="24" t="n">
        <v>51.7941</v>
      </c>
      <c r="S48" s="24" t="n">
        <v>-72.38630000000001</v>
      </c>
      <c r="T48" s="24" t="n">
        <v>4072.0857</v>
      </c>
      <c r="U48" s="24" t="n">
        <v>210.2946</v>
      </c>
      <c r="V48" s="24" t="n">
        <v>234.272</v>
      </c>
      <c r="W48" s="25" t="n">
        <v>3</v>
      </c>
      <c r="X48" s="26" t="n">
        <v>0.6335</v>
      </c>
      <c r="Y48" s="24" t="n">
        <v>2.7426</v>
      </c>
      <c r="Z48" s="24" t="n">
        <v>1.8065</v>
      </c>
      <c r="AA48" s="24" t="n">
        <v>2.5315</v>
      </c>
      <c r="AB48" s="24" t="n">
        <v>5.0364</v>
      </c>
      <c r="AC48" s="24" t="n">
        <v>5.3752</v>
      </c>
      <c r="AD48" s="24" t="n">
        <v>4.2535</v>
      </c>
      <c r="AE48" s="24" t="n">
        <v>3.3858</v>
      </c>
      <c r="AF48" s="24" t="n">
        <v>11.4321</v>
      </c>
    </row>
    <row r="49">
      <c r="A49" s="9" t="inlineStr">
        <is>
          <t>CHL</t>
        </is>
      </c>
      <c r="B49" s="9" t="inlineStr">
        <is>
          <t>Chile</t>
        </is>
      </c>
      <c r="C49" s="9" t="inlineStr">
        <is>
          <t>EMDC</t>
        </is>
      </c>
      <c r="D49" s="23" t="n">
        <v>0.0603</v>
      </c>
      <c r="E49" s="24" t="n">
        <v>377.8591</v>
      </c>
      <c r="F49" s="24" t="n">
        <v>4.3238</v>
      </c>
      <c r="G49" s="24" t="n">
        <v>9.403499999999999</v>
      </c>
      <c r="H49" s="24" t="n">
        <v>5.0797</v>
      </c>
      <c r="I49" s="24" t="n">
        <v>0.6988</v>
      </c>
      <c r="J49" s="24" t="n">
        <v>0.6938</v>
      </c>
      <c r="K49" s="24" t="n">
        <v>0.2908</v>
      </c>
      <c r="L49" s="24" t="n">
        <v>134.7124</v>
      </c>
      <c r="M49" s="24" t="n">
        <v>112.1948</v>
      </c>
      <c r="N49" s="24" t="n">
        <v>33.4987</v>
      </c>
      <c r="O49" s="24" t="n">
        <v>269.1641</v>
      </c>
      <c r="P49" s="24" t="n">
        <v>160.0832</v>
      </c>
      <c r="Q49" s="24" t="n">
        <v>-3.8748</v>
      </c>
      <c r="R49" s="24" t="n">
        <v>-4.0389</v>
      </c>
      <c r="S49" s="24" t="n">
        <v>-18.0589</v>
      </c>
      <c r="T49" s="24" t="n">
        <v>1230.1284</v>
      </c>
      <c r="U49" s="24" t="n">
        <v>81.8926</v>
      </c>
      <c r="V49" s="24" t="n">
        <v>93.038</v>
      </c>
      <c r="W49" s="25" t="n">
        <v>3</v>
      </c>
      <c r="X49" s="26" t="n">
        <v>0.9739</v>
      </c>
      <c r="Y49" s="24" t="n">
        <v>0.617</v>
      </c>
      <c r="Z49" s="24" t="n">
        <v>1.9943</v>
      </c>
      <c r="AA49" s="24" t="n">
        <v>2.0038</v>
      </c>
      <c r="AB49" s="24" t="n">
        <v>0.9816</v>
      </c>
      <c r="AC49" s="24" t="n">
        <v>3.8068</v>
      </c>
      <c r="AD49" s="24" t="n">
        <v>0.9115</v>
      </c>
      <c r="AE49" s="24" t="n">
        <v>0.6359</v>
      </c>
      <c r="AF49" s="24" t="n">
        <v>6.4978</v>
      </c>
    </row>
    <row r="50">
      <c r="A50" s="9" t="inlineStr">
        <is>
          <t>PER</t>
        </is>
      </c>
      <c r="B50" s="9" t="inlineStr">
        <is>
          <t>Peru</t>
        </is>
      </c>
      <c r="C50" s="9" t="inlineStr">
        <is>
          <t>EMDC</t>
        </is>
      </c>
      <c r="D50" s="23" t="n">
        <v>0.0759</v>
      </c>
      <c r="E50" s="24" t="n">
        <v>351.3671</v>
      </c>
      <c r="F50" s="24" t="n">
        <v>3.1484</v>
      </c>
      <c r="G50" s="24" t="n">
        <v>11.5525</v>
      </c>
      <c r="H50" s="24" t="n">
        <v>8.404</v>
      </c>
      <c r="I50" s="24" t="n">
        <v>5.4352</v>
      </c>
      <c r="J50" s="24" t="n">
        <v>5.2129</v>
      </c>
      <c r="K50" s="24" t="n">
        <v>3.0784</v>
      </c>
      <c r="L50" s="24" t="n">
        <v>190.6685</v>
      </c>
      <c r="M50" s="24" t="n">
        <v>86.2535</v>
      </c>
      <c r="N50" s="24" t="n">
        <v>30.8255</v>
      </c>
      <c r="O50" s="24" t="n">
        <v>345.8868</v>
      </c>
      <c r="P50" s="24" t="n">
        <v>248.2838</v>
      </c>
      <c r="Q50" s="24" t="n">
        <v>47.2123</v>
      </c>
      <c r="R50" s="24" t="n">
        <v>49.5891</v>
      </c>
      <c r="S50" s="24" t="n">
        <v>-9.8941</v>
      </c>
      <c r="T50" s="24" t="n">
        <v>3043.4412</v>
      </c>
      <c r="U50" s="24" t="n">
        <v>59.4326</v>
      </c>
      <c r="V50" s="24" t="n">
        <v>61.093</v>
      </c>
      <c r="W50" s="25" t="n">
        <v>3</v>
      </c>
      <c r="X50" s="26" t="n">
        <v>1.2299</v>
      </c>
      <c r="Y50" s="24" t="n">
        <v>3.0929</v>
      </c>
      <c r="Z50" s="24" t="n">
        <v>1.2864</v>
      </c>
      <c r="AA50" s="24" t="n">
        <v>1.5943</v>
      </c>
      <c r="AB50" s="24" t="n">
        <v>2.6228</v>
      </c>
      <c r="AC50" s="24" t="n">
        <v>2.9561</v>
      </c>
      <c r="AD50" s="24" t="n">
        <v>3.8797</v>
      </c>
      <c r="AE50" s="24" t="n">
        <v>3.6067</v>
      </c>
      <c r="AF50" s="24" t="n">
        <v>6.3863</v>
      </c>
    </row>
    <row r="51">
      <c r="A51" s="9" t="inlineStr">
        <is>
          <t>PRT</t>
        </is>
      </c>
      <c r="B51" s="9" t="inlineStr">
        <is>
          <t>Portugal</t>
        </is>
      </c>
      <c r="C51" s="9" t="inlineStr">
        <is>
          <t>AE</t>
        </is>
      </c>
      <c r="D51" s="23" t="n">
        <v>0.1003</v>
      </c>
      <c r="E51" s="24" t="n">
        <v>350.3846</v>
      </c>
      <c r="F51" s="24" t="n">
        <v>5.6666</v>
      </c>
      <c r="G51" s="24" t="n">
        <v>8.692299999999999</v>
      </c>
      <c r="H51" s="24" t="n">
        <v>3.0258</v>
      </c>
      <c r="I51" s="24" t="n">
        <v>0.7216</v>
      </c>
      <c r="J51" s="24" t="n">
        <v>0.2843</v>
      </c>
      <c r="K51" s="24" t="n">
        <v>0.1613</v>
      </c>
      <c r="L51" s="24" t="n">
        <v>58.9003</v>
      </c>
      <c r="M51" s="24" t="n">
        <v>47.3641</v>
      </c>
      <c r="N51" s="24" t="n">
        <v>11.8865</v>
      </c>
      <c r="O51" s="24" t="n">
        <v>222.7529</v>
      </c>
      <c r="P51" s="24" t="n">
        <v>84.55159999999999</v>
      </c>
      <c r="Q51" s="24" t="n">
        <v>5.7207</v>
      </c>
      <c r="R51" s="24" t="n">
        <v>-1.3289</v>
      </c>
      <c r="S51" s="24" t="n">
        <v>-4.6626</v>
      </c>
      <c r="T51" s="24" t="n">
        <v>600.0842</v>
      </c>
      <c r="U51" s="24" t="n">
        <v>34.9359</v>
      </c>
      <c r="V51" s="24" t="n">
        <v>45.198</v>
      </c>
      <c r="W51" s="25" t="n">
        <v>3</v>
      </c>
      <c r="X51" s="26" t="n">
        <v>1.1901</v>
      </c>
      <c r="Y51" s="24" t="n">
        <v>0.6593</v>
      </c>
      <c r="Z51" s="24" t="n">
        <v>1.691</v>
      </c>
      <c r="AA51" s="24" t="n">
        <v>2.0575</v>
      </c>
      <c r="AB51" s="24" t="n">
        <v>1.2903</v>
      </c>
      <c r="AC51" s="24" t="n">
        <v>2.9943</v>
      </c>
      <c r="AD51" s="24" t="n">
        <v>1.0464</v>
      </c>
      <c r="AE51" s="24" t="n">
        <v>0.4356</v>
      </c>
      <c r="AF51" s="24" t="n">
        <v>5.955</v>
      </c>
    </row>
    <row r="52">
      <c r="A52" s="9" t="inlineStr">
        <is>
          <t>DZA</t>
        </is>
      </c>
      <c r="B52" s="9" t="inlineStr">
        <is>
          <t>Algeria</t>
        </is>
      </c>
      <c r="C52" s="9" t="inlineStr">
        <is>
          <t>EMDC</t>
        </is>
      </c>
      <c r="D52" s="23" t="n">
        <v>0.1322</v>
      </c>
      <c r="E52" s="24" t="n">
        <v>334.5405</v>
      </c>
      <c r="F52" s="24" t="n">
        <v>3.6365</v>
      </c>
      <c r="G52" s="24" t="n">
        <v>13.5297</v>
      </c>
      <c r="H52" s="24" t="n">
        <v>9.8932</v>
      </c>
      <c r="I52" s="24" t="n">
        <v>4.9266</v>
      </c>
      <c r="J52" s="24" t="n">
        <v>2.4552</v>
      </c>
      <c r="K52" s="24" t="n">
        <v>1.5472</v>
      </c>
      <c r="L52" s="24" t="n">
        <v>302.0573</v>
      </c>
      <c r="M52" s="24" t="n">
        <v>244.1902</v>
      </c>
      <c r="N52" s="24" t="n">
        <v>74.2266</v>
      </c>
      <c r="O52" s="24" t="n">
        <v>461.995</v>
      </c>
      <c r="P52" s="24" t="n">
        <v>353.0942</v>
      </c>
      <c r="Q52" s="24" t="n">
        <v>32.9655</v>
      </c>
      <c r="R52" s="24" t="n">
        <v>5.7364</v>
      </c>
      <c r="S52" s="24" t="n">
        <v>-24.2523</v>
      </c>
      <c r="T52" s="24" t="n">
        <v>3582.1134</v>
      </c>
      <c r="U52" s="24" t="n">
        <v>139.5454</v>
      </c>
      <c r="V52" s="24" t="n">
        <v>174.501</v>
      </c>
      <c r="W52" s="25" t="n">
        <v>2</v>
      </c>
      <c r="X52" s="26" t="n">
        <v>0.233</v>
      </c>
      <c r="Y52" s="24" t="n">
        <v>3.0646</v>
      </c>
      <c r="Z52" s="24" t="n">
        <v>1.3364</v>
      </c>
      <c r="AA52" s="24" t="n">
        <v>1.3623</v>
      </c>
      <c r="AB52" s="24" t="n">
        <v>5.5036</v>
      </c>
      <c r="AC52" s="24" t="n">
        <v>2.2628</v>
      </c>
      <c r="AD52" s="24" t="n">
        <v>4.7157</v>
      </c>
      <c r="AE52" s="24" t="n">
        <v>3.4313</v>
      </c>
      <c r="AF52" s="24" t="n">
        <v>7.4776</v>
      </c>
    </row>
    <row r="53">
      <c r="A53" s="9" t="inlineStr">
        <is>
          <t>IRN</t>
        </is>
      </c>
      <c r="B53" s="9" t="inlineStr">
        <is>
          <t>Iran, Islamic Rep.</t>
        </is>
      </c>
      <c r="C53" s="9" t="inlineStr">
        <is>
          <t>EMDC</t>
        </is>
      </c>
      <c r="D53" s="23" t="n">
        <v>0.105</v>
      </c>
      <c r="E53" s="24" t="n">
        <v>321.2145</v>
      </c>
      <c r="F53" s="24" t="n">
        <v>1.7778</v>
      </c>
      <c r="G53" s="24" t="n">
        <v>33.9703</v>
      </c>
      <c r="H53" s="24" t="n">
        <v>32.1926</v>
      </c>
      <c r="I53" s="24" t="n">
        <v>15.5371</v>
      </c>
      <c r="J53" s="24" t="n">
        <v>9.103300000000001</v>
      </c>
      <c r="K53" s="24" t="n">
        <v>7.3459</v>
      </c>
      <c r="L53" s="24" t="n">
        <v>869.8955</v>
      </c>
      <c r="M53" s="24" t="n">
        <v>721.6729</v>
      </c>
      <c r="N53" s="24" t="n">
        <v>165.2688</v>
      </c>
      <c r="O53" s="24" t="n">
        <v>1248.1291</v>
      </c>
      <c r="P53" s="24" t="n">
        <v>1146.9338</v>
      </c>
      <c r="Q53" s="24" t="n">
        <v>169.276</v>
      </c>
      <c r="R53" s="24" t="n">
        <v>134.5723</v>
      </c>
      <c r="S53" s="24" t="n">
        <v>72.19929999999999</v>
      </c>
      <c r="T53" s="24" t="n">
        <v>9278.074699999999</v>
      </c>
      <c r="U53" s="24" t="n">
        <v>738.3227000000001</v>
      </c>
      <c r="V53" s="24" t="n">
        <v>743.218</v>
      </c>
      <c r="W53" s="25" t="n">
        <v>3</v>
      </c>
      <c r="X53" s="26" t="n">
        <v>0.2463</v>
      </c>
      <c r="Y53" s="24" t="n">
        <v>7.0912</v>
      </c>
      <c r="Z53" s="24" t="n">
        <v>2.1727</v>
      </c>
      <c r="AA53" s="24" t="n">
        <v>3.7031</v>
      </c>
      <c r="AB53" s="24" t="n">
        <v>11.5488</v>
      </c>
      <c r="AC53" s="24" t="n">
        <v>9.454599999999999</v>
      </c>
      <c r="AD53" s="24" t="n">
        <v>10.5558</v>
      </c>
      <c r="AE53" s="24" t="n">
        <v>10.1135</v>
      </c>
      <c r="AF53" s="24" t="n">
        <v>21.2419</v>
      </c>
    </row>
    <row r="54">
      <c r="A54" s="9" t="inlineStr">
        <is>
          <t>NGA</t>
        </is>
      </c>
      <c r="B54" s="9" t="inlineStr">
        <is>
          <t>Nigeria</t>
        </is>
      </c>
      <c r="C54" s="9" t="inlineStr">
        <is>
          <t>EMDC</t>
        </is>
      </c>
      <c r="D54" s="23" t="n">
        <v>0.105</v>
      </c>
      <c r="E54" s="24" t="n">
        <v>319.8015</v>
      </c>
      <c r="F54" s="24" t="n">
        <v>2.4273</v>
      </c>
      <c r="G54" s="24" t="n">
        <v>12.8474</v>
      </c>
      <c r="H54" s="24" t="n">
        <v>10.4201</v>
      </c>
      <c r="I54" s="24" t="n">
        <v>6.636</v>
      </c>
      <c r="J54" s="24" t="n">
        <v>6.0718</v>
      </c>
      <c r="K54" s="24" t="n">
        <v>6.0207</v>
      </c>
      <c r="L54" s="24" t="n">
        <v>477.4581</v>
      </c>
      <c r="M54" s="24" t="n">
        <v>330.5924</v>
      </c>
      <c r="N54" s="24" t="n">
        <v>151.3431</v>
      </c>
      <c r="O54" s="24" t="n">
        <v>437.7238</v>
      </c>
      <c r="P54" s="24" t="n">
        <v>358.6787</v>
      </c>
      <c r="Q54" s="24" t="n">
        <v>30.4094</v>
      </c>
      <c r="R54" s="24" t="n">
        <v>20.8075</v>
      </c>
      <c r="S54" s="24" t="n">
        <v>18.863</v>
      </c>
      <c r="T54" s="24" t="n">
        <v>5543.3217</v>
      </c>
      <c r="U54" s="24" t="n">
        <v>103.5444</v>
      </c>
      <c r="V54" s="24" t="n">
        <v>126.142</v>
      </c>
      <c r="W54" s="25" t="n">
        <v>2</v>
      </c>
      <c r="X54" s="26" t="n">
        <v>0.8327</v>
      </c>
      <c r="Y54" s="24" t="n">
        <v>3.5507</v>
      </c>
      <c r="Z54" s="24" t="n">
        <v>1.2279</v>
      </c>
      <c r="AA54" s="24" t="n">
        <v>1.1223</v>
      </c>
      <c r="AB54" s="24" t="n">
        <v>5.309</v>
      </c>
      <c r="AC54" s="24" t="n">
        <v>1.6374</v>
      </c>
      <c r="AD54" s="24" t="n">
        <v>5.1435</v>
      </c>
      <c r="AE54" s="24" t="n">
        <v>4.5661</v>
      </c>
      <c r="AF54" s="24" t="n">
        <v>6.476</v>
      </c>
    </row>
    <row r="55">
      <c r="A55" s="9" t="inlineStr">
        <is>
          <t>FIN</t>
        </is>
      </c>
      <c r="B55" s="9" t="inlineStr">
        <is>
          <t>Finland</t>
        </is>
      </c>
      <c r="C55" s="9" t="inlineStr">
        <is>
          <t>AE</t>
        </is>
      </c>
      <c r="D55" s="23" t="n">
        <v>0.0369</v>
      </c>
      <c r="E55" s="24" t="n">
        <v>316.1581</v>
      </c>
      <c r="F55" s="24" t="n">
        <v>4.4134</v>
      </c>
      <c r="G55" s="24" t="n">
        <v>7.7475</v>
      </c>
      <c r="H55" s="24" t="n">
        <v>3.3341</v>
      </c>
      <c r="I55" s="24" t="n">
        <v>0.1794</v>
      </c>
      <c r="J55" s="24" t="n">
        <v>0.4667</v>
      </c>
      <c r="K55" s="24" t="n">
        <v>0.3944</v>
      </c>
      <c r="L55" s="24" t="n">
        <v>43.5991</v>
      </c>
      <c r="M55" s="24" t="n">
        <v>34.8533</v>
      </c>
      <c r="N55" s="24" t="n">
        <v>8.3026</v>
      </c>
      <c r="O55" s="24" t="n">
        <v>217.3258</v>
      </c>
      <c r="P55" s="24" t="n">
        <v>94.6388</v>
      </c>
      <c r="Q55" s="24" t="n">
        <v>-1.1774</v>
      </c>
      <c r="R55" s="24" t="n">
        <v>6.1952</v>
      </c>
      <c r="S55" s="24" t="n">
        <v>4.488</v>
      </c>
      <c r="T55" s="24" t="n">
        <v>469.7935</v>
      </c>
      <c r="U55" s="24" t="n">
        <v>32.5626</v>
      </c>
      <c r="V55" s="24" t="n">
        <v>37.015</v>
      </c>
      <c r="W55" s="25" t="n">
        <v>3</v>
      </c>
      <c r="X55" s="26" t="n">
        <v>1.1189</v>
      </c>
      <c r="Y55" s="24" t="n">
        <v>0.4809</v>
      </c>
      <c r="Z55" s="24" t="n">
        <v>1.3847</v>
      </c>
      <c r="AA55" s="24" t="n">
        <v>1.9016</v>
      </c>
      <c r="AB55" s="24" t="n">
        <v>0.5113</v>
      </c>
      <c r="AC55" s="24" t="n">
        <v>3.4691</v>
      </c>
      <c r="AD55" s="24" t="n">
        <v>0.6343</v>
      </c>
      <c r="AE55" s="24" t="n">
        <v>0.2164</v>
      </c>
      <c r="AF55" s="24" t="n">
        <v>5.7286</v>
      </c>
    </row>
    <row r="56">
      <c r="A56" s="9" t="inlineStr">
        <is>
          <t>NZL</t>
        </is>
      </c>
      <c r="B56" s="9" t="inlineStr">
        <is>
          <t>New Zealand</t>
        </is>
      </c>
      <c r="C56" s="9" t="inlineStr">
        <is>
          <t>AE</t>
        </is>
      </c>
      <c r="D56" s="23" t="n">
        <v>0.055</v>
      </c>
      <c r="E56" s="24" t="n">
        <v>286.8424</v>
      </c>
      <c r="F56" s="24" t="n">
        <v>3.9977</v>
      </c>
      <c r="G56" s="24" t="n">
        <v>7.6788</v>
      </c>
      <c r="H56" s="24" t="n">
        <v>3.6811</v>
      </c>
      <c r="I56" s="24" t="n">
        <v>0.9024</v>
      </c>
      <c r="J56" s="24" t="n">
        <v>0.9605</v>
      </c>
      <c r="K56" s="24" t="n">
        <v>0.8298</v>
      </c>
      <c r="L56" s="24" t="n">
        <v>73.6336</v>
      </c>
      <c r="M56" s="24" t="n">
        <v>55.5166</v>
      </c>
      <c r="N56" s="24" t="n">
        <v>20.9091</v>
      </c>
      <c r="O56" s="24" t="n">
        <v>200.955</v>
      </c>
      <c r="P56" s="24" t="n">
        <v>94.6444</v>
      </c>
      <c r="Q56" s="24" t="n">
        <v>12.2645</v>
      </c>
      <c r="R56" s="24" t="n">
        <v>12.8629</v>
      </c>
      <c r="S56" s="24" t="n">
        <v>9.8573</v>
      </c>
      <c r="T56" s="24" t="n">
        <v>748.1645</v>
      </c>
      <c r="U56" s="24" t="n">
        <v>29.6622</v>
      </c>
      <c r="V56" s="24" t="n">
        <v>31.995</v>
      </c>
      <c r="W56" s="25" t="n">
        <v>3</v>
      </c>
      <c r="X56" s="26" t="n">
        <v>1.0226</v>
      </c>
      <c r="Y56" s="24" t="n">
        <v>0.6687</v>
      </c>
      <c r="Z56" s="24" t="n">
        <v>1.174</v>
      </c>
      <c r="AA56" s="24" t="n">
        <v>1.748</v>
      </c>
      <c r="AB56" s="24" t="n">
        <v>0.5231</v>
      </c>
      <c r="AC56" s="24" t="n">
        <v>3.565</v>
      </c>
      <c r="AD56" s="24" t="n">
        <v>0.8256</v>
      </c>
      <c r="AE56" s="24" t="n">
        <v>0.4364</v>
      </c>
      <c r="AF56" s="24" t="n">
        <v>5.6792</v>
      </c>
    </row>
    <row r="57">
      <c r="A57" s="9" t="inlineStr">
        <is>
          <t>GRC</t>
        </is>
      </c>
      <c r="B57" s="9" t="inlineStr">
        <is>
          <t>Greece</t>
        </is>
      </c>
      <c r="C57" s="9" t="inlineStr">
        <is>
          <t>AE</t>
        </is>
      </c>
      <c r="D57" s="23" t="n">
        <v>0.0432</v>
      </c>
      <c r="E57" s="24" t="n">
        <v>285.2889</v>
      </c>
      <c r="F57" s="24" t="n">
        <v>5.2096</v>
      </c>
      <c r="G57" s="24" t="n">
        <v>12.0923</v>
      </c>
      <c r="H57" s="24" t="n">
        <v>6.8827</v>
      </c>
      <c r="I57" s="24" t="n">
        <v>0.2643</v>
      </c>
      <c r="J57" s="24" t="n">
        <v>0.65</v>
      </c>
      <c r="K57" s="24" t="n">
        <v>-0.2906</v>
      </c>
      <c r="L57" s="24" t="n">
        <v>89.89619999999999</v>
      </c>
      <c r="M57" s="24" t="n">
        <v>69.1379</v>
      </c>
      <c r="N57" s="24" t="n">
        <v>14.8316</v>
      </c>
      <c r="O57" s="24" t="n">
        <v>296.411</v>
      </c>
      <c r="P57" s="24" t="n">
        <v>158.3496</v>
      </c>
      <c r="Q57" s="24" t="n">
        <v>2.821</v>
      </c>
      <c r="R57" s="24" t="n">
        <v>11.2123</v>
      </c>
      <c r="S57" s="24" t="n">
        <v>-12.2632</v>
      </c>
      <c r="T57" s="24" t="n">
        <v>1029.509</v>
      </c>
      <c r="U57" s="24" t="n">
        <v>56.2536</v>
      </c>
      <c r="V57" s="24" t="n">
        <v>71.996</v>
      </c>
      <c r="W57" s="25" t="n">
        <v>3</v>
      </c>
      <c r="X57" s="26" t="n">
        <v>1.144</v>
      </c>
      <c r="Y57" s="24" t="n">
        <v>0.5944</v>
      </c>
      <c r="Z57" s="24" t="n">
        <v>3.2977</v>
      </c>
      <c r="AA57" s="24" t="n">
        <v>2.9932</v>
      </c>
      <c r="AB57" s="24" t="n">
        <v>0.8132</v>
      </c>
      <c r="AC57" s="24" t="n">
        <v>4.3938</v>
      </c>
      <c r="AD57" s="24" t="n">
        <v>0.8383</v>
      </c>
      <c r="AE57" s="24" t="n">
        <v>0.4521</v>
      </c>
      <c r="AF57" s="24" t="n">
        <v>7.9563</v>
      </c>
    </row>
    <row r="58">
      <c r="A58" s="9" t="inlineStr">
        <is>
          <t>HUN</t>
        </is>
      </c>
      <c r="B58" s="9" t="inlineStr">
        <is>
          <t>Hungary</t>
        </is>
      </c>
      <c r="C58" s="9" t="inlineStr">
        <is>
          <t>EMDC</t>
        </is>
      </c>
      <c r="D58" s="23" t="n">
        <v>0.1843</v>
      </c>
      <c r="E58" s="24" t="n">
        <v>242.7385</v>
      </c>
      <c r="F58" s="24" t="n">
        <v>2.2186</v>
      </c>
      <c r="G58" s="24" t="n">
        <v>6.1655</v>
      </c>
      <c r="H58" s="24" t="n">
        <v>3.947</v>
      </c>
      <c r="I58" s="24" t="n">
        <v>2.2172</v>
      </c>
      <c r="J58" s="24" t="n">
        <v>0.0384</v>
      </c>
      <c r="K58" s="24" t="n">
        <v>-0.2199</v>
      </c>
      <c r="L58" s="24" t="n">
        <v>62.583</v>
      </c>
      <c r="M58" s="24" t="n">
        <v>51.1065</v>
      </c>
      <c r="N58" s="24" t="n">
        <v>13.0692</v>
      </c>
      <c r="O58" s="24" t="n">
        <v>164.2032</v>
      </c>
      <c r="P58" s="24" t="n">
        <v>110.6572</v>
      </c>
      <c r="Q58" s="24" t="n">
        <v>11.1886</v>
      </c>
      <c r="R58" s="24" t="n">
        <v>-8.388999999999999</v>
      </c>
      <c r="S58" s="24" t="n">
        <v>-16.425</v>
      </c>
      <c r="T58" s="24" t="n">
        <v>634.5182</v>
      </c>
      <c r="U58" s="24" t="n">
        <v>44.8244</v>
      </c>
      <c r="V58" s="24" t="n">
        <v>49.102</v>
      </c>
      <c r="W58" s="25" t="n">
        <v>3</v>
      </c>
      <c r="X58" s="26" t="n">
        <v>1.1077</v>
      </c>
      <c r="Y58" s="24" t="n">
        <v>0.5896</v>
      </c>
      <c r="Z58" s="24" t="n">
        <v>1.2321</v>
      </c>
      <c r="AA58" s="24" t="n">
        <v>1.2424</v>
      </c>
      <c r="AB58" s="24" t="n">
        <v>1.7643</v>
      </c>
      <c r="AC58" s="24" t="n">
        <v>1.3371</v>
      </c>
      <c r="AD58" s="24" t="n">
        <v>1.1189</v>
      </c>
      <c r="AE58" s="24" t="n">
        <v>0.8614000000000001</v>
      </c>
      <c r="AF58" s="24" t="n">
        <v>3.8145</v>
      </c>
    </row>
    <row r="59">
      <c r="A59" s="9" t="inlineStr">
        <is>
          <t>ETH</t>
        </is>
      </c>
      <c r="B59" s="9" t="inlineStr">
        <is>
          <t>Ethiopia</t>
        </is>
      </c>
      <c r="C59" s="9" t="inlineStr">
        <is>
          <t>EMDC</t>
        </is>
      </c>
      <c r="D59" s="23" t="n">
        <v>0.1057</v>
      </c>
      <c r="E59" s="24" t="n">
        <v>233.5111</v>
      </c>
      <c r="F59" s="24" t="n">
        <v>1.0087</v>
      </c>
      <c r="G59" s="24" t="n">
        <v>7.692</v>
      </c>
      <c r="H59" s="24" t="n">
        <v>6.6833</v>
      </c>
      <c r="I59" s="24" t="n">
        <v>4.468</v>
      </c>
      <c r="J59" s="24" t="n">
        <v>4.22</v>
      </c>
      <c r="K59" s="24" t="n">
        <v>4.2189</v>
      </c>
      <c r="L59" s="24" t="n">
        <v>241.3587</v>
      </c>
      <c r="M59" s="24" t="n">
        <v>152.0928</v>
      </c>
      <c r="N59" s="24" t="n">
        <v>81.7286</v>
      </c>
      <c r="O59" s="24" t="n">
        <v>258.6807</v>
      </c>
      <c r="P59" s="24" t="n">
        <v>204.8448</v>
      </c>
      <c r="Q59" s="24" t="n">
        <v>35.1679</v>
      </c>
      <c r="R59" s="24" t="n">
        <v>49.2555</v>
      </c>
      <c r="S59" s="24" t="n">
        <v>49.2113</v>
      </c>
      <c r="T59" s="24" t="n">
        <v>2997.4658</v>
      </c>
      <c r="U59" s="24" t="n">
        <v>20.1742</v>
      </c>
      <c r="V59" s="24" t="n">
        <v>26.885</v>
      </c>
      <c r="W59" s="25" t="n">
        <v>2</v>
      </c>
      <c r="X59" s="26" t="n">
        <v>0.1814</v>
      </c>
      <c r="Y59" s="24" t="n">
        <v>2.9612</v>
      </c>
      <c r="Z59" s="24" t="n">
        <v>0.3116</v>
      </c>
      <c r="AA59" s="24" t="n">
        <v>0.51</v>
      </c>
      <c r="AB59" s="24" t="n">
        <v>2.9148</v>
      </c>
      <c r="AC59" s="24" t="n">
        <v>0.9944</v>
      </c>
      <c r="AD59" s="24" t="n">
        <v>3.8356</v>
      </c>
      <c r="AE59" s="24" t="n">
        <v>3.4681</v>
      </c>
      <c r="AF59" s="24" t="n">
        <v>3.5447</v>
      </c>
    </row>
    <row r="60">
      <c r="A60" s="9" t="inlineStr">
        <is>
          <t>UKR</t>
        </is>
      </c>
      <c r="B60" s="9" t="inlineStr">
        <is>
          <t>Ukraine</t>
        </is>
      </c>
      <c r="C60" s="9" t="inlineStr">
        <is>
          <t>EMDC</t>
        </is>
      </c>
      <c r="D60" s="23" t="n">
        <v>0.1385</v>
      </c>
      <c r="E60" s="24" t="n">
        <v>217.5075</v>
      </c>
      <c r="F60" s="24" t="n">
        <v>4.2289</v>
      </c>
      <c r="G60" s="24" t="n">
        <v>16.795</v>
      </c>
      <c r="H60" s="24" t="n">
        <v>12.5661</v>
      </c>
      <c r="I60" s="24" t="n">
        <v>8.0617</v>
      </c>
      <c r="J60" s="24" t="n">
        <v>4.6932</v>
      </c>
      <c r="K60" s="24" t="n">
        <v>3.6496</v>
      </c>
      <c r="L60" s="24" t="n">
        <v>262.6658</v>
      </c>
      <c r="M60" s="24" t="n">
        <v>197.8052</v>
      </c>
      <c r="N60" s="24" t="n">
        <v>73.31310000000001</v>
      </c>
      <c r="O60" s="24" t="n">
        <v>609.4154</v>
      </c>
      <c r="P60" s="24" t="n">
        <v>471.8406</v>
      </c>
      <c r="Q60" s="24" t="n">
        <v>70.6891</v>
      </c>
      <c r="R60" s="24" t="n">
        <v>92.361</v>
      </c>
      <c r="S60" s="24" t="n">
        <v>57.1302</v>
      </c>
      <c r="T60" s="24" t="n">
        <v>2994.6608</v>
      </c>
      <c r="U60" s="24" t="n">
        <v>113.9076</v>
      </c>
      <c r="V60" s="24" t="n">
        <v>145.09</v>
      </c>
      <c r="W60" s="25" t="n">
        <v>3</v>
      </c>
      <c r="X60" s="26" t="n">
        <v>0.7522</v>
      </c>
      <c r="Y60" s="24" t="n">
        <v>3.0751</v>
      </c>
      <c r="Z60" s="24" t="n">
        <v>2.4298</v>
      </c>
      <c r="AA60" s="24" t="n">
        <v>3.0842</v>
      </c>
      <c r="AB60" s="24" t="n">
        <v>6.1106</v>
      </c>
      <c r="AC60" s="24" t="n">
        <v>2.0954</v>
      </c>
      <c r="AD60" s="24" t="n">
        <v>4.9083</v>
      </c>
      <c r="AE60" s="24" t="n">
        <v>3.988</v>
      </c>
      <c r="AF60" s="24" t="n">
        <v>9.457000000000001</v>
      </c>
    </row>
    <row r="61">
      <c r="A61" s="9" t="inlineStr">
        <is>
          <t>IRQ</t>
        </is>
      </c>
      <c r="B61" s="9" t="inlineStr">
        <is>
          <t>Iraq</t>
        </is>
      </c>
      <c r="C61" s="9" t="inlineStr">
        <is>
          <t>EMDC</t>
        </is>
      </c>
      <c r="D61" s="23" t="n">
        <v>0.1179</v>
      </c>
      <c r="E61" s="24" t="n">
        <v>216.4043</v>
      </c>
      <c r="F61" s="24" t="n">
        <v>1.0542</v>
      </c>
      <c r="G61" s="24" t="n">
        <v>8.5337</v>
      </c>
      <c r="H61" s="24" t="n">
        <v>7.4795</v>
      </c>
      <c r="I61" s="24" t="n">
        <v>3.9559</v>
      </c>
      <c r="J61" s="24" t="n">
        <v>2.7026</v>
      </c>
      <c r="K61" s="24" t="n">
        <v>2.0423</v>
      </c>
      <c r="L61" s="24" t="n">
        <v>318.4598</v>
      </c>
      <c r="M61" s="24" t="n">
        <v>248.1459</v>
      </c>
      <c r="N61" s="24" t="n">
        <v>88.12909999999999</v>
      </c>
      <c r="O61" s="24" t="n">
        <v>316.5545</v>
      </c>
      <c r="P61" s="24" t="n">
        <v>267.2424</v>
      </c>
      <c r="Q61" s="24" t="n">
        <v>23.8182</v>
      </c>
      <c r="R61" s="24" t="n">
        <v>8.834099999999999</v>
      </c>
      <c r="S61" s="24" t="n">
        <v>-13.6428</v>
      </c>
      <c r="T61" s="24" t="n">
        <v>3366.6748</v>
      </c>
      <c r="U61" s="24" t="n">
        <v>148.9139</v>
      </c>
      <c r="V61" s="24" t="n">
        <v>176.459</v>
      </c>
      <c r="W61" s="25" t="n">
        <v>1</v>
      </c>
      <c r="X61" s="26" t="n">
        <v>0.2225</v>
      </c>
      <c r="Y61" s="24" t="n">
        <v>2.0728</v>
      </c>
      <c r="Z61" s="24" t="n">
        <v>0.946</v>
      </c>
      <c r="AA61" s="24" t="n">
        <v>0.3467</v>
      </c>
      <c r="AB61" s="24" t="n">
        <v>3.5952</v>
      </c>
      <c r="AC61" s="24" t="n">
        <v>1.5731</v>
      </c>
      <c r="AD61" s="24" t="n">
        <v>3.1513</v>
      </c>
      <c r="AE61" s="24" t="n">
        <v>2.7664</v>
      </c>
      <c r="AF61" s="24" t="n">
        <v>4.4365</v>
      </c>
    </row>
    <row r="62">
      <c r="A62" s="9" t="inlineStr">
        <is>
          <t>MAR</t>
        </is>
      </c>
      <c r="B62" s="9" t="inlineStr">
        <is>
          <t>Morocco</t>
        </is>
      </c>
      <c r="C62" s="9" t="inlineStr">
        <is>
          <t>EMDC</t>
        </is>
      </c>
      <c r="D62" s="23" t="n">
        <v>0.0895</v>
      </c>
      <c r="E62" s="24" t="n">
        <v>212.4483</v>
      </c>
      <c r="F62" s="24" t="n">
        <v>2.0331</v>
      </c>
      <c r="G62" s="24" t="n">
        <v>5.2928</v>
      </c>
      <c r="H62" s="24" t="n">
        <v>3.2597</v>
      </c>
      <c r="I62" s="24" t="n">
        <v>0.4837</v>
      </c>
      <c r="J62" s="24" t="n">
        <v>0.1897</v>
      </c>
      <c r="K62" s="24" t="n">
        <v>-0.2591</v>
      </c>
      <c r="L62" s="24" t="n">
        <v>109.9405</v>
      </c>
      <c r="M62" s="24" t="n">
        <v>90.1026</v>
      </c>
      <c r="N62" s="24" t="n">
        <v>27.4177</v>
      </c>
      <c r="O62" s="24" t="n">
        <v>188.0812</v>
      </c>
      <c r="P62" s="24" t="n">
        <v>123.1634</v>
      </c>
      <c r="Q62" s="24" t="n">
        <v>-4.6641</v>
      </c>
      <c r="R62" s="24" t="n">
        <v>-17.8696</v>
      </c>
      <c r="S62" s="24" t="n">
        <v>-35.8491</v>
      </c>
      <c r="T62" s="24" t="n">
        <v>1238.6301</v>
      </c>
      <c r="U62" s="24" t="n">
        <v>56.6974</v>
      </c>
      <c r="V62" s="24" t="n">
        <v>62.223</v>
      </c>
      <c r="W62" s="25" t="n">
        <v>2</v>
      </c>
      <c r="X62" s="26" t="n">
        <v>0.753</v>
      </c>
      <c r="Y62" s="24" t="n">
        <v>1.102</v>
      </c>
      <c r="Z62" s="24" t="n">
        <v>0.8967000000000001</v>
      </c>
      <c r="AA62" s="24" t="n">
        <v>0.7737000000000001</v>
      </c>
      <c r="AB62" s="24" t="n">
        <v>1.5156</v>
      </c>
      <c r="AC62" s="24" t="n">
        <v>1.0048</v>
      </c>
      <c r="AD62" s="24" t="n">
        <v>1.5567</v>
      </c>
      <c r="AE62" s="24" t="n">
        <v>1.0356</v>
      </c>
      <c r="AF62" s="24" t="n">
        <v>2.8394</v>
      </c>
    </row>
    <row r="63">
      <c r="A63" s="9" t="inlineStr">
        <is>
          <t>UZB</t>
        </is>
      </c>
      <c r="B63" s="9" t="inlineStr">
        <is>
          <t>Uzbekistan</t>
        </is>
      </c>
      <c r="C63" s="9" t="inlineStr">
        <is>
          <t>EMDC</t>
        </is>
      </c>
      <c r="D63" s="23" t="n">
        <v>0.105</v>
      </c>
      <c r="E63" s="24" t="n">
        <v>175.8954</v>
      </c>
      <c r="F63" s="24" t="n">
        <v>3.6935</v>
      </c>
      <c r="G63" s="24" t="n">
        <v>15.2473</v>
      </c>
      <c r="H63" s="24" t="n">
        <v>11.5538</v>
      </c>
      <c r="I63" s="24" t="n">
        <v>4.6619</v>
      </c>
      <c r="J63" s="24" t="n">
        <v>2.9325</v>
      </c>
      <c r="K63" s="24" t="n">
        <v>1.4162</v>
      </c>
      <c r="L63" s="24" t="n">
        <v>263.4416</v>
      </c>
      <c r="M63" s="24" t="n">
        <v>215.2653</v>
      </c>
      <c r="N63" s="24" t="n">
        <v>66.8402</v>
      </c>
      <c r="O63" s="24" t="n">
        <v>580.2565</v>
      </c>
      <c r="P63" s="24" t="n">
        <v>464.3834</v>
      </c>
      <c r="Q63" s="24" t="n">
        <v>44.3582</v>
      </c>
      <c r="R63" s="24" t="n">
        <v>20.4278</v>
      </c>
      <c r="S63" s="24" t="n">
        <v>-26.5204</v>
      </c>
      <c r="T63" s="24" t="n">
        <v>3007.5953</v>
      </c>
      <c r="U63" s="24" t="n">
        <v>111.9862</v>
      </c>
      <c r="V63" s="24" t="n">
        <v>146.738</v>
      </c>
      <c r="W63" s="25" t="n">
        <v>2</v>
      </c>
      <c r="X63" s="26" t="n">
        <v>0.571</v>
      </c>
      <c r="Y63" s="24" t="n">
        <v>4.0448</v>
      </c>
      <c r="Z63" s="24" t="n">
        <v>2.0282</v>
      </c>
      <c r="AA63" s="24" t="n">
        <v>1.8027</v>
      </c>
      <c r="AB63" s="24" t="n">
        <v>5.2649</v>
      </c>
      <c r="AC63" s="24" t="n">
        <v>2.1066</v>
      </c>
      <c r="AD63" s="24" t="n">
        <v>5.6243</v>
      </c>
      <c r="AE63" s="24" t="n">
        <v>4.3094</v>
      </c>
      <c r="AF63" s="24" t="n">
        <v>7.5947</v>
      </c>
    </row>
    <row r="64">
      <c r="A64" s="9" t="inlineStr">
        <is>
          <t>KWT</t>
        </is>
      </c>
      <c r="B64" s="9" t="inlineStr">
        <is>
          <t>Kuwait</t>
        </is>
      </c>
      <c r="C64" s="9" t="inlineStr">
        <is>
          <t>EMDC</t>
        </is>
      </c>
      <c r="D64" s="23" t="n">
        <v>0.105</v>
      </c>
      <c r="E64" s="24" t="n">
        <v>164.2731</v>
      </c>
      <c r="F64" s="24" t="n">
        <v>1.7753</v>
      </c>
      <c r="G64" s="24" t="n">
        <v>7.4649</v>
      </c>
      <c r="H64" s="24" t="n">
        <v>5.6896</v>
      </c>
      <c r="I64" s="24" t="n">
        <v>1.5508</v>
      </c>
      <c r="J64" s="24" t="n">
        <v>0.533</v>
      </c>
      <c r="K64" s="24" t="n">
        <v>0.2586</v>
      </c>
      <c r="L64" s="24" t="n">
        <v>181.6019</v>
      </c>
      <c r="M64" s="24" t="n">
        <v>147.1464</v>
      </c>
      <c r="N64" s="24" t="n">
        <v>36.4043</v>
      </c>
      <c r="O64" s="24" t="n">
        <v>244.5754</v>
      </c>
      <c r="P64" s="24" t="n">
        <v>191.3715</v>
      </c>
      <c r="Q64" s="24" t="n">
        <v>7.2086</v>
      </c>
      <c r="R64" s="24" t="n">
        <v>-17.778</v>
      </c>
      <c r="S64" s="24" t="n">
        <v>-27.0835</v>
      </c>
      <c r="T64" s="24" t="n">
        <v>2070.2318</v>
      </c>
      <c r="U64" s="24" t="n">
        <v>123.5437</v>
      </c>
      <c r="V64" s="24" t="n">
        <v>109.514</v>
      </c>
      <c r="W64" s="25" t="n">
        <v>1</v>
      </c>
      <c r="X64" s="26" t="n">
        <v>0.3648</v>
      </c>
      <c r="Y64" s="24" t="n">
        <v>1.7959</v>
      </c>
      <c r="Z64" s="24" t="n">
        <v>1.2146</v>
      </c>
      <c r="AA64" s="24" t="n">
        <v>0.37</v>
      </c>
      <c r="AB64" s="24" t="n">
        <v>2.4602</v>
      </c>
      <c r="AC64" s="24" t="n">
        <v>1.6241</v>
      </c>
      <c r="AD64" s="24" t="n">
        <v>2.534</v>
      </c>
      <c r="AE64" s="24" t="n">
        <v>1.8018</v>
      </c>
      <c r="AF64" s="24" t="n">
        <v>3.7163</v>
      </c>
    </row>
    <row r="65">
      <c r="A65" s="9" t="inlineStr">
        <is>
          <t>KEN</t>
        </is>
      </c>
      <c r="B65" s="9" t="inlineStr">
        <is>
          <t>Kenya</t>
        </is>
      </c>
      <c r="C65" s="9" t="inlineStr">
        <is>
          <t>EMDC</t>
        </is>
      </c>
      <c r="D65" s="23" t="n">
        <v>0.09660000000000001</v>
      </c>
      <c r="E65" s="24" t="n">
        <v>155.2357</v>
      </c>
      <c r="F65" s="24" t="n">
        <v>1.0314</v>
      </c>
      <c r="G65" s="24" t="n">
        <v>3.5821</v>
      </c>
      <c r="H65" s="24" t="n">
        <v>2.5507</v>
      </c>
      <c r="I65" s="24" t="n">
        <v>1.5199</v>
      </c>
      <c r="J65" s="24" t="n">
        <v>1.368</v>
      </c>
      <c r="K65" s="24" t="n">
        <v>1.3252</v>
      </c>
      <c r="L65" s="24" t="n">
        <v>121.2663</v>
      </c>
      <c r="M65" s="24" t="n">
        <v>89.1643</v>
      </c>
      <c r="N65" s="24" t="n">
        <v>45.4466</v>
      </c>
      <c r="O65" s="24" t="n">
        <v>121.7435</v>
      </c>
      <c r="P65" s="24" t="n">
        <v>88.08929999999999</v>
      </c>
      <c r="Q65" s="24" t="n">
        <v>10.4889</v>
      </c>
      <c r="R65" s="24" t="n">
        <v>10.6117</v>
      </c>
      <c r="S65" s="24" t="n">
        <v>9.1442</v>
      </c>
      <c r="T65" s="24" t="n">
        <v>1274.2454</v>
      </c>
      <c r="U65" s="24" t="n">
        <v>20.202</v>
      </c>
      <c r="V65" s="24" t="n">
        <v>22.398</v>
      </c>
      <c r="W65" s="25" t="n">
        <v>2</v>
      </c>
      <c r="X65" s="26" t="n">
        <v>1.8142</v>
      </c>
      <c r="Y65" s="24" t="n">
        <v>0.5857</v>
      </c>
      <c r="Z65" s="24" t="n">
        <v>0.5508999999999999</v>
      </c>
      <c r="AA65" s="24" t="n">
        <v>0.4387</v>
      </c>
      <c r="AB65" s="24" t="n">
        <v>1.133</v>
      </c>
      <c r="AC65" s="24" t="n">
        <v>0.8737</v>
      </c>
      <c r="AD65" s="24" t="n">
        <v>0.9256</v>
      </c>
      <c r="AE65" s="24" t="n">
        <v>0.7569</v>
      </c>
      <c r="AF65" s="24" t="n">
        <v>2.1056</v>
      </c>
    </row>
    <row r="66">
      <c r="A66" s="9" t="inlineStr">
        <is>
          <t>QAT</t>
        </is>
      </c>
      <c r="B66" s="9" t="inlineStr">
        <is>
          <t>Qatar</t>
        </is>
      </c>
      <c r="C66" s="9" t="inlineStr">
        <is>
          <t>EMDC</t>
        </is>
      </c>
      <c r="D66" s="23" t="n">
        <v>0.105</v>
      </c>
      <c r="E66" s="24" t="n">
        <v>155.0385</v>
      </c>
      <c r="F66" s="24" t="n">
        <v>0.8542</v>
      </c>
      <c r="G66" s="24" t="n">
        <v>6.0681</v>
      </c>
      <c r="H66" s="24" t="n">
        <v>5.2139</v>
      </c>
      <c r="I66" s="24" t="n">
        <v>4.3154</v>
      </c>
      <c r="J66" s="24" t="n">
        <v>3.4307</v>
      </c>
      <c r="K66" s="24" t="n">
        <v>3.3902</v>
      </c>
      <c r="L66" s="24" t="n">
        <v>181.5398</v>
      </c>
      <c r="M66" s="24" t="n">
        <v>141.5477</v>
      </c>
      <c r="N66" s="24" t="n">
        <v>51.5377</v>
      </c>
      <c r="O66" s="24" t="n">
        <v>216.7316</v>
      </c>
      <c r="P66" s="24" t="n">
        <v>192.1467</v>
      </c>
      <c r="Q66" s="24" t="n">
        <v>45.8351</v>
      </c>
      <c r="R66" s="24" t="n">
        <v>60.1652</v>
      </c>
      <c r="S66" s="24" t="n">
        <v>59.2159</v>
      </c>
      <c r="T66" s="24" t="n">
        <v>1736.0976</v>
      </c>
      <c r="U66" s="24" t="n">
        <v>85.8796</v>
      </c>
      <c r="V66" s="24" t="n">
        <v>106.894</v>
      </c>
      <c r="W66" s="25" t="n">
        <v>2</v>
      </c>
      <c r="X66" s="26" t="n">
        <v>0.4967</v>
      </c>
      <c r="Y66" s="24" t="n">
        <v>1.1159</v>
      </c>
      <c r="Z66" s="24" t="n">
        <v>0.5495</v>
      </c>
      <c r="AA66" s="24" t="n">
        <v>0.5377</v>
      </c>
      <c r="AB66" s="24" t="n">
        <v>2.5855</v>
      </c>
      <c r="AC66" s="24" t="n">
        <v>1.2795</v>
      </c>
      <c r="AD66" s="24" t="n">
        <v>1.8916</v>
      </c>
      <c r="AE66" s="24" t="n">
        <v>1.624</v>
      </c>
      <c r="AF66" s="24" t="n">
        <v>3.627</v>
      </c>
    </row>
    <row r="67">
      <c r="A67" s="9" t="inlineStr">
        <is>
          <t>DOM</t>
        </is>
      </c>
      <c r="B67" s="9" t="inlineStr">
        <is>
          <t>Dominican Republic</t>
        </is>
      </c>
      <c r="C67" s="9" t="inlineStr">
        <is>
          <t>EMDC</t>
        </is>
      </c>
      <c r="D67" s="23" t="n">
        <v>0.0771</v>
      </c>
      <c r="E67" s="24" t="n">
        <v>151.9914</v>
      </c>
      <c r="F67" s="24" t="n">
        <v>1.3572</v>
      </c>
      <c r="G67" s="24" t="n">
        <v>3.3146</v>
      </c>
      <c r="H67" s="24" t="n">
        <v>1.9574</v>
      </c>
      <c r="I67" s="24" t="n">
        <v>0.3177</v>
      </c>
      <c r="J67" s="24" t="n">
        <v>0.2044</v>
      </c>
      <c r="K67" s="24" t="n">
        <v>-0.2715</v>
      </c>
      <c r="L67" s="24" t="n">
        <v>56.8032</v>
      </c>
      <c r="M67" s="24" t="n">
        <v>47.6608</v>
      </c>
      <c r="N67" s="24" t="n">
        <v>13.774</v>
      </c>
      <c r="O67" s="24" t="n">
        <v>112.6792</v>
      </c>
      <c r="P67" s="24" t="n">
        <v>72.5853</v>
      </c>
      <c r="Q67" s="24" t="n">
        <v>-0.7158</v>
      </c>
      <c r="R67" s="24" t="n">
        <v>-4.8228</v>
      </c>
      <c r="S67" s="24" t="n">
        <v>-21.001</v>
      </c>
      <c r="T67" s="24" t="n">
        <v>602.4163</v>
      </c>
      <c r="U67" s="24" t="n">
        <v>36.0853</v>
      </c>
      <c r="V67" s="24" t="n">
        <v>27.041</v>
      </c>
      <c r="W67" s="25" t="n">
        <v>3</v>
      </c>
      <c r="X67" s="26" t="n">
        <v>0.5934</v>
      </c>
      <c r="Y67" s="24" t="n">
        <v>0.5341</v>
      </c>
      <c r="Z67" s="24" t="n">
        <v>0.3436</v>
      </c>
      <c r="AA67" s="24" t="n">
        <v>0.536</v>
      </c>
      <c r="AB67" s="24" t="n">
        <v>0.7315</v>
      </c>
      <c r="AC67" s="24" t="n">
        <v>1.1695</v>
      </c>
      <c r="AD67" s="24" t="n">
        <v>0.7534999999999999</v>
      </c>
      <c r="AE67" s="24" t="n">
        <v>0.4429</v>
      </c>
      <c r="AF67" s="24" t="n">
        <v>2.2175</v>
      </c>
    </row>
    <row r="68">
      <c r="A68" s="9" t="inlineStr">
        <is>
          <t>VEN</t>
        </is>
      </c>
      <c r="B68" s="9" t="inlineStr">
        <is>
          <t>Venezuela, RB</t>
        </is>
      </c>
      <c r="C68" s="9" t="inlineStr">
        <is>
          <t>EMDC</t>
        </is>
      </c>
      <c r="D68" s="23" t="n">
        <v>0.105</v>
      </c>
      <c r="E68" s="24" t="n">
        <v>148.1779</v>
      </c>
      <c r="F68" s="24" t="n">
        <v>2.0424</v>
      </c>
      <c r="G68" s="24" t="n">
        <v>10.659</v>
      </c>
      <c r="H68" s="24" t="n">
        <v>8.6166</v>
      </c>
      <c r="I68" s="24" t="n">
        <v>5.6261</v>
      </c>
      <c r="J68" s="24" t="n">
        <v>4.8422</v>
      </c>
      <c r="K68" s="24" t="n">
        <v>4.7958</v>
      </c>
      <c r="L68" s="24" t="n">
        <v>226.7893</v>
      </c>
      <c r="M68" s="24" t="n">
        <v>143.9613</v>
      </c>
      <c r="N68" s="24" t="n">
        <v>54.8361</v>
      </c>
      <c r="O68" s="24" t="n">
        <v>363.847</v>
      </c>
      <c r="P68" s="24" t="n">
        <v>302.2797</v>
      </c>
      <c r="Q68" s="24" t="n">
        <v>53.6252</v>
      </c>
      <c r="R68" s="24" t="n">
        <v>71.10339999999999</v>
      </c>
      <c r="S68" s="24" t="n">
        <v>69.5574</v>
      </c>
      <c r="T68" s="24" t="n">
        <v>3022.8849</v>
      </c>
      <c r="U68" s="24" t="n">
        <v>44.8464</v>
      </c>
      <c r="V68" s="24" t="n">
        <v>113.681</v>
      </c>
      <c r="W68" s="25" t="n">
        <v>2</v>
      </c>
      <c r="X68" s="26" t="n">
        <v>0.6671</v>
      </c>
      <c r="Y68" s="24" t="n">
        <v>2.4192</v>
      </c>
      <c r="Z68" s="24" t="n">
        <v>1.2276</v>
      </c>
      <c r="AA68" s="24" t="n">
        <v>0.9585</v>
      </c>
      <c r="AB68" s="24" t="n">
        <v>4.5066</v>
      </c>
      <c r="AC68" s="24" t="n">
        <v>1.547</v>
      </c>
      <c r="AD68" s="24" t="n">
        <v>3.7712</v>
      </c>
      <c r="AE68" s="24" t="n">
        <v>3.2462</v>
      </c>
      <c r="AF68" s="24" t="n">
        <v>5.6602</v>
      </c>
    </row>
    <row r="69">
      <c r="A69" s="9" t="inlineStr">
        <is>
          <t>SVK</t>
        </is>
      </c>
      <c r="B69" s="9" t="inlineStr">
        <is>
          <t>Slovak Republic</t>
        </is>
      </c>
      <c r="C69" s="9" t="inlineStr">
        <is>
          <t>AE</t>
        </is>
      </c>
      <c r="D69" s="23" t="n">
        <v>0.055</v>
      </c>
      <c r="E69" s="24" t="n">
        <v>147.2848</v>
      </c>
      <c r="F69" s="24" t="n">
        <v>1.8817</v>
      </c>
      <c r="G69" s="24" t="n">
        <v>4.9747</v>
      </c>
      <c r="H69" s="24" t="n">
        <v>3.093</v>
      </c>
      <c r="I69" s="24" t="n">
        <v>0.0883</v>
      </c>
      <c r="J69" s="24" t="n">
        <v>0.1473</v>
      </c>
      <c r="K69" s="24" t="n">
        <v>-0.4281</v>
      </c>
      <c r="L69" s="24" t="n">
        <v>42.7443</v>
      </c>
      <c r="M69" s="24" t="n">
        <v>33.9681</v>
      </c>
      <c r="N69" s="24" t="n">
        <v>6.0648</v>
      </c>
      <c r="O69" s="24" t="n">
        <v>134.2002</v>
      </c>
      <c r="P69" s="24" t="n">
        <v>84.6003</v>
      </c>
      <c r="Q69" s="24" t="n">
        <v>0.0708</v>
      </c>
      <c r="R69" s="24" t="n">
        <v>1.4481</v>
      </c>
      <c r="S69" s="24" t="n">
        <v>-11.7149</v>
      </c>
      <c r="T69" s="24" t="n">
        <v>478.7902</v>
      </c>
      <c r="U69" s="24" t="n">
        <v>29.0556</v>
      </c>
      <c r="V69" s="24" t="n">
        <v>38.549</v>
      </c>
      <c r="W69" s="25" t="n">
        <v>3</v>
      </c>
      <c r="X69" s="26" t="n">
        <v>1.1817</v>
      </c>
      <c r="Y69" s="24" t="n">
        <v>0.4337</v>
      </c>
      <c r="Z69" s="24" t="n">
        <v>0.7502</v>
      </c>
      <c r="AA69" s="24" t="n">
        <v>1.032</v>
      </c>
      <c r="AB69" s="24" t="n">
        <v>0.5386</v>
      </c>
      <c r="AC69" s="24" t="n">
        <v>2.2201</v>
      </c>
      <c r="AD69" s="24" t="n">
        <v>0.5953000000000001</v>
      </c>
      <c r="AE69" s="24" t="n">
        <v>0.3884</v>
      </c>
      <c r="AF69" s="24" t="n">
        <v>3.6292</v>
      </c>
    </row>
    <row r="70">
      <c r="A70" s="9" t="inlineStr">
        <is>
          <t>ECU</t>
        </is>
      </c>
      <c r="B70" s="9" t="inlineStr">
        <is>
          <t>Ecuador</t>
        </is>
      </c>
      <c r="C70" s="9" t="inlineStr">
        <is>
          <t>EMDC</t>
        </is>
      </c>
      <c r="D70" s="23" t="n">
        <v>0.1444</v>
      </c>
      <c r="E70" s="24" t="n">
        <v>145.8574</v>
      </c>
      <c r="F70" s="24" t="n">
        <v>1.5403</v>
      </c>
      <c r="G70" s="24" t="n">
        <v>5.9193</v>
      </c>
      <c r="H70" s="24" t="n">
        <v>4.379</v>
      </c>
      <c r="I70" s="24" t="n">
        <v>2.6168</v>
      </c>
      <c r="J70" s="24" t="n">
        <v>1.6459</v>
      </c>
      <c r="K70" s="24" t="n">
        <v>1.4553</v>
      </c>
      <c r="L70" s="24" t="n">
        <v>102.2685</v>
      </c>
      <c r="M70" s="24" t="n">
        <v>63.3384</v>
      </c>
      <c r="N70" s="24" t="n">
        <v>22.8669</v>
      </c>
      <c r="O70" s="24" t="n">
        <v>187.8022</v>
      </c>
      <c r="P70" s="24" t="n">
        <v>140.578</v>
      </c>
      <c r="Q70" s="24" t="n">
        <v>13.9857</v>
      </c>
      <c r="R70" s="24" t="n">
        <v>5.4631</v>
      </c>
      <c r="S70" s="24" t="n">
        <v>-1.6644</v>
      </c>
      <c r="T70" s="24" t="n">
        <v>1361.6745</v>
      </c>
      <c r="U70" s="24" t="n">
        <v>42.7757</v>
      </c>
      <c r="V70" s="24" t="n">
        <v>45.44</v>
      </c>
      <c r="W70" s="25" t="n">
        <v>3</v>
      </c>
      <c r="X70" s="26" t="n">
        <v>0.9229000000000001</v>
      </c>
      <c r="Y70" s="24" t="n">
        <v>1.1319</v>
      </c>
      <c r="Z70" s="24" t="n">
        <v>0.7868000000000001</v>
      </c>
      <c r="AA70" s="24" t="n">
        <v>0.9701</v>
      </c>
      <c r="AB70" s="24" t="n">
        <v>2.1143</v>
      </c>
      <c r="AC70" s="24" t="n">
        <v>0.9162</v>
      </c>
      <c r="AD70" s="24" t="n">
        <v>1.7662</v>
      </c>
      <c r="AE70" s="24" t="n">
        <v>1.533</v>
      </c>
      <c r="AF70" s="24" t="n">
        <v>3.3663</v>
      </c>
    </row>
    <row r="71">
      <c r="A71" s="9" t="inlineStr">
        <is>
          <t>GTM</t>
        </is>
      </c>
      <c r="B71" s="9" t="inlineStr">
        <is>
          <t>Guatemala</t>
        </is>
      </c>
      <c r="C71" s="9" t="inlineStr">
        <is>
          <t>EMDC</t>
        </is>
      </c>
      <c r="D71" s="23" t="n">
        <v>0.08500000000000001</v>
      </c>
      <c r="E71" s="24" t="n">
        <v>142.0494</v>
      </c>
      <c r="F71" s="24" t="n">
        <v>0.8702</v>
      </c>
      <c r="G71" s="24" t="n">
        <v>2.2701</v>
      </c>
      <c r="H71" s="24" t="n">
        <v>1.3999</v>
      </c>
      <c r="I71" s="24" t="n">
        <v>0.3714</v>
      </c>
      <c r="J71" s="24" t="n">
        <v>0.2967</v>
      </c>
      <c r="K71" s="24" t="n">
        <v>0.203</v>
      </c>
      <c r="L71" s="24" t="n">
        <v>56.1644</v>
      </c>
      <c r="M71" s="24" t="n">
        <v>40.7868</v>
      </c>
      <c r="N71" s="24" t="n">
        <v>15.1941</v>
      </c>
      <c r="O71" s="24" t="n">
        <v>71.3592</v>
      </c>
      <c r="P71" s="24" t="n">
        <v>44.7721</v>
      </c>
      <c r="Q71" s="24" t="n">
        <v>-3.6265</v>
      </c>
      <c r="R71" s="24" t="n">
        <v>-8.2583</v>
      </c>
      <c r="S71" s="24" t="n">
        <v>-11.3774</v>
      </c>
      <c r="T71" s="24" t="n">
        <v>700.3259</v>
      </c>
      <c r="U71" s="24" t="n">
        <v>21.3938</v>
      </c>
      <c r="V71" s="24" t="n">
        <v>24.298</v>
      </c>
      <c r="W71" s="25" t="n">
        <v>3</v>
      </c>
      <c r="X71" s="26" t="n">
        <v>0.9647</v>
      </c>
      <c r="Y71" s="24" t="n">
        <v>0.3575</v>
      </c>
      <c r="Z71" s="24" t="n">
        <v>0.1857</v>
      </c>
      <c r="AA71" s="24" t="n">
        <v>0.3418</v>
      </c>
      <c r="AB71" s="24" t="n">
        <v>0.509</v>
      </c>
      <c r="AC71" s="24" t="n">
        <v>0.8761</v>
      </c>
      <c r="AD71" s="24" t="n">
        <v>0.5102</v>
      </c>
      <c r="AE71" s="24" t="n">
        <v>0.3871</v>
      </c>
      <c r="AF71" s="24" t="n">
        <v>1.5742</v>
      </c>
    </row>
    <row r="72">
      <c r="A72" s="9" t="inlineStr">
        <is>
          <t>AGO</t>
        </is>
      </c>
      <c r="B72" s="9" t="inlineStr">
        <is>
          <t>Angola</t>
        </is>
      </c>
      <c r="C72" s="9" t="inlineStr">
        <is>
          <t>EMDC</t>
        </is>
      </c>
      <c r="D72" s="23" t="n">
        <v>0.105</v>
      </c>
      <c r="E72" s="24" t="n">
        <v>139.7774</v>
      </c>
      <c r="F72" s="24" t="n">
        <v>0.8582</v>
      </c>
      <c r="G72" s="24" t="n">
        <v>4.8735</v>
      </c>
      <c r="H72" s="24" t="n">
        <v>4.0153</v>
      </c>
      <c r="I72" s="24" t="n">
        <v>2.7949</v>
      </c>
      <c r="J72" s="24" t="n">
        <v>2.5748</v>
      </c>
      <c r="K72" s="24" t="n">
        <v>2.55</v>
      </c>
      <c r="L72" s="24" t="n">
        <v>114.6308</v>
      </c>
      <c r="M72" s="24" t="n">
        <v>53.6517</v>
      </c>
      <c r="N72" s="24" t="n">
        <v>24.1167</v>
      </c>
      <c r="O72" s="24" t="n">
        <v>146.4804</v>
      </c>
      <c r="P72" s="24" t="n">
        <v>116.7486</v>
      </c>
      <c r="Q72" s="24" t="n">
        <v>17.388</v>
      </c>
      <c r="R72" s="24" t="n">
        <v>20.4451</v>
      </c>
      <c r="S72" s="24" t="n">
        <v>19.4963</v>
      </c>
      <c r="T72" s="24" t="n">
        <v>1812.5487</v>
      </c>
      <c r="U72" s="24" t="n">
        <v>19.7008</v>
      </c>
      <c r="V72" s="24" t="n">
        <v>19.873</v>
      </c>
      <c r="W72" s="25" t="n">
        <v>2</v>
      </c>
      <c r="X72" s="26" t="n">
        <v>0.08400000000000001</v>
      </c>
      <c r="Y72" s="24" t="n">
        <v>2.2572</v>
      </c>
      <c r="Z72" s="24" t="n">
        <v>0.194</v>
      </c>
      <c r="AA72" s="24" t="n">
        <v>0.2507</v>
      </c>
      <c r="AB72" s="24" t="n">
        <v>1.7166</v>
      </c>
      <c r="AC72" s="24" t="n">
        <v>0.455</v>
      </c>
      <c r="AD72" s="24" t="n">
        <v>2.7722</v>
      </c>
      <c r="AE72" s="24" t="n">
        <v>2.4478</v>
      </c>
      <c r="AF72" s="24" t="n">
        <v>1.9074</v>
      </c>
    </row>
    <row r="73">
      <c r="A73" s="9" t="inlineStr">
        <is>
          <t>BGR</t>
        </is>
      </c>
      <c r="B73" s="9" t="inlineStr">
        <is>
          <t>Bulgaria</t>
        </is>
      </c>
      <c r="C73" s="9" t="inlineStr">
        <is>
          <t>EMDC</t>
        </is>
      </c>
      <c r="D73" s="23" t="n">
        <v>0.0911</v>
      </c>
      <c r="E73" s="24" t="n">
        <v>134.2138</v>
      </c>
      <c r="F73" s="24" t="n">
        <v>1.9614</v>
      </c>
      <c r="G73" s="24" t="n">
        <v>4.1579</v>
      </c>
      <c r="H73" s="24" t="n">
        <v>2.1965</v>
      </c>
      <c r="I73" s="24" t="n">
        <v>0.7265</v>
      </c>
      <c r="J73" s="24" t="n">
        <v>0.5027</v>
      </c>
      <c r="K73" s="24" t="n">
        <v>-0.1421</v>
      </c>
      <c r="L73" s="24" t="n">
        <v>56.4816</v>
      </c>
      <c r="M73" s="24" t="n">
        <v>48.2545</v>
      </c>
      <c r="N73" s="24" t="n">
        <v>13.2153</v>
      </c>
      <c r="O73" s="24" t="n">
        <v>135.1951</v>
      </c>
      <c r="P73" s="24" t="n">
        <v>80.8527</v>
      </c>
      <c r="Q73" s="24" t="n">
        <v>7.5522</v>
      </c>
      <c r="R73" s="24" t="n">
        <v>4.627</v>
      </c>
      <c r="S73" s="24" t="n">
        <v>-15.2313</v>
      </c>
      <c r="T73" s="24" t="n">
        <v>525.3884</v>
      </c>
      <c r="U73" s="24" t="n">
        <v>35.3019</v>
      </c>
      <c r="V73" s="24" t="n">
        <v>47.89</v>
      </c>
      <c r="W73" s="25" t="n">
        <v>3</v>
      </c>
      <c r="X73" s="26" t="n">
        <v>0.9996</v>
      </c>
      <c r="Y73" s="24" t="n">
        <v>0.1971</v>
      </c>
      <c r="Z73" s="24" t="n">
        <v>0.9876</v>
      </c>
      <c r="AA73" s="24" t="n">
        <v>0.9812</v>
      </c>
      <c r="AB73" s="24" t="n">
        <v>0.7488</v>
      </c>
      <c r="AC73" s="24" t="n">
        <v>1.2431</v>
      </c>
      <c r="AD73" s="24" t="n">
        <v>0.4218</v>
      </c>
      <c r="AE73" s="24" t="n">
        <v>0.2985</v>
      </c>
      <c r="AF73" s="24" t="n">
        <v>2.7485</v>
      </c>
    </row>
    <row r="74">
      <c r="A74" s="9" t="inlineStr">
        <is>
          <t>OMN</t>
        </is>
      </c>
      <c r="B74" s="9" t="inlineStr">
        <is>
          <t>Oman</t>
        </is>
      </c>
      <c r="C74" s="9" t="inlineStr">
        <is>
          <t>EMDC</t>
        </is>
      </c>
      <c r="D74" s="23" t="n">
        <v>0.105</v>
      </c>
      <c r="E74" s="24" t="n">
        <v>128.2484</v>
      </c>
      <c r="F74" s="24" t="n">
        <v>1.8221</v>
      </c>
      <c r="G74" s="24" t="n">
        <v>9.7242</v>
      </c>
      <c r="H74" s="24" t="n">
        <v>7.9021</v>
      </c>
      <c r="I74" s="24" t="n">
        <v>3.4938</v>
      </c>
      <c r="J74" s="24" t="n">
        <v>2.1376</v>
      </c>
      <c r="K74" s="24" t="n">
        <v>2.0181</v>
      </c>
      <c r="L74" s="24" t="n">
        <v>151.6796</v>
      </c>
      <c r="M74" s="24" t="n">
        <v>122.8063</v>
      </c>
      <c r="N74" s="24" t="n">
        <v>33.5824</v>
      </c>
      <c r="O74" s="24" t="n">
        <v>304.4787</v>
      </c>
      <c r="P74" s="24" t="n">
        <v>257.8084</v>
      </c>
      <c r="Q74" s="24" t="n">
        <v>38.5851</v>
      </c>
      <c r="R74" s="24" t="n">
        <v>32.7096</v>
      </c>
      <c r="S74" s="24" t="n">
        <v>28.8418</v>
      </c>
      <c r="T74" s="24" t="n">
        <v>1706.2951</v>
      </c>
      <c r="U74" s="24" t="n">
        <v>77.3994</v>
      </c>
      <c r="V74" s="24" t="n">
        <v>96.53100000000001</v>
      </c>
      <c r="W74" s="25" t="n">
        <v>2</v>
      </c>
      <c r="X74" s="26" t="n">
        <v>0.9468</v>
      </c>
      <c r="Y74" s="24" t="n">
        <v>0.9258999999999999</v>
      </c>
      <c r="Z74" s="24" t="n">
        <v>2.3301</v>
      </c>
      <c r="AA74" s="24" t="n">
        <v>1.5091</v>
      </c>
      <c r="AB74" s="24" t="n">
        <v>2.8165</v>
      </c>
      <c r="AC74" s="24" t="n">
        <v>2.1426</v>
      </c>
      <c r="AD74" s="24" t="n">
        <v>1.7708</v>
      </c>
      <c r="AE74" s="24" t="n">
        <v>1.599</v>
      </c>
      <c r="AF74" s="24" t="n">
        <v>5.6233</v>
      </c>
    </row>
    <row r="75">
      <c r="A75" s="9" t="inlineStr">
        <is>
          <t>PRI</t>
        </is>
      </c>
      <c r="B75" s="9" t="inlineStr">
        <is>
          <t>Puerto Rico (US)</t>
        </is>
      </c>
      <c r="C75" s="9" t="inlineStr">
        <is>
          <t>AE</t>
        </is>
      </c>
      <c r="D75" s="23" t="n">
        <v>0.055</v>
      </c>
      <c r="E75" s="24" t="n">
        <v>125.639</v>
      </c>
      <c r="F75" s="24" t="n">
        <v>1.4866</v>
      </c>
      <c r="G75" s="24" t="n">
        <v>2.52</v>
      </c>
      <c r="H75" s="24" t="n">
        <v>1.0335</v>
      </c>
      <c r="I75" s="24" t="n">
        <v>0.1964</v>
      </c>
      <c r="J75" s="24" t="n">
        <v>0.2116</v>
      </c>
      <c r="K75" s="24" t="n">
        <v>0.2116</v>
      </c>
      <c r="L75" s="24" t="n">
        <v>15.5314</v>
      </c>
      <c r="M75" s="24" t="n">
        <v>12.9763</v>
      </c>
      <c r="N75" s="24" t="n">
        <v>2.6764</v>
      </c>
      <c r="O75" s="24" t="n">
        <v>67.399</v>
      </c>
      <c r="P75" s="24" t="n">
        <v>28.7832</v>
      </c>
      <c r="Q75" s="24" t="n">
        <v>1.544</v>
      </c>
      <c r="R75" s="24" t="n">
        <v>1.8953</v>
      </c>
      <c r="S75" s="24" t="n">
        <v>1.8953</v>
      </c>
      <c r="T75" s="24" t="n">
        <v>174.5725</v>
      </c>
      <c r="U75" s="24" t="n">
        <v>9.348699999999999</v>
      </c>
      <c r="V75" s="24" t="n">
        <v>13.541</v>
      </c>
      <c r="W75" s="25" t="n">
        <v>1</v>
      </c>
      <c r="X75" s="26" t="n">
        <v>1</v>
      </c>
      <c r="Y75" s="24" t="n">
        <v>0.204</v>
      </c>
      <c r="Z75" s="24" t="n">
        <v>1.046</v>
      </c>
      <c r="AA75" s="24" t="n">
        <v>0.266</v>
      </c>
      <c r="AB75" s="24" t="n">
        <v>0.1267</v>
      </c>
      <c r="AC75" s="24" t="n">
        <v>0.8773</v>
      </c>
      <c r="AD75" s="24" t="n">
        <v>0.242</v>
      </c>
      <c r="AE75" s="24" t="n">
        <v>0.0718</v>
      </c>
      <c r="AF75" s="24" t="n">
        <v>1.232</v>
      </c>
    </row>
    <row r="76">
      <c r="A76" s="9" t="inlineStr">
        <is>
          <t>CIV</t>
        </is>
      </c>
      <c r="B76" s="9" t="inlineStr">
        <is>
          <t>Côte d'Ivoire</t>
        </is>
      </c>
      <c r="C76" s="9" t="inlineStr">
        <is>
          <t>EMDC</t>
        </is>
      </c>
      <c r="D76" s="23" t="n">
        <v>0.105</v>
      </c>
      <c r="E76" s="24" t="n">
        <v>123.5121</v>
      </c>
      <c r="F76" s="24" t="n">
        <v>0.838</v>
      </c>
      <c r="G76" s="24" t="n">
        <v>1.9187</v>
      </c>
      <c r="H76" s="24" t="n">
        <v>1.0807</v>
      </c>
      <c r="I76" s="24" t="n">
        <v>0.3283</v>
      </c>
      <c r="J76" s="24" t="n">
        <v>0.1986</v>
      </c>
      <c r="K76" s="24" t="n">
        <v>0.1762</v>
      </c>
      <c r="L76" s="24" t="n">
        <v>39.6803</v>
      </c>
      <c r="M76" s="24" t="n">
        <v>31.1454</v>
      </c>
      <c r="N76" s="24" t="n">
        <v>12.4636</v>
      </c>
      <c r="O76" s="24" t="n">
        <v>67.7843</v>
      </c>
      <c r="P76" s="24" t="n">
        <v>39.6178</v>
      </c>
      <c r="Q76" s="24" t="n">
        <v>0.3596</v>
      </c>
      <c r="R76" s="24" t="n">
        <v>-4.4911</v>
      </c>
      <c r="S76" s="24" t="n">
        <v>-5.494</v>
      </c>
      <c r="T76" s="24" t="n">
        <v>437.8423</v>
      </c>
      <c r="U76" s="24" t="n">
        <v>14.7306</v>
      </c>
      <c r="V76" s="24" t="n">
        <v>13.981</v>
      </c>
      <c r="W76" s="25" t="n">
        <v>2</v>
      </c>
      <c r="X76" s="26" t="n">
        <v>0.9006999999999999</v>
      </c>
      <c r="Y76" s="24" t="n">
        <v>0.3357</v>
      </c>
      <c r="Z76" s="24" t="n">
        <v>0.3451</v>
      </c>
      <c r="AA76" s="24" t="n">
        <v>0.3226</v>
      </c>
      <c r="AB76" s="24" t="n">
        <v>0.4835</v>
      </c>
      <c r="AC76" s="24" t="n">
        <v>0.4317</v>
      </c>
      <c r="AD76" s="24" t="n">
        <v>0.4808</v>
      </c>
      <c r="AE76" s="24" t="n">
        <v>0.3099</v>
      </c>
      <c r="AF76" s="24" t="n">
        <v>1.0928</v>
      </c>
    </row>
    <row r="77">
      <c r="A77" s="9" t="inlineStr">
        <is>
          <t>CRI</t>
        </is>
      </c>
      <c r="B77" s="9" t="inlineStr">
        <is>
          <t>Costa Rica</t>
        </is>
      </c>
      <c r="C77" s="9" t="inlineStr">
        <is>
          <t>EMDC</t>
        </is>
      </c>
      <c r="D77" s="23" t="n">
        <v>0.0679</v>
      </c>
      <c r="E77" s="24" t="n">
        <v>120.0075</v>
      </c>
      <c r="F77" s="24" t="n">
        <v>0.7662</v>
      </c>
      <c r="G77" s="24" t="n">
        <v>1.3707</v>
      </c>
      <c r="H77" s="24" t="n">
        <v>0.6045</v>
      </c>
      <c r="I77" s="24" t="n">
        <v>0.1328</v>
      </c>
      <c r="J77" s="24" t="n">
        <v>0.1191</v>
      </c>
      <c r="K77" s="24" t="n">
        <v>0.034</v>
      </c>
      <c r="L77" s="24" t="n">
        <v>16.5911</v>
      </c>
      <c r="M77" s="24" t="n">
        <v>13.1727</v>
      </c>
      <c r="N77" s="24" t="n">
        <v>5.4432</v>
      </c>
      <c r="O77" s="24" t="n">
        <v>43.1877</v>
      </c>
      <c r="P77" s="24" t="n">
        <v>19.5581</v>
      </c>
      <c r="Q77" s="24" t="n">
        <v>-1.1355</v>
      </c>
      <c r="R77" s="24" t="n">
        <v>-1.7442</v>
      </c>
      <c r="S77" s="24" t="n">
        <v>-4.4563</v>
      </c>
      <c r="T77" s="24" t="n">
        <v>174.1586</v>
      </c>
      <c r="U77" s="24" t="n">
        <v>7.1772</v>
      </c>
      <c r="V77" s="24" t="n">
        <v>7.87</v>
      </c>
      <c r="W77" s="25" t="n">
        <v>3</v>
      </c>
      <c r="X77" s="26" t="n">
        <v>1.0275</v>
      </c>
      <c r="Y77" s="24" t="n">
        <v>0.1256</v>
      </c>
      <c r="Z77" s="24" t="n">
        <v>0.205</v>
      </c>
      <c r="AA77" s="24" t="n">
        <v>0.3167</v>
      </c>
      <c r="AB77" s="24" t="n">
        <v>0.1284</v>
      </c>
      <c r="AC77" s="24" t="n">
        <v>0.595</v>
      </c>
      <c r="AD77" s="24" t="n">
        <v>0.1641</v>
      </c>
      <c r="AE77" s="24" t="n">
        <v>0.07630000000000001</v>
      </c>
      <c r="AF77" s="24" t="n">
        <v>1.0016</v>
      </c>
    </row>
    <row r="78">
      <c r="A78" s="9" t="inlineStr">
        <is>
          <t>LKA</t>
        </is>
      </c>
      <c r="B78" s="9" t="inlineStr">
        <is>
          <t>Sri Lanka</t>
        </is>
      </c>
      <c r="C78" s="9" t="inlineStr">
        <is>
          <t>EMDC</t>
        </is>
      </c>
      <c r="D78" s="23" t="n">
        <v>0.1251</v>
      </c>
      <c r="E78" s="24" t="n">
        <v>118.9897</v>
      </c>
      <c r="F78" s="24" t="n">
        <v>0.8593</v>
      </c>
      <c r="G78" s="24" t="n">
        <v>1.7977</v>
      </c>
      <c r="H78" s="24" t="n">
        <v>0.9384</v>
      </c>
      <c r="I78" s="24" t="n">
        <v>0.4436</v>
      </c>
      <c r="J78" s="24" t="n">
        <v>0.3</v>
      </c>
      <c r="K78" s="24" t="n">
        <v>0.1583</v>
      </c>
      <c r="L78" s="24" t="n">
        <v>41.239</v>
      </c>
      <c r="M78" s="24" t="n">
        <v>32.7705</v>
      </c>
      <c r="N78" s="24" t="n">
        <v>11.6034</v>
      </c>
      <c r="O78" s="24" t="n">
        <v>61.5721</v>
      </c>
      <c r="P78" s="24" t="n">
        <v>31.8786</v>
      </c>
      <c r="Q78" s="24" t="n">
        <v>1.2768</v>
      </c>
      <c r="R78" s="24" t="n">
        <v>-3.1437</v>
      </c>
      <c r="S78" s="24" t="n">
        <v>-9.529999999999999</v>
      </c>
      <c r="T78" s="24" t="n">
        <v>379.5007</v>
      </c>
      <c r="U78" s="24" t="n">
        <v>20.1299</v>
      </c>
      <c r="V78" s="24" t="n">
        <v>18.369</v>
      </c>
      <c r="W78" s="25" t="n">
        <v>2</v>
      </c>
      <c r="X78" s="26" t="n">
        <v>0.6608000000000001</v>
      </c>
      <c r="Y78" s="24" t="n">
        <v>0.458</v>
      </c>
      <c r="Z78" s="24" t="n">
        <v>0.2395</v>
      </c>
      <c r="AA78" s="24" t="n">
        <v>0.2553</v>
      </c>
      <c r="AB78" s="24" t="n">
        <v>0.5399</v>
      </c>
      <c r="AC78" s="24" t="n">
        <v>0.305</v>
      </c>
      <c r="AD78" s="24" t="n">
        <v>0.6199</v>
      </c>
      <c r="AE78" s="24" t="n">
        <v>0.3514</v>
      </c>
      <c r="AF78" s="24" t="n">
        <v>0.9382</v>
      </c>
    </row>
    <row r="79">
      <c r="A79" s="9" t="inlineStr">
        <is>
          <t>TZA</t>
        </is>
      </c>
      <c r="B79" s="9" t="inlineStr">
        <is>
          <t>Tanzania</t>
        </is>
      </c>
      <c r="C79" s="9" t="inlineStr">
        <is>
          <t>EMDC</t>
        </is>
      </c>
      <c r="D79" s="23" t="n">
        <v>0.105</v>
      </c>
      <c r="E79" s="24" t="n">
        <v>110.8657</v>
      </c>
      <c r="F79" s="24" t="n">
        <v>0.7137</v>
      </c>
      <c r="G79" s="24" t="n">
        <v>5.869</v>
      </c>
      <c r="H79" s="24" t="n">
        <v>5.1554</v>
      </c>
      <c r="I79" s="24" t="n">
        <v>4.3535</v>
      </c>
      <c r="J79" s="24" t="n">
        <v>4.2214</v>
      </c>
      <c r="K79" s="24" t="n">
        <v>4.2149</v>
      </c>
      <c r="L79" s="24" t="n">
        <v>162.6915</v>
      </c>
      <c r="M79" s="24" t="n">
        <v>72.5214</v>
      </c>
      <c r="N79" s="24" t="n">
        <v>35.9983</v>
      </c>
      <c r="O79" s="24" t="n">
        <v>169.0508</v>
      </c>
      <c r="P79" s="24" t="n">
        <v>144.4247</v>
      </c>
      <c r="Q79" s="24" t="n">
        <v>27.6249</v>
      </c>
      <c r="R79" s="24" t="n">
        <v>38.4714</v>
      </c>
      <c r="S79" s="24" t="n">
        <v>38.2005</v>
      </c>
      <c r="T79" s="24" t="n">
        <v>2602.0668</v>
      </c>
      <c r="U79" s="24" t="n">
        <v>17.656</v>
      </c>
      <c r="V79" s="24" t="n">
        <v>17.591</v>
      </c>
      <c r="W79" s="25" t="n">
        <v>2</v>
      </c>
      <c r="X79" s="26" t="n">
        <v>1.3499</v>
      </c>
      <c r="Y79" s="24" t="n">
        <v>3.1469</v>
      </c>
      <c r="Z79" s="24" t="n">
        <v>0.3125</v>
      </c>
      <c r="AA79" s="24" t="n">
        <v>0.3165</v>
      </c>
      <c r="AB79" s="24" t="n">
        <v>1.6044</v>
      </c>
      <c r="AC79" s="24" t="n">
        <v>0.4888</v>
      </c>
      <c r="AD79" s="24" t="n">
        <v>3.6282</v>
      </c>
      <c r="AE79" s="24" t="n">
        <v>3.4804</v>
      </c>
      <c r="AF79" s="24" t="n">
        <v>1.9284</v>
      </c>
    </row>
    <row r="80">
      <c r="A80" s="9" t="inlineStr">
        <is>
          <t>GHA</t>
        </is>
      </c>
      <c r="B80" s="9" t="inlineStr">
        <is>
          <t>Ghana</t>
        </is>
      </c>
      <c r="C80" s="9" t="inlineStr">
        <is>
          <t>EMDC</t>
        </is>
      </c>
      <c r="D80" s="23" t="n">
        <v>0.1169</v>
      </c>
      <c r="E80" s="24" t="n">
        <v>110.7267</v>
      </c>
      <c r="F80" s="24" t="n">
        <v>0.9338</v>
      </c>
      <c r="G80" s="24" t="n">
        <v>2.5104</v>
      </c>
      <c r="H80" s="24" t="n">
        <v>1.5766</v>
      </c>
      <c r="I80" s="24" t="n">
        <v>0.6435999999999999</v>
      </c>
      <c r="J80" s="24" t="n">
        <v>0.4118</v>
      </c>
      <c r="K80" s="24" t="n">
        <v>0.3657</v>
      </c>
      <c r="L80" s="24" t="n">
        <v>55.2891</v>
      </c>
      <c r="M80" s="24" t="n">
        <v>42.9909</v>
      </c>
      <c r="N80" s="24" t="n">
        <v>17.7518</v>
      </c>
      <c r="O80" s="24" t="n">
        <v>94.8912</v>
      </c>
      <c r="P80" s="24" t="n">
        <v>64.86490000000001</v>
      </c>
      <c r="Q80" s="24" t="n">
        <v>3.8553</v>
      </c>
      <c r="R80" s="24" t="n">
        <v>-1.1267</v>
      </c>
      <c r="S80" s="24" t="n">
        <v>-2.8434</v>
      </c>
      <c r="T80" s="24" t="n">
        <v>629.8446</v>
      </c>
      <c r="U80" s="24" t="n">
        <v>17.8805</v>
      </c>
      <c r="V80" s="24" t="n">
        <v>22.034</v>
      </c>
      <c r="W80" s="25" t="n">
        <v>2</v>
      </c>
      <c r="X80" s="26" t="n">
        <v>0.7393</v>
      </c>
      <c r="Y80" s="24" t="n">
        <v>0.4833</v>
      </c>
      <c r="Z80" s="24" t="n">
        <v>0.4324</v>
      </c>
      <c r="AA80" s="24" t="n">
        <v>0.414</v>
      </c>
      <c r="AB80" s="24" t="n">
        <v>0.7606000000000001</v>
      </c>
      <c r="AC80" s="24" t="n">
        <v>0.42</v>
      </c>
      <c r="AD80" s="24" t="n">
        <v>0.7115</v>
      </c>
      <c r="AE80" s="24" t="n">
        <v>0.4634</v>
      </c>
      <c r="AF80" s="24" t="n">
        <v>1.3665</v>
      </c>
    </row>
    <row r="81">
      <c r="A81" s="9" t="inlineStr">
        <is>
          <t>HRV</t>
        </is>
      </c>
      <c r="B81" s="9" t="inlineStr">
        <is>
          <t>Croatia</t>
        </is>
      </c>
      <c r="C81" s="9" t="inlineStr">
        <is>
          <t>AE</t>
        </is>
      </c>
      <c r="D81" s="23" t="n">
        <v>0.0664</v>
      </c>
      <c r="E81" s="24" t="n">
        <v>108.3568</v>
      </c>
      <c r="F81" s="24" t="n">
        <v>1.8522</v>
      </c>
      <c r="G81" s="24" t="n">
        <v>3.3872</v>
      </c>
      <c r="H81" s="24" t="n">
        <v>1.535</v>
      </c>
      <c r="I81" s="24" t="n">
        <v>0.1183</v>
      </c>
      <c r="J81" s="24" t="n">
        <v>0.083</v>
      </c>
      <c r="K81" s="24" t="n">
        <v>-0.03</v>
      </c>
      <c r="L81" s="24" t="n">
        <v>25.2538</v>
      </c>
      <c r="M81" s="24" t="n">
        <v>20.2434</v>
      </c>
      <c r="N81" s="24" t="n">
        <v>4.9386</v>
      </c>
      <c r="O81" s="24" t="n">
        <v>85.81180000000001</v>
      </c>
      <c r="P81" s="24" t="n">
        <v>39.9732</v>
      </c>
      <c r="Q81" s="24" t="n">
        <v>-0.09520000000000001</v>
      </c>
      <c r="R81" s="24" t="n">
        <v>-0.9905</v>
      </c>
      <c r="S81" s="24" t="n">
        <v>-4.0938</v>
      </c>
      <c r="T81" s="24" t="n">
        <v>258.7138</v>
      </c>
      <c r="U81" s="24" t="n">
        <v>16.5379</v>
      </c>
      <c r="V81" s="24" t="n">
        <v>18.755</v>
      </c>
      <c r="W81" s="25" t="n">
        <v>3</v>
      </c>
      <c r="X81" s="26" t="n">
        <v>1.0561</v>
      </c>
      <c r="Y81" s="24" t="n">
        <v>0.2715</v>
      </c>
      <c r="Z81" s="24" t="n">
        <v>0.6641</v>
      </c>
      <c r="AA81" s="24" t="n">
        <v>0.7825</v>
      </c>
      <c r="AB81" s="24" t="n">
        <v>0.3167</v>
      </c>
      <c r="AC81" s="24" t="n">
        <v>1.3525</v>
      </c>
      <c r="AD81" s="24" t="n">
        <v>0.3665</v>
      </c>
      <c r="AE81" s="24" t="n">
        <v>0.2023</v>
      </c>
      <c r="AF81" s="24" t="n">
        <v>2.3566</v>
      </c>
    </row>
    <row r="82">
      <c r="A82" s="9" t="inlineStr">
        <is>
          <t>PAN</t>
        </is>
      </c>
      <c r="B82" s="9" t="inlineStr">
        <is>
          <t>Panama</t>
        </is>
      </c>
      <c r="C82" s="9" t="inlineStr">
        <is>
          <t>EMDC</t>
        </is>
      </c>
      <c r="D82" s="23" t="n">
        <v>0.105</v>
      </c>
      <c r="E82" s="24" t="n">
        <v>107.2618</v>
      </c>
      <c r="F82" s="24" t="n">
        <v>0.837</v>
      </c>
      <c r="G82" s="24" t="n">
        <v>1.7418</v>
      </c>
      <c r="H82" s="24" t="n">
        <v>0.9048</v>
      </c>
      <c r="I82" s="24" t="n">
        <v>0.2998</v>
      </c>
      <c r="J82" s="24" t="n">
        <v>0.1952</v>
      </c>
      <c r="K82" s="24" t="n">
        <v>0.1334</v>
      </c>
      <c r="L82" s="24" t="n">
        <v>26.1439</v>
      </c>
      <c r="M82" s="24" t="n">
        <v>17.7609</v>
      </c>
      <c r="N82" s="24" t="n">
        <v>5.5548</v>
      </c>
      <c r="O82" s="24" t="n">
        <v>49.0216</v>
      </c>
      <c r="P82" s="24" t="n">
        <v>26.9832</v>
      </c>
      <c r="Q82" s="24" t="n">
        <v>0.6195000000000001</v>
      </c>
      <c r="R82" s="24" t="n">
        <v>-2.5125</v>
      </c>
      <c r="S82" s="24" t="n">
        <v>-4.5939</v>
      </c>
      <c r="T82" s="24" t="n">
        <v>342.5515</v>
      </c>
      <c r="U82" s="24" t="n">
        <v>12.1461</v>
      </c>
      <c r="V82" s="24" t="n">
        <v>13.424</v>
      </c>
      <c r="W82" s="25" t="n">
        <v>3</v>
      </c>
      <c r="X82" s="26" t="n">
        <v>1.4052</v>
      </c>
      <c r="Y82" s="24" t="n">
        <v>0.2102</v>
      </c>
      <c r="Z82" s="24" t="n">
        <v>0.2597</v>
      </c>
      <c r="AA82" s="24" t="n">
        <v>0.3496</v>
      </c>
      <c r="AB82" s="24" t="n">
        <v>0.3855</v>
      </c>
      <c r="AC82" s="24" t="n">
        <v>0.5369</v>
      </c>
      <c r="AD82" s="24" t="n">
        <v>0.3258</v>
      </c>
      <c r="AE82" s="24" t="n">
        <v>0.2387</v>
      </c>
      <c r="AF82" s="24" t="n">
        <v>1.1563</v>
      </c>
    </row>
    <row r="83">
      <c r="A83" s="9" t="inlineStr">
        <is>
          <t>COD</t>
        </is>
      </c>
      <c r="B83" s="9" t="inlineStr">
        <is>
          <t>Congo, Dem. Rep.</t>
        </is>
      </c>
      <c r="C83" s="9" t="inlineStr">
        <is>
          <t>EMDC</t>
        </is>
      </c>
      <c r="D83" s="23" t="n">
        <v>0.105</v>
      </c>
      <c r="E83" s="24" t="n">
        <v>107.0595</v>
      </c>
      <c r="F83" s="24" t="n">
        <v>0.8754</v>
      </c>
      <c r="G83" s="24" t="n">
        <v>32.1098</v>
      </c>
      <c r="H83" s="24" t="n">
        <v>31.2344</v>
      </c>
      <c r="I83" s="24" t="n">
        <v>31.0674</v>
      </c>
      <c r="J83" s="24" t="n">
        <v>31.043</v>
      </c>
      <c r="K83" s="24" t="n">
        <v>31.0428</v>
      </c>
      <c r="L83" s="24" t="n">
        <v>669.6522</v>
      </c>
      <c r="M83" s="24" t="n">
        <v>47.7945</v>
      </c>
      <c r="N83" s="24" t="n">
        <v>26.4168</v>
      </c>
      <c r="O83" s="24" t="n">
        <v>775.083</v>
      </c>
      <c r="P83" s="24" t="n">
        <v>745.2558</v>
      </c>
      <c r="Q83" s="24" t="n">
        <v>212.0516</v>
      </c>
      <c r="R83" s="24" t="n">
        <v>335.7289</v>
      </c>
      <c r="S83" s="24" t="n">
        <v>335.7191</v>
      </c>
      <c r="T83" s="24" t="n">
        <v>14849.4503</v>
      </c>
      <c r="U83" s="24" t="n">
        <v>3.4765</v>
      </c>
      <c r="V83" s="24" t="n">
        <v>3.76</v>
      </c>
      <c r="W83" s="25" t="n">
        <v>2</v>
      </c>
      <c r="X83" s="26" t="n">
        <v>0.4572</v>
      </c>
      <c r="Y83" s="24" t="n">
        <v>24.7433</v>
      </c>
      <c r="Z83" s="24" t="n">
        <v>0.1137</v>
      </c>
      <c r="AA83" s="24" t="n">
        <v>0.1825</v>
      </c>
      <c r="AB83" s="24" t="n">
        <v>6.7695</v>
      </c>
      <c r="AC83" s="24" t="n">
        <v>0.3008</v>
      </c>
      <c r="AD83" s="24" t="n">
        <v>26.7741</v>
      </c>
      <c r="AE83" s="24" t="n">
        <v>26.4033</v>
      </c>
      <c r="AF83" s="24" t="n">
        <v>5.2219</v>
      </c>
    </row>
    <row r="84">
      <c r="A84" s="9" t="inlineStr">
        <is>
          <t>SRB</t>
        </is>
      </c>
      <c r="B84" s="9" t="inlineStr">
        <is>
          <t>Serbia</t>
        </is>
      </c>
      <c r="C84" s="9" t="inlineStr">
        <is>
          <t>EMDC</t>
        </is>
      </c>
      <c r="D84" s="23" t="n">
        <v>0.105</v>
      </c>
      <c r="E84" s="24" t="n">
        <v>105.8272</v>
      </c>
      <c r="F84" s="24" t="n">
        <v>1.1155</v>
      </c>
      <c r="G84" s="24" t="n">
        <v>3.976</v>
      </c>
      <c r="H84" s="24" t="n">
        <v>2.8604</v>
      </c>
      <c r="I84" s="24" t="n">
        <v>1.0671</v>
      </c>
      <c r="J84" s="24" t="n">
        <v>0.6208</v>
      </c>
      <c r="K84" s="24" t="n">
        <v>-0.596</v>
      </c>
      <c r="L84" s="24" t="n">
        <v>71.8947</v>
      </c>
      <c r="M84" s="24" t="n">
        <v>57.6157</v>
      </c>
      <c r="N84" s="24" t="n">
        <v>13.464</v>
      </c>
      <c r="O84" s="24" t="n">
        <v>147.2471</v>
      </c>
      <c r="P84" s="24" t="n">
        <v>113.5065</v>
      </c>
      <c r="Q84" s="24" t="n">
        <v>13.4574</v>
      </c>
      <c r="R84" s="24" t="n">
        <v>11.0896</v>
      </c>
      <c r="S84" s="24" t="n">
        <v>-21.1451</v>
      </c>
      <c r="T84" s="24" t="n">
        <v>948.6334000000001</v>
      </c>
      <c r="U84" s="24" t="n">
        <v>39.0567</v>
      </c>
      <c r="V84" s="24" t="n">
        <v>55.378</v>
      </c>
      <c r="W84" s="25" t="n">
        <v>2</v>
      </c>
      <c r="X84" s="26" t="n">
        <v>1.1695</v>
      </c>
      <c r="Y84" s="24" t="n">
        <v>0.2022</v>
      </c>
      <c r="Z84" s="24" t="n">
        <v>1.3478</v>
      </c>
      <c r="AA84" s="24" t="n">
        <v>0.881</v>
      </c>
      <c r="AB84" s="24" t="n">
        <v>0.7772</v>
      </c>
      <c r="AC84" s="24" t="n">
        <v>0.7675999999999999</v>
      </c>
      <c r="AD84" s="24" t="n">
        <v>0.4354</v>
      </c>
      <c r="AE84" s="24" t="n">
        <v>0.3431</v>
      </c>
      <c r="AF84" s="24" t="n">
        <v>2.1927</v>
      </c>
    </row>
    <row r="85">
      <c r="A85" s="9" t="inlineStr">
        <is>
          <t>LUX</t>
        </is>
      </c>
      <c r="B85" s="9" t="inlineStr">
        <is>
          <t>Luxembourg</t>
        </is>
      </c>
      <c r="C85" s="9" t="inlineStr">
        <is>
          <t>AE</t>
        </is>
      </c>
      <c r="D85" s="23" t="n">
        <v>0.055</v>
      </c>
      <c r="E85" s="24" t="n">
        <v>101.4932</v>
      </c>
      <c r="F85" s="24" t="n">
        <v>1.2025</v>
      </c>
      <c r="G85" s="24" t="n">
        <v>1.9487</v>
      </c>
      <c r="H85" s="24" t="n">
        <v>0.7462</v>
      </c>
      <c r="I85" s="24" t="n">
        <v>0.0225</v>
      </c>
      <c r="J85" s="24" t="n">
        <v>0.0369</v>
      </c>
      <c r="K85" s="24" t="n">
        <v>0.0205</v>
      </c>
      <c r="L85" s="24" t="n">
        <v>8.1555</v>
      </c>
      <c r="M85" s="24" t="n">
        <v>6.8</v>
      </c>
      <c r="N85" s="24" t="n">
        <v>1.3471</v>
      </c>
      <c r="O85" s="24" t="n">
        <v>51.3744</v>
      </c>
      <c r="P85" s="24" t="n">
        <v>18.6404</v>
      </c>
      <c r="Q85" s="24" t="n">
        <v>-0.9601</v>
      </c>
      <c r="R85" s="24" t="n">
        <v>-0.5459000000000001</v>
      </c>
      <c r="S85" s="24" t="n">
        <v>-0.9514</v>
      </c>
      <c r="T85" s="24" t="n">
        <v>80.2576</v>
      </c>
      <c r="U85" s="24" t="n">
        <v>7.2039</v>
      </c>
      <c r="V85" s="24" t="n">
        <v>7.855</v>
      </c>
      <c r="W85" s="25" t="n">
        <v>3</v>
      </c>
      <c r="X85" s="26" t="n">
        <v>0.883</v>
      </c>
      <c r="Y85" s="24" t="n">
        <v>0.2217</v>
      </c>
      <c r="Z85" s="24" t="n">
        <v>0.2363</v>
      </c>
      <c r="AA85" s="24" t="n">
        <v>0.4186</v>
      </c>
      <c r="AB85" s="24" t="n">
        <v>0.104</v>
      </c>
      <c r="AC85" s="24" t="n">
        <v>0.968</v>
      </c>
      <c r="AD85" s="24" t="n">
        <v>0.253</v>
      </c>
      <c r="AE85" s="24" t="n">
        <v>0.0915</v>
      </c>
      <c r="AF85" s="24" t="n">
        <v>1.4595</v>
      </c>
    </row>
    <row r="86">
      <c r="A86" s="9" t="inlineStr">
        <is>
          <t>LTU</t>
        </is>
      </c>
      <c r="B86" s="9" t="inlineStr">
        <is>
          <t>Lithuania</t>
        </is>
      </c>
      <c r="C86" s="9" t="inlineStr">
        <is>
          <t>AE</t>
        </is>
      </c>
      <c r="D86" s="23" t="n">
        <v>0.095</v>
      </c>
      <c r="E86" s="24" t="n">
        <v>100.5033</v>
      </c>
      <c r="F86" s="24" t="n">
        <v>1.637</v>
      </c>
      <c r="G86" s="24" t="n">
        <v>3.2586</v>
      </c>
      <c r="H86" s="24" t="n">
        <v>1.6215</v>
      </c>
      <c r="I86" s="24" t="n">
        <v>0.4317</v>
      </c>
      <c r="J86" s="24" t="n">
        <v>0.2172</v>
      </c>
      <c r="K86" s="24" t="n">
        <v>0.0331</v>
      </c>
      <c r="L86" s="24" t="n">
        <v>21.7924</v>
      </c>
      <c r="M86" s="24" t="n">
        <v>17.1803</v>
      </c>
      <c r="N86" s="24" t="n">
        <v>4.4222</v>
      </c>
      <c r="O86" s="24" t="n">
        <v>82.1146</v>
      </c>
      <c r="P86" s="24" t="n">
        <v>38.9656</v>
      </c>
      <c r="Q86" s="24" t="n">
        <v>4.8472</v>
      </c>
      <c r="R86" s="24" t="n">
        <v>2.5727</v>
      </c>
      <c r="S86" s="24" t="n">
        <v>-1.9638</v>
      </c>
      <c r="T86" s="24" t="n">
        <v>232.4465</v>
      </c>
      <c r="U86" s="24" t="n">
        <v>12.8348</v>
      </c>
      <c r="V86" s="24" t="n">
        <v>15.167</v>
      </c>
      <c r="W86" s="25" t="n">
        <v>3</v>
      </c>
      <c r="X86" s="26" t="n">
        <v>1.0183</v>
      </c>
      <c r="Y86" s="24" t="n">
        <v>0.2299</v>
      </c>
      <c r="Z86" s="24" t="n">
        <v>0.7713</v>
      </c>
      <c r="AA86" s="24" t="n">
        <v>0.7574</v>
      </c>
      <c r="AB86" s="24" t="n">
        <v>0.4104</v>
      </c>
      <c r="AC86" s="24" t="n">
        <v>1.0895</v>
      </c>
      <c r="AD86" s="24" t="n">
        <v>0.353</v>
      </c>
      <c r="AE86" s="24" t="n">
        <v>0.1798</v>
      </c>
      <c r="AF86" s="24" t="n">
        <v>2.1342</v>
      </c>
    </row>
    <row r="87">
      <c r="A87" s="9" t="inlineStr">
        <is>
          <t>SYR</t>
        </is>
      </c>
      <c r="B87" s="9" t="inlineStr">
        <is>
          <t>Syrian Arab Republic</t>
        </is>
      </c>
      <c r="C87" s="9" t="inlineStr">
        <is>
          <t>EMDC</t>
        </is>
      </c>
      <c r="D87" s="23" t="n">
        <v>0.105</v>
      </c>
      <c r="E87" s="24" t="n">
        <v>98.551</v>
      </c>
      <c r="F87" s="24" t="n">
        <v>1.6064</v>
      </c>
      <c r="G87" s="24" t="n">
        <v>4.0057</v>
      </c>
      <c r="H87" s="24" t="n">
        <v>2.3993</v>
      </c>
      <c r="I87" s="24" t="n">
        <v>0.4595</v>
      </c>
      <c r="J87" s="24" t="n">
        <v>0.0664</v>
      </c>
      <c r="K87" s="24" t="n">
        <v>0.0664</v>
      </c>
      <c r="L87" s="24" t="n">
        <v>57.7358</v>
      </c>
      <c r="M87" s="24" t="n">
        <v>44.8514</v>
      </c>
      <c r="N87" s="24" t="n">
        <v>13.3881</v>
      </c>
      <c r="O87" s="24" t="n">
        <v>161.4098</v>
      </c>
      <c r="P87" s="24" t="n">
        <v>104.884</v>
      </c>
      <c r="Q87" s="24" t="n">
        <v>3.4738</v>
      </c>
      <c r="R87" s="24" t="n">
        <v>-7.4415</v>
      </c>
      <c r="S87" s="24" t="n">
        <v>-7.4415</v>
      </c>
      <c r="T87" s="24" t="n">
        <v>856.0830999999999</v>
      </c>
      <c r="U87" s="24" t="n">
        <v>32.7482</v>
      </c>
      <c r="V87" s="24" t="n">
        <v>30.545</v>
      </c>
      <c r="W87" s="25" t="n">
        <v>2</v>
      </c>
      <c r="X87" s="26" t="n">
        <v>0.239</v>
      </c>
      <c r="Y87" s="24" t="n">
        <v>1.2892</v>
      </c>
      <c r="Z87" s="24" t="n">
        <v>0.3921</v>
      </c>
      <c r="AA87" s="24" t="n">
        <v>0.5721000000000001</v>
      </c>
      <c r="AB87" s="24" t="n">
        <v>1.1693</v>
      </c>
      <c r="AC87" s="24" t="n">
        <v>0.583</v>
      </c>
      <c r="AD87" s="24" t="n">
        <v>1.64</v>
      </c>
      <c r="AE87" s="24" t="n">
        <v>0.9506</v>
      </c>
      <c r="AF87" s="24" t="n">
        <v>1.9736</v>
      </c>
    </row>
    <row r="88">
      <c r="A88" s="9" t="inlineStr">
        <is>
          <t>URY</t>
        </is>
      </c>
      <c r="B88" s="9" t="inlineStr">
        <is>
          <t>Uruguay</t>
        </is>
      </c>
      <c r="C88" s="9" t="inlineStr">
        <is>
          <t>EMDC</t>
        </is>
      </c>
      <c r="D88" s="23" t="n">
        <v>0.042</v>
      </c>
      <c r="E88" s="24" t="n">
        <v>91.4175</v>
      </c>
      <c r="F88" s="24" t="n">
        <v>0.5793</v>
      </c>
      <c r="G88" s="24" t="n">
        <v>1.614</v>
      </c>
      <c r="H88" s="24" t="n">
        <v>1.0347</v>
      </c>
      <c r="I88" s="24" t="n">
        <v>0.4786</v>
      </c>
      <c r="J88" s="24" t="n">
        <v>0.5145999999999999</v>
      </c>
      <c r="K88" s="24" t="n">
        <v>0.466</v>
      </c>
      <c r="L88" s="24" t="n">
        <v>42.2294</v>
      </c>
      <c r="M88" s="24" t="n">
        <v>30.9352</v>
      </c>
      <c r="N88" s="24" t="n">
        <v>15.2865</v>
      </c>
      <c r="O88" s="24" t="n">
        <v>47.9702</v>
      </c>
      <c r="P88" s="24" t="n">
        <v>32.2897</v>
      </c>
      <c r="Q88" s="24" t="n">
        <v>5.5412</v>
      </c>
      <c r="R88" s="24" t="n">
        <v>5.4209</v>
      </c>
      <c r="S88" s="24" t="n">
        <v>3.9215</v>
      </c>
      <c r="T88" s="24" t="n">
        <v>431.1817</v>
      </c>
      <c r="U88" s="24" t="n">
        <v>7.6974</v>
      </c>
      <c r="V88" s="24" t="n">
        <v>8.602</v>
      </c>
      <c r="W88" s="25" t="n">
        <v>2</v>
      </c>
      <c r="X88" s="26" t="n">
        <v>1.0242</v>
      </c>
      <c r="Y88" s="24" t="n">
        <v>0.1734</v>
      </c>
      <c r="Z88" s="24" t="n">
        <v>0.3118</v>
      </c>
      <c r="AA88" s="24" t="n">
        <v>0.2325</v>
      </c>
      <c r="AB88" s="24" t="n">
        <v>0.2944</v>
      </c>
      <c r="AC88" s="24" t="n">
        <v>0.6019</v>
      </c>
      <c r="AD88" s="24" t="n">
        <v>0.2617</v>
      </c>
      <c r="AE88" s="24" t="n">
        <v>0.2077</v>
      </c>
      <c r="AF88" s="24" t="n">
        <v>1.0405</v>
      </c>
    </row>
    <row r="89">
      <c r="A89" s="9" t="inlineStr">
        <is>
          <t>MMR</t>
        </is>
      </c>
      <c r="B89" s="9" t="inlineStr">
        <is>
          <t>Myanmar</t>
        </is>
      </c>
      <c r="C89" s="9" t="inlineStr">
        <is>
          <t>EMDC</t>
        </is>
      </c>
      <c r="D89" s="23" t="n">
        <v>0.105</v>
      </c>
      <c r="E89" s="24" t="n">
        <v>87.8253</v>
      </c>
      <c r="F89" s="24" t="n">
        <v>0.6734</v>
      </c>
      <c r="G89" s="24" t="n">
        <v>11.3098</v>
      </c>
      <c r="H89" s="24" t="n">
        <v>10.6365</v>
      </c>
      <c r="I89" s="24" t="n">
        <v>9.270099999999999</v>
      </c>
      <c r="J89" s="24" t="n">
        <v>8.9726</v>
      </c>
      <c r="K89" s="24" t="n">
        <v>8.9032</v>
      </c>
      <c r="L89" s="24" t="n">
        <v>312.0291</v>
      </c>
      <c r="M89" s="24" t="n">
        <v>129.2726</v>
      </c>
      <c r="N89" s="24" t="n">
        <v>62.5802</v>
      </c>
      <c r="O89" s="24" t="n">
        <v>333.1884</v>
      </c>
      <c r="P89" s="24" t="n">
        <v>310.4505</v>
      </c>
      <c r="Q89" s="24" t="n">
        <v>68.9601</v>
      </c>
      <c r="R89" s="24" t="n">
        <v>102.7373</v>
      </c>
      <c r="S89" s="24" t="n">
        <v>100.0682</v>
      </c>
      <c r="T89" s="24" t="n">
        <v>5145.4849</v>
      </c>
      <c r="U89" s="24" t="n">
        <v>29.0188</v>
      </c>
      <c r="V89" s="24" t="n">
        <v>42.531</v>
      </c>
      <c r="W89" s="25" t="n">
        <v>2</v>
      </c>
      <c r="X89" s="26" t="n">
        <v>0.3584</v>
      </c>
      <c r="Y89" s="24" t="n">
        <v>5.8063</v>
      </c>
      <c r="Z89" s="24" t="n">
        <v>0.2812</v>
      </c>
      <c r="AA89" s="24" t="n">
        <v>0.3161</v>
      </c>
      <c r="AB89" s="24" t="n">
        <v>4.1365</v>
      </c>
      <c r="AC89" s="24" t="n">
        <v>0.7696</v>
      </c>
      <c r="AD89" s="24" t="n">
        <v>7.0472</v>
      </c>
      <c r="AE89" s="24" t="n">
        <v>6.7931</v>
      </c>
      <c r="AF89" s="24" t="n">
        <v>3.9814</v>
      </c>
    </row>
    <row r="90">
      <c r="A90" s="9" t="inlineStr">
        <is>
          <t>BLR</t>
        </is>
      </c>
      <c r="B90" s="9" t="inlineStr">
        <is>
          <t>Belarus</t>
        </is>
      </c>
      <c r="C90" s="9" t="inlineStr">
        <is>
          <t>EMDC</t>
        </is>
      </c>
      <c r="D90" s="23" t="n">
        <v>0.105</v>
      </c>
      <c r="E90" s="24" t="n">
        <v>85.9038</v>
      </c>
      <c r="F90" s="24" t="n">
        <v>0.9995000000000001</v>
      </c>
      <c r="G90" s="24" t="n">
        <v>3.967</v>
      </c>
      <c r="H90" s="24" t="n">
        <v>2.9675</v>
      </c>
      <c r="I90" s="24" t="n">
        <v>1.3761</v>
      </c>
      <c r="J90" s="24" t="n">
        <v>0.9081</v>
      </c>
      <c r="K90" s="24" t="n">
        <v>0.3201</v>
      </c>
      <c r="L90" s="24" t="n">
        <v>86.2397</v>
      </c>
      <c r="M90" s="24" t="n">
        <v>72.2552</v>
      </c>
      <c r="N90" s="24" t="n">
        <v>21.2213</v>
      </c>
      <c r="O90" s="24" t="n">
        <v>146.1405</v>
      </c>
      <c r="P90" s="24" t="n">
        <v>111.8421</v>
      </c>
      <c r="Q90" s="24" t="n">
        <v>13.3614</v>
      </c>
      <c r="R90" s="24" t="n">
        <v>9.7682</v>
      </c>
      <c r="S90" s="24" t="n">
        <v>-8.489699999999999</v>
      </c>
      <c r="T90" s="24" t="n">
        <v>814.2131000000001</v>
      </c>
      <c r="U90" s="24" t="n">
        <v>48.0992</v>
      </c>
      <c r="V90" s="24" t="n">
        <v>57.927</v>
      </c>
      <c r="W90" s="25" t="n">
        <v>1</v>
      </c>
      <c r="X90" s="26" t="n">
        <v>0.6842</v>
      </c>
      <c r="Y90" s="24" t="n">
        <v>0.8307</v>
      </c>
      <c r="Z90" s="24" t="n">
        <v>1.0644</v>
      </c>
      <c r="AA90" s="24" t="n">
        <v>0.2587</v>
      </c>
      <c r="AB90" s="24" t="n">
        <v>1.1359</v>
      </c>
      <c r="AC90" s="24" t="n">
        <v>0.6773</v>
      </c>
      <c r="AD90" s="24" t="n">
        <v>1.1715</v>
      </c>
      <c r="AE90" s="24" t="n">
        <v>0.8697</v>
      </c>
      <c r="AF90" s="24" t="n">
        <v>1.7311</v>
      </c>
    </row>
    <row r="91">
      <c r="A91" s="9" t="inlineStr">
        <is>
          <t>UGA</t>
        </is>
      </c>
      <c r="B91" s="9" t="inlineStr">
        <is>
          <t>Uganda</t>
        </is>
      </c>
      <c r="C91" s="9" t="inlineStr">
        <is>
          <t>EMDC</t>
        </is>
      </c>
      <c r="D91" s="23" t="n">
        <v>0.08500000000000001</v>
      </c>
      <c r="E91" s="24" t="n">
        <v>85.7243</v>
      </c>
      <c r="F91" s="24" t="n">
        <v>0.5407</v>
      </c>
      <c r="G91" s="24" t="n">
        <v>2.4645</v>
      </c>
      <c r="H91" s="24" t="n">
        <v>1.9238</v>
      </c>
      <c r="I91" s="24" t="n">
        <v>1.4604</v>
      </c>
      <c r="J91" s="24" t="n">
        <v>1.4191</v>
      </c>
      <c r="K91" s="24" t="n">
        <v>1.4185</v>
      </c>
      <c r="L91" s="24" t="n">
        <v>73.99460000000001</v>
      </c>
      <c r="M91" s="24" t="n">
        <v>43.8716</v>
      </c>
      <c r="N91" s="24" t="n">
        <v>23.4903</v>
      </c>
      <c r="O91" s="24" t="n">
        <v>79.3605</v>
      </c>
      <c r="P91" s="24" t="n">
        <v>60.1364</v>
      </c>
      <c r="Q91" s="24" t="n">
        <v>11.6958</v>
      </c>
      <c r="R91" s="24" t="n">
        <v>13.8619</v>
      </c>
      <c r="S91" s="24" t="n">
        <v>13.8387</v>
      </c>
      <c r="T91" s="24" t="n">
        <v>965.0328</v>
      </c>
      <c r="U91" s="24" t="n">
        <v>6.671</v>
      </c>
      <c r="V91" s="24" t="n">
        <v>7.712</v>
      </c>
      <c r="W91" s="25" t="n">
        <v>2</v>
      </c>
      <c r="X91" s="26" t="n">
        <v>0.7154</v>
      </c>
      <c r="Y91" s="24" t="n">
        <v>0.9947</v>
      </c>
      <c r="Z91" s="24" t="n">
        <v>0.1558</v>
      </c>
      <c r="AA91" s="24" t="n">
        <v>0.1807</v>
      </c>
      <c r="AB91" s="24" t="n">
        <v>0.7642</v>
      </c>
      <c r="AC91" s="24" t="n">
        <v>0.3691</v>
      </c>
      <c r="AD91" s="24" t="n">
        <v>1.224</v>
      </c>
      <c r="AE91" s="24" t="n">
        <v>1.0593</v>
      </c>
      <c r="AF91" s="24" t="n">
        <v>1.0847</v>
      </c>
    </row>
    <row r="92">
      <c r="A92" s="9" t="inlineStr">
        <is>
          <t>AZE</t>
        </is>
      </c>
      <c r="B92" s="9" t="inlineStr">
        <is>
          <t>Azerbaijan</t>
        </is>
      </c>
      <c r="C92" s="9" t="inlineStr">
        <is>
          <t>EMDC</t>
        </is>
      </c>
      <c r="D92" s="23" t="n">
        <v>0.0914</v>
      </c>
      <c r="E92" s="24" t="n">
        <v>84.67449999999999</v>
      </c>
      <c r="F92" s="24" t="n">
        <v>0.9428</v>
      </c>
      <c r="G92" s="24" t="n">
        <v>3.73</v>
      </c>
      <c r="H92" s="24" t="n">
        <v>2.7872</v>
      </c>
      <c r="I92" s="24" t="n">
        <v>1.0548</v>
      </c>
      <c r="J92" s="24" t="n">
        <v>0.7575</v>
      </c>
      <c r="K92" s="24" t="n">
        <v>0.5343</v>
      </c>
      <c r="L92" s="24" t="n">
        <v>70.9169</v>
      </c>
      <c r="M92" s="24" t="n">
        <v>56.2141</v>
      </c>
      <c r="N92" s="24" t="n">
        <v>17.5187</v>
      </c>
      <c r="O92" s="24" t="n">
        <v>132.4545</v>
      </c>
      <c r="P92" s="24" t="n">
        <v>103.6124</v>
      </c>
      <c r="Q92" s="24" t="n">
        <v>13.0812</v>
      </c>
      <c r="R92" s="24" t="n">
        <v>10.8731</v>
      </c>
      <c r="S92" s="24" t="n">
        <v>4.0209</v>
      </c>
      <c r="T92" s="24" t="n">
        <v>790.8769</v>
      </c>
      <c r="U92" s="24" t="n">
        <v>33.9101</v>
      </c>
      <c r="V92" s="24" t="n">
        <v>36.957</v>
      </c>
      <c r="W92" s="25" t="n">
        <v>2</v>
      </c>
      <c r="X92" s="26" t="n">
        <v>0.4385</v>
      </c>
      <c r="Y92" s="24" t="n">
        <v>1.0187</v>
      </c>
      <c r="Z92" s="24" t="n">
        <v>0.4905</v>
      </c>
      <c r="AA92" s="24" t="n">
        <v>0.4612</v>
      </c>
      <c r="AB92" s="24" t="n">
        <v>1.0055</v>
      </c>
      <c r="AC92" s="24" t="n">
        <v>0.754</v>
      </c>
      <c r="AD92" s="24" t="n">
        <v>1.3204</v>
      </c>
      <c r="AE92" s="24" t="n">
        <v>0.9948</v>
      </c>
      <c r="AF92" s="24" t="n">
        <v>1.9191</v>
      </c>
    </row>
    <row r="93">
      <c r="A93" s="9" t="inlineStr">
        <is>
          <t>SVN</t>
        </is>
      </c>
      <c r="B93" s="9" t="inlineStr">
        <is>
          <t>Slovenia</t>
        </is>
      </c>
      <c r="C93" s="9" t="inlineStr">
        <is>
          <t>AE</t>
        </is>
      </c>
      <c r="D93" s="23" t="n">
        <v>0.045</v>
      </c>
      <c r="E93" s="24" t="n">
        <v>81.1118</v>
      </c>
      <c r="F93" s="24" t="n">
        <v>1.3676</v>
      </c>
      <c r="G93" s="24" t="n">
        <v>2.2114</v>
      </c>
      <c r="H93" s="24" t="n">
        <v>0.8438</v>
      </c>
      <c r="I93" s="24" t="n">
        <v>0.0043</v>
      </c>
      <c r="J93" s="24" t="n">
        <v>0.0473</v>
      </c>
      <c r="K93" s="24" t="n">
        <v>0.022</v>
      </c>
      <c r="L93" s="24" t="n">
        <v>14.8184</v>
      </c>
      <c r="M93" s="24" t="n">
        <v>12.4837</v>
      </c>
      <c r="N93" s="24" t="n">
        <v>2.7069</v>
      </c>
      <c r="O93" s="24" t="n">
        <v>55.8639</v>
      </c>
      <c r="P93" s="24" t="n">
        <v>22.7758</v>
      </c>
      <c r="Q93" s="24" t="n">
        <v>-2.7806</v>
      </c>
      <c r="R93" s="24" t="n">
        <v>-1.0991</v>
      </c>
      <c r="S93" s="24" t="n">
        <v>-1.8469</v>
      </c>
      <c r="T93" s="24" t="n">
        <v>135.0598</v>
      </c>
      <c r="U93" s="24" t="n">
        <v>12.1514</v>
      </c>
      <c r="V93" s="24" t="n">
        <v>13.371</v>
      </c>
      <c r="W93" s="25" t="n">
        <v>3</v>
      </c>
      <c r="X93" s="26" t="n">
        <v>1.0591</v>
      </c>
      <c r="Y93" s="24" t="n">
        <v>0.1505</v>
      </c>
      <c r="Z93" s="24" t="n">
        <v>0.3911</v>
      </c>
      <c r="AA93" s="24" t="n">
        <v>0.5412</v>
      </c>
      <c r="AB93" s="24" t="n">
        <v>0.1108</v>
      </c>
      <c r="AC93" s="24" t="n">
        <v>1.0177</v>
      </c>
      <c r="AD93" s="24" t="n">
        <v>0.1837</v>
      </c>
      <c r="AE93" s="24" t="n">
        <v>0.0726</v>
      </c>
      <c r="AF93" s="24" t="n">
        <v>1.6365</v>
      </c>
    </row>
    <row r="94">
      <c r="A94" s="9" t="inlineStr">
        <is>
          <t>TKM</t>
        </is>
      </c>
      <c r="B94" s="9" t="inlineStr">
        <is>
          <t>Turkmenistan</t>
        </is>
      </c>
      <c r="C94" s="9" t="inlineStr">
        <is>
          <t>EMDC</t>
        </is>
      </c>
      <c r="D94" s="23" t="n">
        <v>0.105</v>
      </c>
      <c r="E94" s="24" t="n">
        <v>81.0968</v>
      </c>
      <c r="F94" s="24" t="n">
        <v>0.6273</v>
      </c>
      <c r="G94" s="24" t="n">
        <v>10.1202</v>
      </c>
      <c r="H94" s="24" t="n">
        <v>9.493</v>
      </c>
      <c r="I94" s="24" t="n">
        <v>5.7806</v>
      </c>
      <c r="J94" s="24" t="n">
        <v>4.0785</v>
      </c>
      <c r="K94" s="24" t="n">
        <v>3.9038</v>
      </c>
      <c r="L94" s="24" t="n">
        <v>151.545</v>
      </c>
      <c r="M94" s="24" t="n">
        <v>128.6678</v>
      </c>
      <c r="N94" s="24" t="n">
        <v>41.0126</v>
      </c>
      <c r="O94" s="24" t="n">
        <v>359.7807</v>
      </c>
      <c r="P94" s="24" t="n">
        <v>340.5473</v>
      </c>
      <c r="Q94" s="24" t="n">
        <v>62.7098</v>
      </c>
      <c r="R94" s="24" t="n">
        <v>62.8028</v>
      </c>
      <c r="S94" s="24" t="n">
        <v>57.8743</v>
      </c>
      <c r="T94" s="24" t="n">
        <v>1603.4927</v>
      </c>
      <c r="U94" s="24" t="n">
        <v>82.4156</v>
      </c>
      <c r="V94" s="24" t="n">
        <v>69.002</v>
      </c>
      <c r="W94" s="25" t="n">
        <v>1</v>
      </c>
      <c r="X94" s="26" t="n">
        <v>0.1651</v>
      </c>
      <c r="Y94" s="24" t="n">
        <v>2.7655</v>
      </c>
      <c r="Z94" s="24" t="n">
        <v>1.3731</v>
      </c>
      <c r="AA94" s="24" t="n">
        <v>0.3728</v>
      </c>
      <c r="AB94" s="24" t="n">
        <v>3.189</v>
      </c>
      <c r="AC94" s="24" t="n">
        <v>2.4199</v>
      </c>
      <c r="AD94" s="24" t="n">
        <v>3.7222</v>
      </c>
      <c r="AE94" s="24" t="n">
        <v>3.467</v>
      </c>
      <c r="AF94" s="24" t="n">
        <v>5.025</v>
      </c>
    </row>
    <row r="95">
      <c r="A95" s="9" t="inlineStr">
        <is>
          <t>LBY</t>
        </is>
      </c>
      <c r="B95" s="9" t="inlineStr">
        <is>
          <t>Libya</t>
        </is>
      </c>
      <c r="C95" s="9" t="inlineStr">
        <is>
          <t>EMDC</t>
        </is>
      </c>
      <c r="D95" s="23" t="n">
        <v>0.105</v>
      </c>
      <c r="E95" s="24" t="n">
        <v>77.202</v>
      </c>
      <c r="F95" s="24" t="n">
        <v>2.6473</v>
      </c>
      <c r="G95" s="24" t="n">
        <v>6.7204</v>
      </c>
      <c r="H95" s="24" t="n">
        <v>4.0731</v>
      </c>
      <c r="I95" s="24" t="n">
        <v>0.5299</v>
      </c>
      <c r="J95" s="24" t="n">
        <v>-0.067</v>
      </c>
      <c r="K95" s="24" t="n">
        <v>-0.2568</v>
      </c>
      <c r="L95" s="24" t="n">
        <v>130.6502</v>
      </c>
      <c r="M95" s="24" t="n">
        <v>106.5898</v>
      </c>
      <c r="N95" s="24" t="n">
        <v>32.1556</v>
      </c>
      <c r="O95" s="24" t="n">
        <v>228.7404</v>
      </c>
      <c r="P95" s="24" t="n">
        <v>155.8983</v>
      </c>
      <c r="Q95" s="24" t="n">
        <v>-7.3393</v>
      </c>
      <c r="R95" s="24" t="n">
        <v>-35.9371</v>
      </c>
      <c r="S95" s="24" t="n">
        <v>-42.7335</v>
      </c>
      <c r="T95" s="24" t="n">
        <v>1746.0793</v>
      </c>
      <c r="U95" s="24" t="n">
        <v>61.225</v>
      </c>
      <c r="V95" s="24" t="n">
        <v>76.575</v>
      </c>
      <c r="W95" s="25" t="n">
        <v>1</v>
      </c>
      <c r="X95" s="26" t="n">
        <v>0.1971</v>
      </c>
      <c r="Y95" s="24" t="n">
        <v>1.6874</v>
      </c>
      <c r="Z95" s="24" t="n">
        <v>1.2089</v>
      </c>
      <c r="AA95" s="24" t="n">
        <v>0.3897</v>
      </c>
      <c r="AB95" s="24" t="n">
        <v>2.1173</v>
      </c>
      <c r="AC95" s="24" t="n">
        <v>1.3171</v>
      </c>
      <c r="AD95" s="24" t="n">
        <v>2.3226</v>
      </c>
      <c r="AE95" s="24" t="n">
        <v>1.1712</v>
      </c>
      <c r="AF95" s="24" t="n">
        <v>3.1889</v>
      </c>
    </row>
    <row r="96">
      <c r="A96" s="9" t="inlineStr">
        <is>
          <t>JOR</t>
        </is>
      </c>
      <c r="B96" s="9" t="inlineStr">
        <is>
          <t>Jordan</t>
        </is>
      </c>
      <c r="C96" s="9" t="inlineStr">
        <is>
          <t>EMDC</t>
        </is>
      </c>
      <c r="D96" s="23" t="n">
        <v>0.09660000000000001</v>
      </c>
      <c r="E96" s="24" t="n">
        <v>69.1467</v>
      </c>
      <c r="F96" s="24" t="n">
        <v>0.8401999999999999</v>
      </c>
      <c r="G96" s="24" t="n">
        <v>1.8817</v>
      </c>
      <c r="H96" s="24" t="n">
        <v>1.0415</v>
      </c>
      <c r="I96" s="24" t="n">
        <v>-0.1864</v>
      </c>
      <c r="J96" s="24" t="n">
        <v>-0.3151</v>
      </c>
      <c r="K96" s="24" t="n">
        <v>-0.4205</v>
      </c>
      <c r="L96" s="24" t="n">
        <v>38.0412</v>
      </c>
      <c r="M96" s="24" t="n">
        <v>30.4682</v>
      </c>
      <c r="N96" s="24" t="n">
        <v>8.135199999999999</v>
      </c>
      <c r="O96" s="24" t="n">
        <v>61.2783</v>
      </c>
      <c r="P96" s="24" t="n">
        <v>36.804</v>
      </c>
      <c r="Q96" s="24" t="n">
        <v>-7.174</v>
      </c>
      <c r="R96" s="24" t="n">
        <v>-16.5958</v>
      </c>
      <c r="S96" s="24" t="n">
        <v>-19.8897</v>
      </c>
      <c r="T96" s="24" t="n">
        <v>483.5283</v>
      </c>
      <c r="U96" s="24" t="n">
        <v>24.7499</v>
      </c>
      <c r="V96" s="24" t="n">
        <v>25.17</v>
      </c>
      <c r="W96" s="25" t="n">
        <v>2</v>
      </c>
      <c r="X96" s="26" t="n">
        <v>1.6702</v>
      </c>
      <c r="Y96" s="24" t="n">
        <v>0.1342</v>
      </c>
      <c r="Z96" s="24" t="n">
        <v>0.5923</v>
      </c>
      <c r="AA96" s="24" t="n">
        <v>0.3847</v>
      </c>
      <c r="AB96" s="24" t="n">
        <v>0.3017</v>
      </c>
      <c r="AC96" s="24" t="n">
        <v>0.4689</v>
      </c>
      <c r="AD96" s="24" t="n">
        <v>0.2247</v>
      </c>
      <c r="AE96" s="24" t="n">
        <v>0.1611</v>
      </c>
      <c r="AF96" s="24" t="n">
        <v>1.0647</v>
      </c>
    </row>
    <row r="97">
      <c r="A97" s="9" t="inlineStr">
        <is>
          <t>ZWE</t>
        </is>
      </c>
      <c r="B97" s="9" t="inlineStr">
        <is>
          <t>Zimbabwe</t>
        </is>
      </c>
      <c r="C97" s="9" t="inlineStr">
        <is>
          <t>EMDC</t>
        </is>
      </c>
      <c r="D97" s="23" t="n">
        <v>0.105</v>
      </c>
      <c r="E97" s="24" t="n">
        <v>67.1585</v>
      </c>
      <c r="F97" s="24" t="n">
        <v>0.6166</v>
      </c>
      <c r="G97" s="24" t="n">
        <v>5.5603</v>
      </c>
      <c r="H97" s="24" t="n">
        <v>4.9437</v>
      </c>
      <c r="I97" s="24" t="n">
        <v>4.559</v>
      </c>
      <c r="J97" s="24" t="n">
        <v>4.4684</v>
      </c>
      <c r="K97" s="24" t="n">
        <v>4.4656</v>
      </c>
      <c r="L97" s="24" t="n">
        <v>114.9571</v>
      </c>
      <c r="M97" s="24" t="n">
        <v>23.8708</v>
      </c>
      <c r="N97" s="24" t="n">
        <v>10.0536</v>
      </c>
      <c r="O97" s="24" t="n">
        <v>149.9656</v>
      </c>
      <c r="P97" s="24" t="n">
        <v>128.6237</v>
      </c>
      <c r="Q97" s="24" t="n">
        <v>32.2882</v>
      </c>
      <c r="R97" s="24" t="n">
        <v>48.9528</v>
      </c>
      <c r="S97" s="24" t="n">
        <v>48.8551</v>
      </c>
      <c r="T97" s="24" t="n">
        <v>2356.6459</v>
      </c>
      <c r="U97" s="24" t="n">
        <v>9.421099999999999</v>
      </c>
      <c r="V97" s="24" t="n">
        <v>9.654</v>
      </c>
      <c r="W97" s="25" t="n">
        <v>2</v>
      </c>
      <c r="X97" s="26" t="n">
        <v>0.8829</v>
      </c>
      <c r="Y97" s="24" t="n">
        <v>3.5963</v>
      </c>
      <c r="Z97" s="24" t="n">
        <v>0.2867</v>
      </c>
      <c r="AA97" s="24" t="n">
        <v>0.2569</v>
      </c>
      <c r="AB97" s="24" t="n">
        <v>1.2498</v>
      </c>
      <c r="AC97" s="24" t="n">
        <v>0.1706</v>
      </c>
      <c r="AD97" s="24" t="n">
        <v>3.9713</v>
      </c>
      <c r="AE97" s="24" t="n">
        <v>3.8314</v>
      </c>
      <c r="AF97" s="24" t="n">
        <v>1.3023</v>
      </c>
    </row>
    <row r="98">
      <c r="A98" s="9" t="inlineStr">
        <is>
          <t>CMR</t>
        </is>
      </c>
      <c r="B98" s="9" t="inlineStr">
        <is>
          <t>Cameroon</t>
        </is>
      </c>
      <c r="C98" s="9" t="inlineStr">
        <is>
          <t>EMDC</t>
        </is>
      </c>
      <c r="D98" s="23" t="n">
        <v>0.105</v>
      </c>
      <c r="E98" s="24" t="n">
        <v>65.0626</v>
      </c>
      <c r="F98" s="24" t="n">
        <v>0.4825</v>
      </c>
      <c r="G98" s="24" t="n">
        <v>3.0229</v>
      </c>
      <c r="H98" s="24" t="n">
        <v>2.5404</v>
      </c>
      <c r="I98" s="24" t="n">
        <v>2.3193</v>
      </c>
      <c r="J98" s="24" t="n">
        <v>2.282</v>
      </c>
      <c r="K98" s="24" t="n">
        <v>2.2771</v>
      </c>
      <c r="L98" s="24" t="n">
        <v>78.23569999999999</v>
      </c>
      <c r="M98" s="24" t="n">
        <v>31.9617</v>
      </c>
      <c r="N98" s="24" t="n">
        <v>15.8925</v>
      </c>
      <c r="O98" s="24" t="n">
        <v>85.72110000000001</v>
      </c>
      <c r="P98" s="24" t="n">
        <v>69.9447</v>
      </c>
      <c r="Q98" s="24" t="n">
        <v>16.1642</v>
      </c>
      <c r="R98" s="24" t="n">
        <v>24.6264</v>
      </c>
      <c r="S98" s="24" t="n">
        <v>24.4268</v>
      </c>
      <c r="T98" s="24" t="n">
        <v>1257.2158</v>
      </c>
      <c r="U98" s="24" t="n">
        <v>5.3583</v>
      </c>
      <c r="V98" s="24" t="n">
        <v>8.32</v>
      </c>
      <c r="W98" s="25" t="n">
        <v>2</v>
      </c>
      <c r="X98" s="26" t="n">
        <v>1.4488</v>
      </c>
      <c r="Y98" s="24" t="n">
        <v>1.4329</v>
      </c>
      <c r="Z98" s="24" t="n">
        <v>0.2117</v>
      </c>
      <c r="AA98" s="24" t="n">
        <v>0.1838</v>
      </c>
      <c r="AB98" s="24" t="n">
        <v>0.9433</v>
      </c>
      <c r="AC98" s="24" t="n">
        <v>0.2512</v>
      </c>
      <c r="AD98" s="24" t="n">
        <v>1.7159</v>
      </c>
      <c r="AE98" s="24" t="n">
        <v>1.644</v>
      </c>
      <c r="AF98" s="24" t="n">
        <v>1.0953</v>
      </c>
    </row>
    <row r="99">
      <c r="A99" s="9" t="inlineStr">
        <is>
          <t>MAC</t>
        </is>
      </c>
      <c r="B99" s="9" t="inlineStr">
        <is>
          <t>Macao SAR, China</t>
        </is>
      </c>
      <c r="C99" s="9" t="inlineStr">
        <is>
          <t>AE</t>
        </is>
      </c>
      <c r="D99" s="23" t="n">
        <v>0.055</v>
      </c>
      <c r="E99" s="24" t="n">
        <v>59.385</v>
      </c>
      <c r="F99" s="24" t="n">
        <v>0.7473</v>
      </c>
      <c r="G99" s="24" t="n">
        <v>0.9082</v>
      </c>
      <c r="H99" s="24" t="n">
        <v>0.161</v>
      </c>
      <c r="I99" s="24" t="n">
        <v>-0.2111</v>
      </c>
      <c r="J99" s="24" t="n">
        <v>-0.209</v>
      </c>
      <c r="K99" s="24" t="n">
        <v>-0.209</v>
      </c>
      <c r="L99" s="24" t="n">
        <v>2.9484</v>
      </c>
      <c r="M99" s="24" t="n">
        <v>1.7475</v>
      </c>
      <c r="N99" s="24" t="n">
        <v>0.1877</v>
      </c>
      <c r="O99" s="24" t="n">
        <v>22.8362</v>
      </c>
      <c r="P99" s="24" t="n">
        <v>1.662</v>
      </c>
      <c r="Q99" s="24" t="n">
        <v>-4.2364</v>
      </c>
      <c r="R99" s="24" t="n">
        <v>-3.9106</v>
      </c>
      <c r="S99" s="24" t="n">
        <v>-3.9106</v>
      </c>
      <c r="T99" s="24" t="n">
        <v>55.5878</v>
      </c>
      <c r="U99" s="24" t="n">
        <v>2.5256</v>
      </c>
      <c r="V99" s="24" t="n">
        <v>2.426</v>
      </c>
      <c r="W99" s="25" t="n">
        <v>1</v>
      </c>
      <c r="X99" s="26" t="n">
        <v>0.7514999999999999</v>
      </c>
      <c r="Y99" s="24" t="n">
        <v>0.2031</v>
      </c>
      <c r="Z99" s="24" t="n">
        <v>0.3426</v>
      </c>
      <c r="AA99" s="24" t="n">
        <v>0.091</v>
      </c>
      <c r="AB99" s="24" t="n">
        <v>0.039</v>
      </c>
      <c r="AC99" s="24" t="n">
        <v>0.2326</v>
      </c>
      <c r="AD99" s="24" t="n">
        <v>0.2148</v>
      </c>
      <c r="AE99" s="24" t="n">
        <v>0.0358</v>
      </c>
      <c r="AF99" s="24" t="n">
        <v>0.3509</v>
      </c>
    </row>
    <row r="100">
      <c r="A100" s="9" t="inlineStr">
        <is>
          <t>TUN</t>
        </is>
      </c>
      <c r="B100" s="9" t="inlineStr">
        <is>
          <t>Tunisia</t>
        </is>
      </c>
      <c r="C100" s="9" t="inlineStr">
        <is>
          <t>EMDC</t>
        </is>
      </c>
      <c r="D100" s="23" t="n">
        <v>0.1112</v>
      </c>
      <c r="E100" s="24" t="n">
        <v>59.1835</v>
      </c>
      <c r="F100" s="24" t="n">
        <v>0.6844</v>
      </c>
      <c r="G100" s="24" t="n">
        <v>2.8301</v>
      </c>
      <c r="H100" s="24" t="n">
        <v>2.1456</v>
      </c>
      <c r="I100" s="24" t="n">
        <v>0.6279</v>
      </c>
      <c r="J100" s="24" t="n">
        <v>0.2505</v>
      </c>
      <c r="K100" s="24" t="n">
        <v>0.0951</v>
      </c>
      <c r="L100" s="24" t="n">
        <v>52.4289</v>
      </c>
      <c r="M100" s="24" t="n">
        <v>42.416</v>
      </c>
      <c r="N100" s="24" t="n">
        <v>12.3711</v>
      </c>
      <c r="O100" s="24" t="n">
        <v>117.3274</v>
      </c>
      <c r="P100" s="24" t="n">
        <v>94.4353</v>
      </c>
      <c r="Q100" s="24" t="n">
        <v>6.4024</v>
      </c>
      <c r="R100" s="24" t="n">
        <v>-0.251</v>
      </c>
      <c r="S100" s="24" t="n">
        <v>-5.6098</v>
      </c>
      <c r="T100" s="24" t="n">
        <v>659.1305</v>
      </c>
      <c r="U100" s="24" t="n">
        <v>27.6945</v>
      </c>
      <c r="V100" s="24" t="n">
        <v>36.569</v>
      </c>
      <c r="W100" s="25" t="n">
        <v>2</v>
      </c>
      <c r="X100" s="26" t="n">
        <v>0.6385</v>
      </c>
      <c r="Y100" s="24" t="n">
        <v>0.6425999999999999</v>
      </c>
      <c r="Z100" s="24" t="n">
        <v>0.4967</v>
      </c>
      <c r="AA100" s="24" t="n">
        <v>0.44</v>
      </c>
      <c r="AB100" s="24" t="n">
        <v>0.9221</v>
      </c>
      <c r="AC100" s="24" t="n">
        <v>0.3286</v>
      </c>
      <c r="AD100" s="24" t="n">
        <v>0.9193</v>
      </c>
      <c r="AE100" s="24" t="n">
        <v>0.7045</v>
      </c>
      <c r="AF100" s="24" t="n">
        <v>1.4141</v>
      </c>
    </row>
    <row r="101">
      <c r="A101" s="9" t="inlineStr">
        <is>
          <t>KHM</t>
        </is>
      </c>
      <c r="B101" s="9" t="inlineStr">
        <is>
          <t>Cambodia</t>
        </is>
      </c>
      <c r="C101" s="9" t="inlineStr">
        <is>
          <t>EMDC</t>
        </is>
      </c>
      <c r="D101" s="23" t="n">
        <v>0.1</v>
      </c>
      <c r="E101" s="24" t="n">
        <v>58.9502</v>
      </c>
      <c r="F101" s="24" t="n">
        <v>0.631</v>
      </c>
      <c r="G101" s="24" t="n">
        <v>3.5346</v>
      </c>
      <c r="H101" s="24" t="n">
        <v>2.9036</v>
      </c>
      <c r="I101" s="24" t="n">
        <v>2.0862</v>
      </c>
      <c r="J101" s="24" t="n">
        <v>1.9574</v>
      </c>
      <c r="K101" s="24" t="n">
        <v>1.8972</v>
      </c>
      <c r="L101" s="24" t="n">
        <v>87.343</v>
      </c>
      <c r="M101" s="24" t="n">
        <v>42.2057</v>
      </c>
      <c r="N101" s="24" t="n">
        <v>17.3117</v>
      </c>
      <c r="O101" s="24" t="n">
        <v>105.7679</v>
      </c>
      <c r="P101" s="24" t="n">
        <v>85.70099999999999</v>
      </c>
      <c r="Q101" s="24" t="n">
        <v>13.7316</v>
      </c>
      <c r="R101" s="24" t="n">
        <v>16.1923</v>
      </c>
      <c r="S101" s="24" t="n">
        <v>13.9857</v>
      </c>
      <c r="T101" s="24" t="n">
        <v>1423.2976</v>
      </c>
      <c r="U101" s="24" t="n">
        <v>19.4944</v>
      </c>
      <c r="V101" s="24" t="n">
        <v>19.274</v>
      </c>
      <c r="W101" s="25" t="n">
        <v>2</v>
      </c>
      <c r="X101" s="26" t="n">
        <v>1.0461</v>
      </c>
      <c r="Y101" s="24" t="n">
        <v>1.3548</v>
      </c>
      <c r="Z101" s="24" t="n">
        <v>0.4687</v>
      </c>
      <c r="AA101" s="24" t="n">
        <v>0.3414</v>
      </c>
      <c r="AB101" s="24" t="n">
        <v>0.9575</v>
      </c>
      <c r="AC101" s="24" t="n">
        <v>0.4122</v>
      </c>
      <c r="AD101" s="24" t="n">
        <v>1.642</v>
      </c>
      <c r="AE101" s="24" t="n">
        <v>1.5648</v>
      </c>
      <c r="AF101" s="24" t="n">
        <v>1.4238</v>
      </c>
    </row>
    <row r="102">
      <c r="A102" s="9" t="inlineStr">
        <is>
          <t>PRY</t>
        </is>
      </c>
      <c r="B102" s="9" t="inlineStr">
        <is>
          <t>Paraguay</t>
        </is>
      </c>
      <c r="C102" s="9" t="inlineStr">
        <is>
          <t>EMDC</t>
        </is>
      </c>
      <c r="D102" s="23" t="n">
        <v>0.105</v>
      </c>
      <c r="E102" s="24" t="n">
        <v>57.7768</v>
      </c>
      <c r="F102" s="24" t="n">
        <v>0.2767</v>
      </c>
      <c r="G102" s="24" t="n">
        <v>3.6715</v>
      </c>
      <c r="H102" s="24" t="n">
        <v>3.3948</v>
      </c>
      <c r="I102" s="24" t="n">
        <v>2.6653</v>
      </c>
      <c r="J102" s="24" t="n">
        <v>2.5578</v>
      </c>
      <c r="K102" s="24" t="n">
        <v>2.53</v>
      </c>
      <c r="L102" s="24" t="n">
        <v>102.7212</v>
      </c>
      <c r="M102" s="24" t="n">
        <v>44.5262</v>
      </c>
      <c r="N102" s="24" t="n">
        <v>20.7622</v>
      </c>
      <c r="O102" s="24" t="n">
        <v>116.6639</v>
      </c>
      <c r="P102" s="24" t="n">
        <v>106.6145</v>
      </c>
      <c r="Q102" s="24" t="n">
        <v>18.209</v>
      </c>
      <c r="R102" s="24" t="n">
        <v>24.9183</v>
      </c>
      <c r="S102" s="24" t="n">
        <v>23.8063</v>
      </c>
      <c r="T102" s="24" t="n">
        <v>1665.136</v>
      </c>
      <c r="U102" s="24" t="n">
        <v>15.5958</v>
      </c>
      <c r="V102" s="24" t="n">
        <v>19.121</v>
      </c>
      <c r="W102" s="25" t="n">
        <v>1</v>
      </c>
      <c r="X102" s="26" t="n">
        <v>0.2633</v>
      </c>
      <c r="Y102" s="24" t="n">
        <v>1.5223</v>
      </c>
      <c r="Z102" s="24" t="n">
        <v>0.0386</v>
      </c>
      <c r="AA102" s="24" t="n">
        <v>0.0397</v>
      </c>
      <c r="AB102" s="24" t="n">
        <v>1.563</v>
      </c>
      <c r="AC102" s="24" t="n">
        <v>0.5079</v>
      </c>
      <c r="AD102" s="24" t="n">
        <v>1.9912</v>
      </c>
      <c r="AE102" s="24" t="n">
        <v>1.8959</v>
      </c>
      <c r="AF102" s="24" t="n">
        <v>1.6417</v>
      </c>
    </row>
    <row r="103">
      <c r="A103" s="9" t="inlineStr">
        <is>
          <t>GUY</t>
        </is>
      </c>
      <c r="B103" s="9" t="inlineStr">
        <is>
          <t>Guyana</t>
        </is>
      </c>
      <c r="C103" s="9" t="inlineStr">
        <is>
          <t>EMDC</t>
        </is>
      </c>
      <c r="D103" s="23" t="n">
        <v>0.105</v>
      </c>
      <c r="E103" s="24" t="n">
        <v>57.3433</v>
      </c>
      <c r="F103" s="24" t="n">
        <v>0.3349</v>
      </c>
      <c r="G103" s="24" t="n">
        <v>1.4334</v>
      </c>
      <c r="H103" s="24" t="n">
        <v>1.0985</v>
      </c>
      <c r="I103" s="24" t="n">
        <v>0.7432</v>
      </c>
      <c r="J103" s="24" t="n">
        <v>0.6808</v>
      </c>
      <c r="K103" s="24" t="n">
        <v>0.6657</v>
      </c>
      <c r="L103" s="24" t="n">
        <v>24.9199</v>
      </c>
      <c r="M103" s="24" t="n">
        <v>10.4752</v>
      </c>
      <c r="N103" s="24" t="n">
        <v>4.0879</v>
      </c>
      <c r="O103" s="24" t="n">
        <v>45.4173</v>
      </c>
      <c r="P103" s="24" t="n">
        <v>33.1694</v>
      </c>
      <c r="Q103" s="24" t="n">
        <v>3.9085</v>
      </c>
      <c r="R103" s="24" t="n">
        <v>3.1806</v>
      </c>
      <c r="S103" s="24" t="n">
        <v>2.2721</v>
      </c>
      <c r="T103" s="24" t="n">
        <v>468.6818</v>
      </c>
      <c r="U103" s="24" t="n">
        <v>4.1542</v>
      </c>
      <c r="V103" s="24" t="n">
        <v>4.054</v>
      </c>
      <c r="W103" s="25" t="n">
        <v>2</v>
      </c>
      <c r="X103" s="26" t="n">
        <v>0.8897</v>
      </c>
      <c r="Y103" s="24" t="n">
        <v>0.451</v>
      </c>
      <c r="Z103" s="24" t="n">
        <v>0.1601</v>
      </c>
      <c r="AA103" s="24" t="n">
        <v>0.1417</v>
      </c>
      <c r="AB103" s="24" t="n">
        <v>0.4285</v>
      </c>
      <c r="AC103" s="24" t="n">
        <v>0.2521</v>
      </c>
      <c r="AD103" s="24" t="n">
        <v>0.5796</v>
      </c>
      <c r="AE103" s="24" t="n">
        <v>0.5192</v>
      </c>
      <c r="AF103" s="24" t="n">
        <v>0.6938</v>
      </c>
    </row>
    <row r="104">
      <c r="A104" s="9" t="inlineStr">
        <is>
          <t>NPL</t>
        </is>
      </c>
      <c r="B104" s="9" t="inlineStr">
        <is>
          <t>Nepal</t>
        </is>
      </c>
      <c r="C104" s="9" t="inlineStr">
        <is>
          <t>EMDC</t>
        </is>
      </c>
      <c r="D104" s="23" t="n">
        <v>0.105</v>
      </c>
      <c r="E104" s="24" t="n">
        <v>52.4868</v>
      </c>
      <c r="F104" s="24" t="n">
        <v>0.3968</v>
      </c>
      <c r="G104" s="24" t="n">
        <v>2.1095</v>
      </c>
      <c r="H104" s="24" t="n">
        <v>1.7126</v>
      </c>
      <c r="I104" s="24" t="n">
        <v>0.8897</v>
      </c>
      <c r="J104" s="24" t="n">
        <v>0.7091</v>
      </c>
      <c r="K104" s="24" t="n">
        <v>0.5323</v>
      </c>
      <c r="L104" s="24" t="n">
        <v>62.9171</v>
      </c>
      <c r="M104" s="24" t="n">
        <v>45.1243</v>
      </c>
      <c r="N104" s="24" t="n">
        <v>21.817</v>
      </c>
      <c r="O104" s="24" t="n">
        <v>75.11879999999999</v>
      </c>
      <c r="P104" s="24" t="n">
        <v>60.5878</v>
      </c>
      <c r="Q104" s="24" t="n">
        <v>7.1513</v>
      </c>
      <c r="R104" s="24" t="n">
        <v>6.6676</v>
      </c>
      <c r="S104" s="24" t="n">
        <v>0.6502</v>
      </c>
      <c r="T104" s="24" t="n">
        <v>723.4143</v>
      </c>
      <c r="U104" s="24" t="n">
        <v>16.2174</v>
      </c>
      <c r="V104" s="24" t="n">
        <v>17.984</v>
      </c>
      <c r="W104" s="25" t="n">
        <v>2</v>
      </c>
      <c r="X104" s="26" t="n">
        <v>0.9493</v>
      </c>
      <c r="Y104" s="24" t="n">
        <v>0.457</v>
      </c>
      <c r="Z104" s="24" t="n">
        <v>0.3189</v>
      </c>
      <c r="AA104" s="24" t="n">
        <v>0.2628</v>
      </c>
      <c r="AB104" s="24" t="n">
        <v>0.729</v>
      </c>
      <c r="AC104" s="24" t="n">
        <v>0.3418</v>
      </c>
      <c r="AD104" s="24" t="n">
        <v>0.6757</v>
      </c>
      <c r="AE104" s="24" t="n">
        <v>0.5933</v>
      </c>
      <c r="AF104" s="24" t="n">
        <v>1.1149</v>
      </c>
    </row>
    <row r="105">
      <c r="A105" s="9" t="inlineStr">
        <is>
          <t>LVA</t>
        </is>
      </c>
      <c r="B105" s="9" t="inlineStr">
        <is>
          <t>Latvia</t>
        </is>
      </c>
      <c r="C105" s="9" t="inlineStr">
        <is>
          <t>AE</t>
        </is>
      </c>
      <c r="D105" s="23" t="n">
        <v>0.1059</v>
      </c>
      <c r="E105" s="24" t="n">
        <v>49.8859</v>
      </c>
      <c r="F105" s="24" t="n">
        <v>0.7272999999999999</v>
      </c>
      <c r="G105" s="24" t="n">
        <v>1.6043</v>
      </c>
      <c r="H105" s="24" t="n">
        <v>0.877</v>
      </c>
      <c r="I105" s="24" t="n">
        <v>0.1176</v>
      </c>
      <c r="J105" s="24" t="n">
        <v>-0.0174</v>
      </c>
      <c r="K105" s="24" t="n">
        <v>-0.0593</v>
      </c>
      <c r="L105" s="24" t="n">
        <v>12.6569</v>
      </c>
      <c r="M105" s="24" t="n">
        <v>8.3474</v>
      </c>
      <c r="N105" s="24" t="n">
        <v>2.2383</v>
      </c>
      <c r="O105" s="24" t="n">
        <v>40.988</v>
      </c>
      <c r="P105" s="24" t="n">
        <v>21.7185</v>
      </c>
      <c r="Q105" s="24" t="n">
        <v>0.6489</v>
      </c>
      <c r="R105" s="24" t="n">
        <v>-2.248</v>
      </c>
      <c r="S105" s="24" t="n">
        <v>-3.4051</v>
      </c>
      <c r="T105" s="24" t="n">
        <v>166.6159</v>
      </c>
      <c r="U105" s="24" t="n">
        <v>6.4723</v>
      </c>
      <c r="V105" s="24" t="n">
        <v>7.301</v>
      </c>
      <c r="W105" s="25" t="n">
        <v>3</v>
      </c>
      <c r="X105" s="26" t="n">
        <v>1.0098</v>
      </c>
      <c r="Y105" s="24" t="n">
        <v>0.1566</v>
      </c>
      <c r="Z105" s="24" t="n">
        <v>0.3036</v>
      </c>
      <c r="AA105" s="24" t="n">
        <v>0.3666</v>
      </c>
      <c r="AB105" s="24" t="n">
        <v>0.2904</v>
      </c>
      <c r="AC105" s="24" t="n">
        <v>0.4871</v>
      </c>
      <c r="AD105" s="24" t="n">
        <v>0.2437</v>
      </c>
      <c r="AE105" s="24" t="n">
        <v>0.1503</v>
      </c>
      <c r="AF105" s="24" t="n">
        <v>1.057</v>
      </c>
    </row>
    <row r="106">
      <c r="A106" s="9" t="inlineStr">
        <is>
          <t>BOL</t>
        </is>
      </c>
      <c r="B106" s="9" t="inlineStr">
        <is>
          <t>Bolivia</t>
        </is>
      </c>
      <c r="C106" s="9" t="inlineStr">
        <is>
          <t>EMDC</t>
        </is>
      </c>
      <c r="D106" s="23" t="n">
        <v>0.105</v>
      </c>
      <c r="E106" s="24" t="n">
        <v>48.7508</v>
      </c>
      <c r="F106" s="24" t="n">
        <v>0.3035</v>
      </c>
      <c r="G106" s="24" t="n">
        <v>5.1182</v>
      </c>
      <c r="H106" s="24" t="n">
        <v>4.8147</v>
      </c>
      <c r="I106" s="24" t="n">
        <v>4.0542</v>
      </c>
      <c r="J106" s="24" t="n">
        <v>3.8763</v>
      </c>
      <c r="K106" s="24" t="n">
        <v>3.8126</v>
      </c>
      <c r="L106" s="24" t="n">
        <v>124.905</v>
      </c>
      <c r="M106" s="24" t="n">
        <v>43.772</v>
      </c>
      <c r="N106" s="24" t="n">
        <v>18.8685</v>
      </c>
      <c r="O106" s="24" t="n">
        <v>145.4722</v>
      </c>
      <c r="P106" s="24" t="n">
        <v>134.1185</v>
      </c>
      <c r="Q106" s="24" t="n">
        <v>27.1799</v>
      </c>
      <c r="R106" s="24" t="n">
        <v>37.8249</v>
      </c>
      <c r="S106" s="24" t="n">
        <v>35.9508</v>
      </c>
      <c r="T106" s="24" t="n">
        <v>2195.7958</v>
      </c>
      <c r="U106" s="24" t="n">
        <v>21.3635</v>
      </c>
      <c r="V106" s="24" t="n">
        <v>22.924</v>
      </c>
      <c r="W106" s="25" t="n">
        <v>3</v>
      </c>
      <c r="X106" s="26" t="n">
        <v>1.0109</v>
      </c>
      <c r="Y106" s="24" t="n">
        <v>2.6282</v>
      </c>
      <c r="Z106" s="24" t="n">
        <v>0.1645</v>
      </c>
      <c r="AA106" s="24" t="n">
        <v>0.2357</v>
      </c>
      <c r="AB106" s="24" t="n">
        <v>1.7246</v>
      </c>
      <c r="AC106" s="24" t="n">
        <v>0.3652</v>
      </c>
      <c r="AD106" s="24" t="n">
        <v>3.1456</v>
      </c>
      <c r="AE106" s="24" t="n">
        <v>3.0816</v>
      </c>
      <c r="AF106" s="24" t="n">
        <v>1.8081</v>
      </c>
    </row>
    <row r="107">
      <c r="A107" s="9" t="inlineStr">
        <is>
          <t>BHR</t>
        </is>
      </c>
      <c r="B107" s="9" t="inlineStr">
        <is>
          <t>Bahrain</t>
        </is>
      </c>
      <c r="C107" s="9" t="inlineStr">
        <is>
          <t>EMDC</t>
        </is>
      </c>
      <c r="D107" s="23" t="n">
        <v>0.105</v>
      </c>
      <c r="E107" s="24" t="n">
        <v>48.16</v>
      </c>
      <c r="F107" s="24" t="n">
        <v>0.5885</v>
      </c>
      <c r="G107" s="24" t="n">
        <v>2.3284</v>
      </c>
      <c r="H107" s="24" t="n">
        <v>1.74</v>
      </c>
      <c r="I107" s="24" t="n">
        <v>0.8121</v>
      </c>
      <c r="J107" s="24" t="n">
        <v>0.5778</v>
      </c>
      <c r="K107" s="24" t="n">
        <v>0.5553</v>
      </c>
      <c r="L107" s="24" t="n">
        <v>74.2976</v>
      </c>
      <c r="M107" s="24" t="n">
        <v>55.9866</v>
      </c>
      <c r="N107" s="24" t="n">
        <v>16.4471</v>
      </c>
      <c r="O107" s="24" t="n">
        <v>75.47020000000001</v>
      </c>
      <c r="P107" s="24" t="n">
        <v>57.3738</v>
      </c>
      <c r="Q107" s="24" t="n">
        <v>8.0383</v>
      </c>
      <c r="R107" s="24" t="n">
        <v>7.8851</v>
      </c>
      <c r="S107" s="24" t="n">
        <v>7.2304</v>
      </c>
      <c r="T107" s="24" t="n">
        <v>892.335</v>
      </c>
      <c r="U107" s="24" t="n">
        <v>34.166</v>
      </c>
      <c r="V107" s="24" t="n">
        <v>39.42</v>
      </c>
      <c r="W107" s="25" t="n">
        <v>2</v>
      </c>
      <c r="X107" s="26" t="n">
        <v>0.301</v>
      </c>
      <c r="Y107" s="24" t="n">
        <v>0.5127</v>
      </c>
      <c r="Z107" s="24" t="n">
        <v>0.2933</v>
      </c>
      <c r="AA107" s="24" t="n">
        <v>0.2728</v>
      </c>
      <c r="AB107" s="24" t="n">
        <v>0.8784</v>
      </c>
      <c r="AC107" s="24" t="n">
        <v>0.3712</v>
      </c>
      <c r="AD107" s="24" t="n">
        <v>0.7763</v>
      </c>
      <c r="AE107" s="24" t="n">
        <v>0.5737</v>
      </c>
      <c r="AF107" s="24" t="n">
        <v>1.2589</v>
      </c>
    </row>
    <row r="108">
      <c r="A108" s="9" t="inlineStr">
        <is>
          <t>GEO</t>
        </is>
      </c>
      <c r="B108" s="9" t="inlineStr">
        <is>
          <t>Georgia</t>
        </is>
      </c>
      <c r="C108" s="9" t="inlineStr">
        <is>
          <t>EMDC</t>
        </is>
      </c>
      <c r="D108" s="23" t="n">
        <v>0.105</v>
      </c>
      <c r="E108" s="24" t="n">
        <v>47.1607</v>
      </c>
      <c r="F108" s="24" t="n">
        <v>0.6516999999999999</v>
      </c>
      <c r="G108" s="24" t="n">
        <v>1.6284</v>
      </c>
      <c r="H108" s="24" t="n">
        <v>0.9767</v>
      </c>
      <c r="I108" s="24" t="n">
        <v>0.278</v>
      </c>
      <c r="J108" s="24" t="n">
        <v>0.1143</v>
      </c>
      <c r="K108" s="24" t="n">
        <v>0.055</v>
      </c>
      <c r="L108" s="24" t="n">
        <v>20.0364</v>
      </c>
      <c r="M108" s="24" t="n">
        <v>16.1694</v>
      </c>
      <c r="N108" s="24" t="n">
        <v>5.2811</v>
      </c>
      <c r="O108" s="24" t="n">
        <v>54.6492</v>
      </c>
      <c r="P108" s="24" t="n">
        <v>33.4092</v>
      </c>
      <c r="Q108" s="24" t="n">
        <v>2.2704</v>
      </c>
      <c r="R108" s="24" t="n">
        <v>-0.626</v>
      </c>
      <c r="S108" s="24" t="n">
        <v>-3.2712</v>
      </c>
      <c r="T108" s="24" t="n">
        <v>225.1746</v>
      </c>
      <c r="U108" s="24" t="n">
        <v>10.559</v>
      </c>
      <c r="V108" s="24" t="n">
        <v>12.73</v>
      </c>
      <c r="W108" s="25" t="n">
        <v>3</v>
      </c>
      <c r="X108" s="26" t="n">
        <v>1.0129</v>
      </c>
      <c r="Y108" s="24" t="n">
        <v>0.2085</v>
      </c>
      <c r="Z108" s="24" t="n">
        <v>0.2995</v>
      </c>
      <c r="AA108" s="24" t="n">
        <v>0.3563</v>
      </c>
      <c r="AB108" s="24" t="n">
        <v>0.4255</v>
      </c>
      <c r="AC108" s="24" t="n">
        <v>0.3386</v>
      </c>
      <c r="AD108" s="24" t="n">
        <v>0.3361</v>
      </c>
      <c r="AE108" s="24" t="n">
        <v>0.2606</v>
      </c>
      <c r="AF108" s="24" t="n">
        <v>0.9928</v>
      </c>
    </row>
    <row r="109">
      <c r="A109" s="9" t="inlineStr">
        <is>
          <t>EST</t>
        </is>
      </c>
      <c r="B109" s="9" t="inlineStr">
        <is>
          <t>Estonia</t>
        </is>
      </c>
      <c r="C109" s="9" t="inlineStr">
        <is>
          <t>AE</t>
        </is>
      </c>
      <c r="D109" s="23" t="n">
        <v>0.0764</v>
      </c>
      <c r="E109" s="24" t="n">
        <v>46.5806</v>
      </c>
      <c r="F109" s="24" t="n">
        <v>0.7398</v>
      </c>
      <c r="G109" s="24" t="n">
        <v>1.4713</v>
      </c>
      <c r="H109" s="24" t="n">
        <v>0.7315</v>
      </c>
      <c r="I109" s="24" t="n">
        <v>0.2214</v>
      </c>
      <c r="J109" s="24" t="n">
        <v>0.1876</v>
      </c>
      <c r="K109" s="24" t="n">
        <v>0.1539</v>
      </c>
      <c r="L109" s="24" t="n">
        <v>13.0008</v>
      </c>
      <c r="M109" s="24" t="n">
        <v>8.2662</v>
      </c>
      <c r="N109" s="24" t="n">
        <v>1.6942</v>
      </c>
      <c r="O109" s="24" t="n">
        <v>37.6011</v>
      </c>
      <c r="P109" s="24" t="n">
        <v>17.7593</v>
      </c>
      <c r="Q109" s="24" t="n">
        <v>2.5245</v>
      </c>
      <c r="R109" s="24" t="n">
        <v>2.3575</v>
      </c>
      <c r="S109" s="24" t="n">
        <v>1.7844</v>
      </c>
      <c r="T109" s="24" t="n">
        <v>164.1443</v>
      </c>
      <c r="U109" s="24" t="n">
        <v>6.1013</v>
      </c>
      <c r="V109" s="24" t="n">
        <v>9.022</v>
      </c>
      <c r="W109" s="25" t="n">
        <v>3</v>
      </c>
      <c r="X109" s="26" t="n">
        <v>1.1146</v>
      </c>
      <c r="Y109" s="24" t="n">
        <v>0.1549</v>
      </c>
      <c r="Z109" s="24" t="n">
        <v>0.2951</v>
      </c>
      <c r="AA109" s="24" t="n">
        <v>0.3258</v>
      </c>
      <c r="AB109" s="24" t="n">
        <v>0.2075</v>
      </c>
      <c r="AC109" s="24" t="n">
        <v>0.4881</v>
      </c>
      <c r="AD109" s="24" t="n">
        <v>0.2171</v>
      </c>
      <c r="AE109" s="24" t="n">
        <v>0.1468</v>
      </c>
      <c r="AF109" s="24" t="n">
        <v>0.9591</v>
      </c>
    </row>
    <row r="110">
      <c r="A110" s="9" t="inlineStr">
        <is>
          <t>HND</t>
        </is>
      </c>
      <c r="B110" s="9" t="inlineStr">
        <is>
          <t>Honduras</t>
        </is>
      </c>
      <c r="C110" s="9" t="inlineStr">
        <is>
          <t>EMDC</t>
        </is>
      </c>
      <c r="D110" s="23" t="n">
        <v>0.0669</v>
      </c>
      <c r="E110" s="24" t="n">
        <v>45.4731</v>
      </c>
      <c r="F110" s="24" t="n">
        <v>0.4218</v>
      </c>
      <c r="G110" s="24" t="n">
        <v>1.5045</v>
      </c>
      <c r="H110" s="24" t="n">
        <v>1.0827</v>
      </c>
      <c r="I110" s="24" t="n">
        <v>0.3817</v>
      </c>
      <c r="J110" s="24" t="n">
        <v>0.3686</v>
      </c>
      <c r="K110" s="24" t="n">
        <v>0.3182</v>
      </c>
      <c r="L110" s="24" t="n">
        <v>34.8154</v>
      </c>
      <c r="M110" s="24" t="n">
        <v>21.2586</v>
      </c>
      <c r="N110" s="24" t="n">
        <v>7.9482</v>
      </c>
      <c r="O110" s="24" t="n">
        <v>48.602</v>
      </c>
      <c r="P110" s="24" t="n">
        <v>34.9144</v>
      </c>
      <c r="Q110" s="24" t="n">
        <v>-2.4177</v>
      </c>
      <c r="R110" s="24" t="n">
        <v>-3.3229</v>
      </c>
      <c r="S110" s="24" t="n">
        <v>-5.1351</v>
      </c>
      <c r="T110" s="24" t="n">
        <v>520.8457</v>
      </c>
      <c r="U110" s="24" t="n">
        <v>12.3352</v>
      </c>
      <c r="V110" s="24" t="n">
        <v>12.467</v>
      </c>
      <c r="W110" s="25" t="n">
        <v>2</v>
      </c>
      <c r="X110" s="26" t="n">
        <v>1.2233</v>
      </c>
      <c r="Y110" s="24" t="n">
        <v>0.3923</v>
      </c>
      <c r="Z110" s="24" t="n">
        <v>0.2697</v>
      </c>
      <c r="AA110" s="24" t="n">
        <v>0.2074</v>
      </c>
      <c r="AB110" s="24" t="n">
        <v>0.3055</v>
      </c>
      <c r="AC110" s="24" t="n">
        <v>0.3296</v>
      </c>
      <c r="AD110" s="24" t="n">
        <v>0.4839</v>
      </c>
      <c r="AE110" s="24" t="n">
        <v>0.4323</v>
      </c>
      <c r="AF110" s="24" t="n">
        <v>0.7508</v>
      </c>
    </row>
    <row r="111">
      <c r="A111" s="9" t="inlineStr">
        <is>
          <t>CYP</t>
        </is>
      </c>
      <c r="B111" s="9" t="inlineStr">
        <is>
          <t>Cyprus</t>
        </is>
      </c>
      <c r="C111" s="9" t="inlineStr">
        <is>
          <t>AE</t>
        </is>
      </c>
      <c r="D111" s="23" t="n">
        <v>0.051</v>
      </c>
      <c r="E111" s="24" t="n">
        <v>44.7016</v>
      </c>
      <c r="F111" s="24" t="n">
        <v>0.7412</v>
      </c>
      <c r="G111" s="24" t="n">
        <v>1.7726</v>
      </c>
      <c r="H111" s="24" t="n">
        <v>1.0314</v>
      </c>
      <c r="I111" s="24" t="n">
        <v>-0.0204</v>
      </c>
      <c r="J111" s="24" t="n">
        <v>0.01</v>
      </c>
      <c r="K111" s="24" t="n">
        <v>-0.0193</v>
      </c>
      <c r="L111" s="24" t="n">
        <v>11.1573</v>
      </c>
      <c r="M111" s="24" t="n">
        <v>8.6463</v>
      </c>
      <c r="N111" s="24" t="n">
        <v>1.5053</v>
      </c>
      <c r="O111" s="24" t="n">
        <v>44.2745</v>
      </c>
      <c r="P111" s="24" t="n">
        <v>24.3287</v>
      </c>
      <c r="Q111" s="24" t="n">
        <v>-0.256</v>
      </c>
      <c r="R111" s="24" t="n">
        <v>0.55</v>
      </c>
      <c r="S111" s="24" t="n">
        <v>-0.1603</v>
      </c>
      <c r="T111" s="24" t="n">
        <v>135.8446</v>
      </c>
      <c r="U111" s="24" t="n">
        <v>9.2562</v>
      </c>
      <c r="V111" s="24" t="n">
        <v>7.125</v>
      </c>
      <c r="W111" s="25" t="n">
        <v>1</v>
      </c>
      <c r="X111" s="26" t="n">
        <v>1.3633</v>
      </c>
      <c r="Y111" s="24" t="n">
        <v>0.0738</v>
      </c>
      <c r="Z111" s="24" t="n">
        <v>0.9853</v>
      </c>
      <c r="AA111" s="24" t="n">
        <v>0.1858</v>
      </c>
      <c r="AB111" s="24" t="n">
        <v>0.0775</v>
      </c>
      <c r="AC111" s="24" t="n">
        <v>0.4502</v>
      </c>
      <c r="AD111" s="24" t="n">
        <v>0.097</v>
      </c>
      <c r="AE111" s="24" t="n">
        <v>0.0371</v>
      </c>
      <c r="AF111" s="24" t="n">
        <v>0.6902</v>
      </c>
    </row>
    <row r="112">
      <c r="A112" s="9" t="inlineStr">
        <is>
          <t>SLV</t>
        </is>
      </c>
      <c r="B112" s="9" t="inlineStr">
        <is>
          <t>El Salvador</t>
        </is>
      </c>
      <c r="C112" s="9" t="inlineStr">
        <is>
          <t>EMDC</t>
        </is>
      </c>
      <c r="D112" s="23" t="n">
        <v>0.048</v>
      </c>
      <c r="E112" s="24" t="n">
        <v>43.3466</v>
      </c>
      <c r="F112" s="24" t="n">
        <v>0.3695</v>
      </c>
      <c r="G112" s="24" t="n">
        <v>1.0501</v>
      </c>
      <c r="H112" s="24" t="n">
        <v>0.6806</v>
      </c>
      <c r="I112" s="24" t="n">
        <v>0.0147</v>
      </c>
      <c r="J112" s="24" t="n">
        <v>0.0392</v>
      </c>
      <c r="K112" s="24" t="n">
        <v>-0.023</v>
      </c>
      <c r="L112" s="24" t="n">
        <v>16.6689</v>
      </c>
      <c r="M112" s="24" t="n">
        <v>12.6441</v>
      </c>
      <c r="N112" s="24" t="n">
        <v>4.905</v>
      </c>
      <c r="O112" s="24" t="n">
        <v>35.769</v>
      </c>
      <c r="P112" s="24" t="n">
        <v>23.6752</v>
      </c>
      <c r="Q112" s="24" t="n">
        <v>-5.8193</v>
      </c>
      <c r="R112" s="24" t="n">
        <v>-3.9831</v>
      </c>
      <c r="S112" s="24" t="n">
        <v>-6.0122</v>
      </c>
      <c r="T112" s="24" t="n">
        <v>211.0857</v>
      </c>
      <c r="U112" s="24" t="n">
        <v>9.402100000000001</v>
      </c>
      <c r="V112" s="24" t="n">
        <v>9.461</v>
      </c>
      <c r="W112" s="25" t="n">
        <v>3</v>
      </c>
      <c r="X112" s="26" t="n">
        <v>0.9933</v>
      </c>
      <c r="Y112" s="24" t="n">
        <v>0.1438</v>
      </c>
      <c r="Z112" s="24" t="n">
        <v>0.1485</v>
      </c>
      <c r="AA112" s="24" t="n">
        <v>0.1959</v>
      </c>
      <c r="AB112" s="24" t="n">
        <v>0.1819</v>
      </c>
      <c r="AC112" s="24" t="n">
        <v>0.38</v>
      </c>
      <c r="AD112" s="24" t="n">
        <v>0.1983</v>
      </c>
      <c r="AE112" s="24" t="n">
        <v>0.1498</v>
      </c>
      <c r="AF112" s="24" t="n">
        <v>0.7032</v>
      </c>
    </row>
    <row r="113">
      <c r="A113" s="9" t="inlineStr">
        <is>
          <t>SEN</t>
        </is>
      </c>
      <c r="B113" s="9" t="inlineStr">
        <is>
          <t>Senegal</t>
        </is>
      </c>
      <c r="C113" s="9" t="inlineStr">
        <is>
          <t>EMDC</t>
        </is>
      </c>
      <c r="D113" s="23" t="n">
        <v>0.0769</v>
      </c>
      <c r="E113" s="24" t="n">
        <v>40.0803</v>
      </c>
      <c r="F113" s="24" t="n">
        <v>0.3221</v>
      </c>
      <c r="G113" s="24" t="n">
        <v>1.1947</v>
      </c>
      <c r="H113" s="24" t="n">
        <v>0.8727</v>
      </c>
      <c r="I113" s="24" t="n">
        <v>0.2882</v>
      </c>
      <c r="J113" s="24" t="n">
        <v>0.2636</v>
      </c>
      <c r="K113" s="24" t="n">
        <v>0.2608</v>
      </c>
      <c r="L113" s="24" t="n">
        <v>37.5914</v>
      </c>
      <c r="M113" s="24" t="n">
        <v>25.5048</v>
      </c>
      <c r="N113" s="24" t="n">
        <v>9.9823</v>
      </c>
      <c r="O113" s="24" t="n">
        <v>39.9562</v>
      </c>
      <c r="P113" s="24" t="n">
        <v>28.764</v>
      </c>
      <c r="Q113" s="24" t="n">
        <v>-3.0736</v>
      </c>
      <c r="R113" s="24" t="n">
        <v>-5.2619</v>
      </c>
      <c r="S113" s="24" t="n">
        <v>-5.3735</v>
      </c>
      <c r="T113" s="24" t="n">
        <v>510.1107</v>
      </c>
      <c r="U113" s="24" t="n">
        <v>12.6457</v>
      </c>
      <c r="V113" s="24" t="n">
        <v>12.667</v>
      </c>
      <c r="W113" s="25" t="n">
        <v>2</v>
      </c>
      <c r="X113" s="26" t="n">
        <v>1.1667</v>
      </c>
      <c r="Y113" s="24" t="n">
        <v>0.3566</v>
      </c>
      <c r="Z113" s="24" t="n">
        <v>0.1619</v>
      </c>
      <c r="AA113" s="24" t="n">
        <v>0.1458</v>
      </c>
      <c r="AB113" s="24" t="n">
        <v>0.3037</v>
      </c>
      <c r="AC113" s="24" t="n">
        <v>0.2267</v>
      </c>
      <c r="AD113" s="24" t="n">
        <v>0.4477</v>
      </c>
      <c r="AE113" s="24" t="n">
        <v>0.3914</v>
      </c>
      <c r="AF113" s="24" t="n">
        <v>0.5851</v>
      </c>
    </row>
    <row r="114">
      <c r="A114" s="9" t="inlineStr">
        <is>
          <t>PNG</t>
        </is>
      </c>
      <c r="B114" s="9" t="inlineStr">
        <is>
          <t>Papua New Guinea</t>
        </is>
      </c>
      <c r="C114" s="9" t="inlineStr">
        <is>
          <t>EMDC</t>
        </is>
      </c>
      <c r="D114" s="23" t="n">
        <v>0.105</v>
      </c>
      <c r="E114" s="24" t="n">
        <v>39.128</v>
      </c>
      <c r="F114" s="24" t="n">
        <v>0.2766</v>
      </c>
      <c r="G114" s="24" t="n">
        <v>2.6415</v>
      </c>
      <c r="H114" s="24" t="n">
        <v>2.3649</v>
      </c>
      <c r="I114" s="24" t="n">
        <v>1.8225</v>
      </c>
      <c r="J114" s="24" t="n">
        <v>1.6951</v>
      </c>
      <c r="K114" s="24" t="n">
        <v>1.6948</v>
      </c>
      <c r="L114" s="24" t="n">
        <v>47.1619</v>
      </c>
      <c r="M114" s="24" t="n">
        <v>12.3098</v>
      </c>
      <c r="N114" s="24" t="n">
        <v>4.023</v>
      </c>
      <c r="O114" s="24" t="n">
        <v>78.6169</v>
      </c>
      <c r="P114" s="24" t="n">
        <v>69.27160000000001</v>
      </c>
      <c r="Q114" s="24" t="n">
        <v>12.4841</v>
      </c>
      <c r="R114" s="24" t="n">
        <v>15.6929</v>
      </c>
      <c r="S114" s="24" t="n">
        <v>15.6812</v>
      </c>
      <c r="T114" s="24" t="n">
        <v>960.2646999999999</v>
      </c>
      <c r="U114" s="24" t="n">
        <v>9.0884</v>
      </c>
      <c r="V114" s="24" t="n">
        <v>4.547</v>
      </c>
      <c r="W114" s="25" t="n">
        <v>2</v>
      </c>
      <c r="X114" s="26" t="n">
        <v>1.0622</v>
      </c>
      <c r="Y114" s="24" t="n">
        <v>1.209</v>
      </c>
      <c r="Z114" s="24" t="n">
        <v>0.2385</v>
      </c>
      <c r="AA114" s="24" t="n">
        <v>0.18</v>
      </c>
      <c r="AB114" s="24" t="n">
        <v>0.7579</v>
      </c>
      <c r="AC114" s="24" t="n">
        <v>0.2561</v>
      </c>
      <c r="AD114" s="24" t="n">
        <v>1.4363</v>
      </c>
      <c r="AE114" s="24" t="n">
        <v>1.3935</v>
      </c>
      <c r="AF114" s="24" t="n">
        <v>0.9667</v>
      </c>
    </row>
    <row r="115">
      <c r="A115" s="9" t="inlineStr">
        <is>
          <t>GIN</t>
        </is>
      </c>
      <c r="B115" s="9" t="inlineStr">
        <is>
          <t>Guinea</t>
        </is>
      </c>
      <c r="C115" s="9" t="inlineStr">
        <is>
          <t>EMDC</t>
        </is>
      </c>
      <c r="D115" s="23" t="n">
        <v>0.105</v>
      </c>
      <c r="E115" s="24" t="n">
        <v>38.1272</v>
      </c>
      <c r="F115" s="24" t="n">
        <v>0.3196</v>
      </c>
      <c r="G115" s="24" t="n">
        <v>1.6757</v>
      </c>
      <c r="H115" s="24" t="n">
        <v>1.3561</v>
      </c>
      <c r="I115" s="24" t="n">
        <v>1.0243</v>
      </c>
      <c r="J115" s="24" t="n">
        <v>0.96</v>
      </c>
      <c r="K115" s="24" t="n">
        <v>0.9598</v>
      </c>
      <c r="L115" s="24" t="n">
        <v>44.1491</v>
      </c>
      <c r="M115" s="24" t="n">
        <v>24.2857</v>
      </c>
      <c r="N115" s="24" t="n">
        <v>12.597</v>
      </c>
      <c r="O115" s="24" t="n">
        <v>53.0514</v>
      </c>
      <c r="P115" s="24" t="n">
        <v>42.3167</v>
      </c>
      <c r="Q115" s="24" t="n">
        <v>6.8849</v>
      </c>
      <c r="R115" s="24" t="n">
        <v>8.6509</v>
      </c>
      <c r="S115" s="24" t="n">
        <v>8.6395</v>
      </c>
      <c r="T115" s="24" t="n">
        <v>622.6950000000001</v>
      </c>
      <c r="U115" s="24" t="n">
        <v>5.0503</v>
      </c>
      <c r="V115" s="24" t="n">
        <v>3.897</v>
      </c>
      <c r="W115" s="25" t="n">
        <v>2</v>
      </c>
      <c r="X115" s="26" t="n">
        <v>0.9923999999999999</v>
      </c>
      <c r="Y115" s="24" t="n">
        <v>0.6565</v>
      </c>
      <c r="Z115" s="24" t="n">
        <v>0.1887</v>
      </c>
      <c r="AA115" s="24" t="n">
        <v>0.1609</v>
      </c>
      <c r="AB115" s="24" t="n">
        <v>0.4828</v>
      </c>
      <c r="AC115" s="24" t="n">
        <v>0.1868</v>
      </c>
      <c r="AD115" s="24" t="n">
        <v>0.8013</v>
      </c>
      <c r="AE115" s="24" t="n">
        <v>0.7422</v>
      </c>
      <c r="AF115" s="24" t="n">
        <v>0.6857</v>
      </c>
    </row>
    <row r="116">
      <c r="A116" s="9" t="inlineStr">
        <is>
          <t>ISL</t>
        </is>
      </c>
      <c r="B116" s="9" t="inlineStr">
        <is>
          <t>Iceland</t>
        </is>
      </c>
      <c r="C116" s="9" t="inlineStr">
        <is>
          <t>AE</t>
        </is>
      </c>
      <c r="D116" s="23" t="n">
        <v>0.055</v>
      </c>
      <c r="E116" s="24" t="n">
        <v>36.8279</v>
      </c>
      <c r="F116" s="24" t="n">
        <v>0.5038</v>
      </c>
      <c r="G116" s="24" t="n">
        <v>1.1526</v>
      </c>
      <c r="H116" s="24" t="n">
        <v>0.6489</v>
      </c>
      <c r="I116" s="24" t="n">
        <v>0.5153</v>
      </c>
      <c r="J116" s="24" t="n">
        <v>0.5182</v>
      </c>
      <c r="K116" s="24" t="n">
        <v>0.5143</v>
      </c>
      <c r="L116" s="24" t="n">
        <v>13.8286</v>
      </c>
      <c r="M116" s="24" t="n">
        <v>3.8789</v>
      </c>
      <c r="N116" s="24" t="n">
        <v>0.9325</v>
      </c>
      <c r="O116" s="24" t="n">
        <v>30.7395</v>
      </c>
      <c r="P116" s="24" t="n">
        <v>17.2174</v>
      </c>
      <c r="Q116" s="24" t="n">
        <v>6.2128</v>
      </c>
      <c r="R116" s="24" t="n">
        <v>5.9243</v>
      </c>
      <c r="S116" s="24" t="n">
        <v>5.8285</v>
      </c>
      <c r="T116" s="24" t="n">
        <v>263.4922</v>
      </c>
      <c r="U116" s="24" t="n">
        <v>1.7503</v>
      </c>
      <c r="V116" s="24" t="n">
        <v>3.726</v>
      </c>
      <c r="W116" s="25" t="n">
        <v>3</v>
      </c>
      <c r="X116" s="26" t="n">
        <v>1.0312</v>
      </c>
      <c r="Y116" s="24" t="n">
        <v>0.2769</v>
      </c>
      <c r="Z116" s="24" t="n">
        <v>0.0941</v>
      </c>
      <c r="AA116" s="24" t="n">
        <v>0.1744</v>
      </c>
      <c r="AB116" s="24" t="n">
        <v>0.2913</v>
      </c>
      <c r="AC116" s="24" t="n">
        <v>0.316</v>
      </c>
      <c r="AD116" s="24" t="n">
        <v>0.3642</v>
      </c>
      <c r="AE116" s="24" t="n">
        <v>0.3159</v>
      </c>
      <c r="AF116" s="24" t="n">
        <v>0.6943</v>
      </c>
    </row>
    <row r="117">
      <c r="A117" s="9" t="inlineStr">
        <is>
          <t>MLI</t>
        </is>
      </c>
      <c r="B117" s="9" t="inlineStr">
        <is>
          <t>Mali</t>
        </is>
      </c>
      <c r="C117" s="9" t="inlineStr">
        <is>
          <t>EMDC</t>
        </is>
      </c>
      <c r="D117" s="23" t="n">
        <v>0.105</v>
      </c>
      <c r="E117" s="24" t="n">
        <v>36.4633</v>
      </c>
      <c r="F117" s="24" t="n">
        <v>0.2794</v>
      </c>
      <c r="G117" s="24" t="n">
        <v>1.4784</v>
      </c>
      <c r="H117" s="24" t="n">
        <v>1.199</v>
      </c>
      <c r="I117" s="24" t="n">
        <v>0.6823</v>
      </c>
      <c r="J117" s="24" t="n">
        <v>0.5911999999999999</v>
      </c>
      <c r="K117" s="24" t="n">
        <v>0.589</v>
      </c>
      <c r="L117" s="24" t="n">
        <v>57.2877</v>
      </c>
      <c r="M117" s="24" t="n">
        <v>42.704</v>
      </c>
      <c r="N117" s="24" t="n">
        <v>20.5056</v>
      </c>
      <c r="O117" s="24" t="n">
        <v>55.7112</v>
      </c>
      <c r="P117" s="24" t="n">
        <v>46.3954</v>
      </c>
      <c r="Q117" s="24" t="n">
        <v>3.6571</v>
      </c>
      <c r="R117" s="24" t="n">
        <v>1.8648</v>
      </c>
      <c r="S117" s="24" t="n">
        <v>1.7534</v>
      </c>
      <c r="T117" s="24" t="n">
        <v>654.3031</v>
      </c>
      <c r="U117" s="24" t="n">
        <v>11.1848</v>
      </c>
      <c r="V117" s="24" t="n">
        <v>6.997</v>
      </c>
      <c r="W117" s="25" t="n">
        <v>2</v>
      </c>
      <c r="X117" s="26" t="n">
        <v>0.5232</v>
      </c>
      <c r="Y117" s="24" t="n">
        <v>0.4215</v>
      </c>
      <c r="Z117" s="24" t="n">
        <v>0.0796</v>
      </c>
      <c r="AA117" s="24" t="n">
        <v>0.1228</v>
      </c>
      <c r="AB117" s="24" t="n">
        <v>0.6823</v>
      </c>
      <c r="AC117" s="24" t="n">
        <v>0.1722</v>
      </c>
      <c r="AD117" s="24" t="n">
        <v>0.6262</v>
      </c>
      <c r="AE117" s="24" t="n">
        <v>0.5165999999999999</v>
      </c>
      <c r="AF117" s="24" t="n">
        <v>0.7726</v>
      </c>
    </row>
    <row r="118">
      <c r="A118" s="9" t="inlineStr">
        <is>
          <t>ARM</t>
        </is>
      </c>
      <c r="B118" s="9" t="inlineStr">
        <is>
          <t>Armenia</t>
        </is>
      </c>
      <c r="C118" s="9" t="inlineStr">
        <is>
          <t>EMDC</t>
        </is>
      </c>
      <c r="D118" s="23" t="n">
        <v>0.105</v>
      </c>
      <c r="E118" s="24" t="n">
        <v>35.4497</v>
      </c>
      <c r="F118" s="24" t="n">
        <v>0.4658</v>
      </c>
      <c r="G118" s="24" t="n">
        <v>1.1508</v>
      </c>
      <c r="H118" s="24" t="n">
        <v>0.6850000000000001</v>
      </c>
      <c r="I118" s="24" t="n">
        <v>0.2639</v>
      </c>
      <c r="J118" s="24" t="n">
        <v>0.1421</v>
      </c>
      <c r="K118" s="24" t="n">
        <v>0.1007</v>
      </c>
      <c r="L118" s="24" t="n">
        <v>10.6328</v>
      </c>
      <c r="M118" s="24" t="n">
        <v>8.496700000000001</v>
      </c>
      <c r="N118" s="24" t="n">
        <v>2.415</v>
      </c>
      <c r="O118" s="24" t="n">
        <v>36.2398</v>
      </c>
      <c r="P118" s="24" t="n">
        <v>23.0253</v>
      </c>
      <c r="Q118" s="24" t="n">
        <v>3.3053</v>
      </c>
      <c r="R118" s="24" t="n">
        <v>2.6804</v>
      </c>
      <c r="S118" s="24" t="n">
        <v>1.1498</v>
      </c>
      <c r="T118" s="24" t="n">
        <v>134.4396</v>
      </c>
      <c r="U118" s="24" t="n">
        <v>6.2495</v>
      </c>
      <c r="V118" s="24" t="n">
        <v>6.321</v>
      </c>
      <c r="W118" s="25" t="n">
        <v>3</v>
      </c>
      <c r="X118" s="26" t="n">
        <v>1.1464</v>
      </c>
      <c r="Y118" s="24" t="n">
        <v>0.09089999999999999</v>
      </c>
      <c r="Z118" s="24" t="n">
        <v>0.2737</v>
      </c>
      <c r="AA118" s="24" t="n">
        <v>0.2802</v>
      </c>
      <c r="AB118" s="24" t="n">
        <v>0.1645</v>
      </c>
      <c r="AC118" s="24" t="n">
        <v>0.3415</v>
      </c>
      <c r="AD118" s="24" t="n">
        <v>0.1402</v>
      </c>
      <c r="AE118" s="24" t="n">
        <v>0.1062</v>
      </c>
      <c r="AF118" s="24" t="n">
        <v>0.7369</v>
      </c>
    </row>
    <row r="119">
      <c r="A119" s="9" t="inlineStr">
        <is>
          <t>LBN</t>
        </is>
      </c>
      <c r="B119" s="9" t="inlineStr">
        <is>
          <t>Lebanon</t>
        </is>
      </c>
      <c r="C119" s="9" t="inlineStr">
        <is>
          <t>EMDC</t>
        </is>
      </c>
      <c r="D119" s="23" t="n">
        <v>0.2342</v>
      </c>
      <c r="E119" s="24" t="n">
        <v>35.3724</v>
      </c>
      <c r="F119" s="24" t="n">
        <v>0.6795</v>
      </c>
      <c r="G119" s="24" t="n">
        <v>2.7017</v>
      </c>
      <c r="H119" s="24" t="n">
        <v>2.0222</v>
      </c>
      <c r="I119" s="24" t="n">
        <v>1.8548</v>
      </c>
      <c r="J119" s="24" t="n">
        <v>0.3051</v>
      </c>
      <c r="K119" s="24" t="n">
        <v>0.3051</v>
      </c>
      <c r="L119" s="24" t="n">
        <v>47.8493</v>
      </c>
      <c r="M119" s="24" t="n">
        <v>41.7412</v>
      </c>
      <c r="N119" s="24" t="n">
        <v>11.7945</v>
      </c>
      <c r="O119" s="24" t="n">
        <v>90.2697</v>
      </c>
      <c r="P119" s="24" t="n">
        <v>69.8313</v>
      </c>
      <c r="Q119" s="24" t="n">
        <v>6.3622</v>
      </c>
      <c r="R119" s="24" t="n">
        <v>-4.442</v>
      </c>
      <c r="S119" s="24" t="n">
        <v>-4.442</v>
      </c>
      <c r="T119" s="24" t="n">
        <v>472.8086</v>
      </c>
      <c r="U119" s="24" t="n">
        <v>35.3072</v>
      </c>
      <c r="V119" s="24" t="n">
        <v>37.724</v>
      </c>
      <c r="W119" s="25" t="n">
        <v>1</v>
      </c>
      <c r="X119" s="26" t="n">
        <v>0.0556</v>
      </c>
      <c r="Y119" s="24" t="n">
        <v>0.6609</v>
      </c>
      <c r="Z119" s="24" t="n">
        <v>0.4721</v>
      </c>
      <c r="AA119" s="24" t="n">
        <v>0.1458</v>
      </c>
      <c r="AB119" s="24" t="n">
        <v>1.0161</v>
      </c>
      <c r="AC119" s="24" t="n">
        <v>0.4067</v>
      </c>
      <c r="AD119" s="24" t="n">
        <v>0.9658</v>
      </c>
      <c r="AE119" s="24" t="n">
        <v>0.6719000000000001</v>
      </c>
      <c r="AF119" s="24" t="n">
        <v>1.2638</v>
      </c>
    </row>
    <row r="120">
      <c r="A120" s="9" t="inlineStr">
        <is>
          <t>BIH</t>
        </is>
      </c>
      <c r="B120" s="9" t="inlineStr">
        <is>
          <t>Bosnia and Herzegovina</t>
        </is>
      </c>
      <c r="C120" s="9" t="inlineStr">
        <is>
          <t>EMDC</t>
        </is>
      </c>
      <c r="D120" s="23" t="n">
        <v>0.1261</v>
      </c>
      <c r="E120" s="24" t="n">
        <v>34.0089</v>
      </c>
      <c r="F120" s="24" t="n">
        <v>0.5818</v>
      </c>
      <c r="G120" s="24" t="n">
        <v>1.3733</v>
      </c>
      <c r="H120" s="24" t="n">
        <v>0.7915</v>
      </c>
      <c r="I120" s="24" t="n">
        <v>0.3863</v>
      </c>
      <c r="J120" s="24" t="n">
        <v>0.2179</v>
      </c>
      <c r="K120" s="24" t="n">
        <v>0.07729999999999999</v>
      </c>
      <c r="L120" s="24" t="n">
        <v>29.7785</v>
      </c>
      <c r="M120" s="24" t="n">
        <v>25.6394</v>
      </c>
      <c r="N120" s="24" t="n">
        <v>5.9701</v>
      </c>
      <c r="O120" s="24" t="n">
        <v>49.4434</v>
      </c>
      <c r="P120" s="24" t="n">
        <v>29.6215</v>
      </c>
      <c r="Q120" s="24" t="n">
        <v>3.2898</v>
      </c>
      <c r="R120" s="24" t="n">
        <v>2.3628</v>
      </c>
      <c r="S120" s="24" t="n">
        <v>-1.407</v>
      </c>
      <c r="T120" s="24" t="n">
        <v>252.1693</v>
      </c>
      <c r="U120" s="24" t="n">
        <v>19.7293</v>
      </c>
      <c r="V120" s="24" t="n">
        <v>23.486</v>
      </c>
      <c r="W120" s="25" t="n">
        <v>3</v>
      </c>
      <c r="X120" s="26" t="n">
        <v>1.0189</v>
      </c>
      <c r="Y120" s="24" t="n">
        <v>0.0672</v>
      </c>
      <c r="Z120" s="24" t="n">
        <v>0.3081</v>
      </c>
      <c r="AA120" s="24" t="n">
        <v>0.3373</v>
      </c>
      <c r="AB120" s="24" t="n">
        <v>0.3352</v>
      </c>
      <c r="AC120" s="24" t="n">
        <v>0.3256</v>
      </c>
      <c r="AD120" s="24" t="n">
        <v>0.1677</v>
      </c>
      <c r="AE120" s="24" t="n">
        <v>0.1249</v>
      </c>
      <c r="AF120" s="24" t="n">
        <v>0.8975</v>
      </c>
    </row>
    <row r="121">
      <c r="A121" s="9" t="inlineStr">
        <is>
          <t>ALB</t>
        </is>
      </c>
      <c r="B121" s="9" t="inlineStr">
        <is>
          <t>Albania</t>
        </is>
      </c>
      <c r="C121" s="9" t="inlineStr">
        <is>
          <t>EMDC</t>
        </is>
      </c>
      <c r="D121" s="23" t="n">
        <v>0.105</v>
      </c>
      <c r="E121" s="24" t="n">
        <v>33.119</v>
      </c>
      <c r="F121" s="24" t="n">
        <v>0.238</v>
      </c>
      <c r="G121" s="24" t="n">
        <v>0.5594</v>
      </c>
      <c r="H121" s="24" t="n">
        <v>0.3214</v>
      </c>
      <c r="I121" s="24" t="n">
        <v>0.101</v>
      </c>
      <c r="J121" s="24" t="n">
        <v>0.0512</v>
      </c>
      <c r="K121" s="24" t="n">
        <v>-0.0051</v>
      </c>
      <c r="L121" s="24" t="n">
        <v>8.387700000000001</v>
      </c>
      <c r="M121" s="24" t="n">
        <v>6.5979</v>
      </c>
      <c r="N121" s="24" t="n">
        <v>2.5874</v>
      </c>
      <c r="O121" s="24" t="n">
        <v>17.8368</v>
      </c>
      <c r="P121" s="24" t="n">
        <v>10.5043</v>
      </c>
      <c r="Q121" s="24" t="n">
        <v>0.6512</v>
      </c>
      <c r="R121" s="24" t="n">
        <v>-0.3028</v>
      </c>
      <c r="S121" s="24" t="n">
        <v>-2.1132</v>
      </c>
      <c r="T121" s="24" t="n">
        <v>92.6499</v>
      </c>
      <c r="U121" s="24" t="n">
        <v>4.1317</v>
      </c>
      <c r="V121" s="24" t="n">
        <v>4.479</v>
      </c>
      <c r="W121" s="25" t="n">
        <v>3</v>
      </c>
      <c r="X121" s="26" t="n">
        <v>1.0202</v>
      </c>
      <c r="Y121" s="24" t="n">
        <v>0.0478</v>
      </c>
      <c r="Z121" s="24" t="n">
        <v>0.0815</v>
      </c>
      <c r="AA121" s="24" t="n">
        <v>0.1147</v>
      </c>
      <c r="AB121" s="24" t="n">
        <v>0.116</v>
      </c>
      <c r="AC121" s="24" t="n">
        <v>0.1994</v>
      </c>
      <c r="AD121" s="24" t="n">
        <v>0.08260000000000001</v>
      </c>
      <c r="AE121" s="24" t="n">
        <v>0.0532</v>
      </c>
      <c r="AF121" s="24" t="n">
        <v>0.3954</v>
      </c>
    </row>
    <row r="122">
      <c r="A122" s="9" t="inlineStr">
        <is>
          <t>MNG</t>
        </is>
      </c>
      <c r="B122" s="9" t="inlineStr">
        <is>
          <t>Mongolia</t>
        </is>
      </c>
      <c r="C122" s="9" t="inlineStr">
        <is>
          <t>EMDC</t>
        </is>
      </c>
      <c r="D122" s="23" t="n">
        <v>0.1016</v>
      </c>
      <c r="E122" s="24" t="n">
        <v>32.5726</v>
      </c>
      <c r="F122" s="24" t="n">
        <v>0.3215</v>
      </c>
      <c r="G122" s="24" t="n">
        <v>2.6838</v>
      </c>
      <c r="H122" s="24" t="n">
        <v>2.3623</v>
      </c>
      <c r="I122" s="24" t="n">
        <v>1.8094</v>
      </c>
      <c r="J122" s="24" t="n">
        <v>1.707</v>
      </c>
      <c r="K122" s="24" t="n">
        <v>1.5045</v>
      </c>
      <c r="L122" s="24" t="n">
        <v>90.8373</v>
      </c>
      <c r="M122" s="24" t="n">
        <v>52.4063</v>
      </c>
      <c r="N122" s="24" t="n">
        <v>19.6642</v>
      </c>
      <c r="O122" s="24" t="n">
        <v>84.1125</v>
      </c>
      <c r="P122" s="24" t="n">
        <v>73.7868</v>
      </c>
      <c r="Q122" s="24" t="n">
        <v>13.597</v>
      </c>
      <c r="R122" s="24" t="n">
        <v>18.0542</v>
      </c>
      <c r="S122" s="24" t="n">
        <v>11.9141</v>
      </c>
      <c r="T122" s="24" t="n">
        <v>1396.641</v>
      </c>
      <c r="U122" s="24" t="n">
        <v>20.436</v>
      </c>
      <c r="V122" s="24" t="n">
        <v>24.876</v>
      </c>
      <c r="W122" s="25" t="n">
        <v>2</v>
      </c>
      <c r="X122" s="26" t="n">
        <v>0.4264</v>
      </c>
      <c r="Y122" s="24" t="n">
        <v>1.1382</v>
      </c>
      <c r="Z122" s="24" t="n">
        <v>0.1058</v>
      </c>
      <c r="AA122" s="24" t="n">
        <v>0.1226</v>
      </c>
      <c r="AB122" s="24" t="n">
        <v>1.0648</v>
      </c>
      <c r="AC122" s="24" t="n">
        <v>0.2523</v>
      </c>
      <c r="AD122" s="24" t="n">
        <v>1.4577</v>
      </c>
      <c r="AE122" s="24" t="n">
        <v>1.3359</v>
      </c>
      <c r="AF122" s="24" t="n">
        <v>1.1204</v>
      </c>
    </row>
    <row r="123">
      <c r="A123" s="9" t="inlineStr">
        <is>
          <t>ZMB</t>
        </is>
      </c>
      <c r="B123" s="9" t="inlineStr">
        <is>
          <t>Zambia</t>
        </is>
      </c>
      <c r="C123" s="9" t="inlineStr">
        <is>
          <t>EMDC</t>
        </is>
      </c>
      <c r="D123" s="23" t="n">
        <v>0.038</v>
      </c>
      <c r="E123" s="24" t="n">
        <v>32.3214</v>
      </c>
      <c r="F123" s="24" t="n">
        <v>0.5173</v>
      </c>
      <c r="G123" s="24" t="n">
        <v>3.8157</v>
      </c>
      <c r="H123" s="24" t="n">
        <v>3.2984</v>
      </c>
      <c r="I123" s="24" t="n">
        <v>2.7531</v>
      </c>
      <c r="J123" s="24" t="n">
        <v>2.7925</v>
      </c>
      <c r="K123" s="24" t="n">
        <v>2.7916</v>
      </c>
      <c r="L123" s="24" t="n">
        <v>84.4034</v>
      </c>
      <c r="M123" s="24" t="n">
        <v>26.6825</v>
      </c>
      <c r="N123" s="24" t="n">
        <v>11.7583</v>
      </c>
      <c r="O123" s="24" t="n">
        <v>106.5268</v>
      </c>
      <c r="P123" s="24" t="n">
        <v>89.82689999999999</v>
      </c>
      <c r="Q123" s="24" t="n">
        <v>37.0487</v>
      </c>
      <c r="R123" s="24" t="n">
        <v>29.9285</v>
      </c>
      <c r="S123" s="24" t="n">
        <v>29.8953</v>
      </c>
      <c r="T123" s="24" t="n">
        <v>1569.6344</v>
      </c>
      <c r="U123" s="24" t="n">
        <v>10.1121</v>
      </c>
      <c r="V123" s="24" t="n">
        <v>11.83</v>
      </c>
      <c r="W123" s="25" t="n">
        <v>2</v>
      </c>
      <c r="X123" s="26" t="n">
        <v>0.577</v>
      </c>
      <c r="Y123" s="24" t="n">
        <v>2.0343</v>
      </c>
      <c r="Z123" s="24" t="n">
        <v>0.1856</v>
      </c>
      <c r="AA123" s="24" t="n">
        <v>0.1867</v>
      </c>
      <c r="AB123" s="24" t="n">
        <v>1.0918</v>
      </c>
      <c r="AC123" s="24" t="n">
        <v>0.3173</v>
      </c>
      <c r="AD123" s="24" t="n">
        <v>2.3618</v>
      </c>
      <c r="AE123" s="24" t="n">
        <v>2.191</v>
      </c>
      <c r="AF123" s="24" t="n">
        <v>1.2683</v>
      </c>
    </row>
    <row r="124">
      <c r="A124" s="9" t="inlineStr">
        <is>
          <t>SDN</t>
        </is>
      </c>
      <c r="B124" s="9" t="inlineStr">
        <is>
          <t>Sudan</t>
        </is>
      </c>
      <c r="C124" s="9" t="inlineStr">
        <is>
          <t>EMDC</t>
        </is>
      </c>
      <c r="D124" s="23" t="n">
        <v>0.105</v>
      </c>
      <c r="E124" s="24" t="n">
        <v>31.9176</v>
      </c>
      <c r="F124" s="24" t="n">
        <v>0.4652</v>
      </c>
      <c r="G124" s="24" t="n">
        <v>4.1552</v>
      </c>
      <c r="H124" s="24" t="n">
        <v>3.69</v>
      </c>
      <c r="I124" s="24" t="n">
        <v>2.8676</v>
      </c>
      <c r="J124" s="24" t="n">
        <v>2.7201</v>
      </c>
      <c r="K124" s="24" t="n">
        <v>2.6933</v>
      </c>
      <c r="L124" s="24" t="n">
        <v>162.0411</v>
      </c>
      <c r="M124" s="24" t="n">
        <v>103.403</v>
      </c>
      <c r="N124" s="24" t="n">
        <v>54.0676</v>
      </c>
      <c r="O124" s="24" t="n">
        <v>132.2248</v>
      </c>
      <c r="P124" s="24" t="n">
        <v>118.114</v>
      </c>
      <c r="Q124" s="24" t="n">
        <v>20.1552</v>
      </c>
      <c r="R124" s="24" t="n">
        <v>27.5824</v>
      </c>
      <c r="S124" s="24" t="n">
        <v>26.5783</v>
      </c>
      <c r="T124" s="24" t="n">
        <v>1921.9952</v>
      </c>
      <c r="U124" s="24" t="n">
        <v>20.4582</v>
      </c>
      <c r="V124" s="24" t="n">
        <v>21.145</v>
      </c>
      <c r="W124" s="25" t="n">
        <v>1</v>
      </c>
      <c r="X124" s="26" t="n">
        <v>1</v>
      </c>
      <c r="Y124" s="24" t="n">
        <v>1.2544</v>
      </c>
      <c r="Z124" s="24" t="n">
        <v>0.6114000000000001</v>
      </c>
      <c r="AA124" s="24" t="n">
        <v>0.1468</v>
      </c>
      <c r="AB124" s="24" t="n">
        <v>1.4845</v>
      </c>
      <c r="AC124" s="24" t="n">
        <v>0.6581</v>
      </c>
      <c r="AD124" s="24" t="n">
        <v>1.6998</v>
      </c>
      <c r="AE124" s="24" t="n">
        <v>1.648</v>
      </c>
      <c r="AF124" s="24" t="n">
        <v>1.844</v>
      </c>
    </row>
    <row r="125">
      <c r="A125" s="9" t="inlineStr">
        <is>
          <t>BEN</t>
        </is>
      </c>
      <c r="B125" s="9" t="inlineStr">
        <is>
          <t>Benin</t>
        </is>
      </c>
      <c r="C125" s="9" t="inlineStr">
        <is>
          <t>EMDC</t>
        </is>
      </c>
      <c r="D125" s="23" t="n">
        <v>0.105</v>
      </c>
      <c r="E125" s="24" t="n">
        <v>31.8235</v>
      </c>
      <c r="F125" s="24" t="n">
        <v>0.2381</v>
      </c>
      <c r="G125" s="24" t="n">
        <v>1.2321</v>
      </c>
      <c r="H125" s="24" t="n">
        <v>0.9939</v>
      </c>
      <c r="I125" s="24" t="n">
        <v>0.7062</v>
      </c>
      <c r="J125" s="24" t="n">
        <v>0.665</v>
      </c>
      <c r="K125" s="24" t="n">
        <v>0.6634</v>
      </c>
      <c r="L125" s="24" t="n">
        <v>32.7098</v>
      </c>
      <c r="M125" s="24" t="n">
        <v>17.8107</v>
      </c>
      <c r="N125" s="24" t="n">
        <v>7.3416</v>
      </c>
      <c r="O125" s="24" t="n">
        <v>38.0812</v>
      </c>
      <c r="P125" s="24" t="n">
        <v>30.1997</v>
      </c>
      <c r="Q125" s="24" t="n">
        <v>2.7659</v>
      </c>
      <c r="R125" s="24" t="n">
        <v>1.9573</v>
      </c>
      <c r="S125" s="24" t="n">
        <v>1.8776</v>
      </c>
      <c r="T125" s="24" t="n">
        <v>494.5746</v>
      </c>
      <c r="U125" s="24" t="n">
        <v>6.3237</v>
      </c>
      <c r="V125" s="24" t="n">
        <v>9.722</v>
      </c>
      <c r="W125" s="25" t="n">
        <v>2</v>
      </c>
      <c r="X125" s="26" t="n">
        <v>2.0782</v>
      </c>
      <c r="Y125" s="24" t="n">
        <v>0.5291</v>
      </c>
      <c r="Z125" s="24" t="n">
        <v>0.09080000000000001</v>
      </c>
      <c r="AA125" s="24" t="n">
        <v>0.1013</v>
      </c>
      <c r="AB125" s="24" t="n">
        <v>0.3746</v>
      </c>
      <c r="AC125" s="24" t="n">
        <v>0.1363</v>
      </c>
      <c r="AD125" s="24" t="n">
        <v>0.6414</v>
      </c>
      <c r="AE125" s="24" t="n">
        <v>0.5921999999999999</v>
      </c>
      <c r="AF125" s="24" t="n">
        <v>0.4998</v>
      </c>
    </row>
    <row r="126">
      <c r="A126" s="9" t="inlineStr">
        <is>
          <t>MLT</t>
        </is>
      </c>
      <c r="B126" s="9" t="inlineStr">
        <is>
          <t>Malta</t>
        </is>
      </c>
      <c r="C126" s="9" t="inlineStr">
        <is>
          <t>AE</t>
        </is>
      </c>
      <c r="D126" s="23" t="n">
        <v>0.055</v>
      </c>
      <c r="E126" s="24" t="n">
        <v>30.7411</v>
      </c>
      <c r="F126" s="24" t="n">
        <v>0.3792</v>
      </c>
      <c r="G126" s="24" t="n">
        <v>0.5983000000000001</v>
      </c>
      <c r="H126" s="24" t="n">
        <v>0.2191</v>
      </c>
      <c r="I126" s="24" t="n">
        <v>-0.06909999999999999</v>
      </c>
      <c r="J126" s="24" t="n">
        <v>-0.06560000000000001</v>
      </c>
      <c r="K126" s="24" t="n">
        <v>-0.068</v>
      </c>
      <c r="L126" s="24" t="n">
        <v>2.7708</v>
      </c>
      <c r="M126" s="24" t="n">
        <v>1.9011</v>
      </c>
      <c r="N126" s="24" t="n">
        <v>0.3861</v>
      </c>
      <c r="O126" s="24" t="n">
        <v>14.3675</v>
      </c>
      <c r="P126" s="24" t="n">
        <v>3.8534</v>
      </c>
      <c r="Q126" s="24" t="n">
        <v>-1.4659</v>
      </c>
      <c r="R126" s="24" t="n">
        <v>-1.2887</v>
      </c>
      <c r="S126" s="24" t="n">
        <v>-1.3528</v>
      </c>
      <c r="T126" s="24" t="n">
        <v>39.8179</v>
      </c>
      <c r="U126" s="24" t="n">
        <v>2.105</v>
      </c>
      <c r="V126" s="24" t="n">
        <v>1.775</v>
      </c>
      <c r="W126" s="25" t="n">
        <v>1</v>
      </c>
      <c r="X126" s="26" t="n">
        <v>1.0326</v>
      </c>
      <c r="Y126" s="24" t="n">
        <v>0.0442</v>
      </c>
      <c r="Z126" s="24" t="n">
        <v>0.3138</v>
      </c>
      <c r="AA126" s="24" t="n">
        <v>0.0703</v>
      </c>
      <c r="AB126" s="24" t="n">
        <v>0.0092</v>
      </c>
      <c r="AC126" s="24" t="n">
        <v>0.1608</v>
      </c>
      <c r="AD126" s="24" t="n">
        <v>0.047</v>
      </c>
      <c r="AE126" s="24" t="n">
        <v>0.007</v>
      </c>
      <c r="AF126" s="24" t="n">
        <v>0.2376</v>
      </c>
    </row>
    <row r="127">
      <c r="A127" s="9" t="inlineStr">
        <is>
          <t>BFA</t>
        </is>
      </c>
      <c r="B127" s="9" t="inlineStr">
        <is>
          <t>Burkina Faso</t>
        </is>
      </c>
      <c r="C127" s="9" t="inlineStr">
        <is>
          <t>EMDC</t>
        </is>
      </c>
      <c r="D127" s="23" t="n">
        <v>0.07920000000000001</v>
      </c>
      <c r="E127" s="24" t="n">
        <v>30.7109</v>
      </c>
      <c r="F127" s="24" t="n">
        <v>0.2345</v>
      </c>
      <c r="G127" s="24" t="n">
        <v>2.222</v>
      </c>
      <c r="H127" s="24" t="n">
        <v>1.9874</v>
      </c>
      <c r="I127" s="24" t="n">
        <v>1.5597</v>
      </c>
      <c r="J127" s="24" t="n">
        <v>1.5333</v>
      </c>
      <c r="K127" s="24" t="n">
        <v>1.5291</v>
      </c>
      <c r="L127" s="24" t="n">
        <v>63.1656</v>
      </c>
      <c r="M127" s="24" t="n">
        <v>29.8403</v>
      </c>
      <c r="N127" s="24" t="n">
        <v>14.6331</v>
      </c>
      <c r="O127" s="24" t="n">
        <v>66.4902</v>
      </c>
      <c r="P127" s="24" t="n">
        <v>58.5763</v>
      </c>
      <c r="Q127" s="24" t="n">
        <v>11.5586</v>
      </c>
      <c r="R127" s="24" t="n">
        <v>12.9484</v>
      </c>
      <c r="S127" s="24" t="n">
        <v>12.7593</v>
      </c>
      <c r="T127" s="24" t="n">
        <v>990.1953999999999</v>
      </c>
      <c r="U127" s="24" t="n">
        <v>7.584</v>
      </c>
      <c r="V127" s="24" t="n">
        <v>5.914</v>
      </c>
      <c r="W127" s="25" t="n">
        <v>2</v>
      </c>
      <c r="X127" s="26" t="n">
        <v>0.8076</v>
      </c>
      <c r="Y127" s="24" t="n">
        <v>1.1694</v>
      </c>
      <c r="Z127" s="24" t="n">
        <v>0.1101</v>
      </c>
      <c r="AA127" s="24" t="n">
        <v>0.1135</v>
      </c>
      <c r="AB127" s="24" t="n">
        <v>0.6228</v>
      </c>
      <c r="AC127" s="24" t="n">
        <v>0.2062</v>
      </c>
      <c r="AD127" s="24" t="n">
        <v>1.3562</v>
      </c>
      <c r="AE127" s="24" t="n">
        <v>1.294</v>
      </c>
      <c r="AF127" s="24" t="n">
        <v>0.7556</v>
      </c>
    </row>
    <row r="128">
      <c r="A128" s="9" t="inlineStr">
        <is>
          <t>NER</t>
        </is>
      </c>
      <c r="B128" s="9" t="inlineStr">
        <is>
          <t>Niger</t>
        </is>
      </c>
      <c r="C128" s="9" t="inlineStr">
        <is>
          <t>EMDC</t>
        </is>
      </c>
      <c r="D128" s="23" t="n">
        <v>0.105</v>
      </c>
      <c r="E128" s="24" t="n">
        <v>28.9727</v>
      </c>
      <c r="F128" s="24" t="n">
        <v>0.2174</v>
      </c>
      <c r="G128" s="24" t="n">
        <v>1.051</v>
      </c>
      <c r="H128" s="24" t="n">
        <v>0.8336</v>
      </c>
      <c r="I128" s="24" t="n">
        <v>0.6618000000000001</v>
      </c>
      <c r="J128" s="24" t="n">
        <v>0.6373</v>
      </c>
      <c r="K128" s="24" t="n">
        <v>0.6373</v>
      </c>
      <c r="L128" s="24" t="n">
        <v>47.5174</v>
      </c>
      <c r="M128" s="24" t="n">
        <v>33.13</v>
      </c>
      <c r="N128" s="24" t="n">
        <v>17.6525</v>
      </c>
      <c r="O128" s="24" t="n">
        <v>36.3735</v>
      </c>
      <c r="P128" s="24" t="n">
        <v>28.7876</v>
      </c>
      <c r="Q128" s="24" t="n">
        <v>4.5988</v>
      </c>
      <c r="R128" s="24" t="n">
        <v>6.4518</v>
      </c>
      <c r="S128" s="24" t="n">
        <v>6.451</v>
      </c>
      <c r="T128" s="24" t="n">
        <v>528.1099</v>
      </c>
      <c r="U128" s="24" t="n">
        <v>3.3323</v>
      </c>
      <c r="V128" s="24" t="n">
        <v>2.672</v>
      </c>
      <c r="W128" s="25" t="n">
        <v>2</v>
      </c>
      <c r="X128" s="26" t="n">
        <v>0.6221</v>
      </c>
      <c r="Y128" s="24" t="n">
        <v>0.3319</v>
      </c>
      <c r="Z128" s="24" t="n">
        <v>0.0484</v>
      </c>
      <c r="AA128" s="24" t="n">
        <v>0.0638</v>
      </c>
      <c r="AB128" s="24" t="n">
        <v>0.4693</v>
      </c>
      <c r="AC128" s="24" t="n">
        <v>0.1375</v>
      </c>
      <c r="AD128" s="24" t="n">
        <v>0.4727</v>
      </c>
      <c r="AE128" s="24" t="n">
        <v>0.3957</v>
      </c>
      <c r="AF128" s="24" t="n">
        <v>0.5298</v>
      </c>
    </row>
    <row r="129">
      <c r="A129" s="9" t="inlineStr">
        <is>
          <t>TCD</t>
        </is>
      </c>
      <c r="B129" s="9" t="inlineStr">
        <is>
          <t>Chad</t>
        </is>
      </c>
      <c r="C129" s="9" t="inlineStr">
        <is>
          <t>EMDC</t>
        </is>
      </c>
      <c r="D129" s="23" t="n">
        <v>0.105</v>
      </c>
      <c r="E129" s="24" t="n">
        <v>28.0078</v>
      </c>
      <c r="F129" s="24" t="n">
        <v>0.1331</v>
      </c>
      <c r="G129" s="24" t="n">
        <v>2.8604</v>
      </c>
      <c r="H129" s="24" t="n">
        <v>2.7273</v>
      </c>
      <c r="I129" s="24" t="n">
        <v>2.6341</v>
      </c>
      <c r="J129" s="24" t="n">
        <v>2.5959</v>
      </c>
      <c r="K129" s="24" t="n">
        <v>2.5958</v>
      </c>
      <c r="L129" s="24" t="n">
        <v>117.1078</v>
      </c>
      <c r="M129" s="24" t="n">
        <v>66.4943</v>
      </c>
      <c r="N129" s="24" t="n">
        <v>37.237</v>
      </c>
      <c r="O129" s="24" t="n">
        <v>86.27249999999999</v>
      </c>
      <c r="P129" s="24" t="n">
        <v>81.3279</v>
      </c>
      <c r="Q129" s="24" t="n">
        <v>20.3058</v>
      </c>
      <c r="R129" s="24" t="n">
        <v>32.1986</v>
      </c>
      <c r="S129" s="24" t="n">
        <v>32.1972</v>
      </c>
      <c r="T129" s="24" t="n">
        <v>1510.2048</v>
      </c>
      <c r="U129" s="24" t="n">
        <v>2.2313</v>
      </c>
      <c r="V129" s="24" t="n">
        <v>1.868</v>
      </c>
      <c r="W129" s="25" t="n">
        <v>2</v>
      </c>
      <c r="X129" s="26" t="n">
        <v>0.4053</v>
      </c>
      <c r="Y129" s="24" t="n">
        <v>1.431</v>
      </c>
      <c r="Z129" s="24" t="n">
        <v>0.0292</v>
      </c>
      <c r="AA129" s="24" t="n">
        <v>0.0459</v>
      </c>
      <c r="AB129" s="24" t="n">
        <v>1.0961</v>
      </c>
      <c r="AC129" s="24" t="n">
        <v>0.2582</v>
      </c>
      <c r="AD129" s="24" t="n">
        <v>1.7598</v>
      </c>
      <c r="AE129" s="24" t="n">
        <v>1.7082</v>
      </c>
      <c r="AF129" s="24" t="n">
        <v>1.0714</v>
      </c>
    </row>
    <row r="130">
      <c r="A130" s="9" t="inlineStr">
        <is>
          <t>TTO</t>
        </is>
      </c>
      <c r="B130" s="9" t="inlineStr">
        <is>
          <t>Trinidad and Tobago</t>
        </is>
      </c>
      <c r="C130" s="9" t="inlineStr">
        <is>
          <t>EMDC</t>
        </is>
      </c>
      <c r="D130" s="23" t="n">
        <v>0.105</v>
      </c>
      <c r="E130" s="24" t="n">
        <v>26.9791</v>
      </c>
      <c r="F130" s="24" t="n">
        <v>0.2348</v>
      </c>
      <c r="G130" s="24" t="n">
        <v>1.5085</v>
      </c>
      <c r="H130" s="24" t="n">
        <v>1.2737</v>
      </c>
      <c r="I130" s="24" t="n">
        <v>0.7371</v>
      </c>
      <c r="J130" s="24" t="n">
        <v>0.5899</v>
      </c>
      <c r="K130" s="24" t="n">
        <v>0.5847</v>
      </c>
      <c r="L130" s="24" t="n">
        <v>45.746</v>
      </c>
      <c r="M130" s="24" t="n">
        <v>36.0093</v>
      </c>
      <c r="N130" s="24" t="n">
        <v>11.5097</v>
      </c>
      <c r="O130" s="24" t="n">
        <v>56.8731</v>
      </c>
      <c r="P130" s="24" t="n">
        <v>50.29</v>
      </c>
      <c r="Q130" s="24" t="n">
        <v>7.5048</v>
      </c>
      <c r="R130" s="24" t="n">
        <v>9.136699999999999</v>
      </c>
      <c r="S130" s="24" t="n">
        <v>8.9603</v>
      </c>
      <c r="T130" s="24" t="n">
        <v>497.4814</v>
      </c>
      <c r="U130" s="24" t="n">
        <v>12.7321</v>
      </c>
      <c r="V130" s="24" t="n">
        <v>29.133</v>
      </c>
      <c r="W130" s="25" t="n">
        <v>2</v>
      </c>
      <c r="X130" s="26" t="n">
        <v>0.5971</v>
      </c>
      <c r="Y130" s="24" t="n">
        <v>0.2072</v>
      </c>
      <c r="Z130" s="24" t="n">
        <v>0.1513</v>
      </c>
      <c r="AA130" s="24" t="n">
        <v>0.1311</v>
      </c>
      <c r="AB130" s="24" t="n">
        <v>0.7528</v>
      </c>
      <c r="AC130" s="24" t="n">
        <v>0.2662</v>
      </c>
      <c r="AD130" s="24" t="n">
        <v>0.433</v>
      </c>
      <c r="AE130" s="24" t="n">
        <v>0.3654</v>
      </c>
      <c r="AF130" s="24" t="n">
        <v>0.9242</v>
      </c>
    </row>
    <row r="131">
      <c r="A131" s="9" t="inlineStr">
        <is>
          <t>KGZ</t>
        </is>
      </c>
      <c r="B131" s="9" t="inlineStr">
        <is>
          <t>Kyrgyz Republic</t>
        </is>
      </c>
      <c r="C131" s="9" t="inlineStr">
        <is>
          <t>EMDC</t>
        </is>
      </c>
      <c r="D131" s="23" t="n">
        <v>0.105</v>
      </c>
      <c r="E131" s="24" t="n">
        <v>26.7397</v>
      </c>
      <c r="F131" s="24" t="n">
        <v>0.5391</v>
      </c>
      <c r="G131" s="24" t="n">
        <v>1.3103</v>
      </c>
      <c r="H131" s="24" t="n">
        <v>0.7712</v>
      </c>
      <c r="I131" s="24" t="n">
        <v>0.3107</v>
      </c>
      <c r="J131" s="24" t="n">
        <v>0.206</v>
      </c>
      <c r="K131" s="24" t="n">
        <v>0.1257</v>
      </c>
      <c r="L131" s="24" t="n">
        <v>23.2627</v>
      </c>
      <c r="M131" s="24" t="n">
        <v>18.0732</v>
      </c>
      <c r="N131" s="24" t="n">
        <v>7.1481</v>
      </c>
      <c r="O131" s="24" t="n">
        <v>42.9592</v>
      </c>
      <c r="P131" s="24" t="n">
        <v>27.2723</v>
      </c>
      <c r="Q131" s="24" t="n">
        <v>2.8311</v>
      </c>
      <c r="R131" s="24" t="n">
        <v>1.8405</v>
      </c>
      <c r="S131" s="24" t="n">
        <v>-0.4358</v>
      </c>
      <c r="T131" s="24" t="n">
        <v>259.0096</v>
      </c>
      <c r="U131" s="24" t="n">
        <v>9.4559</v>
      </c>
      <c r="V131" s="24" t="n">
        <v>10.812</v>
      </c>
      <c r="W131" s="25" t="n">
        <v>2</v>
      </c>
      <c r="X131" s="26" t="n">
        <v>0.1208</v>
      </c>
      <c r="Y131" s="24" t="n">
        <v>0.3791</v>
      </c>
      <c r="Z131" s="24" t="n">
        <v>0.1496</v>
      </c>
      <c r="AA131" s="24" t="n">
        <v>0.1568</v>
      </c>
      <c r="AB131" s="24" t="n">
        <v>0.4454</v>
      </c>
      <c r="AC131" s="24" t="n">
        <v>0.1794</v>
      </c>
      <c r="AD131" s="24" t="n">
        <v>0.5127</v>
      </c>
      <c r="AE131" s="24" t="n">
        <v>0.2952</v>
      </c>
      <c r="AF131" s="24" t="n">
        <v>0.648</v>
      </c>
    </row>
    <row r="132">
      <c r="A132" s="9" t="inlineStr">
        <is>
          <t>NIC</t>
        </is>
      </c>
      <c r="B132" s="9" t="inlineStr">
        <is>
          <t>Nicaragua</t>
        </is>
      </c>
      <c r="C132" s="9" t="inlineStr">
        <is>
          <t>EMDC</t>
        </is>
      </c>
      <c r="D132" s="23" t="n">
        <v>0.105</v>
      </c>
      <c r="E132" s="24" t="n">
        <v>24.9791</v>
      </c>
      <c r="F132" s="24" t="n">
        <v>0.197</v>
      </c>
      <c r="G132" s="24" t="n">
        <v>1.6783</v>
      </c>
      <c r="H132" s="24" t="n">
        <v>1.4813</v>
      </c>
      <c r="I132" s="24" t="n">
        <v>1.1451</v>
      </c>
      <c r="J132" s="24" t="n">
        <v>1.0912</v>
      </c>
      <c r="K132" s="24" t="n">
        <v>1.0809</v>
      </c>
      <c r="L132" s="24" t="n">
        <v>42.0553</v>
      </c>
      <c r="M132" s="24" t="n">
        <v>17.3451</v>
      </c>
      <c r="N132" s="24" t="n">
        <v>8.013400000000001</v>
      </c>
      <c r="O132" s="24" t="n">
        <v>48.0071</v>
      </c>
      <c r="P132" s="24" t="n">
        <v>41.5545</v>
      </c>
      <c r="Q132" s="24" t="n">
        <v>6.9285</v>
      </c>
      <c r="R132" s="24" t="n">
        <v>8.8444</v>
      </c>
      <c r="S132" s="24" t="n">
        <v>8.472300000000001</v>
      </c>
      <c r="T132" s="24" t="n">
        <v>711.6717</v>
      </c>
      <c r="U132" s="24" t="n">
        <v>6.5441</v>
      </c>
      <c r="V132" s="24" t="n">
        <v>5.756</v>
      </c>
      <c r="W132" s="25" t="n">
        <v>3</v>
      </c>
      <c r="X132" s="26" t="n">
        <v>0.8444</v>
      </c>
      <c r="Y132" s="24" t="n">
        <v>0.7794</v>
      </c>
      <c r="Z132" s="24" t="n">
        <v>0.06519999999999999</v>
      </c>
      <c r="AA132" s="24" t="n">
        <v>0.0979</v>
      </c>
      <c r="AB132" s="24" t="n">
        <v>0.5369</v>
      </c>
      <c r="AC132" s="24" t="n">
        <v>0.1989</v>
      </c>
      <c r="AD132" s="24" t="n">
        <v>0.9404</v>
      </c>
      <c r="AE132" s="24" t="n">
        <v>0.9006999999999999</v>
      </c>
      <c r="AF132" s="24" t="n">
        <v>0.6727</v>
      </c>
    </row>
    <row r="133">
      <c r="A133" s="9" t="inlineStr">
        <is>
          <t>GAB</t>
        </is>
      </c>
      <c r="B133" s="9" t="inlineStr">
        <is>
          <t>Gabon</t>
        </is>
      </c>
      <c r="C133" s="9" t="inlineStr">
        <is>
          <t>EMDC</t>
        </is>
      </c>
      <c r="D133" s="23" t="n">
        <v>0.105</v>
      </c>
      <c r="E133" s="24" t="n">
        <v>24.4932</v>
      </c>
      <c r="F133" s="24" t="n">
        <v>0.1516</v>
      </c>
      <c r="G133" s="24" t="n">
        <v>0.8252</v>
      </c>
      <c r="H133" s="24" t="n">
        <v>0.6736</v>
      </c>
      <c r="I133" s="24" t="n">
        <v>0.5562</v>
      </c>
      <c r="J133" s="24" t="n">
        <v>0.5342</v>
      </c>
      <c r="K133" s="24" t="n">
        <v>0.5299</v>
      </c>
      <c r="L133" s="24" t="n">
        <v>26.0377</v>
      </c>
      <c r="M133" s="24" t="n">
        <v>14.7207</v>
      </c>
      <c r="N133" s="24" t="n">
        <v>6.7468</v>
      </c>
      <c r="O133" s="24" t="n">
        <v>26.3465</v>
      </c>
      <c r="P133" s="24" t="n">
        <v>21.4893</v>
      </c>
      <c r="Q133" s="24" t="n">
        <v>4.2181</v>
      </c>
      <c r="R133" s="24" t="n">
        <v>6.2483</v>
      </c>
      <c r="S133" s="24" t="n">
        <v>6.1176</v>
      </c>
      <c r="T133" s="24" t="n">
        <v>361.354</v>
      </c>
      <c r="U133" s="24" t="n">
        <v>2.7122</v>
      </c>
      <c r="V133" s="24" t="n">
        <v>5.318</v>
      </c>
      <c r="W133" s="25" t="n">
        <v>2</v>
      </c>
      <c r="X133" s="26" t="n">
        <v>0.9272</v>
      </c>
      <c r="Y133" s="24" t="n">
        <v>0.2484</v>
      </c>
      <c r="Z133" s="24" t="n">
        <v>0.0664</v>
      </c>
      <c r="AA133" s="24" t="n">
        <v>0.0563</v>
      </c>
      <c r="AB133" s="24" t="n">
        <v>0.3281</v>
      </c>
      <c r="AC133" s="24" t="n">
        <v>0.126</v>
      </c>
      <c r="AD133" s="24" t="n">
        <v>0.3468</v>
      </c>
      <c r="AE133" s="24" t="n">
        <v>0.3228</v>
      </c>
      <c r="AF133" s="24" t="n">
        <v>0.412</v>
      </c>
    </row>
    <row r="134">
      <c r="A134" s="9" t="inlineStr">
        <is>
          <t>BWA</t>
        </is>
      </c>
      <c r="B134" s="9" t="inlineStr">
        <is>
          <t>Botswana</t>
        </is>
      </c>
      <c r="C134" s="9" t="inlineStr">
        <is>
          <t>EMDC</t>
        </is>
      </c>
      <c r="D134" s="23" t="n">
        <v>0.105</v>
      </c>
      <c r="E134" s="24" t="n">
        <v>23.906</v>
      </c>
      <c r="F134" s="24" t="n">
        <v>0.2032</v>
      </c>
      <c r="G134" s="24" t="n">
        <v>2.4876</v>
      </c>
      <c r="H134" s="24" t="n">
        <v>2.2844</v>
      </c>
      <c r="I134" s="24" t="n">
        <v>2.0441</v>
      </c>
      <c r="J134" s="24" t="n">
        <v>1.9988</v>
      </c>
      <c r="K134" s="24" t="n">
        <v>1.9508</v>
      </c>
      <c r="L134" s="24" t="n">
        <v>53.5204</v>
      </c>
      <c r="M134" s="24" t="n">
        <v>11.3505</v>
      </c>
      <c r="N134" s="24" t="n">
        <v>3.0011</v>
      </c>
      <c r="O134" s="24" t="n">
        <v>64.0552</v>
      </c>
      <c r="P134" s="24" t="n">
        <v>58.0502</v>
      </c>
      <c r="Q134" s="24" t="n">
        <v>13.561</v>
      </c>
      <c r="R134" s="24" t="n">
        <v>19.8807</v>
      </c>
      <c r="S134" s="24" t="n">
        <v>18.3064</v>
      </c>
      <c r="T134" s="24" t="n">
        <v>1122.7653</v>
      </c>
      <c r="U134" s="24" t="n">
        <v>8.536099999999999</v>
      </c>
      <c r="V134" s="24" t="n">
        <v>8.276</v>
      </c>
      <c r="W134" s="25" t="n">
        <v>2</v>
      </c>
      <c r="X134" s="26" t="n">
        <v>0.929</v>
      </c>
      <c r="Y134" s="24" t="n">
        <v>1.222</v>
      </c>
      <c r="Z134" s="24" t="n">
        <v>0.1418</v>
      </c>
      <c r="AA134" s="24" t="n">
        <v>0.1095</v>
      </c>
      <c r="AB134" s="24" t="n">
        <v>0.8781</v>
      </c>
      <c r="AC134" s="24" t="n">
        <v>0.1361</v>
      </c>
      <c r="AD134" s="24" t="n">
        <v>1.4855</v>
      </c>
      <c r="AE134" s="24" t="n">
        <v>1.4578</v>
      </c>
      <c r="AF134" s="24" t="n">
        <v>0.8604000000000001</v>
      </c>
    </row>
    <row r="135">
      <c r="A135" s="9" t="inlineStr">
        <is>
          <t>MOZ</t>
        </is>
      </c>
      <c r="B135" s="9" t="inlineStr">
        <is>
          <t>Mozambique</t>
        </is>
      </c>
      <c r="C135" s="9" t="inlineStr">
        <is>
          <t>EMDC</t>
        </is>
      </c>
      <c r="D135" s="23" t="n">
        <v>0.105</v>
      </c>
      <c r="E135" s="24" t="n">
        <v>23.8825</v>
      </c>
      <c r="F135" s="24" t="n">
        <v>0.1887</v>
      </c>
      <c r="G135" s="24" t="n">
        <v>4.3483</v>
      </c>
      <c r="H135" s="24" t="n">
        <v>4.1596</v>
      </c>
      <c r="I135" s="24" t="n">
        <v>3.7857</v>
      </c>
      <c r="J135" s="24" t="n">
        <v>3.7246</v>
      </c>
      <c r="K135" s="24" t="n">
        <v>3.7246</v>
      </c>
      <c r="L135" s="24" t="n">
        <v>103.9008</v>
      </c>
      <c r="M135" s="24" t="n">
        <v>28.9597</v>
      </c>
      <c r="N135" s="24" t="n">
        <v>14.2601</v>
      </c>
      <c r="O135" s="24" t="n">
        <v>120.0957</v>
      </c>
      <c r="P135" s="24" t="n">
        <v>109.0833</v>
      </c>
      <c r="Q135" s="24" t="n">
        <v>26.3497</v>
      </c>
      <c r="R135" s="24" t="n">
        <v>40.0376</v>
      </c>
      <c r="S135" s="24" t="n">
        <v>40.0346</v>
      </c>
      <c r="T135" s="24" t="n">
        <v>1936.4193</v>
      </c>
      <c r="U135" s="24" t="n">
        <v>6.9176</v>
      </c>
      <c r="V135" s="24" t="n">
        <v>8.972</v>
      </c>
      <c r="W135" s="25" t="n">
        <v>2</v>
      </c>
      <c r="X135" s="26" t="n">
        <v>0.9317</v>
      </c>
      <c r="Y135" s="24" t="n">
        <v>2.8154</v>
      </c>
      <c r="Z135" s="24" t="n">
        <v>0.1612</v>
      </c>
      <c r="AA135" s="24" t="n">
        <v>0.1492</v>
      </c>
      <c r="AB135" s="24" t="n">
        <v>1.0495</v>
      </c>
      <c r="AC135" s="24" t="n">
        <v>0.173</v>
      </c>
      <c r="AD135" s="24" t="n">
        <v>3.1303</v>
      </c>
      <c r="AE135" s="24" t="n">
        <v>3.0884</v>
      </c>
      <c r="AF135" s="24" t="n">
        <v>1.0568</v>
      </c>
    </row>
    <row r="136">
      <c r="A136" s="9" t="inlineStr">
        <is>
          <t>HTI</t>
        </is>
      </c>
      <c r="B136" s="9" t="inlineStr">
        <is>
          <t>Haiti</t>
        </is>
      </c>
      <c r="C136" s="9" t="inlineStr">
        <is>
          <t>EMDC</t>
        </is>
      </c>
      <c r="D136" s="23" t="n">
        <v>0.105</v>
      </c>
      <c r="E136" s="24" t="n">
        <v>23.6113</v>
      </c>
      <c r="F136" s="24" t="n">
        <v>0.113</v>
      </c>
      <c r="G136" s="24" t="n">
        <v>0.5057</v>
      </c>
      <c r="H136" s="24" t="n">
        <v>0.3927</v>
      </c>
      <c r="I136" s="24" t="n">
        <v>0.2899</v>
      </c>
      <c r="J136" s="24" t="n">
        <v>0.2502</v>
      </c>
      <c r="K136" s="24" t="n">
        <v>0.2495</v>
      </c>
      <c r="L136" s="24" t="n">
        <v>14.9312</v>
      </c>
      <c r="M136" s="24" t="n">
        <v>10.7874</v>
      </c>
      <c r="N136" s="24" t="n">
        <v>5.2019</v>
      </c>
      <c r="O136" s="24" t="n">
        <v>17.5583</v>
      </c>
      <c r="P136" s="24" t="n">
        <v>13.6095</v>
      </c>
      <c r="Q136" s="24" t="n">
        <v>2.247</v>
      </c>
      <c r="R136" s="24" t="n">
        <v>2.6195</v>
      </c>
      <c r="S136" s="24" t="n">
        <v>2.558</v>
      </c>
      <c r="T136" s="24" t="n">
        <v>159.8544</v>
      </c>
      <c r="U136" s="24" t="n">
        <v>3.4325</v>
      </c>
      <c r="V136" s="24" t="n">
        <v>3.064</v>
      </c>
      <c r="W136" s="25" t="n">
        <v>2</v>
      </c>
      <c r="X136" s="26" t="n">
        <v>0.2814</v>
      </c>
      <c r="Y136" s="24" t="n">
        <v>0.1583</v>
      </c>
      <c r="Z136" s="24" t="n">
        <v>0.024</v>
      </c>
      <c r="AA136" s="24" t="n">
        <v>0.041</v>
      </c>
      <c r="AB136" s="24" t="n">
        <v>0.2057</v>
      </c>
      <c r="AC136" s="24" t="n">
        <v>0.07679999999999999</v>
      </c>
      <c r="AD136" s="24" t="n">
        <v>0.22</v>
      </c>
      <c r="AE136" s="24" t="n">
        <v>0.1774</v>
      </c>
      <c r="AF136" s="24" t="n">
        <v>0.2618</v>
      </c>
    </row>
    <row r="137">
      <c r="A137" s="9" t="inlineStr">
        <is>
          <t>RWA</t>
        </is>
      </c>
      <c r="B137" s="9" t="inlineStr">
        <is>
          <t>Rwanda</t>
        </is>
      </c>
      <c r="C137" s="9" t="inlineStr">
        <is>
          <t>EMDC</t>
        </is>
      </c>
      <c r="D137" s="23" t="n">
        <v>0.0771</v>
      </c>
      <c r="E137" s="24" t="n">
        <v>22.5062</v>
      </c>
      <c r="F137" s="24" t="n">
        <v>0.1327</v>
      </c>
      <c r="G137" s="24" t="n">
        <v>0.3855</v>
      </c>
      <c r="H137" s="24" t="n">
        <v>0.2528</v>
      </c>
      <c r="I137" s="24" t="n">
        <v>0.1587</v>
      </c>
      <c r="J137" s="24" t="n">
        <v>0.1542</v>
      </c>
      <c r="K137" s="24" t="n">
        <v>0.153</v>
      </c>
      <c r="L137" s="24" t="n">
        <v>11.3936</v>
      </c>
      <c r="M137" s="24" t="n">
        <v>7.5122</v>
      </c>
      <c r="N137" s="24" t="n">
        <v>3.6874</v>
      </c>
      <c r="O137" s="24" t="n">
        <v>13.1984</v>
      </c>
      <c r="P137" s="24" t="n">
        <v>8.390000000000001</v>
      </c>
      <c r="Q137" s="24" t="n">
        <v>0.8605</v>
      </c>
      <c r="R137" s="24" t="n">
        <v>0.8086</v>
      </c>
      <c r="S137" s="24" t="n">
        <v>0.7618</v>
      </c>
      <c r="T137" s="24" t="n">
        <v>144.7274</v>
      </c>
      <c r="U137" s="24" t="n">
        <v>1.6587</v>
      </c>
      <c r="V137" s="24" t="n">
        <v>1.886</v>
      </c>
      <c r="W137" s="25" t="n">
        <v>2</v>
      </c>
      <c r="X137" s="26" t="n">
        <v>1.0135</v>
      </c>
      <c r="Y137" s="24" t="n">
        <v>0.1128</v>
      </c>
      <c r="Z137" s="24" t="n">
        <v>0.0477</v>
      </c>
      <c r="AA137" s="24" t="n">
        <v>0.0485</v>
      </c>
      <c r="AB137" s="24" t="n">
        <v>0.1059</v>
      </c>
      <c r="AC137" s="24" t="n">
        <v>0.0706</v>
      </c>
      <c r="AD137" s="24" t="n">
        <v>0.1445</v>
      </c>
      <c r="AE137" s="24" t="n">
        <v>0.119</v>
      </c>
      <c r="AF137" s="24" t="n">
        <v>0.1933</v>
      </c>
    </row>
    <row r="138">
      <c r="A138" s="9" t="inlineStr">
        <is>
          <t>MDG</t>
        </is>
      </c>
      <c r="B138" s="9" t="inlineStr">
        <is>
          <t>Madagascar</t>
        </is>
      </c>
      <c r="C138" s="9" t="inlineStr">
        <is>
          <t>EMDC</t>
        </is>
      </c>
      <c r="D138" s="23" t="n">
        <v>0.105</v>
      </c>
      <c r="E138" s="24" t="n">
        <v>21.7579</v>
      </c>
      <c r="F138" s="24" t="n">
        <v>0.1515</v>
      </c>
      <c r="G138" s="24" t="n">
        <v>1.2681</v>
      </c>
      <c r="H138" s="24" t="n">
        <v>1.1166</v>
      </c>
      <c r="I138" s="24" t="n">
        <v>0.9899</v>
      </c>
      <c r="J138" s="24" t="n">
        <v>0.9647</v>
      </c>
      <c r="K138" s="24" t="n">
        <v>0.9639</v>
      </c>
      <c r="L138" s="24" t="n">
        <v>48.4776</v>
      </c>
      <c r="M138" s="24" t="n">
        <v>28.5343</v>
      </c>
      <c r="N138" s="24" t="n">
        <v>14.7704</v>
      </c>
      <c r="O138" s="24" t="n">
        <v>38.8497</v>
      </c>
      <c r="P138" s="24" t="n">
        <v>33.5622</v>
      </c>
      <c r="Q138" s="24" t="n">
        <v>7.1004</v>
      </c>
      <c r="R138" s="24" t="n">
        <v>10.6644</v>
      </c>
      <c r="S138" s="24" t="n">
        <v>10.629</v>
      </c>
      <c r="T138" s="24" t="n">
        <v>615.2189</v>
      </c>
      <c r="U138" s="24" t="n">
        <v>4.6334</v>
      </c>
      <c r="V138" s="24" t="n">
        <v>3.565</v>
      </c>
      <c r="W138" s="25" t="n">
        <v>2</v>
      </c>
      <c r="X138" s="26" t="n">
        <v>0.9209000000000001</v>
      </c>
      <c r="Y138" s="24" t="n">
        <v>0.5697</v>
      </c>
      <c r="Z138" s="24" t="n">
        <v>0.0587</v>
      </c>
      <c r="AA138" s="24" t="n">
        <v>0.0595</v>
      </c>
      <c r="AB138" s="24" t="n">
        <v>0.449</v>
      </c>
      <c r="AC138" s="24" t="n">
        <v>0.1311</v>
      </c>
      <c r="AD138" s="24" t="n">
        <v>0.7045</v>
      </c>
      <c r="AE138" s="24" t="n">
        <v>0.67</v>
      </c>
      <c r="AF138" s="24" t="n">
        <v>0.505</v>
      </c>
    </row>
    <row r="139">
      <c r="A139" s="9" t="inlineStr">
        <is>
          <t>AFG</t>
        </is>
      </c>
      <c r="B139" s="9" t="inlineStr">
        <is>
          <t>Afghanistan</t>
        </is>
      </c>
      <c r="C139" s="9" t="inlineStr">
        <is>
          <t>EMDC</t>
        </is>
      </c>
      <c r="D139" s="23" t="n">
        <v>0.105</v>
      </c>
      <c r="E139" s="24" t="n">
        <v>21.4974</v>
      </c>
      <c r="F139" s="24" t="n">
        <v>0.1669</v>
      </c>
      <c r="G139" s="24" t="n">
        <v>0.9369</v>
      </c>
      <c r="H139" s="24" t="n">
        <v>0.77</v>
      </c>
      <c r="I139" s="24" t="n">
        <v>0.2683</v>
      </c>
      <c r="J139" s="24" t="n">
        <v>0.1907</v>
      </c>
      <c r="K139" s="24" t="n">
        <v>0.1823</v>
      </c>
      <c r="L139" s="24" t="n">
        <v>35.6354</v>
      </c>
      <c r="M139" s="24" t="n">
        <v>26.6936</v>
      </c>
      <c r="N139" s="24" t="n">
        <v>12.1943</v>
      </c>
      <c r="O139" s="24" t="n">
        <v>31.7319</v>
      </c>
      <c r="P139" s="24" t="n">
        <v>26.0032</v>
      </c>
      <c r="Q139" s="24" t="n">
        <v>0.1435</v>
      </c>
      <c r="R139" s="24" t="n">
        <v>-2.8756</v>
      </c>
      <c r="S139" s="24" t="n">
        <v>-3.1511</v>
      </c>
      <c r="T139" s="24" t="n">
        <v>397.2647</v>
      </c>
      <c r="U139" s="24" t="n">
        <v>10.995</v>
      </c>
      <c r="V139" s="24" t="n">
        <v>5.893</v>
      </c>
      <c r="W139" s="25" t="n">
        <v>2</v>
      </c>
      <c r="X139" s="26" t="n">
        <v>0.3022</v>
      </c>
      <c r="Y139" s="24" t="n">
        <v>0.2759</v>
      </c>
      <c r="Z139" s="24" t="n">
        <v>0.0352</v>
      </c>
      <c r="AA139" s="24" t="n">
        <v>0.0609</v>
      </c>
      <c r="AB139" s="24" t="n">
        <v>0.4312</v>
      </c>
      <c r="AC139" s="24" t="n">
        <v>0.1337</v>
      </c>
      <c r="AD139" s="24" t="n">
        <v>0.4052</v>
      </c>
      <c r="AE139" s="24" t="n">
        <v>0.339</v>
      </c>
      <c r="AF139" s="24" t="n">
        <v>0.4965</v>
      </c>
    </row>
    <row r="140">
      <c r="A140" s="9" t="inlineStr">
        <is>
          <t>JAM</t>
        </is>
      </c>
      <c r="B140" s="9" t="inlineStr">
        <is>
          <t>Jamaica</t>
        </is>
      </c>
      <c r="C140" s="9" t="inlineStr">
        <is>
          <t>EMDC</t>
        </is>
      </c>
      <c r="D140" s="23" t="n">
        <v>0.039</v>
      </c>
      <c r="E140" s="24" t="n">
        <v>21.2811</v>
      </c>
      <c r="F140" s="24" t="n">
        <v>0.176</v>
      </c>
      <c r="G140" s="24" t="n">
        <v>0.6548</v>
      </c>
      <c r="H140" s="24" t="n">
        <v>0.4789</v>
      </c>
      <c r="I140" s="24" t="n">
        <v>0.0146</v>
      </c>
      <c r="J140" s="24" t="n">
        <v>0.0523</v>
      </c>
      <c r="K140" s="24" t="n">
        <v>0.0279</v>
      </c>
      <c r="L140" s="24" t="n">
        <v>9.529299999999999</v>
      </c>
      <c r="M140" s="24" t="n">
        <v>8.014900000000001</v>
      </c>
      <c r="N140" s="24" t="n">
        <v>2.0578</v>
      </c>
      <c r="O140" s="24" t="n">
        <v>23.8601</v>
      </c>
      <c r="P140" s="24" t="n">
        <v>18.0086</v>
      </c>
      <c r="Q140" s="24" t="n">
        <v>-3.2195</v>
      </c>
      <c r="R140" s="24" t="n">
        <v>-1.0995</v>
      </c>
      <c r="S140" s="24" t="n">
        <v>-1.9343</v>
      </c>
      <c r="T140" s="24" t="n">
        <v>111.3648</v>
      </c>
      <c r="U140" s="24" t="n">
        <v>8.286099999999999</v>
      </c>
      <c r="V140" s="24" t="n">
        <v>6.74</v>
      </c>
      <c r="W140" s="25" t="n">
        <v>2</v>
      </c>
      <c r="X140" s="26" t="n">
        <v>1.7795</v>
      </c>
      <c r="Y140" s="24" t="n">
        <v>0.0327</v>
      </c>
      <c r="Z140" s="24" t="n">
        <v>0.1949</v>
      </c>
      <c r="AA140" s="24" t="n">
        <v>0.1319</v>
      </c>
      <c r="AB140" s="24" t="n">
        <v>0.0806</v>
      </c>
      <c r="AC140" s="24" t="n">
        <v>0.2148</v>
      </c>
      <c r="AD140" s="24" t="n">
        <v>0.0568</v>
      </c>
      <c r="AE140" s="24" t="n">
        <v>0.0405</v>
      </c>
      <c r="AF140" s="24" t="n">
        <v>0.4031</v>
      </c>
    </row>
    <row r="141">
      <c r="A141" s="9" t="inlineStr">
        <is>
          <t>MDA</t>
        </is>
      </c>
      <c r="B141" s="9" t="inlineStr">
        <is>
          <t>Moldova</t>
        </is>
      </c>
      <c r="C141" s="9" t="inlineStr">
        <is>
          <t>EMDC</t>
        </is>
      </c>
      <c r="D141" s="23" t="n">
        <v>0.105</v>
      </c>
      <c r="E141" s="24" t="n">
        <v>20.7912</v>
      </c>
      <c r="F141" s="24" t="n">
        <v>0.2595</v>
      </c>
      <c r="G141" s="24" t="n">
        <v>0.9747</v>
      </c>
      <c r="H141" s="24" t="n">
        <v>0.7151999999999999</v>
      </c>
      <c r="I141" s="24" t="n">
        <v>0.18</v>
      </c>
      <c r="J141" s="24" t="n">
        <v>0.0576</v>
      </c>
      <c r="K141" s="24" t="n">
        <v>0.015</v>
      </c>
      <c r="L141" s="24" t="n">
        <v>14.1285</v>
      </c>
      <c r="M141" s="24" t="n">
        <v>11.709</v>
      </c>
      <c r="N141" s="24" t="n">
        <v>3.2837</v>
      </c>
      <c r="O141" s="24" t="n">
        <v>36.0746</v>
      </c>
      <c r="P141" s="24" t="n">
        <v>27.3398</v>
      </c>
      <c r="Q141" s="24" t="n">
        <v>0.8143</v>
      </c>
      <c r="R141" s="24" t="n">
        <v>-2.5534</v>
      </c>
      <c r="S141" s="24" t="n">
        <v>-4.0398</v>
      </c>
      <c r="T141" s="24" t="n">
        <v>152.4338</v>
      </c>
      <c r="U141" s="24" t="n">
        <v>8.470499999999999</v>
      </c>
      <c r="V141" s="24" t="n">
        <v>10.107</v>
      </c>
      <c r="W141" s="25" t="n">
        <v>3</v>
      </c>
      <c r="X141" s="26" t="n">
        <v>0.9169</v>
      </c>
      <c r="Y141" s="24" t="n">
        <v>0.1413</v>
      </c>
      <c r="Z141" s="24" t="n">
        <v>0.1591</v>
      </c>
      <c r="AA141" s="24" t="n">
        <v>0.1918</v>
      </c>
      <c r="AB141" s="24" t="n">
        <v>0.2529</v>
      </c>
      <c r="AC141" s="24" t="n">
        <v>0.2296</v>
      </c>
      <c r="AD141" s="24" t="n">
        <v>0.2171</v>
      </c>
      <c r="AE141" s="24" t="n">
        <v>0.178</v>
      </c>
      <c r="AF141" s="24" t="n">
        <v>0.5984</v>
      </c>
    </row>
    <row r="142">
      <c r="A142" s="9" t="inlineStr">
        <is>
          <t>TJK</t>
        </is>
      </c>
      <c r="B142" s="9" t="inlineStr">
        <is>
          <t>Tajikistan</t>
        </is>
      </c>
      <c r="C142" s="9" t="inlineStr">
        <is>
          <t>EMDC</t>
        </is>
      </c>
      <c r="D142" s="23" t="n">
        <v>0.105</v>
      </c>
      <c r="E142" s="24" t="n">
        <v>20.7161</v>
      </c>
      <c r="F142" s="24" t="n">
        <v>0.5168</v>
      </c>
      <c r="G142" s="24" t="n">
        <v>1.1672</v>
      </c>
      <c r="H142" s="24" t="n">
        <v>0.6504</v>
      </c>
      <c r="I142" s="24" t="n">
        <v>0.3548</v>
      </c>
      <c r="J142" s="24" t="n">
        <v>0.2867</v>
      </c>
      <c r="K142" s="24" t="n">
        <v>0.2755</v>
      </c>
      <c r="L142" s="24" t="n">
        <v>25.0292</v>
      </c>
      <c r="M142" s="24" t="n">
        <v>19.3353</v>
      </c>
      <c r="N142" s="24" t="n">
        <v>7.9793</v>
      </c>
      <c r="O142" s="24" t="n">
        <v>42.1797</v>
      </c>
      <c r="P142" s="24" t="n">
        <v>25.6224</v>
      </c>
      <c r="Q142" s="24" t="n">
        <v>3.2679</v>
      </c>
      <c r="R142" s="24" t="n">
        <v>3.5217</v>
      </c>
      <c r="S142" s="24" t="n">
        <v>3.1642</v>
      </c>
      <c r="T142" s="24" t="n">
        <v>273.0085</v>
      </c>
      <c r="U142" s="24" t="n">
        <v>5.674</v>
      </c>
      <c r="V142" s="24" t="n">
        <v>10.211</v>
      </c>
      <c r="W142" s="25" t="n">
        <v>2</v>
      </c>
      <c r="X142" s="26" t="n">
        <v>0.3344</v>
      </c>
      <c r="Y142" s="24" t="n">
        <v>0.3536</v>
      </c>
      <c r="Z142" s="24" t="n">
        <v>0.1021</v>
      </c>
      <c r="AA142" s="24" t="n">
        <v>0.149</v>
      </c>
      <c r="AB142" s="24" t="n">
        <v>0.4417</v>
      </c>
      <c r="AC142" s="24" t="n">
        <v>0.1207</v>
      </c>
      <c r="AD142" s="24" t="n">
        <v>0.4861</v>
      </c>
      <c r="AE142" s="24" t="n">
        <v>0.258</v>
      </c>
      <c r="AF142" s="24" t="n">
        <v>0.5789</v>
      </c>
    </row>
    <row r="143">
      <c r="A143" s="9" t="inlineStr">
        <is>
          <t>MKD</t>
        </is>
      </c>
      <c r="B143" s="9" t="inlineStr">
        <is>
          <t>North Macedonia</t>
        </is>
      </c>
      <c r="C143" s="9" t="inlineStr">
        <is>
          <t>EMDC</t>
        </is>
      </c>
      <c r="D143" s="23" t="n">
        <v>0.105</v>
      </c>
      <c r="E143" s="24" t="n">
        <v>20.4245</v>
      </c>
      <c r="F143" s="24" t="n">
        <v>0.2427</v>
      </c>
      <c r="G143" s="24" t="n">
        <v>0.5502</v>
      </c>
      <c r="H143" s="24" t="n">
        <v>0.3074</v>
      </c>
      <c r="I143" s="24" t="n">
        <v>0.08989999999999999</v>
      </c>
      <c r="J143" s="24" t="n">
        <v>0.0468</v>
      </c>
      <c r="K143" s="24" t="n">
        <v>0.0042</v>
      </c>
      <c r="L143" s="24" t="n">
        <v>12.1638</v>
      </c>
      <c r="M143" s="24" t="n">
        <v>10.3871</v>
      </c>
      <c r="N143" s="24" t="n">
        <v>2.9537</v>
      </c>
      <c r="O143" s="24" t="n">
        <v>18.195</v>
      </c>
      <c r="P143" s="24" t="n">
        <v>10.735</v>
      </c>
      <c r="Q143" s="24" t="n">
        <v>0.0827</v>
      </c>
      <c r="R143" s="24" t="n">
        <v>-1.3101</v>
      </c>
      <c r="S143" s="24" t="n">
        <v>-2.7145</v>
      </c>
      <c r="T143" s="24" t="n">
        <v>109.2771</v>
      </c>
      <c r="U143" s="24" t="n">
        <v>7.3992</v>
      </c>
      <c r="V143" s="24" t="n">
        <v>9.271000000000001</v>
      </c>
      <c r="W143" s="25" t="n">
        <v>3</v>
      </c>
      <c r="X143" s="26" t="n">
        <v>1.019</v>
      </c>
      <c r="Y143" s="24" t="n">
        <v>0.0283</v>
      </c>
      <c r="Z143" s="24" t="n">
        <v>0.1041</v>
      </c>
      <c r="AA143" s="24" t="n">
        <v>0.1099</v>
      </c>
      <c r="AB143" s="24" t="n">
        <v>0.1322</v>
      </c>
      <c r="AC143" s="24" t="n">
        <v>0.1756</v>
      </c>
      <c r="AD143" s="24" t="n">
        <v>0.068</v>
      </c>
      <c r="AE143" s="24" t="n">
        <v>0.0479</v>
      </c>
      <c r="AF143" s="24" t="n">
        <v>0.3781</v>
      </c>
    </row>
    <row r="144">
      <c r="A144" s="9" t="inlineStr">
        <is>
          <t>LAO</t>
        </is>
      </c>
      <c r="B144" s="9" t="inlineStr">
        <is>
          <t>Lao PDR</t>
        </is>
      </c>
      <c r="C144" s="9" t="inlineStr">
        <is>
          <t>EMDC</t>
        </is>
      </c>
      <c r="D144" s="23" t="n">
        <v>0.105</v>
      </c>
      <c r="E144" s="24" t="n">
        <v>20.141</v>
      </c>
      <c r="F144" s="24" t="n">
        <v>0.0902</v>
      </c>
      <c r="G144" s="24" t="n">
        <v>1.5885</v>
      </c>
      <c r="H144" s="24" t="n">
        <v>1.4983</v>
      </c>
      <c r="I144" s="24" t="n">
        <v>1.4071</v>
      </c>
      <c r="J144" s="24" t="n">
        <v>1.3958</v>
      </c>
      <c r="K144" s="24" t="n">
        <v>1.3753</v>
      </c>
      <c r="L144" s="24" t="n">
        <v>54.1304</v>
      </c>
      <c r="M144" s="24" t="n">
        <v>28.1606</v>
      </c>
      <c r="N144" s="24" t="n">
        <v>10.9629</v>
      </c>
      <c r="O144" s="24" t="n">
        <v>51.9217</v>
      </c>
      <c r="P144" s="24" t="n">
        <v>48.8797</v>
      </c>
      <c r="Q144" s="24" t="n">
        <v>10.8544</v>
      </c>
      <c r="R144" s="24" t="n">
        <v>17.5323</v>
      </c>
      <c r="S144" s="24" t="n">
        <v>16.8366</v>
      </c>
      <c r="T144" s="24" t="n">
        <v>797.958</v>
      </c>
      <c r="U144" s="24" t="n">
        <v>2.8773</v>
      </c>
      <c r="V144" s="24" t="n">
        <v>19.593</v>
      </c>
      <c r="W144" s="25" t="n">
        <v>2</v>
      </c>
      <c r="X144" s="26" t="n">
        <v>0.3776</v>
      </c>
      <c r="Y144" s="24" t="n">
        <v>0.7038</v>
      </c>
      <c r="Z144" s="24" t="n">
        <v>0.007</v>
      </c>
      <c r="AA144" s="24" t="n">
        <v>0.018</v>
      </c>
      <c r="AB144" s="24" t="n">
        <v>0.7851</v>
      </c>
      <c r="AC144" s="24" t="n">
        <v>0.0746</v>
      </c>
      <c r="AD144" s="24" t="n">
        <v>0.9394</v>
      </c>
      <c r="AE144" s="24" t="n">
        <v>0.9071</v>
      </c>
      <c r="AF144" s="24" t="n">
        <v>0.6422</v>
      </c>
    </row>
    <row r="145">
      <c r="A145" s="9" t="inlineStr">
        <is>
          <t>MUS</t>
        </is>
      </c>
      <c r="B145" s="9" t="inlineStr">
        <is>
          <t>Mauritius</t>
        </is>
      </c>
      <c r="C145" s="9" t="inlineStr">
        <is>
          <t>EMDC</t>
        </is>
      </c>
      <c r="D145" s="23" t="n">
        <v>0.0669</v>
      </c>
      <c r="E145" s="24" t="n">
        <v>18.2115</v>
      </c>
      <c r="F145" s="24" t="n">
        <v>0.1432</v>
      </c>
      <c r="G145" s="24" t="n">
        <v>0.3205</v>
      </c>
      <c r="H145" s="24" t="n">
        <v>0.1773</v>
      </c>
      <c r="I145" s="24" t="n">
        <v>-0.053</v>
      </c>
      <c r="J145" s="24" t="n">
        <v>-0.0568</v>
      </c>
      <c r="K145" s="24" t="n">
        <v>-0.08169999999999999</v>
      </c>
      <c r="L145" s="24" t="n">
        <v>7.514</v>
      </c>
      <c r="M145" s="24" t="n">
        <v>5.8447</v>
      </c>
      <c r="N145" s="24" t="n">
        <v>1.3538</v>
      </c>
      <c r="O145" s="24" t="n">
        <v>10.87</v>
      </c>
      <c r="P145" s="24" t="n">
        <v>6.5044</v>
      </c>
      <c r="Q145" s="24" t="n">
        <v>-2.3079</v>
      </c>
      <c r="R145" s="24" t="n">
        <v>-2.6988</v>
      </c>
      <c r="S145" s="24" t="n">
        <v>-3.4712</v>
      </c>
      <c r="T145" s="24" t="n">
        <v>109.2818</v>
      </c>
      <c r="U145" s="24" t="n">
        <v>4.7702</v>
      </c>
      <c r="V145" s="24" t="n">
        <v>4.774</v>
      </c>
      <c r="W145" s="25" t="n">
        <v>2</v>
      </c>
      <c r="X145" s="26" t="n">
        <v>0.722</v>
      </c>
      <c r="Y145" s="24" t="n">
        <v>0.0562</v>
      </c>
      <c r="Z145" s="24" t="n">
        <v>0.0683</v>
      </c>
      <c r="AA145" s="24" t="n">
        <v>0.0576</v>
      </c>
      <c r="AB145" s="24" t="n">
        <v>0.0473</v>
      </c>
      <c r="AC145" s="24" t="n">
        <v>0.0911</v>
      </c>
      <c r="AD145" s="24" t="n">
        <v>0.0704</v>
      </c>
      <c r="AE145" s="24" t="n">
        <v>0.0388</v>
      </c>
      <c r="AF145" s="24" t="n">
        <v>0.1818</v>
      </c>
    </row>
    <row r="146">
      <c r="A146" s="9" t="inlineStr">
        <is>
          <t>BHS</t>
        </is>
      </c>
      <c r="B146" s="9" t="inlineStr">
        <is>
          <t>Bahamas, The</t>
        </is>
      </c>
      <c r="C146" s="9" t="inlineStr">
        <is>
          <t>EMDC</t>
        </is>
      </c>
      <c r="D146" s="23" t="n">
        <v>0.105</v>
      </c>
      <c r="E146" s="24" t="n">
        <v>17.9829</v>
      </c>
      <c r="F146" s="24" t="n">
        <v>0.1889</v>
      </c>
      <c r="G146" s="24" t="n">
        <v>0.4502</v>
      </c>
      <c r="H146" s="24" t="n">
        <v>0.2613</v>
      </c>
      <c r="I146" s="24" t="n">
        <v>0.08309999999999999</v>
      </c>
      <c r="J146" s="24" t="n">
        <v>0.032</v>
      </c>
      <c r="K146" s="24" t="n">
        <v>0.0231</v>
      </c>
      <c r="L146" s="24" t="n">
        <v>5.1558</v>
      </c>
      <c r="M146" s="24" t="n">
        <v>4.5174</v>
      </c>
      <c r="N146" s="24" t="n">
        <v>0.7657</v>
      </c>
      <c r="O146" s="24" t="n">
        <v>13.6409</v>
      </c>
      <c r="P146" s="24" t="n">
        <v>8.545199999999999</v>
      </c>
      <c r="Q146" s="24" t="n">
        <v>0.3466</v>
      </c>
      <c r="R146" s="24" t="n">
        <v>-0.9449</v>
      </c>
      <c r="S146" s="24" t="n">
        <v>-1.3179</v>
      </c>
      <c r="T146" s="24" t="n">
        <v>60.378</v>
      </c>
      <c r="U146" s="24" t="n">
        <v>4.4093</v>
      </c>
      <c r="V146" s="24" t="n">
        <v>1.324</v>
      </c>
      <c r="W146" s="25" t="n">
        <v>2</v>
      </c>
      <c r="X146" s="26" t="n">
        <v>1.508</v>
      </c>
      <c r="Y146" s="24" t="n">
        <v>0.0188</v>
      </c>
      <c r="Z146" s="24" t="n">
        <v>0.1405</v>
      </c>
      <c r="AA146" s="24" t="n">
        <v>0.1002</v>
      </c>
      <c r="AB146" s="24" t="n">
        <v>0.0687</v>
      </c>
      <c r="AC146" s="24" t="n">
        <v>0.1221</v>
      </c>
      <c r="AD146" s="24" t="n">
        <v>0.0394</v>
      </c>
      <c r="AE146" s="24" t="n">
        <v>0.0256</v>
      </c>
      <c r="AF146" s="24" t="n">
        <v>0.2703</v>
      </c>
    </row>
    <row r="147">
      <c r="A147" s="9" t="inlineStr">
        <is>
          <t>COG</t>
        </is>
      </c>
      <c r="B147" s="9" t="inlineStr">
        <is>
          <t>Congo, Rep.</t>
        </is>
      </c>
      <c r="C147" s="9" t="inlineStr">
        <is>
          <t>EMDC</t>
        </is>
      </c>
      <c r="D147" s="23" t="n">
        <v>0.105</v>
      </c>
      <c r="E147" s="24" t="n">
        <v>17.5351</v>
      </c>
      <c r="F147" s="24" t="n">
        <v>0.1008</v>
      </c>
      <c r="G147" s="24" t="n">
        <v>1.0507</v>
      </c>
      <c r="H147" s="24" t="n">
        <v>0.9499</v>
      </c>
      <c r="I147" s="24" t="n">
        <v>0.8454</v>
      </c>
      <c r="J147" s="24" t="n">
        <v>0.8326</v>
      </c>
      <c r="K147" s="24" t="n">
        <v>0.8303</v>
      </c>
      <c r="L147" s="24" t="n">
        <v>36.5468</v>
      </c>
      <c r="M147" s="24" t="n">
        <v>20.0886</v>
      </c>
      <c r="N147" s="24" t="n">
        <v>9.216699999999999</v>
      </c>
      <c r="O147" s="24" t="n">
        <v>33.3975</v>
      </c>
      <c r="P147" s="24" t="n">
        <v>29.957</v>
      </c>
      <c r="Q147" s="24" t="n">
        <v>6.0582</v>
      </c>
      <c r="R147" s="24" t="n">
        <v>9.2036</v>
      </c>
      <c r="S147" s="24" t="n">
        <v>9.1089</v>
      </c>
      <c r="T147" s="24" t="n">
        <v>517.2216</v>
      </c>
      <c r="U147" s="24" t="n">
        <v>2.5145</v>
      </c>
      <c r="V147" s="24" t="n">
        <v>7.173</v>
      </c>
      <c r="W147" s="25" t="n">
        <v>1</v>
      </c>
      <c r="X147" s="26" t="n">
        <v>0.5797</v>
      </c>
      <c r="Y147" s="24" t="n">
        <v>0.4667</v>
      </c>
      <c r="Z147" s="24" t="n">
        <v>0.0443</v>
      </c>
      <c r="AA147" s="24" t="n">
        <v>0.0171</v>
      </c>
      <c r="AB147" s="24" t="n">
        <v>0.4329</v>
      </c>
      <c r="AC147" s="24" t="n">
        <v>0.0897</v>
      </c>
      <c r="AD147" s="24" t="n">
        <v>0.5966</v>
      </c>
      <c r="AE147" s="24" t="n">
        <v>0.5570000000000001</v>
      </c>
      <c r="AF147" s="24" t="n">
        <v>0.4098</v>
      </c>
    </row>
    <row r="148">
      <c r="A148" s="9" t="inlineStr">
        <is>
          <t>BRN</t>
        </is>
      </c>
      <c r="B148" s="9" t="inlineStr">
        <is>
          <t>Brunei Darussalam</t>
        </is>
      </c>
      <c r="C148" s="9" t="inlineStr">
        <is>
          <t>EMDC</t>
        </is>
      </c>
      <c r="D148" s="23" t="n">
        <v>0.105</v>
      </c>
      <c r="E148" s="24" t="n">
        <v>17.4045</v>
      </c>
      <c r="F148" s="24" t="n">
        <v>0.164</v>
      </c>
      <c r="G148" s="24" t="n">
        <v>0.6756</v>
      </c>
      <c r="H148" s="24" t="n">
        <v>0.5116000000000001</v>
      </c>
      <c r="I148" s="24" t="n">
        <v>0.223</v>
      </c>
      <c r="J148" s="24" t="n">
        <v>0.146</v>
      </c>
      <c r="K148" s="24" t="n">
        <v>0.1397</v>
      </c>
      <c r="L148" s="24" t="n">
        <v>16.5211</v>
      </c>
      <c r="M148" s="24" t="n">
        <v>13.0263</v>
      </c>
      <c r="N148" s="24" t="n">
        <v>3.7403</v>
      </c>
      <c r="O148" s="24" t="n">
        <v>21.5756</v>
      </c>
      <c r="P148" s="24" t="n">
        <v>17.1872</v>
      </c>
      <c r="Q148" s="24" t="n">
        <v>2.0367</v>
      </c>
      <c r="R148" s="24" t="n">
        <v>1.3482</v>
      </c>
      <c r="S148" s="24" t="n">
        <v>1.1704</v>
      </c>
      <c r="T148" s="24" t="n">
        <v>194.4785</v>
      </c>
      <c r="U148" s="24" t="n">
        <v>9.102</v>
      </c>
      <c r="V148" s="24" t="n">
        <v>9.571</v>
      </c>
      <c r="W148" s="25" t="n">
        <v>1</v>
      </c>
      <c r="X148" s="26" t="n">
        <v>0.7423</v>
      </c>
      <c r="Y148" s="24" t="n">
        <v>0.1089</v>
      </c>
      <c r="Z148" s="24" t="n">
        <v>0.1694</v>
      </c>
      <c r="AA148" s="24" t="n">
        <v>0.0409</v>
      </c>
      <c r="AB148" s="24" t="n">
        <v>0.2219</v>
      </c>
      <c r="AC148" s="24" t="n">
        <v>0.1345</v>
      </c>
      <c r="AD148" s="24" t="n">
        <v>0.1754</v>
      </c>
      <c r="AE148" s="24" t="n">
        <v>0.1331</v>
      </c>
      <c r="AF148" s="24" t="n">
        <v>0.3308</v>
      </c>
    </row>
    <row r="149">
      <c r="A149" s="9" t="inlineStr">
        <is>
          <t>NAM</t>
        </is>
      </c>
      <c r="B149" s="9" t="inlineStr">
        <is>
          <t>Namibia</t>
        </is>
      </c>
      <c r="C149" s="9" t="inlineStr">
        <is>
          <t>EMDC</t>
        </is>
      </c>
      <c r="D149" s="23" t="n">
        <v>0.06279999999999999</v>
      </c>
      <c r="E149" s="24" t="n">
        <v>15.4826</v>
      </c>
      <c r="F149" s="24" t="n">
        <v>0.1081</v>
      </c>
      <c r="G149" s="24" t="n">
        <v>0.917</v>
      </c>
      <c r="H149" s="24" t="n">
        <v>0.8089</v>
      </c>
      <c r="I149" s="24" t="n">
        <v>0.615</v>
      </c>
      <c r="J149" s="24" t="n">
        <v>0.6133</v>
      </c>
      <c r="K149" s="24" t="n">
        <v>0.6086</v>
      </c>
      <c r="L149" s="24" t="n">
        <v>23.7623</v>
      </c>
      <c r="M149" s="24" t="n">
        <v>10.3532</v>
      </c>
      <c r="N149" s="24" t="n">
        <v>4.8485</v>
      </c>
      <c r="O149" s="24" t="n">
        <v>25.4306</v>
      </c>
      <c r="P149" s="24" t="n">
        <v>22.1611</v>
      </c>
      <c r="Q149" s="24" t="n">
        <v>5.3219</v>
      </c>
      <c r="R149" s="24" t="n">
        <v>5.4277</v>
      </c>
      <c r="S149" s="24" t="n">
        <v>5.2506</v>
      </c>
      <c r="T149" s="24" t="n">
        <v>379.3899</v>
      </c>
      <c r="U149" s="24" t="n">
        <v>3.6925</v>
      </c>
      <c r="V149" s="24" t="n">
        <v>4.261</v>
      </c>
      <c r="W149" s="25" t="n">
        <v>2</v>
      </c>
      <c r="X149" s="26" t="n">
        <v>0.9489</v>
      </c>
      <c r="Y149" s="24" t="n">
        <v>0.3467</v>
      </c>
      <c r="Z149" s="24" t="n">
        <v>0.0551</v>
      </c>
      <c r="AA149" s="24" t="n">
        <v>0.0479</v>
      </c>
      <c r="AB149" s="24" t="n">
        <v>0.2972</v>
      </c>
      <c r="AC149" s="24" t="n">
        <v>0.1701</v>
      </c>
      <c r="AD149" s="24" t="n">
        <v>0.4359</v>
      </c>
      <c r="AE149" s="24" t="n">
        <v>0.4226</v>
      </c>
      <c r="AF149" s="24" t="n">
        <v>0.426</v>
      </c>
    </row>
    <row r="150">
      <c r="A150" s="9" t="inlineStr">
        <is>
          <t>SOM</t>
        </is>
      </c>
      <c r="B150" s="9" t="inlineStr">
        <is>
          <t>Somalia, Fed. Rep.</t>
        </is>
      </c>
      <c r="C150" s="9" t="inlineStr">
        <is>
          <t>EMDC</t>
        </is>
      </c>
      <c r="D150" s="23" t="n">
        <v>0.105</v>
      </c>
      <c r="E150" s="24" t="n">
        <v>14.4303</v>
      </c>
      <c r="F150" s="24" t="n">
        <v>0.0709</v>
      </c>
      <c r="G150" s="24" t="n">
        <v>1.4888</v>
      </c>
      <c r="H150" s="24" t="n">
        <v>1.4179</v>
      </c>
      <c r="I150" s="24" t="n">
        <v>1.3587</v>
      </c>
      <c r="J150" s="24" t="n">
        <v>1.3447</v>
      </c>
      <c r="K150" s="24" t="n">
        <v>1.3446</v>
      </c>
      <c r="L150" s="24" t="n">
        <v>52.6529</v>
      </c>
      <c r="M150" s="24" t="n">
        <v>25.6802</v>
      </c>
      <c r="N150" s="24" t="n">
        <v>14.1794</v>
      </c>
      <c r="O150" s="24" t="n">
        <v>42.5406</v>
      </c>
      <c r="P150" s="24" t="n">
        <v>40.0355</v>
      </c>
      <c r="Q150" s="24" t="n">
        <v>9.992100000000001</v>
      </c>
      <c r="R150" s="24" t="n">
        <v>15.7642</v>
      </c>
      <c r="S150" s="24" t="n">
        <v>15.7637</v>
      </c>
      <c r="T150" s="24" t="n">
        <v>758.5682</v>
      </c>
      <c r="U150" s="24" t="n">
        <v>1.56</v>
      </c>
      <c r="V150" s="24" t="n">
        <v>0.9429999999999999</v>
      </c>
      <c r="W150" s="25" t="n">
        <v>1</v>
      </c>
      <c r="X150" s="26" t="n">
        <v>0.2819</v>
      </c>
      <c r="Y150" s="24" t="n">
        <v>0.8646</v>
      </c>
      <c r="Z150" s="24" t="n">
        <v>0.019</v>
      </c>
      <c r="AA150" s="24" t="n">
        <v>0.008800000000000001</v>
      </c>
      <c r="AB150" s="24" t="n">
        <v>0.5023</v>
      </c>
      <c r="AC150" s="24" t="n">
        <v>0.0941</v>
      </c>
      <c r="AD150" s="24" t="n">
        <v>1.0153</v>
      </c>
      <c r="AE150" s="24" t="n">
        <v>0.9828</v>
      </c>
      <c r="AF150" s="24" t="n">
        <v>0.4546</v>
      </c>
    </row>
    <row r="151">
      <c r="A151" s="9" t="inlineStr">
        <is>
          <t>TGO</t>
        </is>
      </c>
      <c r="B151" s="9" t="inlineStr">
        <is>
          <t>Togo</t>
        </is>
      </c>
      <c r="C151" s="9" t="inlineStr">
        <is>
          <t>EMDC</t>
        </is>
      </c>
      <c r="D151" s="23" t="n">
        <v>0.105</v>
      </c>
      <c r="E151" s="24" t="n">
        <v>14.3359</v>
      </c>
      <c r="F151" s="24" t="n">
        <v>0.1165</v>
      </c>
      <c r="G151" s="24" t="n">
        <v>0.3693</v>
      </c>
      <c r="H151" s="24" t="n">
        <v>0.2527</v>
      </c>
      <c r="I151" s="24" t="n">
        <v>0.1557</v>
      </c>
      <c r="J151" s="24" t="n">
        <v>0.1426</v>
      </c>
      <c r="K151" s="24" t="n">
        <v>0.142</v>
      </c>
      <c r="L151" s="24" t="n">
        <v>12.4694</v>
      </c>
      <c r="M151" s="24" t="n">
        <v>8.733700000000001</v>
      </c>
      <c r="N151" s="24" t="n">
        <v>4.1699</v>
      </c>
      <c r="O151" s="24" t="n">
        <v>12.211</v>
      </c>
      <c r="P151" s="24" t="n">
        <v>8.4467</v>
      </c>
      <c r="Q151" s="24" t="n">
        <v>0.5306999999999999</v>
      </c>
      <c r="R151" s="24" t="n">
        <v>0.1388</v>
      </c>
      <c r="S151" s="24" t="n">
        <v>0.112</v>
      </c>
      <c r="T151" s="24" t="n">
        <v>140.5066</v>
      </c>
      <c r="U151" s="24" t="n">
        <v>2.4191</v>
      </c>
      <c r="V151" s="24" t="n">
        <v>2.512</v>
      </c>
      <c r="W151" s="25" t="n">
        <v>2</v>
      </c>
      <c r="X151" s="26" t="n">
        <v>1.1959</v>
      </c>
      <c r="Y151" s="24" t="n">
        <v>0.1015</v>
      </c>
      <c r="Z151" s="24" t="n">
        <v>0.0445</v>
      </c>
      <c r="AA151" s="24" t="n">
        <v>0.0438</v>
      </c>
      <c r="AB151" s="24" t="n">
        <v>0.1207</v>
      </c>
      <c r="AC151" s="24" t="n">
        <v>0.0588</v>
      </c>
      <c r="AD151" s="24" t="n">
        <v>0.1377</v>
      </c>
      <c r="AE151" s="24" t="n">
        <v>0.1161</v>
      </c>
      <c r="AF151" s="24" t="n">
        <v>0.1871</v>
      </c>
    </row>
    <row r="152">
      <c r="A152" s="9" t="inlineStr">
        <is>
          <t>MRT</t>
        </is>
      </c>
      <c r="B152" s="9" t="inlineStr">
        <is>
          <t>Mauritania</t>
        </is>
      </c>
      <c r="C152" s="9" t="inlineStr">
        <is>
          <t>EMDC</t>
        </is>
      </c>
      <c r="D152" s="23" t="n">
        <v>0.105</v>
      </c>
      <c r="E152" s="24" t="n">
        <v>14.1925</v>
      </c>
      <c r="F152" s="24" t="n">
        <v>0.1267</v>
      </c>
      <c r="G152" s="24" t="n">
        <v>0.6873</v>
      </c>
      <c r="H152" s="24" t="n">
        <v>0.5605</v>
      </c>
      <c r="I152" s="24" t="n">
        <v>0.2526</v>
      </c>
      <c r="J152" s="24" t="n">
        <v>0.1885</v>
      </c>
      <c r="K152" s="24" t="n">
        <v>0.1869</v>
      </c>
      <c r="L152" s="24" t="n">
        <v>20.0606</v>
      </c>
      <c r="M152" s="24" t="n">
        <v>15.4863</v>
      </c>
      <c r="N152" s="24" t="n">
        <v>6.868</v>
      </c>
      <c r="O152" s="24" t="n">
        <v>26.4201</v>
      </c>
      <c r="P152" s="24" t="n">
        <v>22.4124</v>
      </c>
      <c r="Q152" s="24" t="n">
        <v>1.6143</v>
      </c>
      <c r="R152" s="24" t="n">
        <v>0.2603</v>
      </c>
      <c r="S152" s="24" t="n">
        <v>0.1853</v>
      </c>
      <c r="T152" s="24" t="n">
        <v>229.7746</v>
      </c>
      <c r="U152" s="24" t="n">
        <v>6.1921</v>
      </c>
      <c r="V152" s="24" t="n">
        <v>4.812</v>
      </c>
      <c r="W152" s="25" t="n">
        <v>1</v>
      </c>
      <c r="X152" s="26" t="n">
        <v>0.4292</v>
      </c>
      <c r="Y152" s="24" t="n">
        <v>0.2075</v>
      </c>
      <c r="Z152" s="24" t="n">
        <v>0.0921</v>
      </c>
      <c r="AA152" s="24" t="n">
        <v>0.0319</v>
      </c>
      <c r="AB152" s="24" t="n">
        <v>0.2556</v>
      </c>
      <c r="AC152" s="24" t="n">
        <v>0.1002</v>
      </c>
      <c r="AD152" s="24" t="n">
        <v>0.2841</v>
      </c>
      <c r="AE152" s="24" t="n">
        <v>0.2277</v>
      </c>
      <c r="AF152" s="24" t="n">
        <v>0.311</v>
      </c>
    </row>
    <row r="153">
      <c r="A153" s="9" t="inlineStr">
        <is>
          <t>XKX</t>
        </is>
      </c>
      <c r="B153" s="9" t="inlineStr">
        <is>
          <t>Kosovo</t>
        </is>
      </c>
      <c r="C153" s="9" t="inlineStr">
        <is>
          <t>EMDC</t>
        </is>
      </c>
      <c r="D153" s="23" t="n">
        <v>0.105</v>
      </c>
      <c r="E153" s="24" t="n">
        <v>13.7133</v>
      </c>
      <c r="F153" s="24" t="n">
        <v>0.1943</v>
      </c>
      <c r="G153" s="24" t="n">
        <v>0.3582</v>
      </c>
      <c r="H153" s="24" t="n">
        <v>0.1639</v>
      </c>
      <c r="I153" s="24" t="n">
        <v>-0.0062</v>
      </c>
      <c r="J153" s="24" t="n">
        <v>-0.0356</v>
      </c>
      <c r="K153" s="24" t="n">
        <v>-0.0356</v>
      </c>
      <c r="L153" s="24" t="n">
        <v>9.094799999999999</v>
      </c>
      <c r="M153" s="24" t="n">
        <v>7.8013</v>
      </c>
      <c r="N153" s="24" t="n">
        <v>0.8951</v>
      </c>
      <c r="O153" s="24" t="n">
        <v>13.2556</v>
      </c>
      <c r="P153" s="24" t="n">
        <v>7.0907</v>
      </c>
      <c r="Q153" s="24" t="n">
        <v>-0.3645</v>
      </c>
      <c r="R153" s="24" t="n">
        <v>-1.7354</v>
      </c>
      <c r="S153" s="24" t="n">
        <v>-1.7354</v>
      </c>
      <c r="T153" s="24" t="n">
        <v>122.5766</v>
      </c>
      <c r="U153" s="24" t="n">
        <v>8.648899999999999</v>
      </c>
      <c r="V153" s="24" t="n">
        <v>8.673999999999999</v>
      </c>
      <c r="W153" s="25" t="n">
        <v>2</v>
      </c>
      <c r="X153" s="26" t="n">
        <v>0.9211</v>
      </c>
      <c r="Y153" s="24" t="n">
        <v>0.0366</v>
      </c>
      <c r="Z153" s="24" t="n">
        <v>0.111</v>
      </c>
      <c r="AA153" s="24" t="n">
        <v>0.08309999999999999</v>
      </c>
      <c r="AB153" s="24" t="n">
        <v>0.0605</v>
      </c>
      <c r="AC153" s="24" t="n">
        <v>0.067</v>
      </c>
      <c r="AD153" s="24" t="n">
        <v>0.0547</v>
      </c>
      <c r="AE153" s="24" t="n">
        <v>0.0263</v>
      </c>
      <c r="AF153" s="24" t="n">
        <v>0.1925</v>
      </c>
    </row>
    <row r="154">
      <c r="A154" s="9" t="inlineStr">
        <is>
          <t>MWI</t>
        </is>
      </c>
      <c r="B154" s="9" t="inlineStr">
        <is>
          <t>Malawi</t>
        </is>
      </c>
      <c r="C154" s="9" t="inlineStr">
        <is>
          <t>EMDC</t>
        </is>
      </c>
      <c r="D154" s="23" t="n">
        <v>0.105</v>
      </c>
      <c r="E154" s="24" t="n">
        <v>13.6519</v>
      </c>
      <c r="F154" s="24" t="n">
        <v>0.0871</v>
      </c>
      <c r="G154" s="24" t="n">
        <v>0.8758</v>
      </c>
      <c r="H154" s="24" t="n">
        <v>0.7886</v>
      </c>
      <c r="I154" s="24" t="n">
        <v>0.7137</v>
      </c>
      <c r="J154" s="24" t="n">
        <v>0.702</v>
      </c>
      <c r="K154" s="24" t="n">
        <v>0.7019</v>
      </c>
      <c r="L154" s="24" t="n">
        <v>29.6566</v>
      </c>
      <c r="M154" s="24" t="n">
        <v>15.7699</v>
      </c>
      <c r="N154" s="24" t="n">
        <v>7.5058</v>
      </c>
      <c r="O154" s="24" t="n">
        <v>27.7528</v>
      </c>
      <c r="P154" s="24" t="n">
        <v>24.5752</v>
      </c>
      <c r="Q154" s="24" t="n">
        <v>5.255</v>
      </c>
      <c r="R154" s="24" t="n">
        <v>8.1607</v>
      </c>
      <c r="S154" s="24" t="n">
        <v>8.158300000000001</v>
      </c>
      <c r="T154" s="24" t="n">
        <v>418.3959</v>
      </c>
      <c r="U154" s="24" t="n">
        <v>1.7376</v>
      </c>
      <c r="V154" s="24" t="n">
        <v>5.956</v>
      </c>
      <c r="W154" s="25" t="n">
        <v>2</v>
      </c>
      <c r="X154" s="26" t="n">
        <v>0.8172</v>
      </c>
      <c r="Y154" s="24" t="n">
        <v>0.4296</v>
      </c>
      <c r="Z154" s="24" t="n">
        <v>0.0267</v>
      </c>
      <c r="AA154" s="24" t="n">
        <v>0.0318</v>
      </c>
      <c r="AB154" s="24" t="n">
        <v>0.3211</v>
      </c>
      <c r="AC154" s="24" t="n">
        <v>0.06660000000000001</v>
      </c>
      <c r="AD154" s="24" t="n">
        <v>0.526</v>
      </c>
      <c r="AE154" s="24" t="n">
        <v>0.5023</v>
      </c>
      <c r="AF154" s="24" t="n">
        <v>0.3231</v>
      </c>
    </row>
    <row r="155">
      <c r="A155" s="9" t="inlineStr">
        <is>
          <t>GNQ</t>
        </is>
      </c>
      <c r="B155" s="9" t="inlineStr">
        <is>
          <t>Equatorial Guinea</t>
        </is>
      </c>
      <c r="C155" s="9" t="inlineStr">
        <is>
          <t>EMDC</t>
        </is>
      </c>
      <c r="D155" s="23" t="n">
        <v>0.105</v>
      </c>
      <c r="E155" s="24" t="n">
        <v>10.8772</v>
      </c>
      <c r="F155" s="24" t="n">
        <v>0.0436</v>
      </c>
      <c r="G155" s="24" t="n">
        <v>0.5245</v>
      </c>
      <c r="H155" s="24" t="n">
        <v>0.4809</v>
      </c>
      <c r="I155" s="24" t="n">
        <v>0.4133</v>
      </c>
      <c r="J155" s="24" t="n">
        <v>0.3822</v>
      </c>
      <c r="K155" s="24" t="n">
        <v>0.3809</v>
      </c>
      <c r="L155" s="24" t="n">
        <v>15.6396</v>
      </c>
      <c r="M155" s="24" t="n">
        <v>9.135899999999999</v>
      </c>
      <c r="N155" s="24" t="n">
        <v>3.8964</v>
      </c>
      <c r="O155" s="24" t="n">
        <v>17.6313</v>
      </c>
      <c r="P155" s="24" t="n">
        <v>16.0325</v>
      </c>
      <c r="Q155" s="24" t="n">
        <v>3.5977</v>
      </c>
      <c r="R155" s="24" t="n">
        <v>5.2778</v>
      </c>
      <c r="S155" s="24" t="n">
        <v>5.2401</v>
      </c>
      <c r="T155" s="24" t="n">
        <v>210.5104</v>
      </c>
      <c r="U155" s="24" t="n">
        <v>2.6311</v>
      </c>
      <c r="V155" s="24" t="n">
        <v>4.959</v>
      </c>
      <c r="W155" s="25" t="n">
        <v>1</v>
      </c>
      <c r="X155" s="26" t="n">
        <v>0.9462</v>
      </c>
      <c r="Y155" s="24" t="n">
        <v>0.1451</v>
      </c>
      <c r="Z155" s="24" t="n">
        <v>0.06850000000000001</v>
      </c>
      <c r="AA155" s="24" t="n">
        <v>0.016</v>
      </c>
      <c r="AB155" s="24" t="n">
        <v>0.2121</v>
      </c>
      <c r="AC155" s="24" t="n">
        <v>0.0828</v>
      </c>
      <c r="AD155" s="24" t="n">
        <v>0.2087</v>
      </c>
      <c r="AE155" s="24" t="n">
        <v>0.1993</v>
      </c>
      <c r="AF155" s="24" t="n">
        <v>0.2473</v>
      </c>
    </row>
    <row r="156">
      <c r="A156" s="9" t="inlineStr">
        <is>
          <t>MNE</t>
        </is>
      </c>
      <c r="B156" s="9" t="inlineStr">
        <is>
          <t>Montenegro</t>
        </is>
      </c>
      <c r="C156" s="9" t="inlineStr">
        <is>
          <t>EMDC</t>
        </is>
      </c>
      <c r="D156" s="23" t="n">
        <v>0.1098</v>
      </c>
      <c r="E156" s="24" t="n">
        <v>9.7667</v>
      </c>
      <c r="F156" s="24" t="n">
        <v>0.1278</v>
      </c>
      <c r="G156" s="24" t="n">
        <v>0.1851</v>
      </c>
      <c r="H156" s="24" t="n">
        <v>0.0573</v>
      </c>
      <c r="I156" s="24" t="n">
        <v>0.0011</v>
      </c>
      <c r="J156" s="24" t="n">
        <v>-0.01</v>
      </c>
      <c r="K156" s="24" t="n">
        <v>-0.01</v>
      </c>
      <c r="L156" s="24" t="n">
        <v>1.906</v>
      </c>
      <c r="M156" s="24" t="n">
        <v>1.7889</v>
      </c>
      <c r="N156" s="24" t="n">
        <v>0.3414</v>
      </c>
      <c r="O156" s="24" t="n">
        <v>5.2922</v>
      </c>
      <c r="P156" s="24" t="n">
        <v>1.8255</v>
      </c>
      <c r="Q156" s="24" t="n">
        <v>-0.195</v>
      </c>
      <c r="R156" s="24" t="n">
        <v>-0.7576000000000001</v>
      </c>
      <c r="S156" s="24" t="n">
        <v>-0.7576000000000001</v>
      </c>
      <c r="T156" s="24" t="n">
        <v>13.6179</v>
      </c>
      <c r="U156" s="24" t="n">
        <v>2.3123</v>
      </c>
      <c r="V156" s="24" t="n">
        <v>0</v>
      </c>
      <c r="W156" s="25" t="n">
        <v>2</v>
      </c>
      <c r="X156" s="26" t="n">
        <v>1</v>
      </c>
      <c r="Y156" s="24" t="n">
        <v>0.008399999999999999</v>
      </c>
      <c r="Z156" s="24" t="n">
        <v>0.06950000000000001</v>
      </c>
      <c r="AA156" s="24" t="n">
        <v>0.0485</v>
      </c>
      <c r="AB156" s="24" t="n">
        <v>0.0181</v>
      </c>
      <c r="AC156" s="24" t="n">
        <v>0.0406</v>
      </c>
      <c r="AD156" s="24" t="n">
        <v>0.0139</v>
      </c>
      <c r="AE156" s="24" t="n">
        <v>0.0052</v>
      </c>
      <c r="AF156" s="24" t="n">
        <v>0.1018</v>
      </c>
    </row>
    <row r="157">
      <c r="A157" s="9" t="inlineStr">
        <is>
          <t>SLE</t>
        </is>
      </c>
      <c r="B157" s="9" t="inlineStr">
        <is>
          <t>Sierra Leone</t>
        </is>
      </c>
      <c r="C157" s="9" t="inlineStr">
        <is>
          <t>EMDC</t>
        </is>
      </c>
      <c r="D157" s="23" t="n">
        <v>0.105</v>
      </c>
      <c r="E157" s="24" t="n">
        <v>9.0847</v>
      </c>
      <c r="F157" s="24" t="n">
        <v>0.0464</v>
      </c>
      <c r="G157" s="24" t="n">
        <v>0.3724</v>
      </c>
      <c r="H157" s="24" t="n">
        <v>0.3261</v>
      </c>
      <c r="I157" s="24" t="n">
        <v>0.2208</v>
      </c>
      <c r="J157" s="24" t="n">
        <v>0.2077</v>
      </c>
      <c r="K157" s="24" t="n">
        <v>0.2075</v>
      </c>
      <c r="L157" s="24" t="n">
        <v>11.0829</v>
      </c>
      <c r="M157" s="24" t="n">
        <v>5.8221</v>
      </c>
      <c r="N157" s="24" t="n">
        <v>3.057</v>
      </c>
      <c r="O157" s="24" t="n">
        <v>11.3092</v>
      </c>
      <c r="P157" s="24" t="n">
        <v>9.6675</v>
      </c>
      <c r="Q157" s="24" t="n">
        <v>1.0744</v>
      </c>
      <c r="R157" s="24" t="n">
        <v>1.0468</v>
      </c>
      <c r="S157" s="24" t="n">
        <v>1.0402</v>
      </c>
      <c r="T157" s="24" t="n">
        <v>160.7741</v>
      </c>
      <c r="U157" s="24" t="n">
        <v>1.4985</v>
      </c>
      <c r="V157" s="24" t="n">
        <v>1.009</v>
      </c>
      <c r="W157" s="25" t="n">
        <v>2</v>
      </c>
      <c r="X157" s="26" t="n">
        <v>1.1658</v>
      </c>
      <c r="Y157" s="24" t="n">
        <v>0.1696</v>
      </c>
      <c r="Z157" s="24" t="n">
        <v>0.0245</v>
      </c>
      <c r="AA157" s="24" t="n">
        <v>0.0225</v>
      </c>
      <c r="AB157" s="24" t="n">
        <v>0.1161</v>
      </c>
      <c r="AC157" s="24" t="n">
        <v>0.0397</v>
      </c>
      <c r="AD157" s="24" t="n">
        <v>0.2045</v>
      </c>
      <c r="AE157" s="24" t="n">
        <v>0.1937</v>
      </c>
      <c r="AF157" s="24" t="n">
        <v>0.1435</v>
      </c>
    </row>
    <row r="158">
      <c r="A158" s="9" t="inlineStr">
        <is>
          <t>BRB</t>
        </is>
      </c>
      <c r="B158" s="9" t="inlineStr">
        <is>
          <t>Barbados</t>
        </is>
      </c>
      <c r="C158" s="9" t="inlineStr">
        <is>
          <t>EMDC</t>
        </is>
      </c>
      <c r="D158" s="23" t="n">
        <v>0.105</v>
      </c>
      <c r="E158" s="24" t="n">
        <v>8.757999999999999</v>
      </c>
      <c r="F158" s="24" t="n">
        <v>0.0761</v>
      </c>
      <c r="G158" s="24" t="n">
        <v>0.1966</v>
      </c>
      <c r="H158" s="24" t="n">
        <v>0.1205</v>
      </c>
      <c r="I158" s="24" t="n">
        <v>0.0279</v>
      </c>
      <c r="J158" s="24" t="n">
        <v>0.0053</v>
      </c>
      <c r="K158" s="24" t="n">
        <v>0.004</v>
      </c>
      <c r="L158" s="24" t="n">
        <v>2.2352</v>
      </c>
      <c r="M158" s="24" t="n">
        <v>1.9144</v>
      </c>
      <c r="N158" s="24" t="n">
        <v>0.3503</v>
      </c>
      <c r="O158" s="24" t="n">
        <v>6.0483</v>
      </c>
      <c r="P158" s="24" t="n">
        <v>4.0291</v>
      </c>
      <c r="Q158" s="24" t="n">
        <v>0.1858</v>
      </c>
      <c r="R158" s="24" t="n">
        <v>-0.3417</v>
      </c>
      <c r="S158" s="24" t="n">
        <v>-0.386</v>
      </c>
      <c r="T158" s="24" t="n">
        <v>26.1695</v>
      </c>
      <c r="U158" s="24" t="n">
        <v>1.8728</v>
      </c>
      <c r="V158" s="24" t="n">
        <v>0.66</v>
      </c>
      <c r="W158" s="25" t="n">
        <v>1</v>
      </c>
      <c r="X158" s="26" t="n">
        <v>0.9278999999999999</v>
      </c>
      <c r="Y158" s="24" t="n">
        <v>0.0151</v>
      </c>
      <c r="Z158" s="24" t="n">
        <v>0.07820000000000001</v>
      </c>
      <c r="AA158" s="24" t="n">
        <v>0.0178</v>
      </c>
      <c r="AB158" s="24" t="n">
        <v>0.0341</v>
      </c>
      <c r="AC158" s="24" t="n">
        <v>0.0514</v>
      </c>
      <c r="AD158" s="24" t="n">
        <v>0.0253</v>
      </c>
      <c r="AE158" s="24" t="n">
        <v>0.0153</v>
      </c>
      <c r="AF158" s="24" t="n">
        <v>0.0931</v>
      </c>
    </row>
    <row r="159">
      <c r="A159" s="9" t="inlineStr">
        <is>
          <t>MDV</t>
        </is>
      </c>
      <c r="B159" s="9" t="inlineStr">
        <is>
          <t>Maldives</t>
        </is>
      </c>
      <c r="C159" s="9" t="inlineStr">
        <is>
          <t>EMDC</t>
        </is>
      </c>
      <c r="D159" s="23" t="n">
        <v>0.105</v>
      </c>
      <c r="E159" s="24" t="n">
        <v>8.5944</v>
      </c>
      <c r="F159" s="24" t="n">
        <v>0.1205</v>
      </c>
      <c r="G159" s="24" t="n">
        <v>0.2896</v>
      </c>
      <c r="H159" s="24" t="n">
        <v>0.169</v>
      </c>
      <c r="I159" s="24" t="n">
        <v>0.0161</v>
      </c>
      <c r="J159" s="24" t="n">
        <v>-0.0152</v>
      </c>
      <c r="K159" s="24" t="n">
        <v>-0.0214</v>
      </c>
      <c r="L159" s="24" t="n">
        <v>4.048</v>
      </c>
      <c r="M159" s="24" t="n">
        <v>3.5328</v>
      </c>
      <c r="N159" s="24" t="n">
        <v>0.7713</v>
      </c>
      <c r="O159" s="24" t="n">
        <v>9.903</v>
      </c>
      <c r="P159" s="24" t="n">
        <v>6.3423</v>
      </c>
      <c r="Q159" s="24" t="n">
        <v>-0.29</v>
      </c>
      <c r="R159" s="24" t="n">
        <v>-1.6166</v>
      </c>
      <c r="S159" s="24" t="n">
        <v>-1.8594</v>
      </c>
      <c r="T159" s="24" t="n">
        <v>51.8275</v>
      </c>
      <c r="U159" s="24" t="n">
        <v>3.4572</v>
      </c>
      <c r="V159" s="24" t="n">
        <v>2.473</v>
      </c>
      <c r="W159" s="25" t="n">
        <v>2</v>
      </c>
      <c r="X159" s="26" t="n">
        <v>0.6413</v>
      </c>
      <c r="Y159" s="24" t="n">
        <v>0.0481</v>
      </c>
      <c r="Z159" s="24" t="n">
        <v>0.0564</v>
      </c>
      <c r="AA159" s="24" t="n">
        <v>0.048</v>
      </c>
      <c r="AB159" s="24" t="n">
        <v>0.0759</v>
      </c>
      <c r="AC159" s="24" t="n">
        <v>0.0613</v>
      </c>
      <c r="AD159" s="24" t="n">
        <v>0.0708</v>
      </c>
      <c r="AE159" s="24" t="n">
        <v>0.0385</v>
      </c>
      <c r="AF159" s="24" t="n">
        <v>0.1623</v>
      </c>
    </row>
    <row r="160">
      <c r="A160" s="9" t="inlineStr">
        <is>
          <t>YEM</t>
        </is>
      </c>
      <c r="B160" s="9" t="inlineStr">
        <is>
          <t>Yemen, Rep.</t>
        </is>
      </c>
      <c r="C160" s="9" t="inlineStr">
        <is>
          <t>EMDC</t>
        </is>
      </c>
      <c r="D160" s="23" t="n">
        <v>0.1459</v>
      </c>
      <c r="E160" s="24" t="n">
        <v>8.457000000000001</v>
      </c>
      <c r="F160" s="24" t="n">
        <v>0.1525</v>
      </c>
      <c r="G160" s="24" t="n">
        <v>1.0601</v>
      </c>
      <c r="H160" s="24" t="n">
        <v>0.9076</v>
      </c>
      <c r="I160" s="24" t="n">
        <v>0.6131</v>
      </c>
      <c r="J160" s="24" t="n">
        <v>0.429</v>
      </c>
      <c r="K160" s="24" t="n">
        <v>0.4182</v>
      </c>
      <c r="L160" s="24" t="n">
        <v>40.4981</v>
      </c>
      <c r="M160" s="24" t="n">
        <v>30.9343</v>
      </c>
      <c r="N160" s="24" t="n">
        <v>13.1304</v>
      </c>
      <c r="O160" s="24" t="n">
        <v>39.0697</v>
      </c>
      <c r="P160" s="24" t="n">
        <v>33.4953</v>
      </c>
      <c r="Q160" s="24" t="n">
        <v>2.915</v>
      </c>
      <c r="R160" s="24" t="n">
        <v>0.9314</v>
      </c>
      <c r="S160" s="24" t="n">
        <v>-0.2012</v>
      </c>
      <c r="T160" s="24" t="n">
        <v>450.1643</v>
      </c>
      <c r="U160" s="24" t="n">
        <v>10.5225</v>
      </c>
      <c r="V160" s="24" t="n">
        <v>13.135</v>
      </c>
      <c r="W160" s="25" t="n">
        <v>1</v>
      </c>
      <c r="X160" s="26" t="n">
        <v>1</v>
      </c>
      <c r="Y160" s="24" t="n">
        <v>0.221</v>
      </c>
      <c r="Z160" s="24" t="n">
        <v>0.2234</v>
      </c>
      <c r="AA160" s="24" t="n">
        <v>0.0532</v>
      </c>
      <c r="AB160" s="24" t="n">
        <v>0.4561</v>
      </c>
      <c r="AC160" s="24" t="n">
        <v>0.1064</v>
      </c>
      <c r="AD160" s="24" t="n">
        <v>0.3579</v>
      </c>
      <c r="AE160" s="24" t="n">
        <v>0.3344</v>
      </c>
      <c r="AF160" s="24" t="n">
        <v>0.4788</v>
      </c>
    </row>
    <row r="161">
      <c r="A161" s="9" t="inlineStr">
        <is>
          <t>FJI</t>
        </is>
      </c>
      <c r="B161" s="9" t="inlineStr">
        <is>
          <t>Fiji</t>
        </is>
      </c>
      <c r="C161" s="9" t="inlineStr">
        <is>
          <t>EMDC</t>
        </is>
      </c>
      <c r="D161" s="23" t="n">
        <v>0.105</v>
      </c>
      <c r="E161" s="24" t="n">
        <v>6.9716</v>
      </c>
      <c r="F161" s="24" t="n">
        <v>0.0538</v>
      </c>
      <c r="G161" s="24" t="n">
        <v>0.1494</v>
      </c>
      <c r="H161" s="24" t="n">
        <v>0.0956</v>
      </c>
      <c r="I161" s="24" t="n">
        <v>0.0244</v>
      </c>
      <c r="J161" s="24" t="n">
        <v>0.0105</v>
      </c>
      <c r="K161" s="24" t="n">
        <v>0.007</v>
      </c>
      <c r="L161" s="24" t="n">
        <v>3.1832</v>
      </c>
      <c r="M161" s="24" t="n">
        <v>2.5425</v>
      </c>
      <c r="N161" s="24" t="n">
        <v>0.883</v>
      </c>
      <c r="O161" s="24" t="n">
        <v>5.0644</v>
      </c>
      <c r="P161" s="24" t="n">
        <v>3.4335</v>
      </c>
      <c r="Q161" s="24" t="n">
        <v>0.0252</v>
      </c>
      <c r="R161" s="24" t="n">
        <v>-0.42</v>
      </c>
      <c r="S161" s="24" t="n">
        <v>-0.5396</v>
      </c>
      <c r="T161" s="24" t="n">
        <v>35.6035</v>
      </c>
      <c r="U161" s="24" t="n">
        <v>1.5358</v>
      </c>
      <c r="V161" s="24" t="n">
        <v>1.809</v>
      </c>
      <c r="W161" s="25" t="n">
        <v>1</v>
      </c>
      <c r="X161" s="26" t="n">
        <v>1.0607</v>
      </c>
      <c r="Y161" s="24" t="n">
        <v>0.0128</v>
      </c>
      <c r="Z161" s="24" t="n">
        <v>0.0487</v>
      </c>
      <c r="AA161" s="24" t="n">
        <v>0.0122</v>
      </c>
      <c r="AB161" s="24" t="n">
        <v>0.0335</v>
      </c>
      <c r="AC161" s="24" t="n">
        <v>0.0422</v>
      </c>
      <c r="AD161" s="24" t="n">
        <v>0.0228</v>
      </c>
      <c r="AE161" s="24" t="n">
        <v>0.0171</v>
      </c>
      <c r="AF161" s="24" t="n">
        <v>0.0779</v>
      </c>
    </row>
    <row r="162">
      <c r="A162" s="9" t="inlineStr">
        <is>
          <t>LBR</t>
        </is>
      </c>
      <c r="B162" s="9" t="inlineStr">
        <is>
          <t>Liberia</t>
        </is>
      </c>
      <c r="C162" s="9" t="inlineStr">
        <is>
          <t>EMDC</t>
        </is>
      </c>
      <c r="D162" s="23" t="n">
        <v>0.105</v>
      </c>
      <c r="E162" s="24" t="n">
        <v>6.4188</v>
      </c>
      <c r="F162" s="24" t="n">
        <v>0.045</v>
      </c>
      <c r="G162" s="24" t="n">
        <v>0.8099</v>
      </c>
      <c r="H162" s="24" t="n">
        <v>0.7649</v>
      </c>
      <c r="I162" s="24" t="n">
        <v>0.7281</v>
      </c>
      <c r="J162" s="24" t="n">
        <v>0.7186</v>
      </c>
      <c r="K162" s="24" t="n">
        <v>0.7185</v>
      </c>
      <c r="L162" s="24" t="n">
        <v>18.3528</v>
      </c>
      <c r="M162" s="24" t="n">
        <v>4.2627</v>
      </c>
      <c r="N162" s="24" t="n">
        <v>1.9564</v>
      </c>
      <c r="O162" s="24" t="n">
        <v>21.6112</v>
      </c>
      <c r="P162" s="24" t="n">
        <v>19.9935</v>
      </c>
      <c r="Q162" s="24" t="n">
        <v>5.1042</v>
      </c>
      <c r="R162" s="24" t="n">
        <v>7.8561</v>
      </c>
      <c r="S162" s="24" t="n">
        <v>7.8531</v>
      </c>
      <c r="T162" s="24" t="n">
        <v>356.9619</v>
      </c>
      <c r="U162" s="24" t="n">
        <v>0.8708</v>
      </c>
      <c r="V162" s="24" t="n">
        <v>1.724</v>
      </c>
      <c r="W162" s="25" t="n">
        <v>1</v>
      </c>
      <c r="X162" s="26" t="n">
        <v>0.8004</v>
      </c>
      <c r="Y162" s="24" t="n">
        <v>0.548</v>
      </c>
      <c r="Z162" s="24" t="n">
        <v>0.0298</v>
      </c>
      <c r="AA162" s="24" t="n">
        <v>0.009299999999999999</v>
      </c>
      <c r="AB162" s="24" t="n">
        <v>0.2024</v>
      </c>
      <c r="AC162" s="24" t="n">
        <v>0.0204</v>
      </c>
      <c r="AD162" s="24" t="n">
        <v>0.6087</v>
      </c>
      <c r="AE162" s="24" t="n">
        <v>0.5947</v>
      </c>
      <c r="AF162" s="24" t="n">
        <v>0.1714</v>
      </c>
    </row>
    <row r="163">
      <c r="A163" s="9" t="inlineStr">
        <is>
          <t>SWZ</t>
        </is>
      </c>
      <c r="B163" s="9" t="inlineStr">
        <is>
          <t>Eswatini</t>
        </is>
      </c>
      <c r="C163" s="9" t="inlineStr">
        <is>
          <t>EMDC</t>
        </is>
      </c>
      <c r="D163" s="23" t="n">
        <v>0.105</v>
      </c>
      <c r="E163" s="24" t="n">
        <v>6.1296</v>
      </c>
      <c r="F163" s="24" t="n">
        <v>0.0551</v>
      </c>
      <c r="G163" s="24" t="n">
        <v>0.1357</v>
      </c>
      <c r="H163" s="24" t="n">
        <v>0.0805</v>
      </c>
      <c r="I163" s="24" t="n">
        <v>0.0291</v>
      </c>
      <c r="J163" s="24" t="n">
        <v>0.021</v>
      </c>
      <c r="K163" s="24" t="n">
        <v>0.021</v>
      </c>
      <c r="L163" s="24" t="n">
        <v>3.4768</v>
      </c>
      <c r="M163" s="24" t="n">
        <v>2.6899</v>
      </c>
      <c r="N163" s="24" t="n">
        <v>1.1767</v>
      </c>
      <c r="O163" s="24" t="n">
        <v>4.5177</v>
      </c>
      <c r="P163" s="24" t="n">
        <v>2.7147</v>
      </c>
      <c r="Q163" s="24" t="n">
        <v>-0.0442</v>
      </c>
      <c r="R163" s="24" t="n">
        <v>-0.4252</v>
      </c>
      <c r="S163" s="24" t="n">
        <v>-0.4252</v>
      </c>
      <c r="T163" s="24" t="n">
        <v>36.6677</v>
      </c>
      <c r="U163" s="24" t="n">
        <v>1.1447</v>
      </c>
      <c r="V163" s="24" t="n">
        <v>1.326</v>
      </c>
      <c r="W163" s="25" t="n">
        <v>2</v>
      </c>
      <c r="X163" s="26" t="n">
        <v>0.5995</v>
      </c>
      <c r="Y163" s="24" t="n">
        <v>0.0316</v>
      </c>
      <c r="Z163" s="24" t="n">
        <v>0.0132</v>
      </c>
      <c r="AA163" s="24" t="n">
        <v>0.0165</v>
      </c>
      <c r="AB163" s="24" t="n">
        <v>0.0421</v>
      </c>
      <c r="AC163" s="24" t="n">
        <v>0.0323</v>
      </c>
      <c r="AD163" s="24" t="n">
        <v>0.0443</v>
      </c>
      <c r="AE163" s="24" t="n">
        <v>0.0268</v>
      </c>
      <c r="AF163" s="24" t="n">
        <v>0.07820000000000001</v>
      </c>
    </row>
    <row r="164">
      <c r="A164" s="9" t="inlineStr">
        <is>
          <t>BDI</t>
        </is>
      </c>
      <c r="B164" s="9" t="inlineStr">
        <is>
          <t>Burundi</t>
        </is>
      </c>
      <c r="C164" s="9" t="inlineStr">
        <is>
          <t>EMDC</t>
        </is>
      </c>
      <c r="D164" s="23" t="n">
        <v>0.105</v>
      </c>
      <c r="E164" s="24" t="n">
        <v>6.0914</v>
      </c>
      <c r="F164" s="24" t="n">
        <v>0.0419</v>
      </c>
      <c r="G164" s="24" t="n">
        <v>0.3244</v>
      </c>
      <c r="H164" s="24" t="n">
        <v>0.2826</v>
      </c>
      <c r="I164" s="24" t="n">
        <v>0.2451</v>
      </c>
      <c r="J164" s="24" t="n">
        <v>0.2391</v>
      </c>
      <c r="K164" s="24" t="n">
        <v>0.239</v>
      </c>
      <c r="L164" s="24" t="n">
        <v>10.5561</v>
      </c>
      <c r="M164" s="24" t="n">
        <v>5.5887</v>
      </c>
      <c r="N164" s="24" t="n">
        <v>2.9714</v>
      </c>
      <c r="O164" s="24" t="n">
        <v>9.5991</v>
      </c>
      <c r="P164" s="24" t="n">
        <v>8.202400000000001</v>
      </c>
      <c r="Q164" s="24" t="n">
        <v>1.6176</v>
      </c>
      <c r="R164" s="24" t="n">
        <v>2.3359</v>
      </c>
      <c r="S164" s="24" t="n">
        <v>2.333</v>
      </c>
      <c r="T164" s="24" t="n">
        <v>146.2179</v>
      </c>
      <c r="U164" s="24" t="n">
        <v>0.8917</v>
      </c>
      <c r="V164" s="24" t="n">
        <v>0.926</v>
      </c>
      <c r="W164" s="25" t="n">
        <v>2</v>
      </c>
      <c r="X164" s="26" t="n">
        <v>0.6178</v>
      </c>
      <c r="Y164" s="24" t="n">
        <v>0.1651</v>
      </c>
      <c r="Z164" s="24" t="n">
        <v>0.0094</v>
      </c>
      <c r="AA164" s="24" t="n">
        <v>0.0133</v>
      </c>
      <c r="AB164" s="24" t="n">
        <v>0.1062</v>
      </c>
      <c r="AC164" s="24" t="n">
        <v>0.0305</v>
      </c>
      <c r="AD164" s="24" t="n">
        <v>0.1969</v>
      </c>
      <c r="AE164" s="24" t="n">
        <v>0.1824</v>
      </c>
      <c r="AF164" s="24" t="n">
        <v>0.1181</v>
      </c>
    </row>
    <row r="165">
      <c r="A165" s="9" t="inlineStr">
        <is>
          <t>DJI</t>
        </is>
      </c>
      <c r="B165" s="9" t="inlineStr">
        <is>
          <t>Djibouti</t>
        </is>
      </c>
      <c r="C165" s="9" t="inlineStr">
        <is>
          <t>EMDC</t>
        </is>
      </c>
      <c r="D165" s="23" t="n">
        <v>0.105</v>
      </c>
      <c r="E165" s="24" t="n">
        <v>5.8107</v>
      </c>
      <c r="F165" s="24" t="n">
        <v>0.062</v>
      </c>
      <c r="G165" s="24" t="n">
        <v>0.1217</v>
      </c>
      <c r="H165" s="24" t="n">
        <v>0.0597</v>
      </c>
      <c r="I165" s="24" t="n">
        <v>0.0136</v>
      </c>
      <c r="J165" s="24" t="n">
        <v>0.0071</v>
      </c>
      <c r="K165" s="24" t="n">
        <v>0.0142</v>
      </c>
      <c r="L165" s="24" t="n">
        <v>2.4372</v>
      </c>
      <c r="M165" s="24" t="n">
        <v>1.8285</v>
      </c>
      <c r="N165" s="24" t="n">
        <v>0.7509</v>
      </c>
      <c r="O165" s="24" t="n">
        <v>4.3089</v>
      </c>
      <c r="P165" s="24" t="n">
        <v>2.3148</v>
      </c>
      <c r="Q165" s="24" t="n">
        <v>-0.0324</v>
      </c>
      <c r="R165" s="24" t="n">
        <v>-0.3364</v>
      </c>
      <c r="S165" s="24" t="n">
        <v>-0.0847</v>
      </c>
      <c r="T165" s="24" t="n">
        <v>31.1703</v>
      </c>
      <c r="U165" s="24" t="n">
        <v>0.7282</v>
      </c>
      <c r="V165" s="24" t="n">
        <v>0.776</v>
      </c>
      <c r="W165" s="25" t="n">
        <v>2</v>
      </c>
      <c r="X165" s="26" t="n">
        <v>1</v>
      </c>
      <c r="Y165" s="24" t="n">
        <v>0.0148</v>
      </c>
      <c r="Z165" s="24" t="n">
        <v>0.0334</v>
      </c>
      <c r="AA165" s="24" t="n">
        <v>0.0247</v>
      </c>
      <c r="AB165" s="24" t="n">
        <v>0.026</v>
      </c>
      <c r="AC165" s="24" t="n">
        <v>0.0227</v>
      </c>
      <c r="AD165" s="24" t="n">
        <v>0.0226</v>
      </c>
      <c r="AE165" s="24" t="n">
        <v>0.0155</v>
      </c>
      <c r="AF165" s="24" t="n">
        <v>0.06569999999999999</v>
      </c>
    </row>
    <row r="166">
      <c r="A166" s="9" t="inlineStr">
        <is>
          <t>SUR</t>
        </is>
      </c>
      <c r="B166" s="9" t="inlineStr">
        <is>
          <t>Suriname</t>
        </is>
      </c>
      <c r="C166" s="9" t="inlineStr">
        <is>
          <t>EMDC</t>
        </is>
      </c>
      <c r="D166" s="23" t="n">
        <v>0.105</v>
      </c>
      <c r="E166" s="24" t="n">
        <v>5.4223</v>
      </c>
      <c r="F166" s="24" t="n">
        <v>0.0672</v>
      </c>
      <c r="G166" s="24" t="n">
        <v>0.7267</v>
      </c>
      <c r="H166" s="24" t="n">
        <v>0.6596</v>
      </c>
      <c r="I166" s="24" t="n">
        <v>0.5012</v>
      </c>
      <c r="J166" s="24" t="n">
        <v>0.4621</v>
      </c>
      <c r="K166" s="24" t="n">
        <v>0.4621</v>
      </c>
      <c r="L166" s="24" t="n">
        <v>14.0979</v>
      </c>
      <c r="M166" s="24" t="n">
        <v>4.5358</v>
      </c>
      <c r="N166" s="24" t="n">
        <v>1.4624</v>
      </c>
      <c r="O166" s="24" t="n">
        <v>19.9706</v>
      </c>
      <c r="P166" s="24" t="n">
        <v>18.0682</v>
      </c>
      <c r="Q166" s="24" t="n">
        <v>3.3823</v>
      </c>
      <c r="R166" s="24" t="n">
        <v>4.2211</v>
      </c>
      <c r="S166" s="24" t="n">
        <v>4.2211</v>
      </c>
      <c r="T166" s="24" t="n">
        <v>263.9881</v>
      </c>
      <c r="U166" s="24" t="n">
        <v>3.7723</v>
      </c>
      <c r="V166" s="24" t="n">
        <v>3.656</v>
      </c>
      <c r="W166" s="25" t="n">
        <v>2</v>
      </c>
      <c r="X166" s="26" t="n">
        <v>0.3505</v>
      </c>
      <c r="Y166" s="24" t="n">
        <v>0.3164</v>
      </c>
      <c r="Z166" s="24" t="n">
        <v>0.0338</v>
      </c>
      <c r="AA166" s="24" t="n">
        <v>0.0317</v>
      </c>
      <c r="AB166" s="24" t="n">
        <v>0.2791</v>
      </c>
      <c r="AC166" s="24" t="n">
        <v>0.06569999999999999</v>
      </c>
      <c r="AD166" s="24" t="n">
        <v>0.4001</v>
      </c>
      <c r="AE166" s="24" t="n">
        <v>0.3768</v>
      </c>
      <c r="AF166" s="24" t="n">
        <v>0.2928</v>
      </c>
    </row>
    <row r="167">
      <c r="A167" s="9" t="inlineStr">
        <is>
          <t>ABW</t>
        </is>
      </c>
      <c r="B167" s="9" t="inlineStr">
        <is>
          <t>Aruba</t>
        </is>
      </c>
      <c r="C167" s="9" t="inlineStr">
        <is>
          <t>EMDC</t>
        </is>
      </c>
      <c r="D167" s="23" t="n">
        <v>0.105</v>
      </c>
      <c r="E167" s="24" t="n">
        <v>5.0314</v>
      </c>
      <c r="F167" s="24" t="n">
        <v>0.0493</v>
      </c>
      <c r="G167" s="24" t="n">
        <v>0.1673</v>
      </c>
      <c r="H167" s="24" t="n">
        <v>0.118</v>
      </c>
      <c r="I167" s="24" t="n">
        <v>0.0307</v>
      </c>
      <c r="J167" s="24" t="n">
        <v>0.0076</v>
      </c>
      <c r="K167" s="24" t="n">
        <v>0.0076</v>
      </c>
      <c r="L167" s="24" t="n">
        <v>2.0493</v>
      </c>
      <c r="M167" s="24" t="n">
        <v>1.8046</v>
      </c>
      <c r="N167" s="24" t="n">
        <v>0.3018</v>
      </c>
      <c r="O167" s="24" t="n">
        <v>5.1814</v>
      </c>
      <c r="P167" s="24" t="n">
        <v>3.8482</v>
      </c>
      <c r="Q167" s="24" t="n">
        <v>0.2106</v>
      </c>
      <c r="R167" s="24" t="n">
        <v>-0.3071</v>
      </c>
      <c r="S167" s="24" t="n">
        <v>-0.3071</v>
      </c>
      <c r="T167" s="24" t="n">
        <v>24.579</v>
      </c>
      <c r="U167" s="24" t="n">
        <v>1.8355</v>
      </c>
      <c r="V167" s="24" t="n">
        <v>0.429</v>
      </c>
      <c r="W167" s="25" t="n">
        <v>1</v>
      </c>
      <c r="X167" s="26" t="n">
        <v>1.3703</v>
      </c>
      <c r="Y167" s="24" t="n">
        <v>0.0044</v>
      </c>
      <c r="Z167" s="24" t="n">
        <v>0.0738</v>
      </c>
      <c r="AA167" s="24" t="n">
        <v>0.015</v>
      </c>
      <c r="AB167" s="24" t="n">
        <v>0.0291</v>
      </c>
      <c r="AC167" s="24" t="n">
        <v>0.045</v>
      </c>
      <c r="AD167" s="24" t="n">
        <v>0.0131</v>
      </c>
      <c r="AE167" s="24" t="n">
        <v>0.0094</v>
      </c>
      <c r="AF167" s="24" t="n">
        <v>0.0803</v>
      </c>
    </row>
    <row r="168">
      <c r="A168" s="9" t="inlineStr">
        <is>
          <t>BTN</t>
        </is>
      </c>
      <c r="B168" s="9" t="inlineStr">
        <is>
          <t>Bhutan</t>
        </is>
      </c>
      <c r="C168" s="9" t="inlineStr">
        <is>
          <t>EMDC</t>
        </is>
      </c>
      <c r="D168" s="23" t="n">
        <v>0.105</v>
      </c>
      <c r="E168" s="24" t="n">
        <v>4.7239</v>
      </c>
      <c r="F168" s="24" t="n">
        <v>0.0188</v>
      </c>
      <c r="G168" s="24" t="n">
        <v>0.1045</v>
      </c>
      <c r="H168" s="24" t="n">
        <v>0.0858</v>
      </c>
      <c r="I168" s="24" t="n">
        <v>0.0264</v>
      </c>
      <c r="J168" s="24" t="n">
        <v>0.0167</v>
      </c>
      <c r="K168" s="24" t="n">
        <v>0.01</v>
      </c>
      <c r="L168" s="24" t="n">
        <v>3.8359</v>
      </c>
      <c r="M168" s="24" t="n">
        <v>2.9534</v>
      </c>
      <c r="N168" s="24" t="n">
        <v>1.268</v>
      </c>
      <c r="O168" s="24" t="n">
        <v>5.046</v>
      </c>
      <c r="P168" s="24" t="n">
        <v>4.2944</v>
      </c>
      <c r="Q168" s="24" t="n">
        <v>0.2451</v>
      </c>
      <c r="R168" s="24" t="n">
        <v>0.1253</v>
      </c>
      <c r="S168" s="24" t="n">
        <v>-0.0593</v>
      </c>
      <c r="T168" s="24" t="n">
        <v>46.3777</v>
      </c>
      <c r="U168" s="24" t="n">
        <v>1.3895</v>
      </c>
      <c r="V168" s="24" t="n">
        <v>1.921</v>
      </c>
      <c r="W168" s="25" t="n">
        <v>1</v>
      </c>
      <c r="X168" s="26" t="n">
        <v>0.1472</v>
      </c>
      <c r="Y168" s="24" t="n">
        <v>0.014</v>
      </c>
      <c r="Z168" s="24" t="n">
        <v>0.0032</v>
      </c>
      <c r="AA168" s="24" t="n">
        <v>0.0017</v>
      </c>
      <c r="AB168" s="24" t="n">
        <v>0.0538</v>
      </c>
      <c r="AC168" s="24" t="n">
        <v>0.0319</v>
      </c>
      <c r="AD168" s="24" t="n">
        <v>0.0301</v>
      </c>
      <c r="AE168" s="24" t="n">
        <v>0.0223</v>
      </c>
      <c r="AF168" s="24" t="n">
        <v>0.0712</v>
      </c>
    </row>
    <row r="169">
      <c r="A169" s="9" t="inlineStr">
        <is>
          <t>BLZ</t>
        </is>
      </c>
      <c r="B169" s="9" t="inlineStr">
        <is>
          <t>Belize</t>
        </is>
      </c>
      <c r="C169" s="9" t="inlineStr">
        <is>
          <t>EMDC</t>
        </is>
      </c>
      <c r="D169" s="23" t="n">
        <v>0.105</v>
      </c>
      <c r="E169" s="24" t="n">
        <v>3.6897</v>
      </c>
      <c r="F169" s="24" t="n">
        <v>0.0277</v>
      </c>
      <c r="G169" s="24" t="n">
        <v>0.3597</v>
      </c>
      <c r="H169" s="24" t="n">
        <v>0.3319</v>
      </c>
      <c r="I169" s="24" t="n">
        <v>0.2819</v>
      </c>
      <c r="J169" s="24" t="n">
        <v>0.2716</v>
      </c>
      <c r="K169" s="24" t="n">
        <v>0.2717</v>
      </c>
      <c r="L169" s="24" t="n">
        <v>7.0304</v>
      </c>
      <c r="M169" s="24" t="n">
        <v>1.3499</v>
      </c>
      <c r="N169" s="24" t="n">
        <v>0.4848</v>
      </c>
      <c r="O169" s="24" t="n">
        <v>9.209</v>
      </c>
      <c r="P169" s="24" t="n">
        <v>8.376200000000001</v>
      </c>
      <c r="Q169" s="24" t="n">
        <v>1.8224</v>
      </c>
      <c r="R169" s="24" t="n">
        <v>2.568</v>
      </c>
      <c r="S169" s="24" t="n">
        <v>2.5672</v>
      </c>
      <c r="T169" s="24" t="n">
        <v>143.5857</v>
      </c>
      <c r="U169" s="24" t="n">
        <v>0.9407</v>
      </c>
      <c r="V169" s="24" t="n">
        <v>0.317</v>
      </c>
      <c r="W169" s="25" t="n">
        <v>2</v>
      </c>
      <c r="X169" s="26" t="n">
        <v>0.5826</v>
      </c>
      <c r="Y169" s="24" t="n">
        <v>0.1789</v>
      </c>
      <c r="Z169" s="24" t="n">
        <v>0.0094</v>
      </c>
      <c r="AA169" s="24" t="n">
        <v>0.0105</v>
      </c>
      <c r="AB169" s="24" t="n">
        <v>0.1315</v>
      </c>
      <c r="AC169" s="24" t="n">
        <v>0.0294</v>
      </c>
      <c r="AD169" s="24" t="n">
        <v>0.2184</v>
      </c>
      <c r="AE169" s="24" t="n">
        <v>0.2106</v>
      </c>
      <c r="AF169" s="24" t="n">
        <v>0.1319</v>
      </c>
    </row>
    <row r="170">
      <c r="A170" s="9" t="inlineStr">
        <is>
          <t>CPV</t>
        </is>
      </c>
      <c r="B170" s="9" t="inlineStr">
        <is>
          <t>Cabo Verde</t>
        </is>
      </c>
      <c r="C170" s="9" t="inlineStr">
        <is>
          <t>EMDC</t>
        </is>
      </c>
      <c r="D170" s="23" t="n">
        <v>0.105</v>
      </c>
      <c r="E170" s="24" t="n">
        <v>3.6144</v>
      </c>
      <c r="F170" s="24" t="n">
        <v>0.0389</v>
      </c>
      <c r="G170" s="24" t="n">
        <v>0.1029</v>
      </c>
      <c r="H170" s="24" t="n">
        <v>0.064</v>
      </c>
      <c r="I170" s="24" t="n">
        <v>0.0245</v>
      </c>
      <c r="J170" s="24" t="n">
        <v>0.0137</v>
      </c>
      <c r="K170" s="24" t="n">
        <v>0.0135</v>
      </c>
      <c r="L170" s="24" t="n">
        <v>1.4451</v>
      </c>
      <c r="M170" s="24" t="n">
        <v>1.2712</v>
      </c>
      <c r="N170" s="24" t="n">
        <v>0.3726</v>
      </c>
      <c r="O170" s="24" t="n">
        <v>3.6536</v>
      </c>
      <c r="P170" s="24" t="n">
        <v>2.4725</v>
      </c>
      <c r="Q170" s="24" t="n">
        <v>0.1603</v>
      </c>
      <c r="R170" s="24" t="n">
        <v>-0.082</v>
      </c>
      <c r="S170" s="24" t="n">
        <v>-0.0927</v>
      </c>
      <c r="T170" s="24" t="n">
        <v>15.5284</v>
      </c>
      <c r="U170" s="24" t="n">
        <v>0.9584</v>
      </c>
      <c r="V170" s="24" t="n">
        <v>1.04</v>
      </c>
      <c r="W170" s="25" t="n">
        <v>2</v>
      </c>
      <c r="X170" s="26" t="n">
        <v>0.9357</v>
      </c>
      <c r="Y170" s="24" t="n">
        <v>0.0106</v>
      </c>
      <c r="Z170" s="24" t="n">
        <v>0.0281</v>
      </c>
      <c r="AA170" s="24" t="n">
        <v>0.0198</v>
      </c>
      <c r="AB170" s="24" t="n">
        <v>0.0238</v>
      </c>
      <c r="AC170" s="24" t="n">
        <v>0.0206</v>
      </c>
      <c r="AD170" s="24" t="n">
        <v>0.0178</v>
      </c>
      <c r="AE170" s="24" t="n">
        <v>0.0117</v>
      </c>
      <c r="AF170" s="24" t="n">
        <v>0.057</v>
      </c>
    </row>
    <row r="171">
      <c r="A171" s="9" t="inlineStr">
        <is>
          <t>CAF</t>
        </is>
      </c>
      <c r="B171" s="9" t="inlineStr">
        <is>
          <t>Central African Republic</t>
        </is>
      </c>
      <c r="C171" s="9" t="inlineStr">
        <is>
          <t>EMDC</t>
        </is>
      </c>
      <c r="D171" s="23" t="n">
        <v>0.105</v>
      </c>
      <c r="E171" s="24" t="n">
        <v>3.4646</v>
      </c>
      <c r="F171" s="24" t="n">
        <v>0.0173</v>
      </c>
      <c r="G171" s="24" t="n">
        <v>1.7591</v>
      </c>
      <c r="H171" s="24" t="n">
        <v>1.7419</v>
      </c>
      <c r="I171" s="24" t="n">
        <v>1.7218</v>
      </c>
      <c r="J171" s="24" t="n">
        <v>1.7182</v>
      </c>
      <c r="K171" s="24" t="n">
        <v>1.7182</v>
      </c>
      <c r="L171" s="24" t="n">
        <v>44.0452</v>
      </c>
      <c r="M171" s="24" t="n">
        <v>9.5718</v>
      </c>
      <c r="N171" s="24" t="n">
        <v>5.3808</v>
      </c>
      <c r="O171" s="24" t="n">
        <v>43.8654</v>
      </c>
      <c r="P171" s="24" t="n">
        <v>43.2667</v>
      </c>
      <c r="Q171" s="24" t="n">
        <v>11.9991</v>
      </c>
      <c r="R171" s="24" t="n">
        <v>19.055</v>
      </c>
      <c r="S171" s="24" t="n">
        <v>19.0548</v>
      </c>
      <c r="T171" s="24" t="n">
        <v>855.1660000000001</v>
      </c>
      <c r="U171" s="24" t="n">
        <v>0.3637</v>
      </c>
      <c r="V171" s="24" t="n">
        <v>0.283</v>
      </c>
      <c r="W171" s="25" t="n">
        <v>2</v>
      </c>
      <c r="X171" s="26" t="n">
        <v>0.6804</v>
      </c>
      <c r="Y171" s="24" t="n">
        <v>1.2876</v>
      </c>
      <c r="Z171" s="24" t="n">
        <v>0.0045</v>
      </c>
      <c r="AA171" s="24" t="n">
        <v>0.0062</v>
      </c>
      <c r="AB171" s="24" t="n">
        <v>0.4204</v>
      </c>
      <c r="AC171" s="24" t="n">
        <v>0.0404</v>
      </c>
      <c r="AD171" s="24" t="n">
        <v>1.4137</v>
      </c>
      <c r="AE171" s="24" t="n">
        <v>1.4082</v>
      </c>
      <c r="AF171" s="24" t="n">
        <v>0.3409</v>
      </c>
    </row>
    <row r="172">
      <c r="A172" s="9" t="inlineStr">
        <is>
          <t>GMB</t>
        </is>
      </c>
      <c r="B172" s="9" t="inlineStr">
        <is>
          <t>Gambia, The</t>
        </is>
      </c>
      <c r="C172" s="9" t="inlineStr">
        <is>
          <t>EMDC</t>
        </is>
      </c>
      <c r="D172" s="23" t="n">
        <v>0.105</v>
      </c>
      <c r="E172" s="24" t="n">
        <v>3.2548</v>
      </c>
      <c r="F172" s="24" t="n">
        <v>0.0269</v>
      </c>
      <c r="G172" s="24" t="n">
        <v>0.1418</v>
      </c>
      <c r="H172" s="24" t="n">
        <v>0.115</v>
      </c>
      <c r="I172" s="24" t="n">
        <v>0.073</v>
      </c>
      <c r="J172" s="24" t="n">
        <v>0.0614</v>
      </c>
      <c r="K172" s="24" t="n">
        <v>0.0613</v>
      </c>
      <c r="L172" s="24" t="n">
        <v>3.8229</v>
      </c>
      <c r="M172" s="24" t="n">
        <v>2.6854</v>
      </c>
      <c r="N172" s="24" t="n">
        <v>1.0906</v>
      </c>
      <c r="O172" s="24" t="n">
        <v>5.31</v>
      </c>
      <c r="P172" s="24" t="n">
        <v>4.3634</v>
      </c>
      <c r="Q172" s="24" t="n">
        <v>0.3958</v>
      </c>
      <c r="R172" s="24" t="n">
        <v>0.1472</v>
      </c>
      <c r="S172" s="24" t="n">
        <v>0.1392</v>
      </c>
      <c r="T172" s="24" t="n">
        <v>53.1308</v>
      </c>
      <c r="U172" s="24" t="n">
        <v>1.2285</v>
      </c>
      <c r="V172" s="24" t="n">
        <v>0.595</v>
      </c>
      <c r="W172" s="25" t="n">
        <v>2</v>
      </c>
      <c r="X172" s="26" t="n">
        <v>1</v>
      </c>
      <c r="Y172" s="24" t="n">
        <v>0.0351</v>
      </c>
      <c r="Z172" s="24" t="n">
        <v>0.0234</v>
      </c>
      <c r="AA172" s="24" t="n">
        <v>0.0189</v>
      </c>
      <c r="AB172" s="24" t="n">
        <v>0.0442</v>
      </c>
      <c r="AC172" s="24" t="n">
        <v>0.0202</v>
      </c>
      <c r="AD172" s="24" t="n">
        <v>0.0484</v>
      </c>
      <c r="AE172" s="24" t="n">
        <v>0.0438</v>
      </c>
      <c r="AF172" s="24" t="n">
        <v>0.07000000000000001</v>
      </c>
    </row>
    <row r="173">
      <c r="A173" s="9" t="inlineStr">
        <is>
          <t>GNB</t>
        </is>
      </c>
      <c r="B173" s="9" t="inlineStr">
        <is>
          <t>Guinea-Bissau</t>
        </is>
      </c>
      <c r="C173" s="9" t="inlineStr">
        <is>
          <t>EMDC</t>
        </is>
      </c>
      <c r="D173" s="23" t="n">
        <v>0.105</v>
      </c>
      <c r="E173" s="24" t="n">
        <v>2.9214</v>
      </c>
      <c r="F173" s="24" t="n">
        <v>0.0162</v>
      </c>
      <c r="G173" s="24" t="n">
        <v>0.1698</v>
      </c>
      <c r="H173" s="24" t="n">
        <v>0.1537</v>
      </c>
      <c r="I173" s="24" t="n">
        <v>0.129</v>
      </c>
      <c r="J173" s="24" t="n">
        <v>0.1242</v>
      </c>
      <c r="K173" s="24" t="n">
        <v>0.1241</v>
      </c>
      <c r="L173" s="24" t="n">
        <v>5.2648</v>
      </c>
      <c r="M173" s="24" t="n">
        <v>2.6644</v>
      </c>
      <c r="N173" s="24" t="n">
        <v>1.358</v>
      </c>
      <c r="O173" s="24" t="n">
        <v>5.2414</v>
      </c>
      <c r="P173" s="24" t="n">
        <v>4.6567</v>
      </c>
      <c r="Q173" s="24" t="n">
        <v>0.8526</v>
      </c>
      <c r="R173" s="24" t="n">
        <v>1.1605</v>
      </c>
      <c r="S173" s="24" t="n">
        <v>1.1601</v>
      </c>
      <c r="T173" s="24" t="n">
        <v>78.756</v>
      </c>
      <c r="U173" s="24" t="n">
        <v>0.5243</v>
      </c>
      <c r="V173" s="24" t="n">
        <v>0.338</v>
      </c>
      <c r="W173" s="25" t="n">
        <v>2</v>
      </c>
      <c r="X173" s="26" t="n">
        <v>0.8166</v>
      </c>
      <c r="Y173" s="24" t="n">
        <v>0.0852</v>
      </c>
      <c r="Z173" s="24" t="n">
        <v>0.0069</v>
      </c>
      <c r="AA173" s="24" t="n">
        <v>0.0072</v>
      </c>
      <c r="AB173" s="24" t="n">
        <v>0.0567</v>
      </c>
      <c r="AC173" s="24" t="n">
        <v>0.0139</v>
      </c>
      <c r="AD173" s="24" t="n">
        <v>0.1022</v>
      </c>
      <c r="AE173" s="24" t="n">
        <v>0.09760000000000001</v>
      </c>
      <c r="AF173" s="24" t="n">
        <v>0.0608</v>
      </c>
    </row>
    <row r="174">
      <c r="A174" s="9" t="inlineStr">
        <is>
          <t>LCA</t>
        </is>
      </c>
      <c r="B174" s="9" t="inlineStr">
        <is>
          <t>St. Lucia</t>
        </is>
      </c>
      <c r="C174" s="9" t="inlineStr">
        <is>
          <t>EMDC</t>
        </is>
      </c>
      <c r="D174" s="23" t="n">
        <v>0.105</v>
      </c>
      <c r="E174" s="24" t="n">
        <v>2.9047</v>
      </c>
      <c r="F174" s="24" t="n">
        <v>0.0202</v>
      </c>
      <c r="G174" s="24" t="n">
        <v>0.0573</v>
      </c>
      <c r="H174" s="24" t="n">
        <v>0.0371</v>
      </c>
      <c r="I174" s="24" t="n">
        <v>0.0018</v>
      </c>
      <c r="J174" s="24" t="n">
        <v>-0.0047</v>
      </c>
      <c r="K174" s="24" t="n">
        <v>-0.0053</v>
      </c>
      <c r="L174" s="24" t="n">
        <v>1.0523</v>
      </c>
      <c r="M174" s="24" t="n">
        <v>0.89</v>
      </c>
      <c r="N174" s="24" t="n">
        <v>0.208</v>
      </c>
      <c r="O174" s="24" t="n">
        <v>2.0102</v>
      </c>
      <c r="P174" s="24" t="n">
        <v>1.3868</v>
      </c>
      <c r="Q174" s="24" t="n">
        <v>-0.1014</v>
      </c>
      <c r="R174" s="24" t="n">
        <v>-0.4211</v>
      </c>
      <c r="S174" s="24" t="n">
        <v>-0.4431</v>
      </c>
      <c r="T174" s="24" t="n">
        <v>13.6363</v>
      </c>
      <c r="U174" s="24" t="n">
        <v>0.8283</v>
      </c>
      <c r="V174" s="24" t="n">
        <v>0.247</v>
      </c>
      <c r="W174" s="25" t="n">
        <v>1</v>
      </c>
      <c r="X174" s="26" t="n">
        <v>0.9597</v>
      </c>
      <c r="Y174" s="24" t="n">
        <v>0.0046</v>
      </c>
      <c r="Z174" s="24" t="n">
        <v>0.0204</v>
      </c>
      <c r="AA174" s="24" t="n">
        <v>0.0051</v>
      </c>
      <c r="AB174" s="24" t="n">
        <v>0.0105</v>
      </c>
      <c r="AC174" s="24" t="n">
        <v>0.0166</v>
      </c>
      <c r="AD174" s="24" t="n">
        <v>0.0078</v>
      </c>
      <c r="AE174" s="24" t="n">
        <v>0.0049</v>
      </c>
      <c r="AF174" s="24" t="n">
        <v>0.0291</v>
      </c>
    </row>
    <row r="175">
      <c r="A175" s="9" t="inlineStr">
        <is>
          <t>LSO</t>
        </is>
      </c>
      <c r="B175" s="9" t="inlineStr">
        <is>
          <t>Lesotho</t>
        </is>
      </c>
      <c r="C175" s="9" t="inlineStr">
        <is>
          <t>EMDC</t>
        </is>
      </c>
      <c r="D175" s="23" t="n">
        <v>0.105</v>
      </c>
      <c r="E175" s="24" t="n">
        <v>2.749</v>
      </c>
      <c r="F175" s="24" t="n">
        <v>0.0243</v>
      </c>
      <c r="G175" s="24" t="n">
        <v>0.2574</v>
      </c>
      <c r="H175" s="24" t="n">
        <v>0.2331</v>
      </c>
      <c r="I175" s="24" t="n">
        <v>0.1514</v>
      </c>
      <c r="J175" s="24" t="n">
        <v>0.1114</v>
      </c>
      <c r="K175" s="24" t="n">
        <v>0.1113</v>
      </c>
      <c r="L175" s="24" t="n">
        <v>6.8815</v>
      </c>
      <c r="M175" s="24" t="n">
        <v>5.8156</v>
      </c>
      <c r="N175" s="24" t="n">
        <v>1.9364</v>
      </c>
      <c r="O175" s="24" t="n">
        <v>9.33</v>
      </c>
      <c r="P175" s="24" t="n">
        <v>8.5016</v>
      </c>
      <c r="Q175" s="24" t="n">
        <v>1.2688</v>
      </c>
      <c r="R175" s="24" t="n">
        <v>0.9485</v>
      </c>
      <c r="S175" s="24" t="n">
        <v>0.9422</v>
      </c>
      <c r="T175" s="24" t="n">
        <v>75.94670000000001</v>
      </c>
      <c r="U175" s="24" t="n">
        <v>4.4799</v>
      </c>
      <c r="V175" s="24" t="n">
        <v>0.8179999999999999</v>
      </c>
      <c r="W175" s="25" t="n">
        <v>1</v>
      </c>
      <c r="X175" s="26" t="n">
        <v>0.4104</v>
      </c>
      <c r="Y175" s="24" t="n">
        <v>0.0625</v>
      </c>
      <c r="Z175" s="24" t="n">
        <v>0.032</v>
      </c>
      <c r="AA175" s="24" t="n">
        <v>0.0102</v>
      </c>
      <c r="AB175" s="24" t="n">
        <v>0.08790000000000001</v>
      </c>
      <c r="AC175" s="24" t="n">
        <v>0.0649</v>
      </c>
      <c r="AD175" s="24" t="n">
        <v>0.0888</v>
      </c>
      <c r="AE175" s="24" t="n">
        <v>0.0784</v>
      </c>
      <c r="AF175" s="24" t="n">
        <v>0.1366</v>
      </c>
    </row>
    <row r="176">
      <c r="A176" s="9" t="inlineStr">
        <is>
          <t>SYC</t>
        </is>
      </c>
      <c r="B176" s="9" t="inlineStr">
        <is>
          <t>Seychelles</t>
        </is>
      </c>
      <c r="C176" s="9" t="inlineStr">
        <is>
          <t>EMDC</t>
        </is>
      </c>
      <c r="D176" s="23" t="n">
        <v>0.105</v>
      </c>
      <c r="E176" s="24" t="n">
        <v>2.5258</v>
      </c>
      <c r="F176" s="24" t="n">
        <v>0.0223</v>
      </c>
      <c r="G176" s="24" t="n">
        <v>0.077</v>
      </c>
      <c r="H176" s="24" t="n">
        <v>0.0547</v>
      </c>
      <c r="I176" s="24" t="n">
        <v>0.0134</v>
      </c>
      <c r="J176" s="24" t="n">
        <v>0.003</v>
      </c>
      <c r="K176" s="24" t="n">
        <v>0.003</v>
      </c>
      <c r="L176" s="24" t="n">
        <v>1.205</v>
      </c>
      <c r="M176" s="24" t="n">
        <v>1.0639</v>
      </c>
      <c r="N176" s="24" t="n">
        <v>0.1852</v>
      </c>
      <c r="O176" s="24" t="n">
        <v>2.4279</v>
      </c>
      <c r="P176" s="24" t="n">
        <v>1.8242</v>
      </c>
      <c r="Q176" s="24" t="n">
        <v>0.06660000000000001</v>
      </c>
      <c r="R176" s="24" t="n">
        <v>-0.2027</v>
      </c>
      <c r="S176" s="24" t="n">
        <v>-0.2027</v>
      </c>
      <c r="T176" s="24" t="n">
        <v>12.9113</v>
      </c>
      <c r="U176" s="24" t="n">
        <v>1.0593</v>
      </c>
      <c r="V176" s="24" t="n">
        <v>1.039</v>
      </c>
      <c r="W176" s="25" t="n">
        <v>1</v>
      </c>
      <c r="X176" s="26" t="n">
        <v>1</v>
      </c>
      <c r="Y176" s="24" t="n">
        <v>0.0029</v>
      </c>
      <c r="Z176" s="24" t="n">
        <v>0.0337</v>
      </c>
      <c r="AA176" s="24" t="n">
        <v>0.0069</v>
      </c>
      <c r="AB176" s="24" t="n">
        <v>0.013</v>
      </c>
      <c r="AC176" s="24" t="n">
        <v>0.0205</v>
      </c>
      <c r="AD176" s="24" t="n">
        <v>0.0068</v>
      </c>
      <c r="AE176" s="24" t="n">
        <v>0.0049</v>
      </c>
      <c r="AF176" s="24" t="n">
        <v>0.0365</v>
      </c>
    </row>
    <row r="177">
      <c r="A177" s="9" t="inlineStr">
        <is>
          <t>ATG</t>
        </is>
      </c>
      <c r="B177" s="9" t="inlineStr">
        <is>
          <t>Antigua and Barbuda</t>
        </is>
      </c>
      <c r="C177" s="9" t="inlineStr">
        <is>
          <t>EMDC</t>
        </is>
      </c>
      <c r="D177" s="23" t="n">
        <v>0.105</v>
      </c>
      <c r="E177" s="24" t="n">
        <v>2.5127</v>
      </c>
      <c r="F177" s="24" t="n">
        <v>0.0212</v>
      </c>
      <c r="G177" s="24" t="n">
        <v>0.1038</v>
      </c>
      <c r="H177" s="24" t="n">
        <v>0.0827</v>
      </c>
      <c r="I177" s="24" t="n">
        <v>0.0351</v>
      </c>
      <c r="J177" s="24" t="n">
        <v>0.0194</v>
      </c>
      <c r="K177" s="24" t="n">
        <v>0.0194</v>
      </c>
      <c r="L177" s="24" t="n">
        <v>1.3941</v>
      </c>
      <c r="M177" s="24" t="n">
        <v>1.2904</v>
      </c>
      <c r="N177" s="24" t="n">
        <v>0.2681</v>
      </c>
      <c r="O177" s="24" t="n">
        <v>3.2833</v>
      </c>
      <c r="P177" s="24" t="n">
        <v>2.7311</v>
      </c>
      <c r="Q177" s="24" t="n">
        <v>0.2728</v>
      </c>
      <c r="R177" s="24" t="n">
        <v>0.0045</v>
      </c>
      <c r="S177" s="24" t="n">
        <v>0.0045</v>
      </c>
      <c r="T177" s="24" t="n">
        <v>13.9723</v>
      </c>
      <c r="U177" s="24" t="n">
        <v>1.227</v>
      </c>
      <c r="V177" s="24" t="n">
        <v>0.265</v>
      </c>
      <c r="W177" s="25" t="n">
        <v>2</v>
      </c>
      <c r="X177" s="26" t="n">
        <v>1.1138</v>
      </c>
      <c r="Y177" s="24" t="n">
        <v>0.0025</v>
      </c>
      <c r="Z177" s="24" t="n">
        <v>0.0271</v>
      </c>
      <c r="AA177" s="24" t="n">
        <v>0.0183</v>
      </c>
      <c r="AB177" s="24" t="n">
        <v>0.0235</v>
      </c>
      <c r="AC177" s="24" t="n">
        <v>0.0324</v>
      </c>
      <c r="AD177" s="24" t="n">
        <v>0.009599999999999999</v>
      </c>
      <c r="AE177" s="24" t="n">
        <v>0.0075</v>
      </c>
      <c r="AF177" s="24" t="n">
        <v>0.0672</v>
      </c>
    </row>
    <row r="178">
      <c r="A178" s="9" t="inlineStr">
        <is>
          <t>TLS</t>
        </is>
      </c>
      <c r="B178" s="9" t="inlineStr">
        <is>
          <t>Timor-Leste</t>
        </is>
      </c>
      <c r="C178" s="9" t="inlineStr">
        <is>
          <t>EMDC</t>
        </is>
      </c>
      <c r="D178" s="23" t="n">
        <v>0.105</v>
      </c>
      <c r="E178" s="24" t="n">
        <v>2.3822</v>
      </c>
      <c r="F178" s="24" t="n">
        <v>0.0212</v>
      </c>
      <c r="G178" s="24" t="n">
        <v>0.1461</v>
      </c>
      <c r="H178" s="24" t="n">
        <v>0.1249</v>
      </c>
      <c r="I178" s="24" t="n">
        <v>0.06569999999999999</v>
      </c>
      <c r="J178" s="24" t="n">
        <v>0.0524</v>
      </c>
      <c r="K178" s="24" t="n">
        <v>0.0524</v>
      </c>
      <c r="L178" s="24" t="n">
        <v>4.1439</v>
      </c>
      <c r="M178" s="24" t="n">
        <v>2.971</v>
      </c>
      <c r="N178" s="24" t="n">
        <v>1.2271</v>
      </c>
      <c r="O178" s="24" t="n">
        <v>5.2236</v>
      </c>
      <c r="P178" s="24" t="n">
        <v>4.5498</v>
      </c>
      <c r="Q178" s="24" t="n">
        <v>0.2857</v>
      </c>
      <c r="R178" s="24" t="n">
        <v>-0.0848</v>
      </c>
      <c r="S178" s="24" t="n">
        <v>-0.0848</v>
      </c>
      <c r="T178" s="24" t="n">
        <v>53.7793</v>
      </c>
      <c r="U178" s="24" t="n">
        <v>1.5259</v>
      </c>
      <c r="V178" s="24" t="n">
        <v>0.5610000000000001</v>
      </c>
      <c r="W178" s="25" t="n">
        <v>1</v>
      </c>
      <c r="X178" s="26" t="n">
        <v>1</v>
      </c>
      <c r="Y178" s="24" t="n">
        <v>0.0278</v>
      </c>
      <c r="Z178" s="24" t="n">
        <v>0.0332</v>
      </c>
      <c r="AA178" s="24" t="n">
        <v>0.008200000000000001</v>
      </c>
      <c r="AB178" s="24" t="n">
        <v>0.0464</v>
      </c>
      <c r="AC178" s="24" t="n">
        <v>0.0306</v>
      </c>
      <c r="AD178" s="24" t="n">
        <v>0.0417</v>
      </c>
      <c r="AE178" s="24" t="n">
        <v>0.0386</v>
      </c>
      <c r="AF178" s="24" t="n">
        <v>0.0712</v>
      </c>
    </row>
    <row r="179">
      <c r="A179" s="9" t="inlineStr">
        <is>
          <t>SLB</t>
        </is>
      </c>
      <c r="B179" s="9" t="inlineStr">
        <is>
          <t>Solomon Islands</t>
        </is>
      </c>
      <c r="C179" s="9" t="inlineStr">
        <is>
          <t>EMDC</t>
        </is>
      </c>
      <c r="D179" s="23" t="n">
        <v>0.105</v>
      </c>
      <c r="E179" s="24" t="n">
        <v>1.8817</v>
      </c>
      <c r="F179" s="24" t="n">
        <v>0.0159</v>
      </c>
      <c r="G179" s="24" t="n">
        <v>2.202</v>
      </c>
      <c r="H179" s="24" t="n">
        <v>2.1862</v>
      </c>
      <c r="I179" s="24" t="n">
        <v>2.1711</v>
      </c>
      <c r="J179" s="24" t="n">
        <v>2.1665</v>
      </c>
      <c r="K179" s="24" t="n">
        <v>2.1665</v>
      </c>
      <c r="L179" s="24" t="n">
        <v>43.8396</v>
      </c>
      <c r="M179" s="24" t="n">
        <v>0.5928</v>
      </c>
      <c r="N179" s="24" t="n">
        <v>0.2143</v>
      </c>
      <c r="O179" s="24" t="n">
        <v>52.2115</v>
      </c>
      <c r="P179" s="24" t="n">
        <v>51.7327</v>
      </c>
      <c r="Q179" s="24" t="n">
        <v>14.784</v>
      </c>
      <c r="R179" s="24" t="n">
        <v>23.3086</v>
      </c>
      <c r="S179" s="24" t="n">
        <v>23.3085</v>
      </c>
      <c r="T179" s="24" t="n">
        <v>1021.0477</v>
      </c>
      <c r="U179" s="24" t="n">
        <v>0.3979</v>
      </c>
      <c r="V179" s="24" t="n">
        <v>0.332</v>
      </c>
      <c r="W179" s="25" t="n">
        <v>1</v>
      </c>
      <c r="X179" s="26" t="n">
        <v>1</v>
      </c>
      <c r="Y179" s="24" t="n">
        <v>1.514</v>
      </c>
      <c r="Z179" s="24" t="n">
        <v>0.016</v>
      </c>
      <c r="AA179" s="24" t="n">
        <v>0.0044</v>
      </c>
      <c r="AB179" s="24" t="n">
        <v>0.6571</v>
      </c>
      <c r="AC179" s="24" t="n">
        <v>0.0105</v>
      </c>
      <c r="AD179" s="24" t="n">
        <v>1.7112</v>
      </c>
      <c r="AE179" s="24" t="n">
        <v>1.7088</v>
      </c>
      <c r="AF179" s="24" t="n">
        <v>0.4749</v>
      </c>
    </row>
    <row r="180">
      <c r="A180" s="9" t="inlineStr">
        <is>
          <t>COM</t>
        </is>
      </c>
      <c r="B180" s="9" t="inlineStr">
        <is>
          <t>Comoros</t>
        </is>
      </c>
      <c r="C180" s="9" t="inlineStr">
        <is>
          <t>EMDC</t>
        </is>
      </c>
      <c r="D180" s="23" t="n">
        <v>0.105</v>
      </c>
      <c r="E180" s="24" t="n">
        <v>1.8332</v>
      </c>
      <c r="F180" s="24" t="n">
        <v>0.0137</v>
      </c>
      <c r="G180" s="24" t="n">
        <v>0.06</v>
      </c>
      <c r="H180" s="24" t="n">
        <v>0.0463</v>
      </c>
      <c r="I180" s="24" t="n">
        <v>0.0217</v>
      </c>
      <c r="J180" s="24" t="n">
        <v>0.0156</v>
      </c>
      <c r="K180" s="24" t="n">
        <v>0.0156</v>
      </c>
      <c r="L180" s="24" t="n">
        <v>1.3837</v>
      </c>
      <c r="M180" s="24" t="n">
        <v>1.112</v>
      </c>
      <c r="N180" s="24" t="n">
        <v>0.4177</v>
      </c>
      <c r="O180" s="24" t="n">
        <v>2.2763</v>
      </c>
      <c r="P180" s="24" t="n">
        <v>1.8257</v>
      </c>
      <c r="Q180" s="24" t="n">
        <v>0.0477</v>
      </c>
      <c r="R180" s="24" t="n">
        <v>-0.1901</v>
      </c>
      <c r="S180" s="24" t="n">
        <v>-0.1924</v>
      </c>
      <c r="T180" s="24" t="n">
        <v>16.9786</v>
      </c>
      <c r="U180" s="24" t="n">
        <v>0.6477000000000001</v>
      </c>
      <c r="V180" s="24" t="n">
        <v>0.339</v>
      </c>
      <c r="W180" s="25" t="n">
        <v>1</v>
      </c>
      <c r="X180" s="26" t="n">
        <v>1</v>
      </c>
      <c r="Y180" s="24" t="n">
        <v>0.0111</v>
      </c>
      <c r="Z180" s="24" t="n">
        <v>0.0149</v>
      </c>
      <c r="AA180" s="24" t="n">
        <v>0.0046</v>
      </c>
      <c r="AB180" s="24" t="n">
        <v>0.0182</v>
      </c>
      <c r="AC180" s="24" t="n">
        <v>0.0111</v>
      </c>
      <c r="AD180" s="24" t="n">
        <v>0.0166</v>
      </c>
      <c r="AE180" s="24" t="n">
        <v>0.0138</v>
      </c>
      <c r="AF180" s="24" t="n">
        <v>0.0284</v>
      </c>
    </row>
    <row r="181">
      <c r="A181" s="9" t="inlineStr">
        <is>
          <t>GRD</t>
        </is>
      </c>
      <c r="B181" s="9" t="inlineStr">
        <is>
          <t>Grenada</t>
        </is>
      </c>
      <c r="C181" s="9" t="inlineStr">
        <is>
          <t>EMDC</t>
        </is>
      </c>
      <c r="D181" s="23" t="n">
        <v>0.105</v>
      </c>
      <c r="E181" s="24" t="n">
        <v>1.6429</v>
      </c>
      <c r="F181" s="24" t="n">
        <v>0.0142</v>
      </c>
      <c r="G181" s="24" t="n">
        <v>0.0419</v>
      </c>
      <c r="H181" s="24" t="n">
        <v>0.0277</v>
      </c>
      <c r="I181" s="24" t="n">
        <v>0.003</v>
      </c>
      <c r="J181" s="24" t="n">
        <v>-0.002</v>
      </c>
      <c r="K181" s="24" t="n">
        <v>-0.0023</v>
      </c>
      <c r="L181" s="24" t="n">
        <v>0.6435</v>
      </c>
      <c r="M181" s="24" t="n">
        <v>0.5608</v>
      </c>
      <c r="N181" s="24" t="n">
        <v>0.1235</v>
      </c>
      <c r="O181" s="24" t="n">
        <v>1.4907</v>
      </c>
      <c r="P181" s="24" t="n">
        <v>1.0544</v>
      </c>
      <c r="Q181" s="24" t="n">
        <v>-0.062</v>
      </c>
      <c r="R181" s="24" t="n">
        <v>-0.3014</v>
      </c>
      <c r="S181" s="24" t="n">
        <v>-0.3112</v>
      </c>
      <c r="T181" s="24" t="n">
        <v>8.5459</v>
      </c>
      <c r="U181" s="24" t="n">
        <v>0.5118</v>
      </c>
      <c r="V181" s="24" t="n">
        <v>0.12</v>
      </c>
      <c r="W181" s="25" t="n">
        <v>1</v>
      </c>
      <c r="X181" s="26" t="n">
        <v>0.9732</v>
      </c>
      <c r="Y181" s="24" t="n">
        <v>0.0024</v>
      </c>
      <c r="Z181" s="24" t="n">
        <v>0.0165</v>
      </c>
      <c r="AA181" s="24" t="n">
        <v>0.0038</v>
      </c>
      <c r="AB181" s="24" t="n">
        <v>0.0076</v>
      </c>
      <c r="AC181" s="24" t="n">
        <v>0.0116</v>
      </c>
      <c r="AD181" s="24" t="n">
        <v>0.0047</v>
      </c>
      <c r="AE181" s="24" t="n">
        <v>0.0031</v>
      </c>
      <c r="AF181" s="24" t="n">
        <v>0.0208</v>
      </c>
    </row>
    <row r="182">
      <c r="A182" s="9" t="inlineStr">
        <is>
          <t>VUT</t>
        </is>
      </c>
      <c r="B182" s="9" t="inlineStr">
        <is>
          <t>Vanuatu</t>
        </is>
      </c>
      <c r="C182" s="9" t="inlineStr">
        <is>
          <t>EMDC</t>
        </is>
      </c>
      <c r="D182" s="23" t="n">
        <v>0.105</v>
      </c>
      <c r="E182" s="24" t="n">
        <v>1.5554</v>
      </c>
      <c r="F182" s="24" t="n">
        <v>0.0117</v>
      </c>
      <c r="G182" s="24" t="n">
        <v>0.0363</v>
      </c>
      <c r="H182" s="24" t="n">
        <v>0.0245</v>
      </c>
      <c r="I182" s="24" t="n">
        <v>0.0103</v>
      </c>
      <c r="J182" s="24" t="n">
        <v>0.0072</v>
      </c>
      <c r="K182" s="24" t="n">
        <v>0.0072</v>
      </c>
      <c r="L182" s="24" t="n">
        <v>0.7361</v>
      </c>
      <c r="M182" s="24" t="n">
        <v>0.5825</v>
      </c>
      <c r="N182" s="24" t="n">
        <v>0.242</v>
      </c>
      <c r="O182" s="24" t="n">
        <v>1.2412</v>
      </c>
      <c r="P182" s="24" t="n">
        <v>0.8773</v>
      </c>
      <c r="Q182" s="24" t="n">
        <v>0.0333</v>
      </c>
      <c r="R182" s="24" t="n">
        <v>-0.0601</v>
      </c>
      <c r="S182" s="24" t="n">
        <v>-0.0602</v>
      </c>
      <c r="T182" s="24" t="n">
        <v>8.2173</v>
      </c>
      <c r="U182" s="24" t="n">
        <v>0.29</v>
      </c>
      <c r="V182" s="24" t="n">
        <v>0.233</v>
      </c>
      <c r="W182" s="25" t="n">
        <v>1</v>
      </c>
      <c r="X182" s="26" t="n">
        <v>1</v>
      </c>
      <c r="Y182" s="24" t="n">
        <v>0.0046</v>
      </c>
      <c r="Z182" s="24" t="n">
        <v>0.0101</v>
      </c>
      <c r="AA182" s="24" t="n">
        <v>0.0032</v>
      </c>
      <c r="AB182" s="24" t="n">
        <v>0.0089</v>
      </c>
      <c r="AC182" s="24" t="n">
        <v>0.0094</v>
      </c>
      <c r="AD182" s="24" t="n">
        <v>0.0073</v>
      </c>
      <c r="AE182" s="24" t="n">
        <v>0.0053</v>
      </c>
      <c r="AF182" s="24" t="n">
        <v>0.0189</v>
      </c>
    </row>
    <row r="183">
      <c r="A183" s="9" t="inlineStr">
        <is>
          <t>WSM</t>
        </is>
      </c>
      <c r="B183" s="9" t="inlineStr">
        <is>
          <t>Samoa</t>
        </is>
      </c>
      <c r="C183" s="9" t="inlineStr">
        <is>
          <t>EMDC</t>
        </is>
      </c>
      <c r="D183" s="23" t="n">
        <v>0.105</v>
      </c>
      <c r="E183" s="24" t="n">
        <v>1.433</v>
      </c>
      <c r="F183" s="24" t="n">
        <v>0.0117</v>
      </c>
      <c r="G183" s="24" t="n">
        <v>0.0427</v>
      </c>
      <c r="H183" s="24" t="n">
        <v>0.031</v>
      </c>
      <c r="I183" s="24" t="n">
        <v>0.0115</v>
      </c>
      <c r="J183" s="24" t="n">
        <v>0.0074</v>
      </c>
      <c r="K183" s="24" t="n">
        <v>0.0074</v>
      </c>
      <c r="L183" s="24" t="n">
        <v>0.7221</v>
      </c>
      <c r="M183" s="24" t="n">
        <v>0.5113</v>
      </c>
      <c r="N183" s="24" t="n">
        <v>0.1708</v>
      </c>
      <c r="O183" s="24" t="n">
        <v>1.3546</v>
      </c>
      <c r="P183" s="24" t="n">
        <v>1.0136</v>
      </c>
      <c r="Q183" s="24" t="n">
        <v>0.0366</v>
      </c>
      <c r="R183" s="24" t="n">
        <v>-0.08260000000000001</v>
      </c>
      <c r="S183" s="24" t="n">
        <v>-0.0832</v>
      </c>
      <c r="T183" s="24" t="n">
        <v>9.629300000000001</v>
      </c>
      <c r="U183" s="24" t="n">
        <v>0.366</v>
      </c>
      <c r="V183" s="24" t="n">
        <v>0.375</v>
      </c>
      <c r="W183" s="25" t="n">
        <v>2</v>
      </c>
      <c r="X183" s="26" t="n">
        <v>1</v>
      </c>
      <c r="Y183" s="24" t="n">
        <v>0.0054</v>
      </c>
      <c r="Z183" s="24" t="n">
        <v>0.0092</v>
      </c>
      <c r="AA183" s="24" t="n">
        <v>0.0067</v>
      </c>
      <c r="AB183" s="24" t="n">
        <v>0.0092</v>
      </c>
      <c r="AC183" s="24" t="n">
        <v>0.0122</v>
      </c>
      <c r="AD183" s="24" t="n">
        <v>0.0081</v>
      </c>
      <c r="AE183" s="24" t="n">
        <v>0.0068</v>
      </c>
      <c r="AF183" s="24" t="n">
        <v>0.0253</v>
      </c>
    </row>
    <row r="184">
      <c r="A184" s="9" t="inlineStr">
        <is>
          <t>VCT</t>
        </is>
      </c>
      <c r="B184" s="9" t="inlineStr">
        <is>
          <t>St. Vincent and the Grenadines</t>
        </is>
      </c>
      <c r="C184" s="9" t="inlineStr">
        <is>
          <t>EMDC</t>
        </is>
      </c>
      <c r="D184" s="23" t="n">
        <v>0.105</v>
      </c>
      <c r="E184" s="24" t="n">
        <v>1.3496</v>
      </c>
      <c r="F184" s="24" t="n">
        <v>0.009299999999999999</v>
      </c>
      <c r="G184" s="24" t="n">
        <v>0.0275</v>
      </c>
      <c r="H184" s="24" t="n">
        <v>0.0181</v>
      </c>
      <c r="I184" s="24" t="n">
        <v>0.0015</v>
      </c>
      <c r="J184" s="24" t="n">
        <v>-0.0017</v>
      </c>
      <c r="K184" s="24" t="n">
        <v>-0.0018</v>
      </c>
      <c r="L184" s="24" t="n">
        <v>0.4543</v>
      </c>
      <c r="M184" s="24" t="n">
        <v>0.3903</v>
      </c>
      <c r="N184" s="24" t="n">
        <v>0.09810000000000001</v>
      </c>
      <c r="O184" s="24" t="n">
        <v>0.9484</v>
      </c>
      <c r="P184" s="24" t="n">
        <v>0.6644</v>
      </c>
      <c r="Q184" s="24" t="n">
        <v>-0.0484</v>
      </c>
      <c r="R184" s="24" t="n">
        <v>-0.2045</v>
      </c>
      <c r="S184" s="24" t="n">
        <v>-0.211</v>
      </c>
      <c r="T184" s="24" t="n">
        <v>5.791</v>
      </c>
      <c r="U184" s="24" t="n">
        <v>0.3504</v>
      </c>
      <c r="V184" s="24" t="n">
        <v>0.083</v>
      </c>
      <c r="W184" s="25" t="n">
        <v>1</v>
      </c>
      <c r="X184" s="26" t="n">
        <v>1</v>
      </c>
      <c r="Y184" s="24" t="n">
        <v>0.0018</v>
      </c>
      <c r="Z184" s="24" t="n">
        <v>0.0097</v>
      </c>
      <c r="AA184" s="24" t="n">
        <v>0.0025</v>
      </c>
      <c r="AB184" s="24" t="n">
        <v>0.0048</v>
      </c>
      <c r="AC184" s="24" t="n">
        <v>0.008699999999999999</v>
      </c>
      <c r="AD184" s="24" t="n">
        <v>0.0032</v>
      </c>
      <c r="AE184" s="24" t="n">
        <v>0.002</v>
      </c>
      <c r="AF184" s="24" t="n">
        <v>0.0146</v>
      </c>
    </row>
    <row r="185">
      <c r="A185" s="9" t="inlineStr">
        <is>
          <t>KNA</t>
        </is>
      </c>
      <c r="B185" s="9" t="inlineStr">
        <is>
          <t>St. Kitts and Nevis</t>
        </is>
      </c>
      <c r="C185" s="9" t="inlineStr">
        <is>
          <t>EMDC</t>
        </is>
      </c>
      <c r="D185" s="23" t="n">
        <v>0.105</v>
      </c>
      <c r="E185" s="24" t="n">
        <v>1.1755</v>
      </c>
      <c r="F185" s="24" t="n">
        <v>0.0129</v>
      </c>
      <c r="G185" s="24" t="n">
        <v>0.0526</v>
      </c>
      <c r="H185" s="24" t="n">
        <v>0.0397</v>
      </c>
      <c r="I185" s="24" t="n">
        <v>0.0183</v>
      </c>
      <c r="J185" s="24" t="n">
        <v>0.0106</v>
      </c>
      <c r="K185" s="24" t="n">
        <v>0.0106</v>
      </c>
      <c r="L185" s="24" t="n">
        <v>0.7195</v>
      </c>
      <c r="M185" s="24" t="n">
        <v>0.6709000000000001</v>
      </c>
      <c r="N185" s="24" t="n">
        <v>0.1326</v>
      </c>
      <c r="O185" s="24" t="n">
        <v>1.5932</v>
      </c>
      <c r="P185" s="24" t="n">
        <v>1.2691</v>
      </c>
      <c r="Q185" s="24" t="n">
        <v>0.1306</v>
      </c>
      <c r="R185" s="24" t="n">
        <v>-0.0002</v>
      </c>
      <c r="S185" s="24" t="n">
        <v>-0.0002</v>
      </c>
      <c r="T185" s="24" t="n">
        <v>6.7216</v>
      </c>
      <c r="U185" s="24" t="n">
        <v>0.6558</v>
      </c>
      <c r="V185" s="24" t="n">
        <v>0.096</v>
      </c>
      <c r="W185" s="25" t="n">
        <v>1</v>
      </c>
      <c r="X185" s="26" t="n">
        <v>1</v>
      </c>
      <c r="Y185" s="24" t="n">
        <v>0.0013</v>
      </c>
      <c r="Z185" s="24" t="n">
        <v>0.0219</v>
      </c>
      <c r="AA185" s="24" t="n">
        <v>0.0048</v>
      </c>
      <c r="AB185" s="24" t="n">
        <v>0.0095</v>
      </c>
      <c r="AC185" s="24" t="n">
        <v>0.015</v>
      </c>
      <c r="AD185" s="24" t="n">
        <v>0.0042</v>
      </c>
      <c r="AE185" s="24" t="n">
        <v>0.0032</v>
      </c>
      <c r="AF185" s="24" t="n">
        <v>0.0265</v>
      </c>
    </row>
    <row r="186">
      <c r="A186" s="9" t="inlineStr">
        <is>
          <t>STP</t>
        </is>
      </c>
      <c r="B186" s="9" t="inlineStr">
        <is>
          <t>São Tomé and Principe</t>
        </is>
      </c>
      <c r="C186" s="9" t="inlineStr">
        <is>
          <t>EMDC</t>
        </is>
      </c>
      <c r="D186" s="23" t="n">
        <v>0.105</v>
      </c>
      <c r="E186" s="24" t="n">
        <v>1.0034</v>
      </c>
      <c r="F186" s="24" t="n">
        <v>0.0062</v>
      </c>
      <c r="G186" s="24" t="n">
        <v>0.0312</v>
      </c>
      <c r="H186" s="24" t="n">
        <v>0.0251</v>
      </c>
      <c r="I186" s="24" t="n">
        <v>0.0171</v>
      </c>
      <c r="J186" s="24" t="n">
        <v>0.0146</v>
      </c>
      <c r="K186" s="24" t="n">
        <v>0.0146</v>
      </c>
      <c r="L186" s="24" t="n">
        <v>0.5264</v>
      </c>
      <c r="M186" s="24" t="n">
        <v>0.278</v>
      </c>
      <c r="N186" s="24" t="n">
        <v>0.08599999999999999</v>
      </c>
      <c r="O186" s="24" t="n">
        <v>1.068</v>
      </c>
      <c r="P186" s="24" t="n">
        <v>0.8603</v>
      </c>
      <c r="Q186" s="24" t="n">
        <v>0.1251</v>
      </c>
      <c r="R186" s="24" t="n">
        <v>0.1206</v>
      </c>
      <c r="S186" s="24" t="n">
        <v>0.1206</v>
      </c>
      <c r="T186" s="24" t="n">
        <v>8.673400000000001</v>
      </c>
      <c r="U186" s="24" t="n">
        <v>0.1979</v>
      </c>
      <c r="V186" s="24" t="n">
        <v>0.153</v>
      </c>
      <c r="W186" s="25" t="n">
        <v>1</v>
      </c>
      <c r="X186" s="26" t="n">
        <v>0.4478</v>
      </c>
      <c r="Y186" s="24" t="n">
        <v>0.0135</v>
      </c>
      <c r="Z186" s="24" t="n">
        <v>0.0033</v>
      </c>
      <c r="AA186" s="24" t="n">
        <v>0.0011</v>
      </c>
      <c r="AB186" s="24" t="n">
        <v>0.0094</v>
      </c>
      <c r="AC186" s="24" t="n">
        <v>0.0039</v>
      </c>
      <c r="AD186" s="24" t="n">
        <v>0.0163</v>
      </c>
      <c r="AE186" s="24" t="n">
        <v>0.0136</v>
      </c>
      <c r="AF186" s="24" t="n">
        <v>0.0116</v>
      </c>
    </row>
    <row r="187">
      <c r="A187" s="9" t="inlineStr">
        <is>
          <t>DMA</t>
        </is>
      </c>
      <c r="B187" s="9" t="inlineStr">
        <is>
          <t>Dominica</t>
        </is>
      </c>
      <c r="C187" s="9" t="inlineStr">
        <is>
          <t>EMDC</t>
        </is>
      </c>
      <c r="D187" s="23" t="n">
        <v>0.105</v>
      </c>
      <c r="E187" s="24" t="n">
        <v>0.8398</v>
      </c>
      <c r="F187" s="24" t="n">
        <v>0.0066</v>
      </c>
      <c r="G187" s="24" t="n">
        <v>0.021</v>
      </c>
      <c r="H187" s="24" t="n">
        <v>0.0144</v>
      </c>
      <c r="I187" s="24" t="n">
        <v>0.0011</v>
      </c>
      <c r="J187" s="24" t="n">
        <v>-0.0014</v>
      </c>
      <c r="K187" s="24" t="n">
        <v>-0.0014</v>
      </c>
      <c r="L187" s="24" t="n">
        <v>0.3835</v>
      </c>
      <c r="M187" s="24" t="n">
        <v>0.3191</v>
      </c>
      <c r="N187" s="24" t="n">
        <v>0.081</v>
      </c>
      <c r="O187" s="24" t="n">
        <v>0.7452</v>
      </c>
      <c r="P187" s="24" t="n">
        <v>0.5417</v>
      </c>
      <c r="Q187" s="24" t="n">
        <v>-0.0236</v>
      </c>
      <c r="R187" s="24" t="n">
        <v>-0.1311</v>
      </c>
      <c r="S187" s="24" t="n">
        <v>-0.1311</v>
      </c>
      <c r="T187" s="24" t="n">
        <v>5.1334</v>
      </c>
      <c r="U187" s="24" t="n">
        <v>0.2732</v>
      </c>
      <c r="V187" s="24" t="n">
        <v>0.07000000000000001</v>
      </c>
      <c r="W187" s="25" t="n">
        <v>1</v>
      </c>
      <c r="X187" s="26" t="n">
        <v>1.0387</v>
      </c>
      <c r="Y187" s="24" t="n">
        <v>0.0012</v>
      </c>
      <c r="Z187" s="24" t="n">
        <v>0.007900000000000001</v>
      </c>
      <c r="AA187" s="24" t="n">
        <v>0.0018</v>
      </c>
      <c r="AB187" s="24" t="n">
        <v>0.0042</v>
      </c>
      <c r="AC187" s="24" t="n">
        <v>0.0059</v>
      </c>
      <c r="AD187" s="24" t="n">
        <v>0.0024</v>
      </c>
      <c r="AE187" s="24" t="n">
        <v>0.0017</v>
      </c>
      <c r="AF187" s="24" t="n">
        <v>0.0107</v>
      </c>
    </row>
    <row r="188">
      <c r="A188" s="9" t="inlineStr">
        <is>
          <t>TON</t>
        </is>
      </c>
      <c r="B188" s="9" t="inlineStr">
        <is>
          <t>Tonga</t>
        </is>
      </c>
      <c r="C188" s="9" t="inlineStr">
        <is>
          <t>EMDC</t>
        </is>
      </c>
      <c r="D188" s="23" t="n">
        <v>0.105</v>
      </c>
      <c r="E188" s="24" t="n">
        <v>0.7484</v>
      </c>
      <c r="F188" s="24" t="n">
        <v>0.006</v>
      </c>
      <c r="G188" s="24" t="n">
        <v>0.0193</v>
      </c>
      <c r="H188" s="24" t="n">
        <v>0.0132</v>
      </c>
      <c r="I188" s="24" t="n">
        <v>0.0032</v>
      </c>
      <c r="J188" s="24" t="n">
        <v>0.0011</v>
      </c>
      <c r="K188" s="24" t="n">
        <v>0.0011</v>
      </c>
      <c r="L188" s="24" t="n">
        <v>0.3288</v>
      </c>
      <c r="M188" s="24" t="n">
        <v>0.2725</v>
      </c>
      <c r="N188" s="24" t="n">
        <v>0.0856</v>
      </c>
      <c r="O188" s="24" t="n">
        <v>0.6333</v>
      </c>
      <c r="P188" s="24" t="n">
        <v>0.4581</v>
      </c>
      <c r="Q188" s="24" t="n">
        <v>-0.0067</v>
      </c>
      <c r="R188" s="24" t="n">
        <v>-0.0863</v>
      </c>
      <c r="S188" s="24" t="n">
        <v>-0.08649999999999999</v>
      </c>
      <c r="T188" s="24" t="n">
        <v>3.8052</v>
      </c>
      <c r="U188" s="24" t="n">
        <v>0.2021</v>
      </c>
      <c r="V188" s="24" t="n">
        <v>0.177</v>
      </c>
      <c r="W188" s="25" t="n">
        <v>2</v>
      </c>
      <c r="X188" s="26" t="n">
        <v>1</v>
      </c>
      <c r="Y188" s="24" t="n">
        <v>0.0015</v>
      </c>
      <c r="Z188" s="24" t="n">
        <v>0.0043</v>
      </c>
      <c r="AA188" s="24" t="n">
        <v>0.0034</v>
      </c>
      <c r="AB188" s="24" t="n">
        <v>0.0034</v>
      </c>
      <c r="AC188" s="24" t="n">
        <v>0.0066</v>
      </c>
      <c r="AD188" s="24" t="n">
        <v>0.0025</v>
      </c>
      <c r="AE188" s="24" t="n">
        <v>0.0018</v>
      </c>
      <c r="AF188" s="24" t="n">
        <v>0.0124</v>
      </c>
    </row>
    <row r="189">
      <c r="A189" s="9" t="inlineStr">
        <is>
          <t>PLW</t>
        </is>
      </c>
      <c r="B189" s="9" t="inlineStr">
        <is>
          <t>Palau</t>
        </is>
      </c>
      <c r="C189" s="9" t="inlineStr">
        <is>
          <t>EMDC</t>
        </is>
      </c>
      <c r="D189" s="23" t="n">
        <v>0.105</v>
      </c>
      <c r="E189" s="24" t="n">
        <v>0.3977</v>
      </c>
      <c r="F189" s="24" t="n">
        <v>0.006</v>
      </c>
      <c r="G189" s="24" t="n">
        <v>0.0461</v>
      </c>
      <c r="H189" s="24" t="n">
        <v>0.0401</v>
      </c>
      <c r="I189" s="24" t="n">
        <v>0.0262</v>
      </c>
      <c r="J189" s="24" t="n">
        <v>0.0226</v>
      </c>
      <c r="K189" s="24" t="n">
        <v>0.0226</v>
      </c>
      <c r="L189" s="24" t="n">
        <v>1.4346</v>
      </c>
      <c r="M189" s="24" t="n">
        <v>1.1899</v>
      </c>
      <c r="N189" s="24" t="n">
        <v>0.2901</v>
      </c>
      <c r="O189" s="24" t="n">
        <v>1.9456</v>
      </c>
      <c r="P189" s="24" t="n">
        <v>1.8005</v>
      </c>
      <c r="Q189" s="24" t="n">
        <v>0.2784</v>
      </c>
      <c r="R189" s="24" t="n">
        <v>0.3917</v>
      </c>
      <c r="S189" s="24" t="n">
        <v>0.3917</v>
      </c>
      <c r="T189" s="24" t="n">
        <v>15.5675</v>
      </c>
      <c r="U189" s="24" t="n">
        <v>0.278</v>
      </c>
      <c r="V189" s="24" t="n">
        <v>1.341</v>
      </c>
      <c r="W189" s="25" t="n">
        <v>1</v>
      </c>
      <c r="X189" s="26" t="n">
        <v>1</v>
      </c>
      <c r="Y189" s="24" t="n">
        <v>0.0009</v>
      </c>
      <c r="Z189" s="24" t="n">
        <v>0.0094</v>
      </c>
      <c r="AA189" s="24" t="n">
        <v>0.0024</v>
      </c>
      <c r="AB189" s="24" t="n">
        <v>0.0246</v>
      </c>
      <c r="AC189" s="24" t="n">
        <v>0.008800000000000001</v>
      </c>
      <c r="AD189" s="24" t="n">
        <v>0.0083</v>
      </c>
      <c r="AE189" s="24" t="n">
        <v>0.0078</v>
      </c>
      <c r="AF189" s="24" t="n">
        <v>0.0284</v>
      </c>
    </row>
    <row r="190">
      <c r="A190" s="9" t="inlineStr">
        <is>
          <t>NRU</t>
        </is>
      </c>
      <c r="B190" s="9" t="inlineStr">
        <is>
          <t>Naoero</t>
        </is>
      </c>
      <c r="C190" s="9" t="inlineStr">
        <is>
          <t>EMDC</t>
        </is>
      </c>
      <c r="D190" s="23" t="n">
        <v>0.105</v>
      </c>
      <c r="E190" s="24" t="n">
        <v>0.192</v>
      </c>
      <c r="F190" s="24" t="n">
        <v>0.0032</v>
      </c>
      <c r="G190" s="24" t="n">
        <v>0.0149</v>
      </c>
      <c r="H190" s="24" t="n">
        <v>0.0117</v>
      </c>
      <c r="I190" s="24" t="n">
        <v>0.0061</v>
      </c>
      <c r="J190" s="24" t="n">
        <v>0.0039</v>
      </c>
      <c r="K190" s="24" t="n">
        <v>0.0039</v>
      </c>
      <c r="L190" s="24" t="n">
        <v>0.1354</v>
      </c>
      <c r="M190" s="24" t="n">
        <v>0.1303</v>
      </c>
      <c r="N190" s="24" t="n">
        <v>0.0289</v>
      </c>
      <c r="O190" s="24" t="n">
        <v>0.537</v>
      </c>
      <c r="P190" s="24" t="n">
        <v>0.4462</v>
      </c>
      <c r="Q190" s="24" t="n">
        <v>0.06610000000000001</v>
      </c>
      <c r="R190" s="24" t="n">
        <v>0.0512</v>
      </c>
      <c r="S190" s="24" t="n">
        <v>0.0512</v>
      </c>
      <c r="T190" s="24" t="n">
        <v>1.2898</v>
      </c>
      <c r="U190" s="24" t="n">
        <v>0.1323</v>
      </c>
      <c r="V190" s="24" t="n">
        <v>0.101</v>
      </c>
      <c r="W190" s="25" t="n">
        <v>1</v>
      </c>
      <c r="X190" s="26" t="n">
        <v>1</v>
      </c>
      <c r="Y190" s="24" t="n">
        <v>0.0002</v>
      </c>
      <c r="Z190" s="24" t="n">
        <v>0.0064</v>
      </c>
      <c r="AA190" s="24" t="n">
        <v>0.0013</v>
      </c>
      <c r="AB190" s="24" t="n">
        <v>0.0027</v>
      </c>
      <c r="AC190" s="24" t="n">
        <v>0.0042</v>
      </c>
      <c r="AD190" s="24" t="n">
        <v>0.001</v>
      </c>
      <c r="AE190" s="24" t="n">
        <v>0.0008</v>
      </c>
      <c r="AF190" s="24" t="n">
        <v>0.0074</v>
      </c>
    </row>
  </sheetData>
  <autoFilter ref="A4:AF1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7"/>
  <sheetViews>
    <sheetView zoomScale="90" workbookViewId="0">
      <selection activeCell="A1" sqref="A1"/>
    </sheetView>
  </sheetViews>
  <sheetFormatPr baseColWidth="8" defaultRowHeight="15"/>
  <cols>
    <col width="56" customWidth="1" min="2" max="2"/>
    <col width="26" customWidth="1" min="3" max="3"/>
    <col width="10" customWidth="1" min="4" max="4"/>
    <col width="10" customWidth="1" min="5" max="5"/>
    <col width="10" customWidth="1" min="6" max="6"/>
    <col width="10" customWidth="1" min="7" max="7"/>
    <col width="10" customWidth="1" min="8" max="8"/>
  </cols>
  <sheetData>
    <row r="1">
      <c r="A1" s="1" t="inlineStr">
        <is>
          <t>Typology - who pays for net zero investment (selected country)</t>
        </is>
      </c>
      <c r="B1" s="2" t="n"/>
      <c r="C1" s="2" t="n"/>
      <c r="D1" s="2" t="n"/>
      <c r="E1" s="2" t="n"/>
      <c r="F1" s="2" t="n"/>
      <c r="G1" s="2" t="n"/>
      <c r="H1" s="2" t="n"/>
      <c r="I1" s="2" t="n"/>
      <c r="J1" s="2" t="n"/>
    </row>
    <row r="2">
      <c r="B2" s="5">
        <f>Settings!C5</f>
        <v/>
      </c>
    </row>
    <row r="3">
      <c r="B3" s="6" t="inlineStr">
        <is>
          <t>P1 pure public (taxes repay it) | P2 regulated utility (tariffs on a regulated asset base) | P3 contracted revenue (PPA, CfD, concession) | P4 viability gap (market revenue + public top-up) | P5 pure private (own savings or sales)</t>
        </is>
      </c>
    </row>
    <row r="5">
      <c r="A5" s="12" t="inlineStr">
        <is>
          <t>Country context</t>
        </is>
      </c>
      <c r="B5" s="13" t="n"/>
      <c r="C5" s="13" t="n"/>
      <c r="D5" s="13" t="n"/>
      <c r="E5" s="13" t="n"/>
      <c r="F5" s="13" t="n"/>
      <c r="G5" s="13" t="n"/>
      <c r="H5" s="13" t="n"/>
      <c r="I5" s="13" t="n"/>
      <c r="J5" s="13" t="n"/>
    </row>
    <row r="6">
      <c r="B6" s="9" t="inlineStr">
        <is>
          <t>Power market structure (1 VIU, 2 single buyer, 3 wholesale)</t>
        </is>
      </c>
      <c r="C6" s="25">
        <f>INDEX(PowerMarket!$B$4:$B$189,MATCH(Settings!$C$4,PowerMarket!$A$4:$A$189,0))</f>
        <v/>
      </c>
    </row>
    <row r="7">
      <c r="B7" s="9" t="inlineStr">
        <is>
          <t>Source</t>
        </is>
      </c>
      <c r="C7" s="27">
        <f>INDEX(PowerMarket!$C$4:$C$189,MATCH(Settings!$C$4,PowerMarket!$A$4:$A$189,0))&amp;""</f>
        <v/>
      </c>
    </row>
    <row r="8">
      <c r="B8" s="9" t="inlineStr">
        <is>
          <t>Note</t>
        </is>
      </c>
      <c r="C8" s="27">
        <f>INDEX(PowerMarket!$D$4:$D$189,MATCH(Settings!$C$4,PowerMarket!$A$4:$A$189,0))&amp;""</f>
        <v/>
      </c>
    </row>
    <row r="9">
      <c r="B9" s="9" t="inlineStr">
        <is>
          <t>Independent regulator / unbundled / privatised (0/1, PSRT)</t>
        </is>
      </c>
      <c r="C9" s="27">
        <f>INDEX(PowerMarket!$E$4:$E$189,MATCH(Settings!$C$4,PowerMarket!$A$4:$A$189,0))&amp;" / "&amp;INDEX(PowerMarket!$F$4:$F$189,MATCH(Settings!$C$4,PowerMarket!$A$4:$A$189,0))&amp;" / "&amp;INDEX(PowerMarket!$G$4:$G$189,MATCH(Settings!$C$4,PowerMarket!$A$4:$A$189,0))</f>
        <v/>
      </c>
    </row>
    <row r="10">
      <c r="B10" s="9" t="inlineStr">
        <is>
          <t>Electricity cost recovery (retail price / supply cost)</t>
        </is>
      </c>
      <c r="C10" s="26">
        <f>INDEX(PowerMarket!$I$4:$I$189,MATCH(Settings!$C$4,PowerMarket!$A$4:$A$189,0))</f>
        <v/>
      </c>
    </row>
    <row r="11">
      <c r="B11" s="9" t="inlineStr">
        <is>
          <t>Private electricity investment, PPI, USD bn a year 2015-24</t>
        </is>
      </c>
      <c r="C11" s="28">
        <f>INDEX(PowerMarket!$L$4:$L$189,MATCH(Settings!$C$4,PowerMarket!$A$4:$A$189,0))</f>
        <v/>
      </c>
    </row>
    <row r="12">
      <c r="B12" s="9" t="inlineStr">
        <is>
          <t>RISE renewable energy score (0-100)</t>
        </is>
      </c>
      <c r="C12" s="25">
        <f>INDEX(PowerMarket!$S$4:$S$189,MATCH(Settings!$C$4,PowerMarket!$A$4:$A$189,0))</f>
        <v/>
      </c>
    </row>
    <row r="13">
      <c r="B13" s="9" t="inlineStr">
        <is>
          <t>Utility pressure index (tariff under-recovery)</t>
        </is>
      </c>
      <c r="C13" s="26">
        <f>Mitigation!$J$47</f>
        <v/>
      </c>
    </row>
    <row r="14">
      <c r="B14" s="9" t="inlineStr">
        <is>
          <t>Capital-cost pressure index (WACC above 6%)</t>
        </is>
      </c>
      <c r="C14" s="26">
        <f>Mitigation!$J$48</f>
        <v/>
      </c>
    </row>
    <row r="15">
      <c r="B15" s="9" t="inlineStr">
        <is>
          <t>Subsidy pressure index (explicit fossil subsidies)</t>
        </is>
      </c>
      <c r="C15" s="26">
        <f>Mitigation!$J$49</f>
        <v/>
      </c>
    </row>
    <row r="16">
      <c r="B16" s="9" t="inlineStr">
        <is>
          <t>Top-up share of market end-use investment</t>
        </is>
      </c>
      <c r="C16" s="26">
        <f>Mitigation!$J$50</f>
        <v/>
      </c>
    </row>
    <row r="18">
      <c r="A18" s="12" t="inlineStr">
        <is>
          <t>Type shares by sector (Mitigation section 1)</t>
        </is>
      </c>
      <c r="B18" s="13" t="n"/>
      <c r="C18" s="13" t="n"/>
      <c r="D18" s="13" t="n"/>
      <c r="E18" s="13" t="n"/>
      <c r="F18" s="13" t="n"/>
      <c r="G18" s="13" t="n"/>
      <c r="H18" s="13" t="n"/>
      <c r="I18" s="13" t="n"/>
      <c r="J18" s="13" t="n"/>
    </row>
    <row r="19">
      <c r="B19" s="7" t="inlineStr">
        <is>
          <t>Sector</t>
        </is>
      </c>
      <c r="C19" s="7" t="inlineStr">
        <is>
          <t>P1</t>
        </is>
      </c>
      <c r="D19" s="7" t="inlineStr">
        <is>
          <t>P2</t>
        </is>
      </c>
      <c r="E19" s="7" t="inlineStr">
        <is>
          <t>P3</t>
        </is>
      </c>
      <c r="F19" s="7" t="inlineStr">
        <is>
          <t>P4</t>
        </is>
      </c>
      <c r="G19" s="7" t="inlineStr">
        <is>
          <t>P5</t>
        </is>
      </c>
      <c r="H19" s="7" t="inlineStr">
        <is>
          <t>Sum</t>
        </is>
      </c>
    </row>
    <row r="20">
      <c r="B20" s="9" t="inlineStr">
        <is>
          <t>Power generation</t>
        </is>
      </c>
      <c r="C20" s="29">
        <f>Mitigation!$J$54</f>
        <v/>
      </c>
      <c r="D20" s="29">
        <f>Mitigation!$J$55</f>
        <v/>
      </c>
      <c r="E20" s="29">
        <f>Mitigation!$J$56</f>
        <v/>
      </c>
      <c r="F20" s="29">
        <f>Mitigation!$J$57</f>
        <v/>
      </c>
      <c r="G20" s="29">
        <f>Mitigation!$J$58</f>
        <v/>
      </c>
      <c r="H20" s="29">
        <f>SUM(C20:G20)</f>
        <v/>
      </c>
    </row>
    <row r="21">
      <c r="B21" s="9" t="inlineStr">
        <is>
          <t>Grids and storage</t>
        </is>
      </c>
      <c r="C21" s="29">
        <f>Mitigation!$J$60</f>
        <v/>
      </c>
      <c r="D21" s="29">
        <f>Mitigation!$J$61</f>
        <v/>
      </c>
      <c r="E21" s="29">
        <f>Mitigation!$J$62</f>
        <v/>
      </c>
      <c r="F21" s="29">
        <f>Mitigation!$J$63</f>
        <v/>
      </c>
      <c r="G21" s="29">
        <f>Mitigation!$J$64</f>
        <v/>
      </c>
      <c r="H21" s="29">
        <f>SUM(C21:G21)</f>
        <v/>
      </c>
    </row>
    <row r="22">
      <c r="B22" s="9" t="inlineStr">
        <is>
          <t>Transport (EV premium, chargers)</t>
        </is>
      </c>
      <c r="C22" s="29">
        <f>Mitigation!$J$65</f>
        <v/>
      </c>
      <c r="D22" s="29">
        <f>Mitigation!$J$66</f>
        <v/>
      </c>
      <c r="E22" s="29">
        <f>Mitigation!$J$67</f>
        <v/>
      </c>
      <c r="F22" s="29">
        <f>Mitigation!$J$68</f>
        <v/>
      </c>
      <c r="G22" s="29">
        <f>Mitigation!$J$69</f>
        <v/>
      </c>
      <c r="H22" s="29">
        <f>SUM(C22:G22)</f>
        <v/>
      </c>
    </row>
    <row r="23">
      <c r="B23" s="9" t="inlineStr">
        <is>
          <t>Buildings</t>
        </is>
      </c>
      <c r="C23" s="29">
        <f>Mitigation!$J$70</f>
        <v/>
      </c>
      <c r="D23" s="29">
        <f>Mitigation!$J$71</f>
        <v/>
      </c>
      <c r="E23" s="29">
        <f>Mitigation!$J$72</f>
        <v/>
      </c>
      <c r="F23" s="29">
        <f>Mitigation!$J$73</f>
        <v/>
      </c>
      <c r="G23" s="29">
        <f>Mitigation!$J$74</f>
        <v/>
      </c>
      <c r="H23" s="29">
        <f>SUM(C23:G23)</f>
        <v/>
      </c>
    </row>
    <row r="24">
      <c r="B24" s="9" t="inlineStr">
        <is>
          <t>Industry: fuel switch</t>
        </is>
      </c>
      <c r="C24" s="29" t="n">
        <v>0</v>
      </c>
      <c r="D24" s="29" t="n">
        <v>0</v>
      </c>
      <c r="E24" s="29" t="n">
        <v>0</v>
      </c>
      <c r="F24" s="29">
        <f>Mitigation!$J$75</f>
        <v/>
      </c>
      <c r="G24" s="29">
        <f>1-Mitigation!$J$75</f>
        <v/>
      </c>
      <c r="H24" s="29">
        <f>SUM(C24:G24)</f>
        <v/>
      </c>
    </row>
    <row r="25">
      <c r="B25" s="9" t="inlineStr">
        <is>
          <t>Industry: CCS on CBAM goods</t>
        </is>
      </c>
      <c r="C25" s="29" t="n">
        <v>0</v>
      </c>
      <c r="D25" s="29" t="n">
        <v>0</v>
      </c>
      <c r="E25" s="29" t="n">
        <v>0</v>
      </c>
      <c r="F25" s="29" t="n">
        <v>1</v>
      </c>
      <c r="G25" s="29" t="n">
        <v>0</v>
      </c>
      <c r="H25" s="29">
        <f>SUM(C25:G25)</f>
        <v/>
      </c>
    </row>
    <row r="26">
      <c r="B26" s="9" t="inlineStr">
        <is>
          <t>Non-CO2</t>
        </is>
      </c>
      <c r="C26" s="29">
        <f>Mitigation!$J$76</f>
        <v/>
      </c>
      <c r="D26" s="29" t="n">
        <v>0</v>
      </c>
      <c r="E26" s="29" t="n">
        <v>0</v>
      </c>
      <c r="F26" s="29">
        <f>1-Mitigation!$J$76-Mitigation!$J$77</f>
        <v/>
      </c>
      <c r="G26" s="29">
        <f>Mitigation!$J$77</f>
        <v/>
      </c>
      <c r="H26" s="29">
        <f>SUM(C26:G26)</f>
        <v/>
      </c>
    </row>
    <row r="27">
      <c r="B27" s="9" t="inlineStr">
        <is>
          <t>Land use</t>
        </is>
      </c>
      <c r="C27" s="29">
        <f>Mitigation!$J$78</f>
        <v/>
      </c>
      <c r="D27" s="29" t="n">
        <v>0</v>
      </c>
      <c r="E27" s="29" t="n">
        <v>0</v>
      </c>
      <c r="F27" s="29">
        <f>1-Mitigation!$J$78</f>
        <v/>
      </c>
      <c r="G27" s="29" t="n">
        <v>0</v>
      </c>
      <c r="H27" s="29">
        <f>SUM(C27:G27)</f>
        <v/>
      </c>
    </row>
    <row r="28">
      <c r="B28" s="9" t="inlineStr">
        <is>
          <t>Other energy CO2 (aviation, shipping)</t>
        </is>
      </c>
      <c r="C28" s="29" t="n">
        <v>0</v>
      </c>
      <c r="D28" s="29" t="n">
        <v>0</v>
      </c>
      <c r="E28" s="29" t="n">
        <v>0</v>
      </c>
      <c r="F28" s="29" t="n">
        <v>1</v>
      </c>
      <c r="G28" s="29" t="n">
        <v>0</v>
      </c>
      <c r="H28" s="29">
        <f>SUM(C28:G28)</f>
        <v/>
      </c>
    </row>
    <row r="29">
      <c r="B29" s="9" t="inlineStr">
        <is>
          <t>Unmodelled clean investment</t>
        </is>
      </c>
      <c r="C29" s="29">
        <f>Mitigation!$J$79</f>
        <v/>
      </c>
      <c r="D29" s="29">
        <f>Mitigation!$J$80</f>
        <v/>
      </c>
      <c r="E29" s="29">
        <f>Mitigation!$J$81</f>
        <v/>
      </c>
      <c r="F29" s="29">
        <f>Mitigation!$J$82</f>
        <v/>
      </c>
      <c r="G29" s="29">
        <f>Mitigation!$J$83</f>
        <v/>
      </c>
      <c r="H29" s="29">
        <f>SUM(C29:G29)</f>
        <v/>
      </c>
    </row>
    <row r="31">
      <c r="A31" s="12" t="inlineStr">
        <is>
          <t>Investment by type, USD bn a year (Mitigation section 12)</t>
        </is>
      </c>
      <c r="B31" s="13" t="n"/>
      <c r="C31" s="13" t="n"/>
      <c r="D31" s="13" t="n"/>
      <c r="E31" s="13" t="n"/>
      <c r="F31" s="13" t="n"/>
      <c r="G31" s="13" t="n"/>
      <c r="H31" s="13" t="n"/>
      <c r="I31" s="13" t="n"/>
      <c r="J31" s="13" t="n"/>
    </row>
    <row r="32">
      <c r="B32" s="7" t="inlineStr">
        <is>
          <t>Item</t>
        </is>
      </c>
      <c r="C32" s="7" t="n">
        <v>2025</v>
      </c>
      <c r="D32" s="7" t="n">
        <v>2030</v>
      </c>
      <c r="E32" s="7" t="n">
        <v>2035</v>
      </c>
      <c r="F32" s="7" t="n">
        <v>2040</v>
      </c>
      <c r="G32" s="7" t="n">
        <v>2045</v>
      </c>
      <c r="H32" s="7" t="n">
        <v>2050</v>
      </c>
    </row>
    <row r="33">
      <c r="B33" s="9" t="inlineStr">
        <is>
          <t>Net zero: P1 pure public</t>
        </is>
      </c>
      <c r="C33" s="8">
        <f>Mitigation!O247</f>
        <v/>
      </c>
      <c r="D33" s="8">
        <f>Mitigation!T247</f>
        <v/>
      </c>
      <c r="E33" s="8">
        <f>Mitigation!Y247</f>
        <v/>
      </c>
      <c r="F33" s="8">
        <f>Mitigation!AD247</f>
        <v/>
      </c>
      <c r="G33" s="8">
        <f>Mitigation!AI247</f>
        <v/>
      </c>
      <c r="H33" s="8">
        <f>Mitigation!AN247</f>
        <v/>
      </c>
    </row>
    <row r="34">
      <c r="B34" s="9" t="inlineStr">
        <is>
          <t>Net zero: P2 regulated utility</t>
        </is>
      </c>
      <c r="C34" s="8">
        <f>Mitigation!O248</f>
        <v/>
      </c>
      <c r="D34" s="8">
        <f>Mitigation!T248</f>
        <v/>
      </c>
      <c r="E34" s="8">
        <f>Mitigation!Y248</f>
        <v/>
      </c>
      <c r="F34" s="8">
        <f>Mitigation!AD248</f>
        <v/>
      </c>
      <c r="G34" s="8">
        <f>Mitigation!AI248</f>
        <v/>
      </c>
      <c r="H34" s="8">
        <f>Mitigation!AN248</f>
        <v/>
      </c>
    </row>
    <row r="35">
      <c r="B35" s="9" t="inlineStr">
        <is>
          <t>Net zero: P3 contracted revenue</t>
        </is>
      </c>
      <c r="C35" s="8">
        <f>Mitigation!O249</f>
        <v/>
      </c>
      <c r="D35" s="8">
        <f>Mitigation!T249</f>
        <v/>
      </c>
      <c r="E35" s="8">
        <f>Mitigation!Y249</f>
        <v/>
      </c>
      <c r="F35" s="8">
        <f>Mitigation!AD249</f>
        <v/>
      </c>
      <c r="G35" s="8">
        <f>Mitigation!AI249</f>
        <v/>
      </c>
      <c r="H35" s="8">
        <f>Mitigation!AN249</f>
        <v/>
      </c>
    </row>
    <row r="36">
      <c r="B36" s="9" t="inlineStr">
        <is>
          <t>Net zero: P4 viability gap</t>
        </is>
      </c>
      <c r="C36" s="8">
        <f>Mitigation!O250</f>
        <v/>
      </c>
      <c r="D36" s="8">
        <f>Mitigation!T250</f>
        <v/>
      </c>
      <c r="E36" s="8">
        <f>Mitigation!Y250</f>
        <v/>
      </c>
      <c r="F36" s="8">
        <f>Mitigation!AD250</f>
        <v/>
      </c>
      <c r="G36" s="8">
        <f>Mitigation!AI250</f>
        <v/>
      </c>
      <c r="H36" s="8">
        <f>Mitigation!AN250</f>
        <v/>
      </c>
    </row>
    <row r="37">
      <c r="B37" s="9" t="inlineStr">
        <is>
          <t>Net zero: P5 pure private</t>
        </is>
      </c>
      <c r="C37" s="8">
        <f>Mitigation!O251</f>
        <v/>
      </c>
      <c r="D37" s="8">
        <f>Mitigation!T251</f>
        <v/>
      </c>
      <c r="E37" s="8">
        <f>Mitigation!Y251</f>
        <v/>
      </c>
      <c r="F37" s="8">
        <f>Mitigation!AD251</f>
        <v/>
      </c>
      <c r="G37" s="8">
        <f>Mitigation!AI251</f>
        <v/>
      </c>
      <c r="H37" s="8">
        <f>Mitigation!AN251</f>
        <v/>
      </c>
    </row>
    <row r="38">
      <c r="B38" s="3" t="inlineStr">
        <is>
          <t>Net zero: total</t>
        </is>
      </c>
      <c r="C38" s="8">
        <f>Mitigation!O221</f>
        <v/>
      </c>
      <c r="D38" s="8">
        <f>Mitigation!T221</f>
        <v/>
      </c>
      <c r="E38" s="8">
        <f>Mitigation!Y221</f>
        <v/>
      </c>
      <c r="F38" s="8">
        <f>Mitigation!AD221</f>
        <v/>
      </c>
      <c r="G38" s="8">
        <f>Mitigation!AI221</f>
        <v/>
      </c>
      <c r="H38" s="8">
        <f>Mitigation!AN221</f>
        <v/>
      </c>
    </row>
    <row r="39">
      <c r="B39" s="9" t="inlineStr">
        <is>
          <t>Incremental: P1 pure public</t>
        </is>
      </c>
      <c r="C39" s="8">
        <f>Mitigation!O252</f>
        <v/>
      </c>
      <c r="D39" s="8">
        <f>Mitigation!T252</f>
        <v/>
      </c>
      <c r="E39" s="8">
        <f>Mitigation!Y252</f>
        <v/>
      </c>
      <c r="F39" s="8">
        <f>Mitigation!AD252</f>
        <v/>
      </c>
      <c r="G39" s="8">
        <f>Mitigation!AI252</f>
        <v/>
      </c>
      <c r="H39" s="8">
        <f>Mitigation!AN252</f>
        <v/>
      </c>
    </row>
    <row r="40">
      <c r="B40" s="9" t="inlineStr">
        <is>
          <t>Incremental: P2 regulated utility</t>
        </is>
      </c>
      <c r="C40" s="8">
        <f>Mitigation!O253</f>
        <v/>
      </c>
      <c r="D40" s="8">
        <f>Mitigation!T253</f>
        <v/>
      </c>
      <c r="E40" s="8">
        <f>Mitigation!Y253</f>
        <v/>
      </c>
      <c r="F40" s="8">
        <f>Mitigation!AD253</f>
        <v/>
      </c>
      <c r="G40" s="8">
        <f>Mitigation!AI253</f>
        <v/>
      </c>
      <c r="H40" s="8">
        <f>Mitigation!AN253</f>
        <v/>
      </c>
    </row>
    <row r="41">
      <c r="B41" s="9" t="inlineStr">
        <is>
          <t>Incremental: P3 contracted revenue</t>
        </is>
      </c>
      <c r="C41" s="8">
        <f>Mitigation!O254</f>
        <v/>
      </c>
      <c r="D41" s="8">
        <f>Mitigation!T254</f>
        <v/>
      </c>
      <c r="E41" s="8">
        <f>Mitigation!Y254</f>
        <v/>
      </c>
      <c r="F41" s="8">
        <f>Mitigation!AD254</f>
        <v/>
      </c>
      <c r="G41" s="8">
        <f>Mitigation!AI254</f>
        <v/>
      </c>
      <c r="H41" s="8">
        <f>Mitigation!AN254</f>
        <v/>
      </c>
    </row>
    <row r="42">
      <c r="B42" s="9" t="inlineStr">
        <is>
          <t>Incremental: P4 viability gap</t>
        </is>
      </c>
      <c r="C42" s="8">
        <f>Mitigation!O255</f>
        <v/>
      </c>
      <c r="D42" s="8">
        <f>Mitigation!T255</f>
        <v/>
      </c>
      <c r="E42" s="8">
        <f>Mitigation!Y255</f>
        <v/>
      </c>
      <c r="F42" s="8">
        <f>Mitigation!AD255</f>
        <v/>
      </c>
      <c r="G42" s="8">
        <f>Mitigation!AI255</f>
        <v/>
      </c>
      <c r="H42" s="8">
        <f>Mitigation!AN255</f>
        <v/>
      </c>
    </row>
    <row r="43">
      <c r="B43" s="9" t="inlineStr">
        <is>
          <t>Incremental: P5 pure private</t>
        </is>
      </c>
      <c r="C43" s="8">
        <f>Mitigation!O256</f>
        <v/>
      </c>
      <c r="D43" s="8">
        <f>Mitigation!T256</f>
        <v/>
      </c>
      <c r="E43" s="8">
        <f>Mitigation!Y256</f>
        <v/>
      </c>
      <c r="F43" s="8">
        <f>Mitigation!AD256</f>
        <v/>
      </c>
      <c r="G43" s="8">
        <f>Mitigation!AI256</f>
        <v/>
      </c>
      <c r="H43" s="8">
        <f>Mitigation!AN256</f>
        <v/>
      </c>
    </row>
    <row r="44">
      <c r="B44" s="3" t="inlineStr">
        <is>
          <t>Direct budget need, net zero (P1 + gap of P4)</t>
        </is>
      </c>
      <c r="C44" s="10">
        <f>Mitigation!O257</f>
        <v/>
      </c>
      <c r="D44" s="10">
        <f>Mitigation!T257</f>
        <v/>
      </c>
      <c r="E44" s="10">
        <f>Mitigation!Y257</f>
        <v/>
      </c>
      <c r="F44" s="10">
        <f>Mitigation!AD257</f>
        <v/>
      </c>
      <c r="G44" s="10">
        <f>Mitigation!AI257</f>
        <v/>
      </c>
      <c r="H44" s="10">
        <f>Mitigation!AN257</f>
        <v/>
      </c>
    </row>
    <row r="45">
      <c r="B45" s="3" t="inlineStr">
        <is>
          <t>Direct budget need, incremental</t>
        </is>
      </c>
      <c r="C45" s="10">
        <f>Mitigation!O258</f>
        <v/>
      </c>
      <c r="D45" s="10">
        <f>Mitigation!T258</f>
        <v/>
      </c>
      <c r="E45" s="10">
        <f>Mitigation!Y258</f>
        <v/>
      </c>
      <c r="F45" s="10">
        <f>Mitigation!AD258</f>
        <v/>
      </c>
      <c r="G45" s="10">
        <f>Mitigation!AI258</f>
        <v/>
      </c>
      <c r="H45" s="10">
        <f>Mitigation!AN258</f>
        <v/>
      </c>
    </row>
    <row r="46">
      <c r="B46" s="9" t="inlineStr">
        <is>
          <t>Revenue resting on a public tariff or buyer (P2 + P3)</t>
        </is>
      </c>
      <c r="C46" s="8">
        <f>Mitigation!O259</f>
        <v/>
      </c>
      <c r="D46" s="8">
        <f>Mitigation!T259</f>
        <v/>
      </c>
      <c r="E46" s="8">
        <f>Mitigation!Y259</f>
        <v/>
      </c>
      <c r="F46" s="8">
        <f>Mitigation!AD259</f>
        <v/>
      </c>
      <c r="G46" s="8">
        <f>Mitigation!AI259</f>
        <v/>
      </c>
      <c r="H46" s="8">
        <f>Mitigation!AN259</f>
        <v/>
      </c>
    </row>
    <row r="47">
      <c r="B47" s="9" t="inlineStr">
        <is>
          <t>Private capital (P3 + P5 + private part of P4)</t>
        </is>
      </c>
      <c r="C47" s="8">
        <f>Mitigation!O260</f>
        <v/>
      </c>
      <c r="D47" s="8">
        <f>Mitigation!T260</f>
        <v/>
      </c>
      <c r="E47" s="8">
        <f>Mitigation!Y260</f>
        <v/>
      </c>
      <c r="F47" s="8">
        <f>Mitigation!AD260</f>
        <v/>
      </c>
      <c r="G47" s="8">
        <f>Mitigation!AI260</f>
        <v/>
      </c>
      <c r="H47" s="8">
        <f>Mitigation!AN260</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S27"/>
  <sheetViews>
    <sheetView zoomScale="90" workbookViewId="0">
      <selection activeCell="A1" sqref="A1"/>
    </sheetView>
  </sheetViews>
  <sheetFormatPr baseColWidth="8" defaultRowHeight="15"/>
  <cols>
    <col width="18" customWidth="1" min="1" max="1"/>
  </cols>
  <sheetData>
    <row r="1">
      <c r="A1" s="1" t="inlineStr">
        <is>
          <t>Check: workbook (live formulas) vs Python engine, selected country</t>
        </is>
      </c>
      <c r="B1" s="2" t="n"/>
      <c r="C1" s="2" t="n"/>
      <c r="D1" s="2" t="n"/>
      <c r="E1" s="2" t="n"/>
      <c r="F1" s="2" t="n"/>
      <c r="G1" s="2" t="n"/>
      <c r="H1" s="2" t="n"/>
      <c r="I1" s="2" t="n"/>
      <c r="J1" s="2" t="n"/>
      <c r="K1" s="2" t="n"/>
      <c r="L1" s="2" t="n"/>
      <c r="M1" s="2" t="n"/>
      <c r="N1" s="2" t="n"/>
      <c r="O1" s="2" t="n"/>
      <c r="P1" s="2" t="n"/>
      <c r="Q1" s="2" t="n"/>
      <c r="R1" s="2" t="n"/>
      <c r="S1" s="2" t="n"/>
    </row>
    <row r="2">
      <c r="A2" s="6" t="inlineStr">
        <is>
          <t>Differences should be 0 to rounding. Max abs difference in B3.</t>
        </is>
      </c>
    </row>
    <row r="3">
      <c r="A3" s="3" t="inlineStr">
        <is>
          <t>Max abs diff</t>
        </is>
      </c>
      <c r="B3" s="30">
        <f>MAX(MAX(L6:P27),-MIN(L6:P27))</f>
        <v/>
      </c>
    </row>
    <row r="5">
      <c r="A5" s="7" t="inlineStr">
        <is>
          <t>Code</t>
        </is>
      </c>
      <c r="B5" s="7" t="inlineStr">
        <is>
          <t>WB 2024</t>
        </is>
      </c>
      <c r="C5" s="7" t="inlineStr">
        <is>
          <t>WB 2025</t>
        </is>
      </c>
      <c r="D5" s="7" t="inlineStr">
        <is>
          <t>WB 2030</t>
        </is>
      </c>
      <c r="E5" s="7" t="inlineStr">
        <is>
          <t>WB 2040</t>
        </is>
      </c>
      <c r="F5" s="7" t="inlineStr">
        <is>
          <t>WB 2050</t>
        </is>
      </c>
      <c r="G5" s="7" t="inlineStr">
        <is>
          <t>Py 2024</t>
        </is>
      </c>
      <c r="H5" s="7" t="inlineStr">
        <is>
          <t>Py 2025</t>
        </is>
      </c>
      <c r="I5" s="7" t="inlineStr">
        <is>
          <t>Py 2030</t>
        </is>
      </c>
      <c r="J5" s="7" t="inlineStr">
        <is>
          <t>Py 2040</t>
        </is>
      </c>
      <c r="K5" s="7" t="inlineStr">
        <is>
          <t>Py 2050</t>
        </is>
      </c>
      <c r="L5" s="7" t="inlineStr">
        <is>
          <t>Diff 2024</t>
        </is>
      </c>
      <c r="M5" s="7" t="inlineStr">
        <is>
          <t>Diff 2025</t>
        </is>
      </c>
      <c r="N5" s="7" t="inlineStr">
        <is>
          <t>Diff 2030</t>
        </is>
      </c>
      <c r="O5" s="7" t="inlineStr">
        <is>
          <t>Diff 2040</t>
        </is>
      </c>
      <c r="P5" s="7" t="inlineStr">
        <is>
          <t>Diff 2050</t>
        </is>
      </c>
    </row>
    <row r="6">
      <c r="A6" s="9" t="inlineStr">
        <is>
          <t>mit.gdp.lvl</t>
        </is>
      </c>
      <c r="B6" s="17">
        <f>Mitigation!N86</f>
        <v/>
      </c>
      <c r="C6" s="17">
        <f>Mitigation!O86</f>
        <v/>
      </c>
      <c r="D6" s="17">
        <f>Mitigation!T86</f>
        <v/>
      </c>
      <c r="E6" s="17">
        <f>Mitigation!AD86</f>
        <v/>
      </c>
      <c r="F6" s="17">
        <f>Mitigation!AN86</f>
        <v/>
      </c>
      <c r="G6" s="17">
        <f>INDEX(PyKey!D$3:D$4094,MATCH(Settings!$C$4&amp;"|mit.gdp.lvl",PyKey!$A$3:$A$4094,0))</f>
        <v/>
      </c>
      <c r="H6" s="17">
        <f>INDEX(PyKey!E$3:E$4094,MATCH(Settings!$C$4&amp;"|mit.gdp.lvl",PyKey!$A$3:$A$4094,0))</f>
        <v/>
      </c>
      <c r="I6" s="17">
        <f>INDEX(PyKey!F$3:F$4094,MATCH(Settings!$C$4&amp;"|mit.gdp.lvl",PyKey!$A$3:$A$4094,0))</f>
        <v/>
      </c>
      <c r="J6" s="17">
        <f>INDEX(PyKey!G$3:G$4094,MATCH(Settings!$C$4&amp;"|mit.gdp.lvl",PyKey!$A$3:$A$4094,0))</f>
        <v/>
      </c>
      <c r="K6" s="17">
        <f>INDEX(PyKey!H$3:H$4094,MATCH(Settings!$C$4&amp;"|mit.gdp.lvl",PyKey!$A$3:$A$4094,0))</f>
        <v/>
      </c>
      <c r="L6" s="17">
        <f>B6-G6</f>
        <v/>
      </c>
      <c r="M6" s="17">
        <f>C6-H6</f>
        <v/>
      </c>
      <c r="N6" s="17">
        <f>D6-I6</f>
        <v/>
      </c>
      <c r="O6" s="17">
        <f>E6-J6</f>
        <v/>
      </c>
      <c r="P6" s="17">
        <f>F6-K6</f>
        <v/>
      </c>
    </row>
    <row r="7">
      <c r="A7" s="9" t="inlineStr">
        <is>
          <t>mit.act.ecy.res</t>
        </is>
      </c>
      <c r="B7" s="17">
        <f>Mitigation!N94</f>
        <v/>
      </c>
      <c r="C7" s="17">
        <f>Mitigation!O94</f>
        <v/>
      </c>
      <c r="D7" s="17">
        <f>Mitigation!T94</f>
        <v/>
      </c>
      <c r="E7" s="17">
        <f>Mitigation!AD94</f>
        <v/>
      </c>
      <c r="F7" s="17">
        <f>Mitigation!AN94</f>
        <v/>
      </c>
      <c r="G7" s="17">
        <f>INDEX(PyKey!D$3:D$4094,MATCH(Settings!$C$4&amp;"|mit.act.ecy.res",PyKey!$A$3:$A$4094,0))</f>
        <v/>
      </c>
      <c r="H7" s="17">
        <f>INDEX(PyKey!E$3:E$4094,MATCH(Settings!$C$4&amp;"|mit.act.ecy.res",PyKey!$A$3:$A$4094,0))</f>
        <v/>
      </c>
      <c r="I7" s="17">
        <f>INDEX(PyKey!F$3:F$4094,MATCH(Settings!$C$4&amp;"|mit.act.ecy.res",PyKey!$A$3:$A$4094,0))</f>
        <v/>
      </c>
      <c r="J7" s="17">
        <f>INDEX(PyKey!G$3:G$4094,MATCH(Settings!$C$4&amp;"|mit.act.ecy.res",PyKey!$A$3:$A$4094,0))</f>
        <v/>
      </c>
      <c r="K7" s="17">
        <f>INDEX(PyKey!H$3:H$4094,MATCH(Settings!$C$4&amp;"|mit.act.ecy.res",PyKey!$A$3:$A$4094,0))</f>
        <v/>
      </c>
      <c r="L7" s="17">
        <f>B7-G7</f>
        <v/>
      </c>
      <c r="M7" s="17">
        <f>C7-H7</f>
        <v/>
      </c>
      <c r="N7" s="17">
        <f>D7-I7</f>
        <v/>
      </c>
      <c r="O7" s="17">
        <f>E7-J7</f>
        <v/>
      </c>
      <c r="P7" s="17">
        <f>F7-K7</f>
        <v/>
      </c>
    </row>
    <row r="8">
      <c r="A8" s="9" t="inlineStr">
        <is>
          <t>mit.gen.tot.2</t>
        </is>
      </c>
      <c r="B8" s="17">
        <f>Mitigation!N171</f>
        <v/>
      </c>
      <c r="C8" s="17">
        <f>Mitigation!O171</f>
        <v/>
      </c>
      <c r="D8" s="17">
        <f>Mitigation!T171</f>
        <v/>
      </c>
      <c r="E8" s="17">
        <f>Mitigation!AD171</f>
        <v/>
      </c>
      <c r="F8" s="17">
        <f>Mitigation!AN171</f>
        <v/>
      </c>
      <c r="G8" s="17">
        <f>INDEX(PyKey!D$3:D$4094,MATCH(Settings!$C$4&amp;"|mit.gen.tot.2",PyKey!$A$3:$A$4094,0))</f>
        <v/>
      </c>
      <c r="H8" s="17">
        <f>INDEX(PyKey!E$3:E$4094,MATCH(Settings!$C$4&amp;"|mit.gen.tot.2",PyKey!$A$3:$A$4094,0))</f>
        <v/>
      </c>
      <c r="I8" s="17">
        <f>INDEX(PyKey!F$3:F$4094,MATCH(Settings!$C$4&amp;"|mit.gen.tot.2",PyKey!$A$3:$A$4094,0))</f>
        <v/>
      </c>
      <c r="J8" s="17">
        <f>INDEX(PyKey!G$3:G$4094,MATCH(Settings!$C$4&amp;"|mit.gen.tot.2",PyKey!$A$3:$A$4094,0))</f>
        <v/>
      </c>
      <c r="K8" s="17">
        <f>INDEX(PyKey!H$3:H$4094,MATCH(Settings!$C$4&amp;"|mit.gen.tot.2",PyKey!$A$3:$A$4094,0))</f>
        <v/>
      </c>
      <c r="L8" s="17">
        <f>B8-G8</f>
        <v/>
      </c>
      <c r="M8" s="17">
        <f>C8-H8</f>
        <v/>
      </c>
      <c r="N8" s="17">
        <f>D8-I8</f>
        <v/>
      </c>
      <c r="O8" s="17">
        <f>E8-J8</f>
        <v/>
      </c>
      <c r="P8" s="17">
        <f>F8-K8</f>
        <v/>
      </c>
    </row>
    <row r="9">
      <c r="A9" s="9" t="inlineStr">
        <is>
          <t>mit.gen.fos.1</t>
        </is>
      </c>
      <c r="B9" s="17">
        <f>Mitigation!N152</f>
        <v/>
      </c>
      <c r="C9" s="17">
        <f>Mitigation!O152</f>
        <v/>
      </c>
      <c r="D9" s="17">
        <f>Mitigation!T152</f>
        <v/>
      </c>
      <c r="E9" s="17">
        <f>Mitigation!AD152</f>
        <v/>
      </c>
      <c r="F9" s="17">
        <f>Mitigation!AN152</f>
        <v/>
      </c>
      <c r="G9" s="17">
        <f>INDEX(PyKey!D$3:D$4094,MATCH(Settings!$C$4&amp;"|mit.gen.fos.1",PyKey!$A$3:$A$4094,0))</f>
        <v/>
      </c>
      <c r="H9" s="17">
        <f>INDEX(PyKey!E$3:E$4094,MATCH(Settings!$C$4&amp;"|mit.gen.fos.1",PyKey!$A$3:$A$4094,0))</f>
        <v/>
      </c>
      <c r="I9" s="17">
        <f>INDEX(PyKey!F$3:F$4094,MATCH(Settings!$C$4&amp;"|mit.gen.fos.1",PyKey!$A$3:$A$4094,0))</f>
        <v/>
      </c>
      <c r="J9" s="17">
        <f>INDEX(PyKey!G$3:G$4094,MATCH(Settings!$C$4&amp;"|mit.gen.fos.1",PyKey!$A$3:$A$4094,0))</f>
        <v/>
      </c>
      <c r="K9" s="17">
        <f>INDEX(PyKey!H$3:H$4094,MATCH(Settings!$C$4&amp;"|mit.gen.fos.1",PyKey!$A$3:$A$4094,0))</f>
        <v/>
      </c>
      <c r="L9" s="17">
        <f>B9-G9</f>
        <v/>
      </c>
      <c r="M9" s="17">
        <f>C9-H9</f>
        <v/>
      </c>
      <c r="N9" s="17">
        <f>D9-I9</f>
        <v/>
      </c>
      <c r="O9" s="17">
        <f>E9-J9</f>
        <v/>
      </c>
      <c r="P9" s="17">
        <f>F9-K9</f>
        <v/>
      </c>
    </row>
    <row r="10">
      <c r="A10" s="9" t="inlineStr">
        <is>
          <t>mit.inv.gen.2</t>
        </is>
      </c>
      <c r="B10" s="17">
        <f>Mitigation!N184</f>
        <v/>
      </c>
      <c r="C10" s="17">
        <f>Mitigation!O184</f>
        <v/>
      </c>
      <c r="D10" s="17">
        <f>Mitigation!T184</f>
        <v/>
      </c>
      <c r="E10" s="17">
        <f>Mitigation!AD184</f>
        <v/>
      </c>
      <c r="F10" s="17">
        <f>Mitigation!AN184</f>
        <v/>
      </c>
      <c r="G10" s="17">
        <f>INDEX(PyKey!D$3:D$4094,MATCH(Settings!$C$4&amp;"|mit.inv.gen.2",PyKey!$A$3:$A$4094,0))</f>
        <v/>
      </c>
      <c r="H10" s="17">
        <f>INDEX(PyKey!E$3:E$4094,MATCH(Settings!$C$4&amp;"|mit.inv.gen.2",PyKey!$A$3:$A$4094,0))</f>
        <v/>
      </c>
      <c r="I10" s="17">
        <f>INDEX(PyKey!F$3:F$4094,MATCH(Settings!$C$4&amp;"|mit.inv.gen.2",PyKey!$A$3:$A$4094,0))</f>
        <v/>
      </c>
      <c r="J10" s="17">
        <f>INDEX(PyKey!G$3:G$4094,MATCH(Settings!$C$4&amp;"|mit.inv.gen.2",PyKey!$A$3:$A$4094,0))</f>
        <v/>
      </c>
      <c r="K10" s="17">
        <f>INDEX(PyKey!H$3:H$4094,MATCH(Settings!$C$4&amp;"|mit.inv.gen.2",PyKey!$A$3:$A$4094,0))</f>
        <v/>
      </c>
      <c r="L10" s="17">
        <f>B10-G10</f>
        <v/>
      </c>
      <c r="M10" s="17">
        <f>C10-H10</f>
        <v/>
      </c>
      <c r="N10" s="17">
        <f>D10-I10</f>
        <v/>
      </c>
      <c r="O10" s="17">
        <f>E10-J10</f>
        <v/>
      </c>
      <c r="P10" s="17">
        <f>F10-K10</f>
        <v/>
      </c>
    </row>
    <row r="11">
      <c r="A11" s="9" t="inlineStr">
        <is>
          <t>mit.inv.grid.2</t>
        </is>
      </c>
      <c r="B11" s="17">
        <f>Mitigation!N186</f>
        <v/>
      </c>
      <c r="C11" s="17">
        <f>Mitigation!O186</f>
        <v/>
      </c>
      <c r="D11" s="17">
        <f>Mitigation!T186</f>
        <v/>
      </c>
      <c r="E11" s="17">
        <f>Mitigation!AD186</f>
        <v/>
      </c>
      <c r="F11" s="17">
        <f>Mitigation!AN186</f>
        <v/>
      </c>
      <c r="G11" s="17">
        <f>INDEX(PyKey!D$3:D$4094,MATCH(Settings!$C$4&amp;"|mit.inv.grid.2",PyKey!$A$3:$A$4094,0))</f>
        <v/>
      </c>
      <c r="H11" s="17">
        <f>INDEX(PyKey!E$3:E$4094,MATCH(Settings!$C$4&amp;"|mit.inv.grid.2",PyKey!$A$3:$A$4094,0))</f>
        <v/>
      </c>
      <c r="I11" s="17">
        <f>INDEX(PyKey!F$3:F$4094,MATCH(Settings!$C$4&amp;"|mit.inv.grid.2",PyKey!$A$3:$A$4094,0))</f>
        <v/>
      </c>
      <c r="J11" s="17">
        <f>INDEX(PyKey!G$3:G$4094,MATCH(Settings!$C$4&amp;"|mit.inv.grid.2",PyKey!$A$3:$A$4094,0))</f>
        <v/>
      </c>
      <c r="K11" s="17">
        <f>INDEX(PyKey!H$3:H$4094,MATCH(Settings!$C$4&amp;"|mit.inv.grid.2",PyKey!$A$3:$A$4094,0))</f>
        <v/>
      </c>
      <c r="L11" s="17">
        <f>B11-G11</f>
        <v/>
      </c>
      <c r="M11" s="17">
        <f>C11-H11</f>
        <v/>
      </c>
      <c r="N11" s="17">
        <f>D11-I11</f>
        <v/>
      </c>
      <c r="O11" s="17">
        <f>E11-J11</f>
        <v/>
      </c>
      <c r="P11" s="17">
        <f>F11-K11</f>
        <v/>
      </c>
    </row>
    <row r="12">
      <c r="A12" s="9" t="inlineStr">
        <is>
          <t>mit.inv.trn.2</t>
        </is>
      </c>
      <c r="B12" s="17">
        <f>Mitigation!N115</f>
        <v/>
      </c>
      <c r="C12" s="17">
        <f>Mitigation!O115</f>
        <v/>
      </c>
      <c r="D12" s="17">
        <f>Mitigation!T115</f>
        <v/>
      </c>
      <c r="E12" s="17">
        <f>Mitigation!AD115</f>
        <v/>
      </c>
      <c r="F12" s="17">
        <f>Mitigation!AN115</f>
        <v/>
      </c>
      <c r="G12" s="17">
        <f>INDEX(PyKey!D$3:D$4094,MATCH(Settings!$C$4&amp;"|mit.inv.trn.2",PyKey!$A$3:$A$4094,0))</f>
        <v/>
      </c>
      <c r="H12" s="17">
        <f>INDEX(PyKey!E$3:E$4094,MATCH(Settings!$C$4&amp;"|mit.inv.trn.2",PyKey!$A$3:$A$4094,0))</f>
        <v/>
      </c>
      <c r="I12" s="17">
        <f>INDEX(PyKey!F$3:F$4094,MATCH(Settings!$C$4&amp;"|mit.inv.trn.2",PyKey!$A$3:$A$4094,0))</f>
        <v/>
      </c>
      <c r="J12" s="17">
        <f>INDEX(PyKey!G$3:G$4094,MATCH(Settings!$C$4&amp;"|mit.inv.trn.2",PyKey!$A$3:$A$4094,0))</f>
        <v/>
      </c>
      <c r="K12" s="17">
        <f>INDEX(PyKey!H$3:H$4094,MATCH(Settings!$C$4&amp;"|mit.inv.trn.2",PyKey!$A$3:$A$4094,0))</f>
        <v/>
      </c>
      <c r="L12" s="17">
        <f>B12-G12</f>
        <v/>
      </c>
      <c r="M12" s="17">
        <f>C12-H12</f>
        <v/>
      </c>
      <c r="N12" s="17">
        <f>D12-I12</f>
        <v/>
      </c>
      <c r="O12" s="17">
        <f>E12-J12</f>
        <v/>
      </c>
      <c r="P12" s="17">
        <f>F12-K12</f>
        <v/>
      </c>
    </row>
    <row r="13">
      <c r="A13" s="9" t="inlineStr">
        <is>
          <t>mit.inv.bld.2</t>
        </is>
      </c>
      <c r="B13" s="17">
        <f>Mitigation!N129</f>
        <v/>
      </c>
      <c r="C13" s="17">
        <f>Mitigation!O129</f>
        <v/>
      </c>
      <c r="D13" s="17">
        <f>Mitigation!T129</f>
        <v/>
      </c>
      <c r="E13" s="17">
        <f>Mitigation!AD129</f>
        <v/>
      </c>
      <c r="F13" s="17">
        <f>Mitigation!AN129</f>
        <v/>
      </c>
      <c r="G13" s="17">
        <f>INDEX(PyKey!D$3:D$4094,MATCH(Settings!$C$4&amp;"|mit.inv.bld.2",PyKey!$A$3:$A$4094,0))</f>
        <v/>
      </c>
      <c r="H13" s="17">
        <f>INDEX(PyKey!E$3:E$4094,MATCH(Settings!$C$4&amp;"|mit.inv.bld.2",PyKey!$A$3:$A$4094,0))</f>
        <v/>
      </c>
      <c r="I13" s="17">
        <f>INDEX(PyKey!F$3:F$4094,MATCH(Settings!$C$4&amp;"|mit.inv.bld.2",PyKey!$A$3:$A$4094,0))</f>
        <v/>
      </c>
      <c r="J13" s="17">
        <f>INDEX(PyKey!G$3:G$4094,MATCH(Settings!$C$4&amp;"|mit.inv.bld.2",PyKey!$A$3:$A$4094,0))</f>
        <v/>
      </c>
      <c r="K13" s="17">
        <f>INDEX(PyKey!H$3:H$4094,MATCH(Settings!$C$4&amp;"|mit.inv.bld.2",PyKey!$A$3:$A$4094,0))</f>
        <v/>
      </c>
      <c r="L13" s="17">
        <f>B13-G13</f>
        <v/>
      </c>
      <c r="M13" s="17">
        <f>C13-H13</f>
        <v/>
      </c>
      <c r="N13" s="17">
        <f>D13-I13</f>
        <v/>
      </c>
      <c r="O13" s="17">
        <f>E13-J13</f>
        <v/>
      </c>
      <c r="P13" s="17">
        <f>F13-K13</f>
        <v/>
      </c>
    </row>
    <row r="14">
      <c r="A14" s="9" t="inlineStr">
        <is>
          <t>mit.inv.ind.2</t>
        </is>
      </c>
      <c r="B14" s="17">
        <f>Mitigation!N144</f>
        <v/>
      </c>
      <c r="C14" s="17">
        <f>Mitigation!O144</f>
        <v/>
      </c>
      <c r="D14" s="17">
        <f>Mitigation!T144</f>
        <v/>
      </c>
      <c r="E14" s="17">
        <f>Mitigation!AD144</f>
        <v/>
      </c>
      <c r="F14" s="17">
        <f>Mitigation!AN144</f>
        <v/>
      </c>
      <c r="G14" s="17">
        <f>INDEX(PyKey!D$3:D$4094,MATCH(Settings!$C$4&amp;"|mit.inv.ind.2",PyKey!$A$3:$A$4094,0))</f>
        <v/>
      </c>
      <c r="H14" s="17">
        <f>INDEX(PyKey!E$3:E$4094,MATCH(Settings!$C$4&amp;"|mit.inv.ind.2",PyKey!$A$3:$A$4094,0))</f>
        <v/>
      </c>
      <c r="I14" s="17">
        <f>INDEX(PyKey!F$3:F$4094,MATCH(Settings!$C$4&amp;"|mit.inv.ind.2",PyKey!$A$3:$A$4094,0))</f>
        <v/>
      </c>
      <c r="J14" s="17">
        <f>INDEX(PyKey!G$3:G$4094,MATCH(Settings!$C$4&amp;"|mit.inv.ind.2",PyKey!$A$3:$A$4094,0))</f>
        <v/>
      </c>
      <c r="K14" s="17">
        <f>INDEX(PyKey!H$3:H$4094,MATCH(Settings!$C$4&amp;"|mit.inv.ind.2",PyKey!$A$3:$A$4094,0))</f>
        <v/>
      </c>
      <c r="L14" s="17">
        <f>B14-G14</f>
        <v/>
      </c>
      <c r="M14" s="17">
        <f>C14-H14</f>
        <v/>
      </c>
      <c r="N14" s="17">
        <f>D14-I14</f>
        <v/>
      </c>
      <c r="O14" s="17">
        <f>E14-J14</f>
        <v/>
      </c>
      <c r="P14" s="17">
        <f>F14-K14</f>
        <v/>
      </c>
    </row>
    <row r="15">
      <c r="A15" s="9" t="inlineStr">
        <is>
          <t>mit.inv.tot.1</t>
        </is>
      </c>
      <c r="B15" s="17">
        <f>Mitigation!N220</f>
        <v/>
      </c>
      <c r="C15" s="17">
        <f>Mitigation!O220</f>
        <v/>
      </c>
      <c r="D15" s="17">
        <f>Mitigation!T220</f>
        <v/>
      </c>
      <c r="E15" s="17">
        <f>Mitigation!AD220</f>
        <v/>
      </c>
      <c r="F15" s="17">
        <f>Mitigation!AN220</f>
        <v/>
      </c>
      <c r="G15" s="17">
        <f>INDEX(PyKey!D$3:D$4094,MATCH(Settings!$C$4&amp;"|mit.inv.tot.1",PyKey!$A$3:$A$4094,0))</f>
        <v/>
      </c>
      <c r="H15" s="17">
        <f>INDEX(PyKey!E$3:E$4094,MATCH(Settings!$C$4&amp;"|mit.inv.tot.1",PyKey!$A$3:$A$4094,0))</f>
        <v/>
      </c>
      <c r="I15" s="17">
        <f>INDEX(PyKey!F$3:F$4094,MATCH(Settings!$C$4&amp;"|mit.inv.tot.1",PyKey!$A$3:$A$4094,0))</f>
        <v/>
      </c>
      <c r="J15" s="17">
        <f>INDEX(PyKey!G$3:G$4094,MATCH(Settings!$C$4&amp;"|mit.inv.tot.1",PyKey!$A$3:$A$4094,0))</f>
        <v/>
      </c>
      <c r="K15" s="17">
        <f>INDEX(PyKey!H$3:H$4094,MATCH(Settings!$C$4&amp;"|mit.inv.tot.1",PyKey!$A$3:$A$4094,0))</f>
        <v/>
      </c>
      <c r="L15" s="17">
        <f>B15-G15</f>
        <v/>
      </c>
      <c r="M15" s="17">
        <f>C15-H15</f>
        <v/>
      </c>
      <c r="N15" s="17">
        <f>D15-I15</f>
        <v/>
      </c>
      <c r="O15" s="17">
        <f>E15-J15</f>
        <v/>
      </c>
      <c r="P15" s="17">
        <f>F15-K15</f>
        <v/>
      </c>
    </row>
    <row r="16">
      <c r="A16" s="9" t="inlineStr">
        <is>
          <t>mit.inv.tot.2</t>
        </is>
      </c>
      <c r="B16" s="17">
        <f>Mitigation!N221</f>
        <v/>
      </c>
      <c r="C16" s="17">
        <f>Mitigation!O221</f>
        <v/>
      </c>
      <c r="D16" s="17">
        <f>Mitigation!T221</f>
        <v/>
      </c>
      <c r="E16" s="17">
        <f>Mitigation!AD221</f>
        <v/>
      </c>
      <c r="F16" s="17">
        <f>Mitigation!AN221</f>
        <v/>
      </c>
      <c r="G16" s="17">
        <f>INDEX(PyKey!D$3:D$4094,MATCH(Settings!$C$4&amp;"|mit.inv.tot.2",PyKey!$A$3:$A$4094,0))</f>
        <v/>
      </c>
      <c r="H16" s="17">
        <f>INDEX(PyKey!E$3:E$4094,MATCH(Settings!$C$4&amp;"|mit.inv.tot.2",PyKey!$A$3:$A$4094,0))</f>
        <v/>
      </c>
      <c r="I16" s="17">
        <f>INDEX(PyKey!F$3:F$4094,MATCH(Settings!$C$4&amp;"|mit.inv.tot.2",PyKey!$A$3:$A$4094,0))</f>
        <v/>
      </c>
      <c r="J16" s="17">
        <f>INDEX(PyKey!G$3:G$4094,MATCH(Settings!$C$4&amp;"|mit.inv.tot.2",PyKey!$A$3:$A$4094,0))</f>
        <v/>
      </c>
      <c r="K16" s="17">
        <f>INDEX(PyKey!H$3:H$4094,MATCH(Settings!$C$4&amp;"|mit.inv.tot.2",PyKey!$A$3:$A$4094,0))</f>
        <v/>
      </c>
      <c r="L16" s="17">
        <f>B16-G16</f>
        <v/>
      </c>
      <c r="M16" s="17">
        <f>C16-H16</f>
        <v/>
      </c>
      <c r="N16" s="17">
        <f>D16-I16</f>
        <v/>
      </c>
      <c r="O16" s="17">
        <f>E16-J16</f>
        <v/>
      </c>
      <c r="P16" s="17">
        <f>F16-K16</f>
        <v/>
      </c>
    </row>
    <row r="17">
      <c r="A17" s="9" t="inlineStr">
        <is>
          <t>mit.ghg.tot.1</t>
        </is>
      </c>
      <c r="B17" s="17">
        <f>Mitigation!N200</f>
        <v/>
      </c>
      <c r="C17" s="17">
        <f>Mitigation!O200</f>
        <v/>
      </c>
      <c r="D17" s="17">
        <f>Mitigation!T200</f>
        <v/>
      </c>
      <c r="E17" s="17">
        <f>Mitigation!AD200</f>
        <v/>
      </c>
      <c r="F17" s="17">
        <f>Mitigation!AN200</f>
        <v/>
      </c>
      <c r="G17" s="17">
        <f>INDEX(PyKey!D$3:D$4094,MATCH(Settings!$C$4&amp;"|mit.ghg.tot.1",PyKey!$A$3:$A$4094,0))</f>
        <v/>
      </c>
      <c r="H17" s="17">
        <f>INDEX(PyKey!E$3:E$4094,MATCH(Settings!$C$4&amp;"|mit.ghg.tot.1",PyKey!$A$3:$A$4094,0))</f>
        <v/>
      </c>
      <c r="I17" s="17">
        <f>INDEX(PyKey!F$3:F$4094,MATCH(Settings!$C$4&amp;"|mit.ghg.tot.1",PyKey!$A$3:$A$4094,0))</f>
        <v/>
      </c>
      <c r="J17" s="17">
        <f>INDEX(PyKey!G$3:G$4094,MATCH(Settings!$C$4&amp;"|mit.ghg.tot.1",PyKey!$A$3:$A$4094,0))</f>
        <v/>
      </c>
      <c r="K17" s="17">
        <f>INDEX(PyKey!H$3:H$4094,MATCH(Settings!$C$4&amp;"|mit.ghg.tot.1",PyKey!$A$3:$A$4094,0))</f>
        <v/>
      </c>
      <c r="L17" s="17">
        <f>B17-G17</f>
        <v/>
      </c>
      <c r="M17" s="17">
        <f>C17-H17</f>
        <v/>
      </c>
      <c r="N17" s="17">
        <f>D17-I17</f>
        <v/>
      </c>
      <c r="O17" s="17">
        <f>E17-J17</f>
        <v/>
      </c>
      <c r="P17" s="17">
        <f>F17-K17</f>
        <v/>
      </c>
    </row>
    <row r="18">
      <c r="A18" s="9" t="inlineStr">
        <is>
          <t>mit.ghg.tot.2</t>
        </is>
      </c>
      <c r="B18" s="17">
        <f>Mitigation!N206</f>
        <v/>
      </c>
      <c r="C18" s="17">
        <f>Mitigation!O206</f>
        <v/>
      </c>
      <c r="D18" s="17">
        <f>Mitigation!T206</f>
        <v/>
      </c>
      <c r="E18" s="17">
        <f>Mitigation!AD206</f>
        <v/>
      </c>
      <c r="F18" s="17">
        <f>Mitigation!AN206</f>
        <v/>
      </c>
      <c r="G18" s="17">
        <f>INDEX(PyKey!D$3:D$4094,MATCH(Settings!$C$4&amp;"|mit.ghg.tot.2",PyKey!$A$3:$A$4094,0))</f>
        <v/>
      </c>
      <c r="H18" s="17">
        <f>INDEX(PyKey!E$3:E$4094,MATCH(Settings!$C$4&amp;"|mit.ghg.tot.2",PyKey!$A$3:$A$4094,0))</f>
        <v/>
      </c>
      <c r="I18" s="17">
        <f>INDEX(PyKey!F$3:F$4094,MATCH(Settings!$C$4&amp;"|mit.ghg.tot.2",PyKey!$A$3:$A$4094,0))</f>
        <v/>
      </c>
      <c r="J18" s="17">
        <f>INDEX(PyKey!G$3:G$4094,MATCH(Settings!$C$4&amp;"|mit.ghg.tot.2",PyKey!$A$3:$A$4094,0))</f>
        <v/>
      </c>
      <c r="K18" s="17">
        <f>INDEX(PyKey!H$3:H$4094,MATCH(Settings!$C$4&amp;"|mit.ghg.tot.2",PyKey!$A$3:$A$4094,0))</f>
        <v/>
      </c>
      <c r="L18" s="17">
        <f>B18-G18</f>
        <v/>
      </c>
      <c r="M18" s="17">
        <f>C18-H18</f>
        <v/>
      </c>
      <c r="N18" s="17">
        <f>D18-I18</f>
        <v/>
      </c>
      <c r="O18" s="17">
        <f>E18-J18</f>
        <v/>
      </c>
      <c r="P18" s="17">
        <f>F18-K18</f>
        <v/>
      </c>
    </row>
    <row r="19">
      <c r="A19" s="9" t="inlineStr">
        <is>
          <t>mit.ic.a</t>
        </is>
      </c>
      <c r="B19" s="17">
        <f>Mitigation!N235</f>
        <v/>
      </c>
      <c r="C19" s="17">
        <f>Mitigation!O235</f>
        <v/>
      </c>
      <c r="D19" s="17">
        <f>Mitigation!T235</f>
        <v/>
      </c>
      <c r="E19" s="17">
        <f>Mitigation!AD235</f>
        <v/>
      </c>
      <c r="F19" s="17">
        <f>Mitigation!AN235</f>
        <v/>
      </c>
      <c r="G19" s="17">
        <f>INDEX(PyKey!D$3:D$4094,MATCH(Settings!$C$4&amp;"|mit.ic.a",PyKey!$A$3:$A$4094,0))</f>
        <v/>
      </c>
      <c r="H19" s="17">
        <f>INDEX(PyKey!E$3:E$4094,MATCH(Settings!$C$4&amp;"|mit.ic.a",PyKey!$A$3:$A$4094,0))</f>
        <v/>
      </c>
      <c r="I19" s="17">
        <f>INDEX(PyKey!F$3:F$4094,MATCH(Settings!$C$4&amp;"|mit.ic.a",PyKey!$A$3:$A$4094,0))</f>
        <v/>
      </c>
      <c r="J19" s="17">
        <f>INDEX(PyKey!G$3:G$4094,MATCH(Settings!$C$4&amp;"|mit.ic.a",PyKey!$A$3:$A$4094,0))</f>
        <v/>
      </c>
      <c r="K19" s="17">
        <f>INDEX(PyKey!H$3:H$4094,MATCH(Settings!$C$4&amp;"|mit.ic.a",PyKey!$A$3:$A$4094,0))</f>
        <v/>
      </c>
      <c r="L19" s="17">
        <f>B19-G19</f>
        <v/>
      </c>
      <c r="M19" s="17">
        <f>C19-H19</f>
        <v/>
      </c>
      <c r="N19" s="17">
        <f>D19-I19</f>
        <v/>
      </c>
      <c r="O19" s="17">
        <f>E19-J19</f>
        <v/>
      </c>
      <c r="P19" s="17">
        <f>F19-K19</f>
        <v/>
      </c>
    </row>
    <row r="20">
      <c r="A20" s="9" t="inlineStr">
        <is>
          <t>mit.ic.b</t>
        </is>
      </c>
      <c r="B20" s="17">
        <f>Mitigation!N236</f>
        <v/>
      </c>
      <c r="C20" s="17">
        <f>Mitigation!O236</f>
        <v/>
      </c>
      <c r="D20" s="17">
        <f>Mitigation!T236</f>
        <v/>
      </c>
      <c r="E20" s="17">
        <f>Mitigation!AD236</f>
        <v/>
      </c>
      <c r="F20" s="17">
        <f>Mitigation!AN236</f>
        <v/>
      </c>
      <c r="G20" s="17">
        <f>INDEX(PyKey!D$3:D$4094,MATCH(Settings!$C$4&amp;"|mit.ic.b",PyKey!$A$3:$A$4094,0))</f>
        <v/>
      </c>
      <c r="H20" s="17">
        <f>INDEX(PyKey!E$3:E$4094,MATCH(Settings!$C$4&amp;"|mit.ic.b",PyKey!$A$3:$A$4094,0))</f>
        <v/>
      </c>
      <c r="I20" s="17">
        <f>INDEX(PyKey!F$3:F$4094,MATCH(Settings!$C$4&amp;"|mit.ic.b",PyKey!$A$3:$A$4094,0))</f>
        <v/>
      </c>
      <c r="J20" s="17">
        <f>INDEX(PyKey!G$3:G$4094,MATCH(Settings!$C$4&amp;"|mit.ic.b",PyKey!$A$3:$A$4094,0))</f>
        <v/>
      </c>
      <c r="K20" s="17">
        <f>INDEX(PyKey!H$3:H$4094,MATCH(Settings!$C$4&amp;"|mit.ic.b",PyKey!$A$3:$A$4094,0))</f>
        <v/>
      </c>
      <c r="L20" s="17">
        <f>B20-G20</f>
        <v/>
      </c>
      <c r="M20" s="17">
        <f>C20-H20</f>
        <v/>
      </c>
      <c r="N20" s="17">
        <f>D20-I20</f>
        <v/>
      </c>
      <c r="O20" s="17">
        <f>E20-J20</f>
        <v/>
      </c>
      <c r="P20" s="17">
        <f>F20-K20</f>
        <v/>
      </c>
    </row>
    <row r="21">
      <c r="A21" s="9" t="inlineStr">
        <is>
          <t>mit.ic.c</t>
        </is>
      </c>
      <c r="B21" s="17">
        <f>Mitigation!N237</f>
        <v/>
      </c>
      <c r="C21" s="17">
        <f>Mitigation!O237</f>
        <v/>
      </c>
      <c r="D21" s="17">
        <f>Mitigation!T237</f>
        <v/>
      </c>
      <c r="E21" s="17">
        <f>Mitigation!AD237</f>
        <v/>
      </c>
      <c r="F21" s="17">
        <f>Mitigation!AN237</f>
        <v/>
      </c>
      <c r="G21" s="17">
        <f>INDEX(PyKey!D$3:D$4094,MATCH(Settings!$C$4&amp;"|mit.ic.c",PyKey!$A$3:$A$4094,0))</f>
        <v/>
      </c>
      <c r="H21" s="17">
        <f>INDEX(PyKey!E$3:E$4094,MATCH(Settings!$C$4&amp;"|mit.ic.c",PyKey!$A$3:$A$4094,0))</f>
        <v/>
      </c>
      <c r="I21" s="17">
        <f>INDEX(PyKey!F$3:F$4094,MATCH(Settings!$C$4&amp;"|mit.ic.c",PyKey!$A$3:$A$4094,0))</f>
        <v/>
      </c>
      <c r="J21" s="17">
        <f>INDEX(PyKey!G$3:G$4094,MATCH(Settings!$C$4&amp;"|mit.ic.c",PyKey!$A$3:$A$4094,0))</f>
        <v/>
      </c>
      <c r="K21" s="17">
        <f>INDEX(PyKey!H$3:H$4094,MATCH(Settings!$C$4&amp;"|mit.ic.c",PyKey!$A$3:$A$4094,0))</f>
        <v/>
      </c>
      <c r="L21" s="17">
        <f>B21-G21</f>
        <v/>
      </c>
      <c r="M21" s="17">
        <f>C21-H21</f>
        <v/>
      </c>
      <c r="N21" s="17">
        <f>D21-I21</f>
        <v/>
      </c>
      <c r="O21" s="17">
        <f>E21-J21</f>
        <v/>
      </c>
      <c r="P21" s="17">
        <f>F21-K21</f>
        <v/>
      </c>
    </row>
    <row r="22">
      <c r="A22" s="9" t="inlineStr">
        <is>
          <t>mit.typ.p1.2</t>
        </is>
      </c>
      <c r="B22" s="17">
        <f>Mitigation!N247</f>
        <v/>
      </c>
      <c r="C22" s="17">
        <f>Mitigation!O247</f>
        <v/>
      </c>
      <c r="D22" s="17">
        <f>Mitigation!T247</f>
        <v/>
      </c>
      <c r="E22" s="17">
        <f>Mitigation!AD247</f>
        <v/>
      </c>
      <c r="F22" s="17">
        <f>Mitigation!AN247</f>
        <v/>
      </c>
      <c r="G22" s="17">
        <f>INDEX(PyKey!D$3:D$4094,MATCH(Settings!$C$4&amp;"|mit.typ.p1.2",PyKey!$A$3:$A$4094,0))</f>
        <v/>
      </c>
      <c r="H22" s="17">
        <f>INDEX(PyKey!E$3:E$4094,MATCH(Settings!$C$4&amp;"|mit.typ.p1.2",PyKey!$A$3:$A$4094,0))</f>
        <v/>
      </c>
      <c r="I22" s="17">
        <f>INDEX(PyKey!F$3:F$4094,MATCH(Settings!$C$4&amp;"|mit.typ.p1.2",PyKey!$A$3:$A$4094,0))</f>
        <v/>
      </c>
      <c r="J22" s="17">
        <f>INDEX(PyKey!G$3:G$4094,MATCH(Settings!$C$4&amp;"|mit.typ.p1.2",PyKey!$A$3:$A$4094,0))</f>
        <v/>
      </c>
      <c r="K22" s="17">
        <f>INDEX(PyKey!H$3:H$4094,MATCH(Settings!$C$4&amp;"|mit.typ.p1.2",PyKey!$A$3:$A$4094,0))</f>
        <v/>
      </c>
      <c r="L22" s="17">
        <f>B22-G22</f>
        <v/>
      </c>
      <c r="M22" s="17">
        <f>C22-H22</f>
        <v/>
      </c>
      <c r="N22" s="17">
        <f>D22-I22</f>
        <v/>
      </c>
      <c r="O22" s="17">
        <f>E22-J22</f>
        <v/>
      </c>
      <c r="P22" s="17">
        <f>F22-K22</f>
        <v/>
      </c>
    </row>
    <row r="23">
      <c r="A23" s="9" t="inlineStr">
        <is>
          <t>mit.typ.p2.2</t>
        </is>
      </c>
      <c r="B23" s="17">
        <f>Mitigation!N248</f>
        <v/>
      </c>
      <c r="C23" s="17">
        <f>Mitigation!O248</f>
        <v/>
      </c>
      <c r="D23" s="17">
        <f>Mitigation!T248</f>
        <v/>
      </c>
      <c r="E23" s="17">
        <f>Mitigation!AD248</f>
        <v/>
      </c>
      <c r="F23" s="17">
        <f>Mitigation!AN248</f>
        <v/>
      </c>
      <c r="G23" s="17">
        <f>INDEX(PyKey!D$3:D$4094,MATCH(Settings!$C$4&amp;"|mit.typ.p2.2",PyKey!$A$3:$A$4094,0))</f>
        <v/>
      </c>
      <c r="H23" s="17">
        <f>INDEX(PyKey!E$3:E$4094,MATCH(Settings!$C$4&amp;"|mit.typ.p2.2",PyKey!$A$3:$A$4094,0))</f>
        <v/>
      </c>
      <c r="I23" s="17">
        <f>INDEX(PyKey!F$3:F$4094,MATCH(Settings!$C$4&amp;"|mit.typ.p2.2",PyKey!$A$3:$A$4094,0))</f>
        <v/>
      </c>
      <c r="J23" s="17">
        <f>INDEX(PyKey!G$3:G$4094,MATCH(Settings!$C$4&amp;"|mit.typ.p2.2",PyKey!$A$3:$A$4094,0))</f>
        <v/>
      </c>
      <c r="K23" s="17">
        <f>INDEX(PyKey!H$3:H$4094,MATCH(Settings!$C$4&amp;"|mit.typ.p2.2",PyKey!$A$3:$A$4094,0))</f>
        <v/>
      </c>
      <c r="L23" s="17">
        <f>B23-G23</f>
        <v/>
      </c>
      <c r="M23" s="17">
        <f>C23-H23</f>
        <v/>
      </c>
      <c r="N23" s="17">
        <f>D23-I23</f>
        <v/>
      </c>
      <c r="O23" s="17">
        <f>E23-J23</f>
        <v/>
      </c>
      <c r="P23" s="17">
        <f>F23-K23</f>
        <v/>
      </c>
    </row>
    <row r="24">
      <c r="A24" s="9" t="inlineStr">
        <is>
          <t>mit.typ.p3.2</t>
        </is>
      </c>
      <c r="B24" s="17">
        <f>Mitigation!N249</f>
        <v/>
      </c>
      <c r="C24" s="17">
        <f>Mitigation!O249</f>
        <v/>
      </c>
      <c r="D24" s="17">
        <f>Mitigation!T249</f>
        <v/>
      </c>
      <c r="E24" s="17">
        <f>Mitigation!AD249</f>
        <v/>
      </c>
      <c r="F24" s="17">
        <f>Mitigation!AN249</f>
        <v/>
      </c>
      <c r="G24" s="17">
        <f>INDEX(PyKey!D$3:D$4094,MATCH(Settings!$C$4&amp;"|mit.typ.p3.2",PyKey!$A$3:$A$4094,0))</f>
        <v/>
      </c>
      <c r="H24" s="17">
        <f>INDEX(PyKey!E$3:E$4094,MATCH(Settings!$C$4&amp;"|mit.typ.p3.2",PyKey!$A$3:$A$4094,0))</f>
        <v/>
      </c>
      <c r="I24" s="17">
        <f>INDEX(PyKey!F$3:F$4094,MATCH(Settings!$C$4&amp;"|mit.typ.p3.2",PyKey!$A$3:$A$4094,0))</f>
        <v/>
      </c>
      <c r="J24" s="17">
        <f>INDEX(PyKey!G$3:G$4094,MATCH(Settings!$C$4&amp;"|mit.typ.p3.2",PyKey!$A$3:$A$4094,0))</f>
        <v/>
      </c>
      <c r="K24" s="17">
        <f>INDEX(PyKey!H$3:H$4094,MATCH(Settings!$C$4&amp;"|mit.typ.p3.2",PyKey!$A$3:$A$4094,0))</f>
        <v/>
      </c>
      <c r="L24" s="17">
        <f>B24-G24</f>
        <v/>
      </c>
      <c r="M24" s="17">
        <f>C24-H24</f>
        <v/>
      </c>
      <c r="N24" s="17">
        <f>D24-I24</f>
        <v/>
      </c>
      <c r="O24" s="17">
        <f>E24-J24</f>
        <v/>
      </c>
      <c r="P24" s="17">
        <f>F24-K24</f>
        <v/>
      </c>
    </row>
    <row r="25">
      <c r="A25" s="9" t="inlineStr">
        <is>
          <t>mit.typ.p4.2</t>
        </is>
      </c>
      <c r="B25" s="17">
        <f>Mitigation!N250</f>
        <v/>
      </c>
      <c r="C25" s="17">
        <f>Mitigation!O250</f>
        <v/>
      </c>
      <c r="D25" s="17">
        <f>Mitigation!T250</f>
        <v/>
      </c>
      <c r="E25" s="17">
        <f>Mitigation!AD250</f>
        <v/>
      </c>
      <c r="F25" s="17">
        <f>Mitigation!AN250</f>
        <v/>
      </c>
      <c r="G25" s="17">
        <f>INDEX(PyKey!D$3:D$4094,MATCH(Settings!$C$4&amp;"|mit.typ.p4.2",PyKey!$A$3:$A$4094,0))</f>
        <v/>
      </c>
      <c r="H25" s="17">
        <f>INDEX(PyKey!E$3:E$4094,MATCH(Settings!$C$4&amp;"|mit.typ.p4.2",PyKey!$A$3:$A$4094,0))</f>
        <v/>
      </c>
      <c r="I25" s="17">
        <f>INDEX(PyKey!F$3:F$4094,MATCH(Settings!$C$4&amp;"|mit.typ.p4.2",PyKey!$A$3:$A$4094,0))</f>
        <v/>
      </c>
      <c r="J25" s="17">
        <f>INDEX(PyKey!G$3:G$4094,MATCH(Settings!$C$4&amp;"|mit.typ.p4.2",PyKey!$A$3:$A$4094,0))</f>
        <v/>
      </c>
      <c r="K25" s="17">
        <f>INDEX(PyKey!H$3:H$4094,MATCH(Settings!$C$4&amp;"|mit.typ.p4.2",PyKey!$A$3:$A$4094,0))</f>
        <v/>
      </c>
      <c r="L25" s="17">
        <f>B25-G25</f>
        <v/>
      </c>
      <c r="M25" s="17">
        <f>C25-H25</f>
        <v/>
      </c>
      <c r="N25" s="17">
        <f>D25-I25</f>
        <v/>
      </c>
      <c r="O25" s="17">
        <f>E25-J25</f>
        <v/>
      </c>
      <c r="P25" s="17">
        <f>F25-K25</f>
        <v/>
      </c>
    </row>
    <row r="26">
      <c r="A26" s="9" t="inlineStr">
        <is>
          <t>mit.typ.p5.2</t>
        </is>
      </c>
      <c r="B26" s="17">
        <f>Mitigation!N251</f>
        <v/>
      </c>
      <c r="C26" s="17">
        <f>Mitigation!O251</f>
        <v/>
      </c>
      <c r="D26" s="17">
        <f>Mitigation!T251</f>
        <v/>
      </c>
      <c r="E26" s="17">
        <f>Mitigation!AD251</f>
        <v/>
      </c>
      <c r="F26" s="17">
        <f>Mitigation!AN251</f>
        <v/>
      </c>
      <c r="G26" s="17">
        <f>INDEX(PyKey!D$3:D$4094,MATCH(Settings!$C$4&amp;"|mit.typ.p5.2",PyKey!$A$3:$A$4094,0))</f>
        <v/>
      </c>
      <c r="H26" s="17">
        <f>INDEX(PyKey!E$3:E$4094,MATCH(Settings!$C$4&amp;"|mit.typ.p5.2",PyKey!$A$3:$A$4094,0))</f>
        <v/>
      </c>
      <c r="I26" s="17">
        <f>INDEX(PyKey!F$3:F$4094,MATCH(Settings!$C$4&amp;"|mit.typ.p5.2",PyKey!$A$3:$A$4094,0))</f>
        <v/>
      </c>
      <c r="J26" s="17">
        <f>INDEX(PyKey!G$3:G$4094,MATCH(Settings!$C$4&amp;"|mit.typ.p5.2",PyKey!$A$3:$A$4094,0))</f>
        <v/>
      </c>
      <c r="K26" s="17">
        <f>INDEX(PyKey!H$3:H$4094,MATCH(Settings!$C$4&amp;"|mit.typ.p5.2",PyKey!$A$3:$A$4094,0))</f>
        <v/>
      </c>
      <c r="L26" s="17">
        <f>B26-G26</f>
        <v/>
      </c>
      <c r="M26" s="17">
        <f>C26-H26</f>
        <v/>
      </c>
      <c r="N26" s="17">
        <f>D26-I26</f>
        <v/>
      </c>
      <c r="O26" s="17">
        <f>E26-J26</f>
        <v/>
      </c>
      <c r="P26" s="17">
        <f>F26-K26</f>
        <v/>
      </c>
    </row>
    <row r="27">
      <c r="A27" s="9" t="inlineStr">
        <is>
          <t>mit.typ.bud.2</t>
        </is>
      </c>
      <c r="B27" s="17">
        <f>Mitigation!N257</f>
        <v/>
      </c>
      <c r="C27" s="17">
        <f>Mitigation!O257</f>
        <v/>
      </c>
      <c r="D27" s="17">
        <f>Mitigation!T257</f>
        <v/>
      </c>
      <c r="E27" s="17">
        <f>Mitigation!AD257</f>
        <v/>
      </c>
      <c r="F27" s="17">
        <f>Mitigation!AN257</f>
        <v/>
      </c>
      <c r="G27" s="17">
        <f>INDEX(PyKey!D$3:D$4094,MATCH(Settings!$C$4&amp;"|mit.typ.bud.2",PyKey!$A$3:$A$4094,0))</f>
        <v/>
      </c>
      <c r="H27" s="17">
        <f>INDEX(PyKey!E$3:E$4094,MATCH(Settings!$C$4&amp;"|mit.typ.bud.2",PyKey!$A$3:$A$4094,0))</f>
        <v/>
      </c>
      <c r="I27" s="17">
        <f>INDEX(PyKey!F$3:F$4094,MATCH(Settings!$C$4&amp;"|mit.typ.bud.2",PyKey!$A$3:$A$4094,0))</f>
        <v/>
      </c>
      <c r="J27" s="17">
        <f>INDEX(PyKey!G$3:G$4094,MATCH(Settings!$C$4&amp;"|mit.typ.bud.2",PyKey!$A$3:$A$4094,0))</f>
        <v/>
      </c>
      <c r="K27" s="17">
        <f>INDEX(PyKey!H$3:H$4094,MATCH(Settings!$C$4&amp;"|mit.typ.bud.2",PyKey!$A$3:$A$4094,0))</f>
        <v/>
      </c>
      <c r="L27" s="17">
        <f>B27-G27</f>
        <v/>
      </c>
      <c r="M27" s="17">
        <f>C27-H27</f>
        <v/>
      </c>
      <c r="N27" s="17">
        <f>D27-I27</f>
        <v/>
      </c>
      <c r="O27" s="17">
        <f>E27-J27</f>
        <v/>
      </c>
      <c r="P27" s="17">
        <f>F27-K27</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S189"/>
  <sheetViews>
    <sheetView workbookViewId="0">
      <pane xSplit="1" ySplit="3" topLeftCell="B4" activePane="bottomRight" state="frozen"/>
      <selection pane="topRight"/>
      <selection pane="bottomLeft"/>
      <selection pane="bottomRight" activeCell="A1" sqref="A1"/>
    </sheetView>
  </sheetViews>
  <sheetFormatPr baseColWidth="8" defaultRowHeight="15"/>
  <sheetData>
    <row r="1">
      <c r="A1" s="3" t="inlineStr">
        <is>
          <t>Data: one row per country (CPAT 2024 panel, Ember, WEO, CBAM tool, v1.1 WACC). Built by extract_data_v0_2.py.</t>
        </is>
      </c>
    </row>
    <row r="3">
      <c r="A3" s="3" t="inlineStr">
        <is>
          <t>countrycode</t>
        </is>
      </c>
      <c r="B3" s="31" t="inlineStr">
        <is>
          <t>name</t>
        </is>
      </c>
      <c r="C3" s="31" t="inlineStr">
        <is>
          <t>aei_coa_ind</t>
        </is>
      </c>
      <c r="D3" s="31" t="inlineStr">
        <is>
          <t>aei_coa_res</t>
        </is>
      </c>
      <c r="E3" s="31" t="inlineStr">
        <is>
          <t>aei_die_rod</t>
        </is>
      </c>
      <c r="F3" s="31" t="inlineStr">
        <is>
          <t>aei_ecy_ind</t>
        </is>
      </c>
      <c r="G3" s="31" t="inlineStr">
        <is>
          <t>aei_ecy_res</t>
        </is>
      </c>
      <c r="H3" s="31" t="inlineStr">
        <is>
          <t>aei_gso_rod</t>
        </is>
      </c>
      <c r="I3" s="31" t="inlineStr">
        <is>
          <t>aei_ker_res</t>
        </is>
      </c>
      <c r="J3" s="31" t="inlineStr">
        <is>
          <t>aei_lpg_res</t>
        </is>
      </c>
      <c r="K3" s="31" t="inlineStr">
        <is>
          <t>aei_nga_ind</t>
        </is>
      </c>
      <c r="L3" s="31" t="inlineStr">
        <is>
          <t>aei_nga_res</t>
        </is>
      </c>
      <c r="M3" s="31" t="inlineStr">
        <is>
          <t>aei_oil_ind</t>
        </is>
      </c>
      <c r="N3" s="31" t="inlineStr">
        <is>
          <t>ap_coa_ind</t>
        </is>
      </c>
      <c r="O3" s="31" t="inlineStr">
        <is>
          <t>ap_coa_pow</t>
        </is>
      </c>
      <c r="P3" s="31" t="inlineStr">
        <is>
          <t>ap_coa_res</t>
        </is>
      </c>
      <c r="Q3" s="31" t="inlineStr">
        <is>
          <t>ap_die_rod</t>
        </is>
      </c>
      <c r="R3" s="31" t="inlineStr">
        <is>
          <t>ap_gso_rod</t>
        </is>
      </c>
      <c r="S3" s="31" t="inlineStr">
        <is>
          <t>ap_ker_res</t>
        </is>
      </c>
      <c r="T3" s="31" t="inlineStr">
        <is>
          <t>ap_lpg_res</t>
        </is>
      </c>
      <c r="U3" s="31" t="inlineStr">
        <is>
          <t>ap_nga_ind</t>
        </is>
      </c>
      <c r="V3" s="31" t="inlineStr">
        <is>
          <t>ap_nga_pow</t>
        </is>
      </c>
      <c r="W3" s="31" t="inlineStr">
        <is>
          <t>ap_nga_res</t>
        </is>
      </c>
      <c r="X3" s="31" t="inlineStr">
        <is>
          <t>ap_oil_ind</t>
        </is>
      </c>
      <c r="Y3" s="31" t="inlineStr">
        <is>
          <t>ap_oil_pow</t>
        </is>
      </c>
      <c r="Z3" s="31" t="inlineStr">
        <is>
          <t>cal24</t>
        </is>
      </c>
      <c r="AA3" s="31" t="inlineStr">
        <is>
          <t>cap_fos</t>
        </is>
      </c>
      <c r="AB3" s="31" t="inlineStr">
        <is>
          <t>cap_sol</t>
        </is>
      </c>
      <c r="AC3" s="31" t="inlineStr">
        <is>
          <t>cap_wnd</t>
        </is>
      </c>
      <c r="AD3" s="31" t="inlineStr">
        <is>
          <t>cbam_g</t>
        </is>
      </c>
      <c r="AE3" s="31" t="inlineStr">
        <is>
          <t>cbam_proc24</t>
        </is>
      </c>
      <c r="AF3" s="31" t="inlineStr">
        <is>
          <t>co2_24</t>
        </is>
      </c>
      <c r="AG3" s="31" t="inlineStr">
        <is>
          <t>con_coa_ind</t>
        </is>
      </c>
      <c r="AH3" s="31" t="inlineStr">
        <is>
          <t>con_coa_ind_2021</t>
        </is>
      </c>
      <c r="AI3" s="31" t="inlineStr">
        <is>
          <t>con_coa_ind_2022</t>
        </is>
      </c>
      <c r="AJ3" s="31" t="inlineStr">
        <is>
          <t>con_coa_ind_2023</t>
        </is>
      </c>
      <c r="AK3" s="31" t="inlineStr">
        <is>
          <t>con_coa_pow</t>
        </is>
      </c>
      <c r="AL3" s="31" t="inlineStr">
        <is>
          <t>con_coa_res</t>
        </is>
      </c>
      <c r="AM3" s="31" t="inlineStr">
        <is>
          <t>con_coa_res_2021</t>
        </is>
      </c>
      <c r="AN3" s="31" t="inlineStr">
        <is>
          <t>con_coa_res_2022</t>
        </is>
      </c>
      <c r="AO3" s="31" t="inlineStr">
        <is>
          <t>con_coa_res_2023</t>
        </is>
      </c>
      <c r="AP3" s="31" t="inlineStr">
        <is>
          <t>con_die_rod</t>
        </is>
      </c>
      <c r="AQ3" s="31" t="inlineStr">
        <is>
          <t>con_die_rod_2021</t>
        </is>
      </c>
      <c r="AR3" s="31" t="inlineStr">
        <is>
          <t>con_die_rod_2022</t>
        </is>
      </c>
      <c r="AS3" s="31" t="inlineStr">
        <is>
          <t>con_die_rod_2023</t>
        </is>
      </c>
      <c r="AT3" s="31" t="inlineStr">
        <is>
          <t>con_ecy_ind</t>
        </is>
      </c>
      <c r="AU3" s="31" t="inlineStr">
        <is>
          <t>con_ecy_ind_2021</t>
        </is>
      </c>
      <c r="AV3" s="31" t="inlineStr">
        <is>
          <t>con_ecy_ind_2022</t>
        </is>
      </c>
      <c r="AW3" s="31" t="inlineStr">
        <is>
          <t>con_ecy_ind_2023</t>
        </is>
      </c>
      <c r="AX3" s="31" t="inlineStr">
        <is>
          <t>con_ecy_res</t>
        </is>
      </c>
      <c r="AY3" s="31" t="inlineStr">
        <is>
          <t>con_ecy_res_2021</t>
        </is>
      </c>
      <c r="AZ3" s="31" t="inlineStr">
        <is>
          <t>con_ecy_res_2022</t>
        </is>
      </c>
      <c r="BA3" s="31" t="inlineStr">
        <is>
          <t>con_ecy_res_2023</t>
        </is>
      </c>
      <c r="BB3" s="31" t="inlineStr">
        <is>
          <t>con_gso_rod</t>
        </is>
      </c>
      <c r="BC3" s="31" t="inlineStr">
        <is>
          <t>con_gso_rod_2021</t>
        </is>
      </c>
      <c r="BD3" s="31" t="inlineStr">
        <is>
          <t>con_gso_rod_2022</t>
        </is>
      </c>
      <c r="BE3" s="31" t="inlineStr">
        <is>
          <t>con_gso_rod_2023</t>
        </is>
      </c>
      <c r="BF3" s="31" t="inlineStr">
        <is>
          <t>con_ker_res</t>
        </is>
      </c>
      <c r="BG3" s="31" t="inlineStr">
        <is>
          <t>con_ker_res_2021</t>
        </is>
      </c>
      <c r="BH3" s="31" t="inlineStr">
        <is>
          <t>con_ker_res_2022</t>
        </is>
      </c>
      <c r="BI3" s="31" t="inlineStr">
        <is>
          <t>con_ker_res_2023</t>
        </is>
      </c>
      <c r="BJ3" s="31" t="inlineStr">
        <is>
          <t>con_lpg_res</t>
        </is>
      </c>
      <c r="BK3" s="31" t="inlineStr">
        <is>
          <t>con_lpg_res_2021</t>
        </is>
      </c>
      <c r="BL3" s="31" t="inlineStr">
        <is>
          <t>con_lpg_res_2022</t>
        </is>
      </c>
      <c r="BM3" s="31" t="inlineStr">
        <is>
          <t>con_lpg_res_2023</t>
        </is>
      </c>
      <c r="BN3" s="31" t="inlineStr">
        <is>
          <t>con_nga_ind</t>
        </is>
      </c>
      <c r="BO3" s="31" t="inlineStr">
        <is>
          <t>con_nga_ind_2021</t>
        </is>
      </c>
      <c r="BP3" s="31" t="inlineStr">
        <is>
          <t>con_nga_ind_2022</t>
        </is>
      </c>
      <c r="BQ3" s="31" t="inlineStr">
        <is>
          <t>con_nga_ind_2023</t>
        </is>
      </c>
      <c r="BR3" s="31" t="inlineStr">
        <is>
          <t>con_nga_pow</t>
        </is>
      </c>
      <c r="BS3" s="31" t="inlineStr">
        <is>
          <t>con_nga_res</t>
        </is>
      </c>
      <c r="BT3" s="31" t="inlineStr">
        <is>
          <t>con_nga_res_2021</t>
        </is>
      </c>
      <c r="BU3" s="31" t="inlineStr">
        <is>
          <t>con_nga_res_2022</t>
        </is>
      </c>
      <c r="BV3" s="31" t="inlineStr">
        <is>
          <t>con_nga_res_2023</t>
        </is>
      </c>
      <c r="BW3" s="31" t="inlineStr">
        <is>
          <t>con_oil_ind</t>
        </is>
      </c>
      <c r="BX3" s="31" t="inlineStr">
        <is>
          <t>con_oil_ind_2021</t>
        </is>
      </c>
      <c r="BY3" s="31" t="inlineStr">
        <is>
          <t>con_oil_ind_2022</t>
        </is>
      </c>
      <c r="BZ3" s="31" t="inlineStr">
        <is>
          <t>con_oil_ind_2023</t>
        </is>
      </c>
      <c r="CA3" s="31" t="inlineStr">
        <is>
          <t>cr_ecy</t>
        </is>
      </c>
      <c r="CB3" s="31" t="inlineStr">
        <is>
          <t>dem_twh24</t>
        </is>
      </c>
      <c r="CC3" s="31" t="inlineStr">
        <is>
          <t>ffs_exp</t>
        </is>
      </c>
      <c r="CD3" s="31" t="inlineStr">
        <is>
          <t>fos_trend</t>
        </is>
      </c>
      <c r="CE3" s="31" t="inlineStr">
        <is>
          <t>g25</t>
        </is>
      </c>
      <c r="CF3" s="31" t="inlineStr">
        <is>
          <t>g26</t>
        </is>
      </c>
      <c r="CG3" s="31" t="inlineStr">
        <is>
          <t>gdp24</t>
        </is>
      </c>
      <c r="CH3" s="31" t="inlineStr">
        <is>
          <t>gen_cfirm</t>
        </is>
      </c>
      <c r="CI3" s="31" t="inlineStr">
        <is>
          <t>gen_coa</t>
        </is>
      </c>
      <c r="CJ3" s="31" t="inlineStr">
        <is>
          <t>gen_fos</t>
        </is>
      </c>
      <c r="CK3" s="31" t="inlineStr">
        <is>
          <t>gen_nga</t>
        </is>
      </c>
      <c r="CL3" s="31" t="inlineStr">
        <is>
          <t>gen_oil</t>
        </is>
      </c>
      <c r="CM3" s="31" t="inlineStr">
        <is>
          <t>gen_sol</t>
        </is>
      </c>
      <c r="CN3" s="31" t="inlineStr">
        <is>
          <t>gen_tot</t>
        </is>
      </c>
      <c r="CO3" s="31" t="inlineStr">
        <is>
          <t>gen_wnd</t>
        </is>
      </c>
      <c r="CP3" s="31" t="inlineStr">
        <is>
          <t>ghg_exc</t>
        </is>
      </c>
      <c r="CQ3" s="31" t="inlineStr">
        <is>
          <t>ghg_inc</t>
        </is>
      </c>
      <c r="CR3" s="31" t="inlineStr">
        <is>
          <t>grp</t>
        </is>
      </c>
      <c r="CS3" s="31" t="inlineStr">
        <is>
          <t>inc</t>
        </is>
      </c>
      <c r="CT3" s="31" t="inlineStr">
        <is>
          <t>inc_coa_ind</t>
        </is>
      </c>
      <c r="CU3" s="31" t="inlineStr">
        <is>
          <t>inc_coa_res</t>
        </is>
      </c>
      <c r="CV3" s="31" t="inlineStr">
        <is>
          <t>inc_die_rod</t>
        </is>
      </c>
      <c r="CW3" s="31" t="inlineStr">
        <is>
          <t>inc_ecy_ind</t>
        </is>
      </c>
      <c r="CX3" s="31" t="inlineStr">
        <is>
          <t>inc_ecy_res</t>
        </is>
      </c>
      <c r="CY3" s="31" t="inlineStr">
        <is>
          <t>inc_gso_rod</t>
        </is>
      </c>
      <c r="CZ3" s="31" t="inlineStr">
        <is>
          <t>inc_ker_res</t>
        </is>
      </c>
      <c r="DA3" s="31" t="inlineStr">
        <is>
          <t>inc_lpg_res</t>
        </is>
      </c>
      <c r="DB3" s="31" t="inlineStr">
        <is>
          <t>inc_nga_ind</t>
        </is>
      </c>
      <c r="DC3" s="31" t="inlineStr">
        <is>
          <t>inc_nga_res</t>
        </is>
      </c>
      <c r="DD3" s="31" t="inlineStr">
        <is>
          <t>inc_oil_ind</t>
        </is>
      </c>
      <c r="DE3" s="31" t="inlineStr">
        <is>
          <t>plevel</t>
        </is>
      </c>
      <c r="DF3" s="31" t="inlineStr">
        <is>
          <t>pms</t>
        </is>
      </c>
      <c r="DG3" s="31" t="inlineStr">
        <is>
          <t>sp_coa_ind</t>
        </is>
      </c>
      <c r="DH3" s="31" t="inlineStr">
        <is>
          <t>sp_coa_pow</t>
        </is>
      </c>
      <c r="DI3" s="31" t="inlineStr">
        <is>
          <t>sp_coa_res</t>
        </is>
      </c>
      <c r="DJ3" s="31" t="inlineStr">
        <is>
          <t>sp_die_rod</t>
        </is>
      </c>
      <c r="DK3" s="31" t="inlineStr">
        <is>
          <t>sp_gso_rod</t>
        </is>
      </c>
      <c r="DL3" s="31" t="inlineStr">
        <is>
          <t>sp_ker_res</t>
        </is>
      </c>
      <c r="DM3" s="31" t="inlineStr">
        <is>
          <t>sp_lpg_res</t>
        </is>
      </c>
      <c r="DN3" s="31" t="inlineStr">
        <is>
          <t>sp_nga_ind</t>
        </is>
      </c>
      <c r="DO3" s="31" t="inlineStr">
        <is>
          <t>sp_nga_pow</t>
        </is>
      </c>
      <c r="DP3" s="31" t="inlineStr">
        <is>
          <t>sp_nga_res</t>
        </is>
      </c>
      <c r="DQ3" s="31" t="inlineStr">
        <is>
          <t>sp_oil_ind</t>
        </is>
      </c>
      <c r="DR3" s="31" t="inlineStr">
        <is>
          <t>sp_oil_pow</t>
        </is>
      </c>
      <c r="DS3" s="31" t="inlineStr">
        <is>
          <t>wacc</t>
        </is>
      </c>
    </row>
    <row r="4">
      <c r="A4" s="9" t="inlineStr">
        <is>
          <t>ABW</t>
        </is>
      </c>
      <c r="B4" s="9" t="inlineStr">
        <is>
          <t>Aruba</t>
        </is>
      </c>
      <c r="C4" s="9" t="n">
        <v>0.005</v>
      </c>
      <c r="D4" s="9" t="n">
        <v>0.005</v>
      </c>
      <c r="E4" s="9" t="n">
        <v>0.01</v>
      </c>
      <c r="F4" s="9" t="n">
        <v>0.005</v>
      </c>
      <c r="G4" s="9" t="n">
        <v>0.005</v>
      </c>
      <c r="H4" s="9" t="n">
        <v>0.01</v>
      </c>
      <c r="I4" s="9" t="n">
        <v>0.005</v>
      </c>
      <c r="J4" s="9" t="n">
        <v>0.005</v>
      </c>
      <c r="K4" s="9" t="n">
        <v>0.01</v>
      </c>
      <c r="L4" s="9" t="n">
        <v>0.01</v>
      </c>
      <c r="M4" s="9" t="n">
        <v>0.005</v>
      </c>
      <c r="N4" s="9" t="n">
        <v>0</v>
      </c>
      <c r="O4" s="9" t="n">
        <v>0</v>
      </c>
      <c r="P4" s="9" t="n">
        <v>0</v>
      </c>
      <c r="Q4" s="9" t="n">
        <v>0</v>
      </c>
      <c r="R4" s="9" t="n">
        <v>0</v>
      </c>
      <c r="S4" s="9" t="n">
        <v>0</v>
      </c>
      <c r="T4" s="9" t="n">
        <v>0</v>
      </c>
      <c r="U4" s="9" t="n">
        <v>0</v>
      </c>
      <c r="V4" s="9" t="n">
        <v>0</v>
      </c>
      <c r="W4" s="9" t="n">
        <v>0</v>
      </c>
      <c r="X4" s="9" t="n">
        <v>0</v>
      </c>
      <c r="Y4" s="9" t="n">
        <v>0</v>
      </c>
      <c r="Z4" s="9" t="n">
        <v>0.01636429615115234</v>
      </c>
      <c r="AA4" s="9" t="n">
        <v>0.24</v>
      </c>
      <c r="AB4" s="9" t="n">
        <v>0.01</v>
      </c>
      <c r="AC4" s="9" t="n">
        <v>0.03</v>
      </c>
      <c r="AD4" s="9" t="n">
        <v>0</v>
      </c>
      <c r="AE4" s="9" t="n">
        <v>0</v>
      </c>
      <c r="AF4" s="9" t="n">
        <v>0.429</v>
      </c>
      <c r="AG4" s="9" t="n">
        <v>0</v>
      </c>
      <c r="AH4" s="9" t="n">
        <v>0</v>
      </c>
      <c r="AI4" s="9" t="n">
        <v>0</v>
      </c>
      <c r="AJ4" s="9" t="n">
        <v>0</v>
      </c>
      <c r="AK4" s="9" t="n">
        <v>0</v>
      </c>
      <c r="AL4" s="9" t="n">
        <v>0</v>
      </c>
      <c r="AM4" s="9" t="n">
        <v>0</v>
      </c>
      <c r="AN4" s="9" t="n">
        <v>0</v>
      </c>
      <c r="AO4" s="9" t="n">
        <v>0</v>
      </c>
      <c r="AP4" s="9" t="n">
        <v>0.6726517003324808</v>
      </c>
      <c r="AQ4" s="9" t="n">
        <v>0.6464071335830427</v>
      </c>
      <c r="AR4" s="9" t="n">
        <v>0.6464071335830427</v>
      </c>
      <c r="AS4" s="9" t="n">
        <v>0.6464071335830427</v>
      </c>
      <c r="AT4" s="9" t="n">
        <v>1.773635823853016</v>
      </c>
      <c r="AU4" s="9" t="n">
        <v>1.58558040486145</v>
      </c>
      <c r="AV4" s="9" t="n">
        <v>1.743699771072073</v>
      </c>
      <c r="AW4" s="9" t="n">
        <v>1.802305611169813</v>
      </c>
      <c r="AX4" s="9" t="n">
        <v>1.332903321652257</v>
      </c>
      <c r="AY4" s="9" t="n">
        <v>1.231541987777706</v>
      </c>
      <c r="AZ4" s="9" t="n">
        <v>1.310406107933269</v>
      </c>
      <c r="BA4" s="9" t="n">
        <v>1.354448925451918</v>
      </c>
      <c r="BB4" s="9" t="n">
        <v>3.185888007248436</v>
      </c>
      <c r="BC4" s="9" t="n">
        <v>2.9833028958056</v>
      </c>
      <c r="BD4" s="9" t="n">
        <v>3.155657964516347</v>
      </c>
      <c r="BE4" s="9" t="n">
        <v>3.068270452962967</v>
      </c>
      <c r="BF4" s="9" t="n">
        <v>0</v>
      </c>
      <c r="BG4" s="9" t="n">
        <v>0</v>
      </c>
      <c r="BH4" s="9" t="n">
        <v>0</v>
      </c>
      <c r="BI4" s="9" t="n">
        <v>0</v>
      </c>
      <c r="BJ4" s="9" t="n">
        <v>0.3839033955122271</v>
      </c>
      <c r="BK4" s="9" t="n">
        <v>0.3703292442753368</v>
      </c>
      <c r="BL4" s="9" t="n">
        <v>0.3703292442753368</v>
      </c>
      <c r="BM4" s="9" t="n">
        <v>0.3703292442753368</v>
      </c>
      <c r="BN4" s="9" t="n">
        <v>0</v>
      </c>
      <c r="BO4" s="9" t="n">
        <v>0</v>
      </c>
      <c r="BP4" s="9" t="n">
        <v>0</v>
      </c>
      <c r="BQ4" s="9" t="n">
        <v>0</v>
      </c>
      <c r="BR4" s="9" t="n">
        <v>0</v>
      </c>
      <c r="BS4" s="9" t="n">
        <v>0</v>
      </c>
      <c r="BT4" s="9" t="n">
        <v>0</v>
      </c>
      <c r="BU4" s="9" t="n">
        <v>0</v>
      </c>
      <c r="BV4" s="9" t="n">
        <v>0</v>
      </c>
      <c r="BW4" s="9" t="n">
        <v>11.16268612120875</v>
      </c>
      <c r="BX4" s="9" t="n">
        <v>11.58835826827918</v>
      </c>
      <c r="BY4" s="9" t="n">
        <v>11.50106999491434</v>
      </c>
      <c r="BZ4" s="9" t="n">
        <v>11.28272729711592</v>
      </c>
      <c r="CA4" s="9" t="n">
        <v>1.370269523588646</v>
      </c>
      <c r="CB4" s="9" t="n">
        <v>0.8629275404181315</v>
      </c>
      <c r="CC4" s="9" t="n">
        <v>0</v>
      </c>
      <c r="CD4" s="9" t="n">
        <v>0</v>
      </c>
      <c r="CE4" s="9" t="n">
        <v>5.608</v>
      </c>
      <c r="CF4" s="9" t="n">
        <v>2.25</v>
      </c>
      <c r="CG4" s="9" t="n">
        <v>4.285</v>
      </c>
      <c r="CH4" s="9" t="n">
        <v>0</v>
      </c>
      <c r="CI4" s="9" t="n">
        <v>0</v>
      </c>
      <c r="CJ4" s="9" t="n">
        <v>0.83</v>
      </c>
      <c r="CK4" s="9" t="n">
        <v>0</v>
      </c>
      <c r="CL4" s="9" t="n">
        <v>0.83</v>
      </c>
      <c r="CM4" s="9" t="n">
        <v>0.03</v>
      </c>
      <c r="CN4" s="9" t="n">
        <v>1</v>
      </c>
      <c r="CO4" s="9" t="n">
        <v>0.14</v>
      </c>
      <c r="CP4" s="9" t="n">
        <v>0.47</v>
      </c>
      <c r="CQ4" s="9" t="n">
        <v>0.47</v>
      </c>
      <c r="CR4" s="9" t="n">
        <v>3</v>
      </c>
      <c r="CS4" s="9" t="n">
        <v>4</v>
      </c>
      <c r="CT4" s="9" t="n">
        <v>0.5</v>
      </c>
      <c r="CU4" s="9" t="n">
        <v>0.3</v>
      </c>
      <c r="CV4" s="9" t="n">
        <v>0.6</v>
      </c>
      <c r="CW4" s="9" t="n">
        <v>0.8</v>
      </c>
      <c r="CX4" s="9" t="n">
        <v>0.8</v>
      </c>
      <c r="CY4" s="9" t="n">
        <v>0.7</v>
      </c>
      <c r="CZ4" s="9" t="n">
        <v>0.5</v>
      </c>
      <c r="DA4" s="9" t="n">
        <v>0.5</v>
      </c>
      <c r="DB4" s="9" t="n">
        <v>1</v>
      </c>
      <c r="DC4" s="9" t="n">
        <v>0.3</v>
      </c>
      <c r="DD4" s="9" t="n">
        <v>0.8</v>
      </c>
      <c r="DE4" s="9" t="n">
        <v>0.7680587918981897</v>
      </c>
      <c r="DF4" s="9" t="n">
        <v>1</v>
      </c>
      <c r="DG4" s="9" t="n">
        <v>7.124</v>
      </c>
      <c r="DH4" s="9" t="n">
        <v>5.575</v>
      </c>
      <c r="DI4" s="9" t="n">
        <v>12.375895</v>
      </c>
      <c r="DJ4" s="9" t="n">
        <v>17.65388512566902</v>
      </c>
      <c r="DK4" s="9" t="n">
        <v>21.92461253643865</v>
      </c>
      <c r="DL4" s="9" t="n">
        <v>15.04682410526479</v>
      </c>
      <c r="DM4" s="9" t="n">
        <v>20.97220837471617</v>
      </c>
      <c r="DN4" s="9" t="n">
        <v>8.176</v>
      </c>
      <c r="DO4" s="9" t="n">
        <v>6.853</v>
      </c>
      <c r="DP4" s="9" t="n">
        <v>16.35977</v>
      </c>
      <c r="DQ4" s="9" t="n">
        <v>13.49747300162084</v>
      </c>
      <c r="DR4" s="9" t="n">
        <v>13.49747300162084</v>
      </c>
      <c r="DS4" s="9" t="n">
        <v>0.105</v>
      </c>
    </row>
    <row r="5">
      <c r="A5" s="9" t="inlineStr">
        <is>
          <t>AFG</t>
        </is>
      </c>
      <c r="B5" s="9" t="inlineStr">
        <is>
          <t>Afghanistan</t>
        </is>
      </c>
      <c r="C5" s="9" t="n">
        <v>0.005</v>
      </c>
      <c r="D5" s="9" t="n">
        <v>0.005</v>
      </c>
      <c r="E5" s="9" t="n">
        <v>0.01</v>
      </c>
      <c r="F5" s="9" t="n">
        <v>0.005</v>
      </c>
      <c r="G5" s="9" t="n">
        <v>0.005</v>
      </c>
      <c r="H5" s="9" t="n">
        <v>0.01</v>
      </c>
      <c r="I5" s="9" t="n">
        <v>0.005</v>
      </c>
      <c r="J5" s="9" t="n">
        <v>0.005</v>
      </c>
      <c r="K5" s="9" t="n">
        <v>0.01</v>
      </c>
      <c r="L5" s="9" t="n">
        <v>0.01</v>
      </c>
      <c r="M5" s="9" t="n">
        <v>0.005</v>
      </c>
      <c r="N5" s="9" t="n">
        <v>0.725007</v>
      </c>
      <c r="O5" s="9" t="n">
        <v>0.004124</v>
      </c>
      <c r="P5" s="9" t="n">
        <v>1.988039</v>
      </c>
      <c r="Q5" s="9" t="n">
        <v>0.6017129822907459</v>
      </c>
      <c r="R5" s="9" t="n">
        <v>0.1690604505495322</v>
      </c>
      <c r="S5" s="9" t="n">
        <v>0.2614915506039943</v>
      </c>
      <c r="T5" s="9" t="n">
        <v>0.0871228523992337</v>
      </c>
      <c r="U5" s="9" t="n">
        <v>0.043622</v>
      </c>
      <c r="V5" s="9" t="n">
        <v>0.002521</v>
      </c>
      <c r="W5" s="9" t="n">
        <v>0.010402</v>
      </c>
      <c r="X5" s="9" t="n">
        <v>0.8681303644199615</v>
      </c>
      <c r="Y5" s="9" t="n">
        <v>0.8681303644199615</v>
      </c>
      <c r="Z5" s="9" t="n">
        <v>0.06804262882732351</v>
      </c>
      <c r="AA5" s="9" t="n">
        <v>0.28</v>
      </c>
      <c r="AB5" s="9" t="n">
        <v>0.06</v>
      </c>
      <c r="AC5" s="9" t="n">
        <v>0</v>
      </c>
      <c r="AD5" s="9" t="n">
        <v>0</v>
      </c>
      <c r="AE5" s="9" t="n">
        <v>0</v>
      </c>
      <c r="AF5" s="9" t="n">
        <v>5.893</v>
      </c>
      <c r="AG5" s="9" t="n">
        <v>37.26273758058085</v>
      </c>
      <c r="AH5" s="9" t="n">
        <v>34.32841055999999</v>
      </c>
      <c r="AI5" s="9" t="n">
        <v>34.6716946656</v>
      </c>
      <c r="AJ5" s="9" t="n">
        <v>34.6716946656</v>
      </c>
      <c r="AK5" s="9" t="n">
        <v>1.387628389392241</v>
      </c>
      <c r="AL5" s="9" t="n">
        <v>0</v>
      </c>
      <c r="AM5" s="9" t="n">
        <v>0</v>
      </c>
      <c r="AN5" s="9" t="n">
        <v>0</v>
      </c>
      <c r="AO5" s="9" t="n">
        <v>0</v>
      </c>
      <c r="AP5" s="9" t="n">
        <v>23.10349686992732</v>
      </c>
      <c r="AQ5" s="9" t="n">
        <v>22.0305591</v>
      </c>
      <c r="AR5" s="9" t="n">
        <v>22.250864691</v>
      </c>
      <c r="AS5" s="9" t="n">
        <v>22.250864691</v>
      </c>
      <c r="AT5" s="9" t="n">
        <v>8.036906462979751</v>
      </c>
      <c r="AU5" s="9" t="n">
        <v>8.371506561668701</v>
      </c>
      <c r="AV5" s="9" t="n">
        <v>8.07954150099205</v>
      </c>
      <c r="AW5" s="9" t="n">
        <v>8.052243689748327</v>
      </c>
      <c r="AX5" s="9" t="n">
        <v>11.88573098094456</v>
      </c>
      <c r="AY5" s="9" t="n">
        <v>12.328618752</v>
      </c>
      <c r="AZ5" s="9" t="n">
        <v>11.94878367348376</v>
      </c>
      <c r="BA5" s="9" t="n">
        <v>11.90841311021964</v>
      </c>
      <c r="BB5" s="9" t="n">
        <v>42.41423687646255</v>
      </c>
      <c r="BC5" s="9" t="n">
        <v>43.22290938839954</v>
      </c>
      <c r="BD5" s="9" t="n">
        <v>39.19284161376952</v>
      </c>
      <c r="BE5" s="9" t="n">
        <v>41.36386016999999</v>
      </c>
      <c r="BF5" s="9" t="n">
        <v>2.607182237361919</v>
      </c>
      <c r="BG5" s="9" t="n">
        <v>2.586041625446425</v>
      </c>
      <c r="BH5" s="9" t="n">
        <v>2.611902041700889</v>
      </c>
      <c r="BI5" s="9" t="n">
        <v>2.611902041700889</v>
      </c>
      <c r="BJ5" s="9" t="n">
        <v>28.42135907911133</v>
      </c>
      <c r="BK5" s="9" t="n">
        <v>27.42354999999995</v>
      </c>
      <c r="BL5" s="9" t="n">
        <v>27.69778549999995</v>
      </c>
      <c r="BM5" s="9" t="n">
        <v>27.69778549999995</v>
      </c>
      <c r="BN5" s="9" t="n">
        <v>2.879820030607376</v>
      </c>
      <c r="BO5" s="9" t="n">
        <v>2.86648968924</v>
      </c>
      <c r="BP5" s="9" t="n">
        <v>2.8951545861324</v>
      </c>
      <c r="BQ5" s="9" t="n">
        <v>2.8951545861324</v>
      </c>
      <c r="BR5" s="9" t="n">
        <v>0</v>
      </c>
      <c r="BS5" s="9" t="n">
        <v>0</v>
      </c>
      <c r="BT5" s="9" t="n">
        <v>0</v>
      </c>
      <c r="BU5" s="9" t="n">
        <v>0</v>
      </c>
      <c r="BV5" s="9" t="n">
        <v>0</v>
      </c>
      <c r="BW5" s="9" t="n">
        <v>1.551912196828305</v>
      </c>
      <c r="BX5" s="9" t="n">
        <v>3.242426332320504</v>
      </c>
      <c r="BY5" s="9" t="n">
        <v>1.515298103918908</v>
      </c>
      <c r="BZ5" s="9" t="n">
        <v>1.51535616165219</v>
      </c>
      <c r="CA5" s="9" t="n">
        <v>0.3021643682655376</v>
      </c>
      <c r="CB5" s="9" t="n">
        <v>5.534065956645641</v>
      </c>
      <c r="CC5" s="9" t="n">
        <v>1.383</v>
      </c>
      <c r="CD5" s="9" t="n">
        <v>-0.2890540626389687</v>
      </c>
      <c r="CE5" s="9" t="n">
        <v>3.004</v>
      </c>
      <c r="CF5" s="9" t="n">
        <v>3</v>
      </c>
      <c r="CG5" s="9" t="n">
        <v>17.817</v>
      </c>
      <c r="CH5" s="9" t="n">
        <v>0.75</v>
      </c>
      <c r="CI5" s="9" t="n">
        <v>0.03</v>
      </c>
      <c r="CJ5" s="9" t="n">
        <v>0.13</v>
      </c>
      <c r="CK5" s="9" t="n">
        <v>0</v>
      </c>
      <c r="CL5" s="9" t="n">
        <v>0.1</v>
      </c>
      <c r="CM5" s="9" t="n">
        <v>0.11</v>
      </c>
      <c r="CN5" s="9" t="n">
        <v>0.99</v>
      </c>
      <c r="CO5" s="9" t="n">
        <v>0</v>
      </c>
      <c r="CP5" s="9" t="n">
        <v>29.715</v>
      </c>
      <c r="CQ5" s="9" t="n">
        <v>29.862</v>
      </c>
      <c r="CR5" s="9" t="n">
        <v>3</v>
      </c>
      <c r="CS5" s="9" t="n">
        <v>1</v>
      </c>
      <c r="CT5" s="9" t="n">
        <v>0.5</v>
      </c>
      <c r="CU5" s="9" t="n">
        <v>0.3</v>
      </c>
      <c r="CV5" s="9" t="n">
        <v>0.6</v>
      </c>
      <c r="CW5" s="9" t="n">
        <v>0.8</v>
      </c>
      <c r="CX5" s="9" t="n">
        <v>0.8</v>
      </c>
      <c r="CY5" s="9" t="n">
        <v>0.7</v>
      </c>
      <c r="CZ5" s="9" t="n">
        <v>0.5</v>
      </c>
      <c r="DA5" s="9" t="n">
        <v>0.5</v>
      </c>
      <c r="DB5" s="9" t="n">
        <v>1</v>
      </c>
      <c r="DC5" s="9" t="n">
        <v>0.3</v>
      </c>
      <c r="DD5" s="9" t="n">
        <v>0.8</v>
      </c>
      <c r="DE5" s="9" t="n">
        <v>0.1868236725106954</v>
      </c>
      <c r="DF5" s="9" t="n">
        <v>2</v>
      </c>
      <c r="DG5" s="9" t="n">
        <v>7.124</v>
      </c>
      <c r="DH5" s="9" t="n">
        <v>4.833</v>
      </c>
      <c r="DI5" s="9" t="n">
        <v>12.5961</v>
      </c>
      <c r="DJ5" s="9" t="n">
        <v>20.30044625057548</v>
      </c>
      <c r="DK5" s="9" t="n">
        <v>22.64815237402394</v>
      </c>
      <c r="DL5" s="9" t="n">
        <v>18.99926452164773</v>
      </c>
      <c r="DM5" s="9" t="n">
        <v>21.68769413273213</v>
      </c>
      <c r="DN5" s="9" t="n">
        <v>6.449</v>
      </c>
      <c r="DO5" s="9" t="n">
        <v>5.125</v>
      </c>
      <c r="DP5" s="9" t="n">
        <v>15.829</v>
      </c>
      <c r="DQ5" s="9" t="n">
        <v>14.11516989415954</v>
      </c>
      <c r="DR5" s="9" t="n">
        <v>14.11516989415954</v>
      </c>
      <c r="DS5" s="9" t="n">
        <v>0.105</v>
      </c>
    </row>
    <row r="6">
      <c r="A6" s="9" t="inlineStr">
        <is>
          <t>AGO</t>
        </is>
      </c>
      <c r="B6" s="9" t="inlineStr">
        <is>
          <t>Angola</t>
        </is>
      </c>
      <c r="C6" s="9" t="n">
        <v>0.005</v>
      </c>
      <c r="D6" s="9" t="n">
        <v>0.005</v>
      </c>
      <c r="E6" s="9" t="n">
        <v>0.01</v>
      </c>
      <c r="F6" s="9" t="n">
        <v>0.005</v>
      </c>
      <c r="G6" s="9" t="n">
        <v>0.005</v>
      </c>
      <c r="H6" s="9" t="n">
        <v>0.01</v>
      </c>
      <c r="I6" s="9" t="n">
        <v>0.005</v>
      </c>
      <c r="J6" s="9" t="n">
        <v>0.005</v>
      </c>
      <c r="K6" s="9" t="n">
        <v>0.01</v>
      </c>
      <c r="L6" s="9" t="n">
        <v>0.01</v>
      </c>
      <c r="M6" s="9" t="n">
        <v>0.005</v>
      </c>
      <c r="N6" s="9" t="n">
        <v>0.282221</v>
      </c>
      <c r="O6" s="9" t="n">
        <v>0.199568</v>
      </c>
      <c r="P6" s="9" t="n">
        <v>7.193399</v>
      </c>
      <c r="Q6" s="9" t="n">
        <v>2.822267429124238</v>
      </c>
      <c r="R6" s="9" t="n">
        <v>0.6446144581000602</v>
      </c>
      <c r="S6" s="9" t="n">
        <v>0.5844684511170021</v>
      </c>
      <c r="T6" s="9" t="n">
        <v>0.2070622378036997</v>
      </c>
      <c r="U6" s="9" t="n">
        <v>0.012474</v>
      </c>
      <c r="V6" s="9" t="n">
        <v>0.011921</v>
      </c>
      <c r="W6" s="9" t="n">
        <v>0.017842</v>
      </c>
      <c r="X6" s="9" t="n">
        <v>0.5702095735419949</v>
      </c>
      <c r="Y6" s="9" t="n">
        <v>0.5702095735419949</v>
      </c>
      <c r="Z6" s="9" t="n">
        <v>0.4566497894930898</v>
      </c>
      <c r="AA6" s="9" t="n">
        <v>2.36</v>
      </c>
      <c r="AB6" s="9" t="n">
        <v>0.36</v>
      </c>
      <c r="AC6" s="9" t="n">
        <v>0</v>
      </c>
      <c r="AD6" s="9" t="n">
        <v>0</v>
      </c>
      <c r="AE6" s="9" t="n">
        <v>0</v>
      </c>
      <c r="AF6" s="9" t="n">
        <v>19.873</v>
      </c>
      <c r="AG6" s="9" t="n">
        <v>0</v>
      </c>
      <c r="AH6" s="9" t="n">
        <v>0</v>
      </c>
      <c r="AI6" s="9" t="n">
        <v>0</v>
      </c>
      <c r="AJ6" s="9" t="n">
        <v>0</v>
      </c>
      <c r="AK6" s="9" t="n">
        <v>0</v>
      </c>
      <c r="AL6" s="9" t="n">
        <v>0</v>
      </c>
      <c r="AM6" s="9" t="n">
        <v>0</v>
      </c>
      <c r="AN6" s="9" t="n">
        <v>0</v>
      </c>
      <c r="AO6" s="9" t="n">
        <v>0</v>
      </c>
      <c r="AP6" s="9" t="n">
        <v>52.32310260429532</v>
      </c>
      <c r="AQ6" s="9" t="n">
        <v>55.36561250000001</v>
      </c>
      <c r="AR6" s="9" t="n">
        <v>50.93337076418918</v>
      </c>
      <c r="AS6" s="9" t="n">
        <v>51.44270447183112</v>
      </c>
      <c r="AT6" s="9" t="n">
        <v>18.01145408289335</v>
      </c>
      <c r="AU6" s="9" t="n">
        <v>16.0100008164</v>
      </c>
      <c r="AV6" s="9" t="n">
        <v>16.16492441404714</v>
      </c>
      <c r="AW6" s="9" t="n">
        <v>14.51639323281139</v>
      </c>
      <c r="AX6" s="9" t="n">
        <v>35.33689063094015</v>
      </c>
      <c r="AY6" s="9" t="n">
        <v>31.4102151468</v>
      </c>
      <c r="AZ6" s="9" t="n">
        <v>31.71416163557396</v>
      </c>
      <c r="BA6" s="9" t="n">
        <v>28.47988827902415</v>
      </c>
      <c r="BB6" s="9" t="n">
        <v>41.41132193100714</v>
      </c>
      <c r="BC6" s="9" t="n">
        <v>34.26269407234737</v>
      </c>
      <c r="BD6" s="9" t="n">
        <v>49.72123101887924</v>
      </c>
      <c r="BE6" s="9" t="n">
        <v>39.98381406893612</v>
      </c>
      <c r="BF6" s="9" t="n">
        <v>0</v>
      </c>
      <c r="BG6" s="9" t="n">
        <v>0</v>
      </c>
      <c r="BH6" s="9" t="n">
        <v>0</v>
      </c>
      <c r="BI6" s="9" t="n">
        <v>0</v>
      </c>
      <c r="BJ6" s="9" t="n">
        <v>81.85395847535041</v>
      </c>
      <c r="BK6" s="9" t="n">
        <v>80.33692728999991</v>
      </c>
      <c r="BL6" s="9" t="n">
        <v>73.90563057018966</v>
      </c>
      <c r="BM6" s="9" t="n">
        <v>74.64468687589154</v>
      </c>
      <c r="BN6" s="9" t="n">
        <v>25.88740941177453</v>
      </c>
      <c r="BO6" s="9" t="n">
        <v>27.1973565036</v>
      </c>
      <c r="BP6" s="9" t="n">
        <v>25.02009785593343</v>
      </c>
      <c r="BQ6" s="9" t="n">
        <v>25.27029883449277</v>
      </c>
      <c r="BR6" s="9" t="n">
        <v>37.69427686058516</v>
      </c>
      <c r="BS6" s="9" t="n">
        <v>0</v>
      </c>
      <c r="BT6" s="9" t="n">
        <v>0</v>
      </c>
      <c r="BU6" s="9" t="n">
        <v>0</v>
      </c>
      <c r="BV6" s="9" t="n">
        <v>0</v>
      </c>
      <c r="BW6" s="9" t="n">
        <v>41.16282689563138</v>
      </c>
      <c r="BX6" s="9" t="n">
        <v>82.16665443497725</v>
      </c>
      <c r="BY6" s="9" t="n">
        <v>60.16116391024544</v>
      </c>
      <c r="BZ6" s="9" t="n">
        <v>39.40154225442656</v>
      </c>
      <c r="CA6" s="9" t="n">
        <v>0.0839968199006772</v>
      </c>
      <c r="CB6" s="9" t="n">
        <v>14.81898464273153</v>
      </c>
      <c r="CC6" s="9" t="n">
        <v>3.212</v>
      </c>
      <c r="CD6" s="9" t="n">
        <v>-0.5763922065743794</v>
      </c>
      <c r="CE6" s="9" t="n">
        <v>3.13</v>
      </c>
      <c r="CF6" s="9" t="n">
        <v>2.294</v>
      </c>
      <c r="CG6" s="9" t="n">
        <v>119.574</v>
      </c>
      <c r="CH6" s="9" t="n">
        <v>11.05</v>
      </c>
      <c r="CI6" s="9" t="n">
        <v>0</v>
      </c>
      <c r="CJ6" s="9" t="n">
        <v>4.1</v>
      </c>
      <c r="CK6" s="9" t="n">
        <v>1.4</v>
      </c>
      <c r="CL6" s="9" t="n">
        <v>2.7</v>
      </c>
      <c r="CM6" s="9" t="n">
        <v>0.44</v>
      </c>
      <c r="CN6" s="9" t="n">
        <v>15.59</v>
      </c>
      <c r="CO6" s="9" t="n">
        <v>0</v>
      </c>
      <c r="CP6" s="9" t="n">
        <v>70.93300000000001</v>
      </c>
      <c r="CQ6" s="9" t="n">
        <v>113.459</v>
      </c>
      <c r="CR6" s="9" t="n">
        <v>3</v>
      </c>
      <c r="CS6" s="9" t="n">
        <v>2</v>
      </c>
      <c r="CT6" s="9" t="n">
        <v>0.5</v>
      </c>
      <c r="CU6" s="9" t="n">
        <v>0.3</v>
      </c>
      <c r="CV6" s="9" t="n">
        <v>0.6</v>
      </c>
      <c r="CW6" s="9" t="n">
        <v>0.8</v>
      </c>
      <c r="CX6" s="9" t="n">
        <v>0.8</v>
      </c>
      <c r="CY6" s="9" t="n">
        <v>0.7</v>
      </c>
      <c r="CZ6" s="9" t="n">
        <v>0.5</v>
      </c>
      <c r="DA6" s="9" t="n">
        <v>0.5</v>
      </c>
      <c r="DB6" s="9" t="n">
        <v>1</v>
      </c>
      <c r="DC6" s="9" t="n">
        <v>0.3</v>
      </c>
      <c r="DD6" s="9" t="n">
        <v>0.8</v>
      </c>
      <c r="DE6" s="9" t="n">
        <v>0.3147562214723054</v>
      </c>
      <c r="DF6" s="9" t="n">
        <v>2</v>
      </c>
      <c r="DG6" s="9" t="n">
        <v>7.124</v>
      </c>
      <c r="DH6" s="9" t="n">
        <v>5.575</v>
      </c>
      <c r="DI6" s="9" t="n">
        <v>13.90002</v>
      </c>
      <c r="DJ6" s="9" t="n">
        <v>20.8891012487133</v>
      </c>
      <c r="DK6" s="9" t="n">
        <v>23.37143484624136</v>
      </c>
      <c r="DL6" s="9" t="n">
        <v>15.65611451797798</v>
      </c>
      <c r="DM6" s="9" t="n">
        <v>22.52548548006902</v>
      </c>
      <c r="DN6" s="9" t="n">
        <v>6.696</v>
      </c>
      <c r="DO6" s="9" t="n">
        <v>6.034</v>
      </c>
      <c r="DP6" s="9" t="n">
        <v>12.16038</v>
      </c>
      <c r="DQ6" s="9" t="n">
        <v>13.49474620847193</v>
      </c>
      <c r="DR6" s="9" t="n">
        <v>13.49474620847193</v>
      </c>
      <c r="DS6" s="9" t="n">
        <v>0.105</v>
      </c>
    </row>
    <row r="7">
      <c r="A7" s="9" t="inlineStr">
        <is>
          <t>ALB</t>
        </is>
      </c>
      <c r="B7" s="9" t="inlineStr">
        <is>
          <t>Albania</t>
        </is>
      </c>
      <c r="C7" s="9" t="n">
        <v>0.005</v>
      </c>
      <c r="D7" s="9" t="n">
        <v>0.005</v>
      </c>
      <c r="E7" s="9" t="n">
        <v>0.01</v>
      </c>
      <c r="F7" s="9" t="n">
        <v>0.005</v>
      </c>
      <c r="G7" s="9" t="n">
        <v>0.005</v>
      </c>
      <c r="H7" s="9" t="n">
        <v>0.01</v>
      </c>
      <c r="I7" s="9" t="n">
        <v>0.005</v>
      </c>
      <c r="J7" s="9" t="n">
        <v>0.005</v>
      </c>
      <c r="K7" s="9" t="n">
        <v>0.01</v>
      </c>
      <c r="L7" s="9" t="n">
        <v>0.01</v>
      </c>
      <c r="M7" s="9" t="n">
        <v>0.005</v>
      </c>
      <c r="N7" s="9" t="n">
        <v>0.854677</v>
      </c>
      <c r="O7" s="9" t="n">
        <v>0.895432</v>
      </c>
      <c r="P7" s="9" t="n">
        <v>66.69538</v>
      </c>
      <c r="Q7" s="9" t="n">
        <v>12.62838451821803</v>
      </c>
      <c r="R7" s="9" t="n">
        <v>1.362806815263711</v>
      </c>
      <c r="S7" s="9" t="n">
        <v>4.132922832983586</v>
      </c>
      <c r="T7" s="9" t="n">
        <v>4.788498502794215</v>
      </c>
      <c r="U7" s="9" t="n">
        <v>0.552136</v>
      </c>
      <c r="V7" s="9" t="n">
        <v>0.090351</v>
      </c>
      <c r="W7" s="9" t="n">
        <v>0.198232</v>
      </c>
      <c r="X7" s="9" t="n">
        <v>8.992694486934038</v>
      </c>
      <c r="Y7" s="9" t="n">
        <v>8.992694486934038</v>
      </c>
      <c r="Z7" s="9" t="n">
        <v>0.1034330447976219</v>
      </c>
      <c r="AA7" s="9" t="n">
        <v>0</v>
      </c>
      <c r="AB7" s="9" t="n">
        <v>0</v>
      </c>
      <c r="AC7" s="9" t="n">
        <v>0</v>
      </c>
      <c r="AD7" s="9" t="n">
        <v>3.2</v>
      </c>
      <c r="AE7" s="9" t="n">
        <v>0</v>
      </c>
      <c r="AF7" s="9" t="n">
        <v>4.479</v>
      </c>
      <c r="AG7" s="9" t="n">
        <v>9.974878542676969</v>
      </c>
      <c r="AH7" s="9" t="n">
        <v>9.370351476</v>
      </c>
      <c r="AI7" s="9" t="n">
        <v>9.726424832088</v>
      </c>
      <c r="AJ7" s="9" t="n">
        <v>9.356820688468655</v>
      </c>
      <c r="AK7" s="9" t="n">
        <v>0</v>
      </c>
      <c r="AL7" s="9" t="n">
        <v>0.1488041182479809</v>
      </c>
      <c r="AM7" s="9" t="n">
        <v>0.1366529652</v>
      </c>
      <c r="AN7" s="9" t="n">
        <v>0.1418457778776</v>
      </c>
      <c r="AO7" s="9" t="n">
        <v>0.1364556383182512</v>
      </c>
      <c r="AP7" s="9" t="n">
        <v>20.59658097631955</v>
      </c>
      <c r="AQ7" s="9" t="n">
        <v>20.44319436</v>
      </c>
      <c r="AR7" s="9" t="n">
        <v>21.22003574568</v>
      </c>
      <c r="AS7" s="9" t="n">
        <v>20.41367438734416</v>
      </c>
      <c r="AT7" s="9" t="n">
        <v>12.74546190988582</v>
      </c>
      <c r="AU7" s="9" t="n">
        <v>11.3797391472</v>
      </c>
      <c r="AV7" s="9" t="n">
        <v>12.27436829843161</v>
      </c>
      <c r="AW7" s="9" t="n">
        <v>12.92955182943783</v>
      </c>
      <c r="AX7" s="9" t="n">
        <v>14.03084560591688</v>
      </c>
      <c r="AY7" s="9" t="n">
        <v>12.6167417676</v>
      </c>
      <c r="AZ7" s="9" t="n">
        <v>13.51241016461024</v>
      </c>
      <c r="BA7" s="9" t="n">
        <v>14.23380851845057</v>
      </c>
      <c r="BB7" s="9" t="n">
        <v>3.109894786355224</v>
      </c>
      <c r="BC7" s="9" t="n">
        <v>3.08675624</v>
      </c>
      <c r="BD7" s="9" t="n">
        <v>3.170441140280013</v>
      </c>
      <c r="BE7" s="9" t="n">
        <v>3.08229896398944</v>
      </c>
      <c r="BF7" s="9" t="n">
        <v>0</v>
      </c>
      <c r="BG7" s="9" t="n">
        <v>0</v>
      </c>
      <c r="BH7" s="9" t="n">
        <v>0</v>
      </c>
      <c r="BI7" s="9" t="n">
        <v>0</v>
      </c>
      <c r="BJ7" s="9" t="n">
        <v>5.425201981720178</v>
      </c>
      <c r="BK7" s="9" t="n">
        <v>5.119174399999993</v>
      </c>
      <c r="BL7" s="9" t="n">
        <v>5.313703027199994</v>
      </c>
      <c r="BM7" s="9" t="n">
        <v>5.11178231216639</v>
      </c>
      <c r="BN7" s="9" t="n">
        <v>1.615326743172996</v>
      </c>
      <c r="BO7" s="9" t="n">
        <v>1.5822000936</v>
      </c>
      <c r="BP7" s="9" t="n">
        <v>1.6423236971568</v>
      </c>
      <c r="BQ7" s="9" t="n">
        <v>1.579915396664841</v>
      </c>
      <c r="BR7" s="9" t="n">
        <v>0</v>
      </c>
      <c r="BS7" s="9" t="n">
        <v>0.276937947836834</v>
      </c>
      <c r="BT7" s="9" t="n">
        <v>0.2712585851999999</v>
      </c>
      <c r="BU7" s="9" t="n">
        <v>0.2815664114376</v>
      </c>
      <c r="BV7" s="9" t="n">
        <v>0.2708668878029713</v>
      </c>
      <c r="BW7" s="9" t="n">
        <v>12.71096421316996</v>
      </c>
      <c r="BX7" s="9" t="n">
        <v>12.27659433204457</v>
      </c>
      <c r="BY7" s="9" t="n">
        <v>12.73720562686827</v>
      </c>
      <c r="BZ7" s="9" t="n">
        <v>12.25886699083559</v>
      </c>
      <c r="CA7" s="9" t="n">
        <v>1.020228791060882</v>
      </c>
      <c r="CB7" s="9" t="n">
        <v>7.437863198834081</v>
      </c>
      <c r="CC7" s="9" t="n">
        <v>0</v>
      </c>
      <c r="CD7" s="9" t="n">
        <v>0</v>
      </c>
      <c r="CE7" s="9" t="n">
        <v>3.705</v>
      </c>
      <c r="CF7" s="9" t="n">
        <v>3.409</v>
      </c>
      <c r="CG7" s="9" t="n">
        <v>27.084</v>
      </c>
      <c r="CH7" s="9" t="n">
        <v>6.707</v>
      </c>
      <c r="CI7" s="9" t="n">
        <v>0</v>
      </c>
      <c r="CJ7" s="9" t="n">
        <v>0</v>
      </c>
      <c r="CK7" s="9" t="n">
        <v>0</v>
      </c>
      <c r="CL7" s="9" t="n">
        <v>0</v>
      </c>
      <c r="CM7" s="9" t="n">
        <v>0.404</v>
      </c>
      <c r="CN7" s="9" t="n">
        <v>7.111</v>
      </c>
      <c r="CO7" s="9" t="n">
        <v>0</v>
      </c>
      <c r="CP7" s="9" t="n">
        <v>8.074</v>
      </c>
      <c r="CQ7" s="9" t="n">
        <v>7.828</v>
      </c>
      <c r="CR7" s="9" t="n">
        <v>3</v>
      </c>
      <c r="CS7" s="9" t="n">
        <v>3</v>
      </c>
      <c r="CT7" s="9" t="n">
        <v>0.5</v>
      </c>
      <c r="CU7" s="9" t="n">
        <v>0.3</v>
      </c>
      <c r="CV7" s="9" t="n">
        <v>0.6</v>
      </c>
      <c r="CW7" s="9" t="n">
        <v>0.8</v>
      </c>
      <c r="CX7" s="9" t="n">
        <v>0.8</v>
      </c>
      <c r="CY7" s="9" t="n">
        <v>0.7</v>
      </c>
      <c r="CZ7" s="9" t="n">
        <v>0.5</v>
      </c>
      <c r="DA7" s="9" t="n">
        <v>0.5</v>
      </c>
      <c r="DB7" s="9" t="n">
        <v>1</v>
      </c>
      <c r="DC7" s="9" t="n">
        <v>0.3</v>
      </c>
      <c r="DD7" s="9" t="n">
        <v>0.8</v>
      </c>
      <c r="DE7" s="9" t="n">
        <v>0.4560824464502223</v>
      </c>
      <c r="DF7" s="9" t="n">
        <v>3</v>
      </c>
      <c r="DG7" s="9" t="n">
        <v>5.333</v>
      </c>
      <c r="DH7" s="9" t="n">
        <v>3.252</v>
      </c>
      <c r="DI7" s="9" t="n">
        <v>9.9468</v>
      </c>
      <c r="DJ7" s="9" t="n">
        <v>21.59401788809764</v>
      </c>
      <c r="DK7" s="9" t="n">
        <v>23.93477904039321</v>
      </c>
      <c r="DL7" s="9" t="n">
        <v>15.65611451797798</v>
      </c>
      <c r="DM7" s="9" t="n">
        <v>22.26500909811851</v>
      </c>
      <c r="DN7" s="9" t="n">
        <v>6.853</v>
      </c>
      <c r="DO7" s="9" t="n">
        <v>6.191</v>
      </c>
      <c r="DP7" s="9" t="n">
        <v>12.9876</v>
      </c>
      <c r="DQ7" s="9" t="n">
        <v>13.49474620847193</v>
      </c>
      <c r="DR7" s="9" t="n">
        <v>13.49474620847193</v>
      </c>
      <c r="DS7" s="9" t="n">
        <v>0.105</v>
      </c>
    </row>
    <row r="8">
      <c r="A8" s="9" t="inlineStr">
        <is>
          <t>ARE</t>
        </is>
      </c>
      <c r="B8" s="9" t="inlineStr">
        <is>
          <t>United Arab Emirates</t>
        </is>
      </c>
      <c r="C8" s="9" t="n">
        <v>0.005</v>
      </c>
      <c r="D8" s="9" t="n">
        <v>0.005</v>
      </c>
      <c r="E8" s="9" t="n">
        <v>0.01</v>
      </c>
      <c r="F8" s="9" t="n">
        <v>0.005</v>
      </c>
      <c r="G8" s="9" t="n">
        <v>0.005</v>
      </c>
      <c r="H8" s="9" t="n">
        <v>0.01</v>
      </c>
      <c r="I8" s="9" t="n">
        <v>0.005</v>
      </c>
      <c r="J8" s="9" t="n">
        <v>0.005</v>
      </c>
      <c r="K8" s="9" t="n">
        <v>0.01</v>
      </c>
      <c r="L8" s="9" t="n">
        <v>0.01</v>
      </c>
      <c r="M8" s="9" t="n">
        <v>0.005</v>
      </c>
      <c r="N8" s="9" t="n">
        <v>4.186571</v>
      </c>
      <c r="O8" s="9" t="n">
        <v>1.405832</v>
      </c>
      <c r="P8" s="9" t="n">
        <v>10.854225</v>
      </c>
      <c r="Q8" s="9" t="n">
        <v>6.446300447859362</v>
      </c>
      <c r="R8" s="9" t="n">
        <v>1.453971347799555</v>
      </c>
      <c r="S8" s="9" t="n">
        <v>1.941093291354177</v>
      </c>
      <c r="T8" s="9" t="n">
        <v>2.636533016350631</v>
      </c>
      <c r="U8" s="9" t="n">
        <v>0.238403</v>
      </c>
      <c r="V8" s="9" t="n">
        <v>0.22187</v>
      </c>
      <c r="W8" s="9" t="n">
        <v>0.020982</v>
      </c>
      <c r="X8" s="9" t="n">
        <v>5.669064911960656</v>
      </c>
      <c r="Y8" s="9" t="n">
        <v>5.669064911960656</v>
      </c>
      <c r="Z8" s="9" t="n">
        <v>2.109313855702501</v>
      </c>
      <c r="AA8" s="9" t="n">
        <v>41.7</v>
      </c>
      <c r="AB8" s="9" t="n">
        <v>6.5</v>
      </c>
      <c r="AC8" s="9" t="n">
        <v>0.11</v>
      </c>
      <c r="AD8" s="9" t="n">
        <v>3</v>
      </c>
      <c r="AE8" s="9" t="n">
        <v>4.262546906818193</v>
      </c>
      <c r="AF8" s="9" t="n">
        <v>230.363</v>
      </c>
      <c r="AG8" s="9" t="n">
        <v>96.93844406519942</v>
      </c>
      <c r="AH8" s="9" t="n">
        <v>86.40985795200001</v>
      </c>
      <c r="AI8" s="9" t="n">
        <v>87.27395653152001</v>
      </c>
      <c r="AJ8" s="9" t="n">
        <v>89.69823310184002</v>
      </c>
      <c r="AK8" s="9" t="n">
        <v>5.387503878613158</v>
      </c>
      <c r="AL8" s="9" t="n">
        <v>0</v>
      </c>
      <c r="AM8" s="9" t="n">
        <v>0</v>
      </c>
      <c r="AN8" s="9" t="n">
        <v>0</v>
      </c>
      <c r="AO8" s="9" t="n">
        <v>0</v>
      </c>
      <c r="AP8" s="9" t="n">
        <v>143.6629269102262</v>
      </c>
      <c r="AQ8" s="9" t="n">
        <v>131.30044618</v>
      </c>
      <c r="AR8" s="9" t="n">
        <v>132.6134506418</v>
      </c>
      <c r="AS8" s="9" t="n">
        <v>136.2971576040722</v>
      </c>
      <c r="AT8" s="9" t="n">
        <v>393.2824110554764</v>
      </c>
      <c r="AU8" s="9" t="n">
        <v>330.5355340608</v>
      </c>
      <c r="AV8" s="9" t="n">
        <v>357.7914635769537</v>
      </c>
      <c r="AW8" s="9" t="n">
        <v>382.6943467584725</v>
      </c>
      <c r="AX8" s="9" t="n">
        <v>180.2517119081217</v>
      </c>
      <c r="AY8" s="9" t="n">
        <v>154.5886888632</v>
      </c>
      <c r="AZ8" s="9" t="n">
        <v>163.9852736937197</v>
      </c>
      <c r="BA8" s="9" t="n">
        <v>175.398922508753</v>
      </c>
      <c r="BB8" s="9" t="n">
        <v>366.2361391163459</v>
      </c>
      <c r="BC8" s="9" t="n">
        <v>322.8487922740792</v>
      </c>
      <c r="BD8" s="9" t="n">
        <v>349.8219435599999</v>
      </c>
      <c r="BE8" s="9" t="n">
        <v>347.1227017907943</v>
      </c>
      <c r="BF8" s="9" t="n">
        <v>0</v>
      </c>
      <c r="BG8" s="9" t="n">
        <v>0</v>
      </c>
      <c r="BH8" s="9" t="n">
        <v>0</v>
      </c>
      <c r="BI8" s="9" t="n">
        <v>0</v>
      </c>
      <c r="BJ8" s="9" t="n">
        <v>9.932009991176251</v>
      </c>
      <c r="BK8" s="9" t="n">
        <v>9.172467269999984</v>
      </c>
      <c r="BL8" s="9" t="n">
        <v>9.264191942699981</v>
      </c>
      <c r="BM8" s="9" t="n">
        <v>9.521530607774984</v>
      </c>
      <c r="BN8" s="9" t="n">
        <v>1201.581955334963</v>
      </c>
      <c r="BO8" s="9" t="n">
        <v>1057.54464936</v>
      </c>
      <c r="BP8" s="9" t="n">
        <v>1068.1200958536</v>
      </c>
      <c r="BQ8" s="9" t="n">
        <v>1097.7900985162</v>
      </c>
      <c r="BR8" s="9" t="n">
        <v>1240.162384021165</v>
      </c>
      <c r="BS8" s="9" t="n">
        <v>0</v>
      </c>
      <c r="BT8" s="9" t="n">
        <v>0</v>
      </c>
      <c r="BU8" s="9" t="n">
        <v>0</v>
      </c>
      <c r="BV8" s="9" t="n">
        <v>0</v>
      </c>
      <c r="BW8" s="9" t="n">
        <v>104.1913654044681</v>
      </c>
      <c r="BX8" s="9" t="n">
        <v>105.491638439751</v>
      </c>
      <c r="BY8" s="9" t="n">
        <v>97.99260307429824</v>
      </c>
      <c r="BZ8" s="9" t="n">
        <v>100.7181460875988</v>
      </c>
      <c r="CA8" s="9" t="n">
        <v>0.779699197553841</v>
      </c>
      <c r="CB8" s="9" t="n">
        <v>159.315034156555</v>
      </c>
      <c r="CC8" s="9" t="n">
        <v>2.028</v>
      </c>
      <c r="CD8" s="9" t="n">
        <v>6.820554019906355</v>
      </c>
      <c r="CE8" s="9" t="n">
        <v>5.804</v>
      </c>
      <c r="CF8" s="9" t="n">
        <v>3.143</v>
      </c>
      <c r="CG8" s="9" t="n">
        <v>552.325</v>
      </c>
      <c r="CH8" s="9" t="n">
        <v>40.84</v>
      </c>
      <c r="CI8" s="9" t="n">
        <v>0</v>
      </c>
      <c r="CJ8" s="9" t="n">
        <v>121.01</v>
      </c>
      <c r="CK8" s="9" t="n">
        <v>121.01</v>
      </c>
      <c r="CL8" s="9" t="n">
        <v>0</v>
      </c>
      <c r="CM8" s="9" t="n">
        <v>15.21</v>
      </c>
      <c r="CN8" s="9" t="n">
        <v>177.26</v>
      </c>
      <c r="CO8" s="9" t="n">
        <v>0.2</v>
      </c>
      <c r="CP8" s="9" t="n">
        <v>313.523</v>
      </c>
      <c r="CQ8" s="9" t="n">
        <v>313.523</v>
      </c>
      <c r="CR8" s="9" t="n">
        <v>3</v>
      </c>
      <c r="CS8" s="9" t="n">
        <v>4</v>
      </c>
      <c r="CT8" s="9" t="n">
        <v>0.5</v>
      </c>
      <c r="CU8" s="9" t="n">
        <v>0.3</v>
      </c>
      <c r="CV8" s="9" t="n">
        <v>0.6</v>
      </c>
      <c r="CW8" s="9" t="n">
        <v>0.8</v>
      </c>
      <c r="CX8" s="9" t="n">
        <v>0.8</v>
      </c>
      <c r="CY8" s="9" t="n">
        <v>0.7</v>
      </c>
      <c r="CZ8" s="9" t="n">
        <v>0.5</v>
      </c>
      <c r="DA8" s="9" t="n">
        <v>0.5</v>
      </c>
      <c r="DB8" s="9" t="n">
        <v>1</v>
      </c>
      <c r="DC8" s="9" t="n">
        <v>0.3</v>
      </c>
      <c r="DD8" s="9" t="n">
        <v>0.8</v>
      </c>
      <c r="DE8" s="9" t="n">
        <v>0.6336167635269851</v>
      </c>
      <c r="DF8" s="9" t="n">
        <v>2</v>
      </c>
      <c r="DG8" s="9" t="n">
        <v>7.124</v>
      </c>
      <c r="DH8" s="9" t="n">
        <v>5.575</v>
      </c>
      <c r="DI8" s="9" t="n">
        <v>12.80265</v>
      </c>
      <c r="DJ8" s="9" t="n">
        <v>20.15072184911781</v>
      </c>
      <c r="DK8" s="9" t="n">
        <v>21.6186909024774</v>
      </c>
      <c r="DL8" s="9" t="n">
        <v>17.27205865604339</v>
      </c>
      <c r="DM8" s="9" t="n">
        <v>20.40462975659257</v>
      </c>
      <c r="DN8" s="9" t="n">
        <v>6.831</v>
      </c>
      <c r="DO8" s="9" t="n">
        <v>5.975</v>
      </c>
      <c r="DP8" s="9" t="n">
        <v>12.5643</v>
      </c>
      <c r="DQ8" s="9" t="n">
        <v>14.11516989415954</v>
      </c>
      <c r="DR8" s="9" t="n">
        <v>14.11516989415954</v>
      </c>
      <c r="DS8" s="9" t="n">
        <v>0.0535</v>
      </c>
    </row>
    <row r="9">
      <c r="A9" s="9" t="inlineStr">
        <is>
          <t>ARG</t>
        </is>
      </c>
      <c r="B9" s="9" t="inlineStr">
        <is>
          <t>Argentina</t>
        </is>
      </c>
      <c r="C9" s="9" t="n">
        <v>0.005</v>
      </c>
      <c r="D9" s="9" t="n">
        <v>0.005</v>
      </c>
      <c r="E9" s="9" t="n">
        <v>0.01</v>
      </c>
      <c r="F9" s="9" t="n">
        <v>0.005</v>
      </c>
      <c r="G9" s="9" t="n">
        <v>0.005</v>
      </c>
      <c r="H9" s="9" t="n">
        <v>0.01</v>
      </c>
      <c r="I9" s="9" t="n">
        <v>0.005</v>
      </c>
      <c r="J9" s="9" t="n">
        <v>0.005</v>
      </c>
      <c r="K9" s="9" t="n">
        <v>0.01</v>
      </c>
      <c r="L9" s="9" t="n">
        <v>0.01</v>
      </c>
      <c r="M9" s="9" t="n">
        <v>0.005</v>
      </c>
      <c r="N9" s="9" t="n">
        <v>3.013924</v>
      </c>
      <c r="O9" s="9" t="n">
        <v>1.427653</v>
      </c>
      <c r="P9" s="9" t="n">
        <v>49.865627</v>
      </c>
      <c r="Q9" s="9" t="n">
        <v>16.49531749268471</v>
      </c>
      <c r="R9" s="9" t="n">
        <v>2.569850390652032</v>
      </c>
      <c r="S9" s="9" t="n">
        <v>1.939132965678491</v>
      </c>
      <c r="T9" s="9" t="n">
        <v>1.671470930491087</v>
      </c>
      <c r="U9" s="9" t="n">
        <v>0.096787</v>
      </c>
      <c r="V9" s="9" t="n">
        <v>0.09045599999999999</v>
      </c>
      <c r="W9" s="9" t="n">
        <v>0.07618</v>
      </c>
      <c r="X9" s="9" t="n">
        <v>7.322209599746608</v>
      </c>
      <c r="Y9" s="9" t="n">
        <v>7.322209599746608</v>
      </c>
      <c r="Z9" s="9" t="n">
        <v>2.43357897166474</v>
      </c>
      <c r="AA9" s="9" t="n">
        <v>28.04</v>
      </c>
      <c r="AB9" s="9" t="n">
        <v>2.59</v>
      </c>
      <c r="AC9" s="9" t="n">
        <v>4.5</v>
      </c>
      <c r="AD9" s="9" t="n">
        <v>3.6</v>
      </c>
      <c r="AE9" s="9" t="n">
        <v>0.2035831438676231</v>
      </c>
      <c r="AF9" s="9" t="n">
        <v>169.164</v>
      </c>
      <c r="AG9" s="9" t="n">
        <v>21.67950656621642</v>
      </c>
      <c r="AH9" s="9" t="n">
        <v>20.0191674528</v>
      </c>
      <c r="AI9" s="9" t="n">
        <v>20.7398574811008</v>
      </c>
      <c r="AJ9" s="9" t="n">
        <v>20.47023933384649</v>
      </c>
      <c r="AK9" s="9" t="n">
        <v>66.21491924357204</v>
      </c>
      <c r="AL9" s="9" t="n">
        <v>0</v>
      </c>
      <c r="AM9" s="9" t="n">
        <v>0</v>
      </c>
      <c r="AN9" s="9" t="n">
        <v>0</v>
      </c>
      <c r="AO9" s="9" t="n">
        <v>0</v>
      </c>
      <c r="AP9" s="9" t="n">
        <v>284.3672091692069</v>
      </c>
      <c r="AQ9" s="9" t="n">
        <v>296.8196167600001</v>
      </c>
      <c r="AR9" s="9" t="n">
        <v>307.5051229633601</v>
      </c>
      <c r="AS9" s="9" t="n">
        <v>303.5075563648363</v>
      </c>
      <c r="AT9" s="9" t="n">
        <v>282.9812083334292</v>
      </c>
      <c r="AU9" s="9" t="n">
        <v>292.076066556</v>
      </c>
      <c r="AV9" s="9" t="n">
        <v>346.2429286283529</v>
      </c>
      <c r="AW9" s="9" t="n">
        <v>280.9446635083573</v>
      </c>
      <c r="AX9" s="9" t="n">
        <v>162.2467930494656</v>
      </c>
      <c r="AY9" s="9" t="n">
        <v>172.6584319944</v>
      </c>
      <c r="AZ9" s="9" t="n">
        <v>198.533449771882</v>
      </c>
      <c r="BA9" s="9" t="n">
        <v>161.0613357560818</v>
      </c>
      <c r="BB9" s="9" t="n">
        <v>224.3899340966043</v>
      </c>
      <c r="BC9" s="9" t="n">
        <v>233.1794945877034</v>
      </c>
      <c r="BD9" s="9" t="n">
        <v>275.96727728</v>
      </c>
      <c r="BE9" s="9" t="n">
        <v>254.8419990209318</v>
      </c>
      <c r="BF9" s="9" t="n">
        <v>8.604130099321798</v>
      </c>
      <c r="BG9" s="9" t="n">
        <v>9.579496439999989</v>
      </c>
      <c r="BH9" s="9" t="n">
        <v>9.924358311839985</v>
      </c>
      <c r="BI9" s="9" t="n">
        <v>9.795341653786068</v>
      </c>
      <c r="BJ9" s="9" t="n">
        <v>51.22735956034565</v>
      </c>
      <c r="BK9" s="9" t="n">
        <v>56.51373115999994</v>
      </c>
      <c r="BL9" s="9" t="n">
        <v>58.54822548175992</v>
      </c>
      <c r="BM9" s="9" t="n">
        <v>57.78709855049704</v>
      </c>
      <c r="BN9" s="9" t="n">
        <v>477.0565209343501</v>
      </c>
      <c r="BO9" s="9" t="n">
        <v>474.6249803772001</v>
      </c>
      <c r="BP9" s="9" t="n">
        <v>491.7114796707793</v>
      </c>
      <c r="BQ9" s="9" t="n">
        <v>485.3192304350591</v>
      </c>
      <c r="BR9" s="9" t="n">
        <v>548.0466863926157</v>
      </c>
      <c r="BS9" s="9" t="n">
        <v>419.6965914225315</v>
      </c>
      <c r="BT9" s="9" t="n">
        <v>424.6207300692</v>
      </c>
      <c r="BU9" s="9" t="n">
        <v>439.9070763516912</v>
      </c>
      <c r="BV9" s="9" t="n">
        <v>434.1882843591192</v>
      </c>
      <c r="BW9" s="9" t="n">
        <v>250.8837503140466</v>
      </c>
      <c r="BX9" s="9" t="n">
        <v>355.808492898192</v>
      </c>
      <c r="BY9" s="9" t="n">
        <v>260.5176128478263</v>
      </c>
      <c r="BZ9" s="9" t="n">
        <v>258.2993489777978</v>
      </c>
      <c r="CA9" s="9" t="n">
        <v>0.8085884258373212</v>
      </c>
      <c r="CB9" s="9" t="n">
        <v>123.6744448285819</v>
      </c>
      <c r="CC9" s="9" t="n">
        <v>2.164</v>
      </c>
      <c r="CD9" s="9" t="n">
        <v>2.48398689968143</v>
      </c>
      <c r="CE9" s="9" t="n">
        <v>4.367</v>
      </c>
      <c r="CF9" s="9" t="n">
        <v>3.5</v>
      </c>
      <c r="CG9" s="9" t="n">
        <v>637.234</v>
      </c>
      <c r="CH9" s="9" t="n">
        <v>39.96</v>
      </c>
      <c r="CI9" s="9" t="n">
        <v>1.34</v>
      </c>
      <c r="CJ9" s="9" t="n">
        <v>89.41000000000001</v>
      </c>
      <c r="CK9" s="9" t="n">
        <v>82.15000000000001</v>
      </c>
      <c r="CL9" s="9" t="n">
        <v>5.92</v>
      </c>
      <c r="CM9" s="9" t="n">
        <v>5.14</v>
      </c>
      <c r="CN9" s="9" t="n">
        <v>153.13</v>
      </c>
      <c r="CO9" s="9" t="n">
        <v>18.62</v>
      </c>
      <c r="CP9" s="9" t="n">
        <v>370.869</v>
      </c>
      <c r="CQ9" s="9" t="n">
        <v>404.174</v>
      </c>
      <c r="CR9" s="9" t="n">
        <v>3</v>
      </c>
      <c r="CS9" s="9" t="n">
        <v>4</v>
      </c>
      <c r="CT9" s="9" t="n">
        <v>0.5</v>
      </c>
      <c r="CU9" s="9" t="n">
        <v>0.3</v>
      </c>
      <c r="CV9" s="9" t="n">
        <v>0.6</v>
      </c>
      <c r="CW9" s="9" t="n">
        <v>0.8</v>
      </c>
      <c r="CX9" s="9" t="n">
        <v>0.8</v>
      </c>
      <c r="CY9" s="9" t="n">
        <v>0.7</v>
      </c>
      <c r="CZ9" s="9" t="n">
        <v>0.5</v>
      </c>
      <c r="DA9" s="9" t="n">
        <v>0.5</v>
      </c>
      <c r="DB9" s="9" t="n">
        <v>1</v>
      </c>
      <c r="DC9" s="9" t="n">
        <v>0.3</v>
      </c>
      <c r="DD9" s="9" t="n">
        <v>0.8</v>
      </c>
      <c r="DE9" s="9" t="n">
        <v>0.4575835106386799</v>
      </c>
      <c r="DF9" s="9" t="n">
        <v>3</v>
      </c>
      <c r="DG9" s="9" t="n">
        <v>7.084</v>
      </c>
      <c r="DH9" s="9" t="n">
        <v>5.538</v>
      </c>
      <c r="DI9" s="9" t="n">
        <v>14.66641</v>
      </c>
      <c r="DJ9" s="9" t="n">
        <v>18.67793139008006</v>
      </c>
      <c r="DK9" s="9" t="n">
        <v>26.15861599199765</v>
      </c>
      <c r="DL9" s="9" t="n">
        <v>18.2066571673704</v>
      </c>
      <c r="DM9" s="9" t="n">
        <v>23.87844984731429</v>
      </c>
      <c r="DN9" s="9" t="n">
        <v>8.851000000000001</v>
      </c>
      <c r="DO9" s="9" t="n">
        <v>8.117000000000001</v>
      </c>
      <c r="DP9" s="9" t="n">
        <v>16.04097</v>
      </c>
      <c r="DQ9" s="9" t="n">
        <v>13.49474620847193</v>
      </c>
      <c r="DR9" s="9" t="n">
        <v>13.49474620847193</v>
      </c>
      <c r="DS9" s="9" t="n">
        <v>0.12688</v>
      </c>
    </row>
    <row r="10">
      <c r="A10" s="9" t="inlineStr">
        <is>
          <t>ARM</t>
        </is>
      </c>
      <c r="B10" s="9" t="inlineStr">
        <is>
          <t>Armenia</t>
        </is>
      </c>
      <c r="C10" s="9" t="n">
        <v>0.005</v>
      </c>
      <c r="D10" s="9" t="n">
        <v>0.005</v>
      </c>
      <c r="E10" s="9" t="n">
        <v>0.01</v>
      </c>
      <c r="F10" s="9" t="n">
        <v>0.005</v>
      </c>
      <c r="G10" s="9" t="n">
        <v>0.005</v>
      </c>
      <c r="H10" s="9" t="n">
        <v>0.01</v>
      </c>
      <c r="I10" s="9" t="n">
        <v>0.005</v>
      </c>
      <c r="J10" s="9" t="n">
        <v>0.005</v>
      </c>
      <c r="K10" s="9" t="n">
        <v>0.01</v>
      </c>
      <c r="L10" s="9" t="n">
        <v>0.01</v>
      </c>
      <c r="M10" s="9" t="n">
        <v>0.005</v>
      </c>
      <c r="N10" s="9" t="n">
        <v>0</v>
      </c>
      <c r="O10" s="9" t="n">
        <v>0</v>
      </c>
      <c r="P10" s="9" t="n">
        <v>110.464475</v>
      </c>
      <c r="Q10" s="9" t="n">
        <v>35.9450642294623</v>
      </c>
      <c r="R10" s="9" t="n">
        <v>10.86942596656424</v>
      </c>
      <c r="S10" s="9" t="n">
        <v>0</v>
      </c>
      <c r="T10" s="9" t="n">
        <v>0</v>
      </c>
      <c r="U10" s="9" t="n">
        <v>0</v>
      </c>
      <c r="V10" s="9" t="n">
        <v>0</v>
      </c>
      <c r="W10" s="9" t="n">
        <v>0.233965</v>
      </c>
      <c r="X10" s="9" t="n">
        <v>0</v>
      </c>
      <c r="Y10" s="9" t="n">
        <v>0</v>
      </c>
      <c r="Z10" s="9" t="n">
        <v>0.09912142511158901</v>
      </c>
      <c r="AA10" s="9" t="n">
        <v>1.83</v>
      </c>
      <c r="AB10" s="9" t="n">
        <v>0.71</v>
      </c>
      <c r="AC10" s="9" t="n">
        <v>0</v>
      </c>
      <c r="AD10" s="9" t="n">
        <v>0</v>
      </c>
      <c r="AE10" s="9" t="n">
        <v>0</v>
      </c>
      <c r="AF10" s="9" t="n">
        <v>6.321</v>
      </c>
      <c r="AG10" s="9" t="n">
        <v>0</v>
      </c>
      <c r="AH10" s="9" t="n">
        <v>0</v>
      </c>
      <c r="AI10" s="9" t="n">
        <v>0</v>
      </c>
      <c r="AJ10" s="9" t="n">
        <v>0</v>
      </c>
      <c r="AK10" s="9" t="n">
        <v>0</v>
      </c>
      <c r="AL10" s="9" t="n">
        <v>0.4381523350865238</v>
      </c>
      <c r="AM10" s="9" t="n">
        <v>0.4774584852</v>
      </c>
      <c r="AN10" s="9" t="n">
        <v>0.4234764442202449</v>
      </c>
      <c r="AO10" s="9" t="n">
        <v>0.4159479741007738</v>
      </c>
      <c r="AP10" s="9" t="n">
        <v>6.299587711987976</v>
      </c>
      <c r="AQ10" s="9" t="n">
        <v>7.004330820000001</v>
      </c>
      <c r="AR10" s="9" t="n">
        <v>6.212412600759183</v>
      </c>
      <c r="AS10" s="9" t="n">
        <v>6.101969710079019</v>
      </c>
      <c r="AT10" s="9" t="n">
        <v>14.69759193874732</v>
      </c>
      <c r="AU10" s="9" t="n">
        <v>15.268401306</v>
      </c>
      <c r="AV10" s="9" t="n">
        <v>14.87792729134732</v>
      </c>
      <c r="AW10" s="9" t="n">
        <v>14.56652415305661</v>
      </c>
      <c r="AX10" s="9" t="n">
        <v>7.255998765411037</v>
      </c>
      <c r="AY10" s="9" t="n">
        <v>7.5654387432</v>
      </c>
      <c r="AZ10" s="9" t="n">
        <v>7.352910473526165</v>
      </c>
      <c r="BA10" s="9" t="n">
        <v>7.194153070873303</v>
      </c>
      <c r="BB10" s="9" t="n">
        <v>8.325306682400329</v>
      </c>
      <c r="BC10" s="9" t="n">
        <v>8.832025501009456</v>
      </c>
      <c r="BD10" s="9" t="n">
        <v>9.840822180887711</v>
      </c>
      <c r="BE10" s="9" t="n">
        <v>8.623437375807779</v>
      </c>
      <c r="BF10" s="9" t="n">
        <v>0</v>
      </c>
      <c r="BG10" s="9" t="n">
        <v>0</v>
      </c>
      <c r="BH10" s="9" t="n">
        <v>0</v>
      </c>
      <c r="BI10" s="9" t="n">
        <v>0</v>
      </c>
      <c r="BJ10" s="9" t="n">
        <v>0.0154485413962477</v>
      </c>
      <c r="BK10" s="9" t="n">
        <v>0.016296759707958</v>
      </c>
      <c r="BL10" s="9" t="n">
        <v>0.0144542281001603</v>
      </c>
      <c r="BM10" s="9" t="n">
        <v>0.0141972640450463</v>
      </c>
      <c r="BN10" s="9" t="n">
        <v>27.87230280326273</v>
      </c>
      <c r="BO10" s="9" t="n">
        <v>31.0011940944</v>
      </c>
      <c r="BP10" s="9" t="n">
        <v>27.49616112944131</v>
      </c>
      <c r="BQ10" s="9" t="n">
        <v>27.00734048714013</v>
      </c>
      <c r="BR10" s="9" t="n">
        <v>27.2888381198715</v>
      </c>
      <c r="BS10" s="9" t="n">
        <v>30.73259846026058</v>
      </c>
      <c r="BT10" s="9" t="n">
        <v>34.16795145</v>
      </c>
      <c r="BU10" s="9" t="n">
        <v>30.3048810207551</v>
      </c>
      <c r="BV10" s="9" t="n">
        <v>29.76612758038612</v>
      </c>
      <c r="BW10" s="9" t="n">
        <v>4.610282032018861</v>
      </c>
      <c r="BX10" s="9" t="n">
        <v>4.92863827874264</v>
      </c>
      <c r="BY10" s="9" t="n">
        <v>4.384040944572107</v>
      </c>
      <c r="BZ10" s="9" t="n">
        <v>4.299541330312679</v>
      </c>
      <c r="CA10" s="9" t="n">
        <v>1.146433513402942</v>
      </c>
      <c r="CB10" s="9" t="n">
        <v>6.09821964004399</v>
      </c>
      <c r="CC10" s="9" t="n">
        <v>0</v>
      </c>
      <c r="CD10" s="9" t="n">
        <v>0.2907277116582248</v>
      </c>
      <c r="CE10" s="9" t="n">
        <v>7.162</v>
      </c>
      <c r="CF10" s="9" t="n">
        <v>5.3</v>
      </c>
      <c r="CG10" s="9" t="n">
        <v>25.955</v>
      </c>
      <c r="CH10" s="9" t="n">
        <v>4.58</v>
      </c>
      <c r="CI10" s="9" t="n">
        <v>0</v>
      </c>
      <c r="CJ10" s="9" t="n">
        <v>3.31</v>
      </c>
      <c r="CK10" s="9" t="n">
        <v>3.31</v>
      </c>
      <c r="CL10" s="9" t="n">
        <v>0</v>
      </c>
      <c r="CM10" s="9" t="n">
        <v>0.73</v>
      </c>
      <c r="CN10" s="9" t="n">
        <v>8.619999999999999</v>
      </c>
      <c r="CO10" s="9" t="n">
        <v>0</v>
      </c>
      <c r="CP10" s="9" t="n">
        <v>9.564</v>
      </c>
      <c r="CQ10" s="9" t="n">
        <v>9.609</v>
      </c>
      <c r="CR10" s="9" t="n">
        <v>3</v>
      </c>
      <c r="CS10" s="9" t="n">
        <v>3</v>
      </c>
      <c r="CT10" s="9" t="n">
        <v>0.5</v>
      </c>
      <c r="CU10" s="9" t="n">
        <v>0.3</v>
      </c>
      <c r="CV10" s="9" t="n">
        <v>0.6</v>
      </c>
      <c r="CW10" s="9" t="n">
        <v>0.8</v>
      </c>
      <c r="CX10" s="9" t="n">
        <v>0.8</v>
      </c>
      <c r="CY10" s="9" t="n">
        <v>0.7</v>
      </c>
      <c r="CZ10" s="9" t="n">
        <v>0.5</v>
      </c>
      <c r="DA10" s="9" t="n">
        <v>0.5</v>
      </c>
      <c r="DB10" s="9" t="n">
        <v>1</v>
      </c>
      <c r="DC10" s="9" t="n">
        <v>0.3</v>
      </c>
      <c r="DD10" s="9" t="n">
        <v>0.8</v>
      </c>
      <c r="DE10" s="9" t="n">
        <v>0.3744391707661901</v>
      </c>
      <c r="DF10" s="9" t="n">
        <v>3</v>
      </c>
      <c r="DG10" s="9" t="n">
        <v>7.123</v>
      </c>
      <c r="DH10" s="9" t="n">
        <v>4.35</v>
      </c>
      <c r="DI10" s="9" t="n">
        <v>13.1604</v>
      </c>
      <c r="DJ10" s="9" t="n">
        <v>22.59165324000226</v>
      </c>
      <c r="DK10" s="9" t="n">
        <v>24.81842873295598</v>
      </c>
      <c r="DL10" s="9" t="n">
        <v>15.65611451797798</v>
      </c>
      <c r="DM10" s="9" t="n">
        <v>19.9179287641379</v>
      </c>
      <c r="DN10" s="9" t="n">
        <v>3.922</v>
      </c>
      <c r="DO10" s="9" t="n">
        <v>2.599</v>
      </c>
      <c r="DP10" s="9" t="n">
        <v>14.2368</v>
      </c>
      <c r="DQ10" s="9" t="n">
        <v>13.49474620847193</v>
      </c>
      <c r="DR10" s="9" t="n">
        <v>13.49474620847193</v>
      </c>
      <c r="DS10" s="9" t="n">
        <v>0.105</v>
      </c>
    </row>
    <row r="11">
      <c r="A11" s="9" t="inlineStr">
        <is>
          <t>ATG</t>
        </is>
      </c>
      <c r="B11" s="9" t="inlineStr">
        <is>
          <t>Antigua and Barbuda</t>
        </is>
      </c>
      <c r="C11" s="9" t="n">
        <v>0.005</v>
      </c>
      <c r="D11" s="9" t="n">
        <v>0.005</v>
      </c>
      <c r="E11" s="9" t="n">
        <v>0.01</v>
      </c>
      <c r="F11" s="9" t="n">
        <v>0.005</v>
      </c>
      <c r="G11" s="9" t="n">
        <v>0.005</v>
      </c>
      <c r="H11" s="9" t="n">
        <v>0.01</v>
      </c>
      <c r="I11" s="9" t="n">
        <v>0.005</v>
      </c>
      <c r="J11" s="9" t="n">
        <v>0.005</v>
      </c>
      <c r="K11" s="9" t="n">
        <v>0.01</v>
      </c>
      <c r="L11" s="9" t="n">
        <v>0.01</v>
      </c>
      <c r="M11" s="9" t="n">
        <v>0.005</v>
      </c>
      <c r="N11" s="9" t="n">
        <v>0</v>
      </c>
      <c r="O11" s="9" t="n">
        <v>0</v>
      </c>
      <c r="P11" s="9" t="n">
        <v>0</v>
      </c>
      <c r="Q11" s="9" t="n">
        <v>0</v>
      </c>
      <c r="R11" s="9" t="n">
        <v>0</v>
      </c>
      <c r="S11" s="9" t="n">
        <v>0</v>
      </c>
      <c r="T11" s="9" t="n">
        <v>0</v>
      </c>
      <c r="U11" s="9" t="n">
        <v>0</v>
      </c>
      <c r="V11" s="9" t="n">
        <v>0</v>
      </c>
      <c r="W11" s="9" t="n">
        <v>0</v>
      </c>
      <c r="X11" s="9" t="n">
        <v>0</v>
      </c>
      <c r="Y11" s="9" t="n">
        <v>0</v>
      </c>
      <c r="Z11" s="9" t="n">
        <v>0.008256618034723769</v>
      </c>
      <c r="AA11" s="9" t="n">
        <v>0</v>
      </c>
      <c r="AB11" s="9" t="n">
        <v>0.02</v>
      </c>
      <c r="AC11" s="9" t="n">
        <v>0</v>
      </c>
      <c r="AD11" s="9" t="n">
        <v>0</v>
      </c>
      <c r="AE11" s="9" t="n">
        <v>0</v>
      </c>
      <c r="AF11" s="9" t="n">
        <v>0.265</v>
      </c>
      <c r="AG11" s="9" t="n">
        <v>0</v>
      </c>
      <c r="AH11" s="9" t="n">
        <v>0</v>
      </c>
      <c r="AI11" s="9" t="n">
        <v>0</v>
      </c>
      <c r="AJ11" s="9" t="n">
        <v>0</v>
      </c>
      <c r="AK11" s="9" t="n">
        <v>0</v>
      </c>
      <c r="AL11" s="9" t="n">
        <v>0</v>
      </c>
      <c r="AM11" s="9" t="n">
        <v>0</v>
      </c>
      <c r="AN11" s="9" t="n">
        <v>0</v>
      </c>
      <c r="AO11" s="9" t="n">
        <v>0</v>
      </c>
      <c r="AP11" s="9" t="n">
        <v>1.118883109372852</v>
      </c>
      <c r="AQ11" s="9" t="n">
        <v>1.097191146389794</v>
      </c>
      <c r="AR11" s="9" t="n">
        <v>1.097191146389794</v>
      </c>
      <c r="AS11" s="9" t="n">
        <v>1.097191146389794</v>
      </c>
      <c r="AT11" s="9" t="n">
        <v>0.7942634402069465</v>
      </c>
      <c r="AU11" s="9" t="n">
        <v>0.7207199813597166</v>
      </c>
      <c r="AV11" s="9" t="n">
        <v>0.7573772871867245</v>
      </c>
      <c r="AW11" s="9" t="n">
        <v>0.7752732470744647</v>
      </c>
      <c r="AX11" s="9" t="n">
        <v>0.4060547846552296</v>
      </c>
      <c r="AY11" s="9" t="n">
        <v>0.3736800134582518</v>
      </c>
      <c r="AZ11" s="9" t="n">
        <v>0.3871973147489179</v>
      </c>
      <c r="BA11" s="9" t="n">
        <v>0.396346344869858</v>
      </c>
      <c r="BB11" s="9" t="n">
        <v>2.576500563837902</v>
      </c>
      <c r="BC11" s="9" t="n">
        <v>2.5245264430746</v>
      </c>
      <c r="BD11" s="9" t="n">
        <v>2.524526435348413</v>
      </c>
      <c r="BE11" s="9" t="n">
        <v>2.5245264430746</v>
      </c>
      <c r="BF11" s="9" t="n">
        <v>0</v>
      </c>
      <c r="BG11" s="9" t="n">
        <v>0</v>
      </c>
      <c r="BH11" s="9" t="n">
        <v>0</v>
      </c>
      <c r="BI11" s="9" t="n">
        <v>0</v>
      </c>
      <c r="BJ11" s="9" t="n">
        <v>0.1456582088478871</v>
      </c>
      <c r="BK11" s="9" t="n">
        <v>0.1422519589722437</v>
      </c>
      <c r="BL11" s="9" t="n">
        <v>0.1422519589722437</v>
      </c>
      <c r="BM11" s="9" t="n">
        <v>0.1422519589722437</v>
      </c>
      <c r="BN11" s="9" t="n">
        <v>0</v>
      </c>
      <c r="BO11" s="9" t="n">
        <v>0</v>
      </c>
      <c r="BP11" s="9" t="n">
        <v>0</v>
      </c>
      <c r="BQ11" s="9" t="n">
        <v>0</v>
      </c>
      <c r="BR11" s="9" t="n">
        <v>0</v>
      </c>
      <c r="BS11" s="9" t="n">
        <v>0</v>
      </c>
      <c r="BT11" s="9" t="n">
        <v>0</v>
      </c>
      <c r="BU11" s="9" t="n">
        <v>0</v>
      </c>
      <c r="BV11" s="9" t="n">
        <v>0</v>
      </c>
      <c r="BW11" s="9" t="n">
        <v>8.757920674577706</v>
      </c>
      <c r="BX11" s="9" t="n">
        <v>8.9060001560161</v>
      </c>
      <c r="BY11" s="9" t="n">
        <v>8.800498291512115</v>
      </c>
      <c r="BZ11" s="9" t="n">
        <v>8.698035396360945</v>
      </c>
      <c r="CA11" s="9" t="n">
        <v>1.113845325369302</v>
      </c>
      <c r="CB11" s="9" t="n">
        <v>0.3334217291283822</v>
      </c>
      <c r="CC11" s="9" t="n">
        <v>0.35</v>
      </c>
      <c r="CD11" s="9" t="n">
        <v>0.7979407979407993</v>
      </c>
      <c r="CE11" s="9" t="n">
        <v>3.039</v>
      </c>
      <c r="CF11" s="9" t="n">
        <v>2.593</v>
      </c>
      <c r="CG11" s="9" t="n">
        <v>2.162</v>
      </c>
      <c r="CH11" s="9" t="n">
        <v>0</v>
      </c>
      <c r="CI11" s="9" t="n">
        <v>0</v>
      </c>
      <c r="CJ11" s="9" t="n">
        <v>0.34</v>
      </c>
      <c r="CK11" s="9" t="n">
        <v>0</v>
      </c>
      <c r="CL11" s="9" t="n">
        <v>0.34</v>
      </c>
      <c r="CM11" s="9" t="n">
        <v>0.03</v>
      </c>
      <c r="CN11" s="9" t="n">
        <v>0.37</v>
      </c>
      <c r="CO11" s="9" t="n">
        <v>0</v>
      </c>
      <c r="CP11" s="9" t="n">
        <v>0.348</v>
      </c>
      <c r="CQ11" s="9" t="n">
        <v>0.348</v>
      </c>
      <c r="CR11" s="9" t="n">
        <v>3</v>
      </c>
      <c r="CS11" s="9" t="n">
        <v>4</v>
      </c>
      <c r="CT11" s="9" t="n">
        <v>0.5</v>
      </c>
      <c r="CU11" s="9" t="n">
        <v>0.3</v>
      </c>
      <c r="CV11" s="9" t="n">
        <v>0.6</v>
      </c>
      <c r="CW11" s="9" t="n">
        <v>0.8</v>
      </c>
      <c r="CX11" s="9" t="n">
        <v>0.8</v>
      </c>
      <c r="CY11" s="9" t="n">
        <v>0.7</v>
      </c>
      <c r="CZ11" s="9" t="n">
        <v>0.5</v>
      </c>
      <c r="DA11" s="9" t="n">
        <v>0.5</v>
      </c>
      <c r="DB11" s="9" t="n">
        <v>1</v>
      </c>
      <c r="DC11" s="9" t="n">
        <v>0.3</v>
      </c>
      <c r="DD11" s="9" t="n">
        <v>0.8</v>
      </c>
      <c r="DE11" s="9" t="n">
        <v>0.6913975055964183</v>
      </c>
      <c r="DF11" s="9" t="n">
        <v>2</v>
      </c>
      <c r="DG11" s="9" t="n">
        <v>7.124</v>
      </c>
      <c r="DH11" s="9" t="n">
        <v>5.575</v>
      </c>
      <c r="DI11" s="9" t="n">
        <v>14.02195</v>
      </c>
      <c r="DJ11" s="9" t="n">
        <v>18.15335972279535</v>
      </c>
      <c r="DK11" s="9" t="n">
        <v>24.67790724208988</v>
      </c>
      <c r="DL11" s="9" t="n">
        <v>15.04682410526479</v>
      </c>
      <c r="DM11" s="9" t="n">
        <v>23.29609215226991</v>
      </c>
      <c r="DN11" s="9" t="n">
        <v>12.771</v>
      </c>
      <c r="DO11" s="9" t="n">
        <v>11.447</v>
      </c>
      <c r="DP11" s="9" t="n">
        <v>23.8188</v>
      </c>
      <c r="DQ11" s="9" t="n">
        <v>13.83359619259576</v>
      </c>
      <c r="DR11" s="9" t="n">
        <v>13.83359619259576</v>
      </c>
      <c r="DS11" s="9" t="n">
        <v>0.105</v>
      </c>
    </row>
    <row r="12">
      <c r="A12" s="9" t="inlineStr">
        <is>
          <t>AUS</t>
        </is>
      </c>
      <c r="B12" s="9" t="inlineStr">
        <is>
          <t>Australia</t>
        </is>
      </c>
      <c r="C12" s="9" t="n">
        <v>0.005</v>
      </c>
      <c r="D12" s="9" t="n">
        <v>0.005</v>
      </c>
      <c r="E12" s="9" t="n">
        <v>0.01</v>
      </c>
      <c r="F12" s="9" t="n">
        <v>0.005</v>
      </c>
      <c r="G12" s="9" t="n">
        <v>0.005</v>
      </c>
      <c r="H12" s="9" t="n">
        <v>0.01</v>
      </c>
      <c r="I12" s="9" t="n">
        <v>0.005</v>
      </c>
      <c r="J12" s="9" t="n">
        <v>0.005</v>
      </c>
      <c r="K12" s="9" t="n">
        <v>0.01</v>
      </c>
      <c r="L12" s="9" t="n">
        <v>0.01</v>
      </c>
      <c r="M12" s="9" t="n">
        <v>0.005</v>
      </c>
      <c r="N12" s="9" t="n">
        <v>1.190358</v>
      </c>
      <c r="O12" s="9" t="n">
        <v>1.043582</v>
      </c>
      <c r="P12" s="9" t="n">
        <v>69.0966</v>
      </c>
      <c r="Q12" s="9" t="n">
        <v>5.147848824473075</v>
      </c>
      <c r="R12" s="9" t="n">
        <v>0.6162470753285555</v>
      </c>
      <c r="S12" s="9" t="n">
        <v>1.717086346575798</v>
      </c>
      <c r="T12" s="9" t="n">
        <v>0.9651396663158212</v>
      </c>
      <c r="U12" s="9" t="n">
        <v>0.08416</v>
      </c>
      <c r="V12" s="9" t="n">
        <v>0.125549</v>
      </c>
      <c r="W12" s="9" t="n">
        <v>0.07098500000000001</v>
      </c>
      <c r="X12" s="9" t="n">
        <v>2.95740875630725</v>
      </c>
      <c r="Y12" s="9" t="n">
        <v>2.95740875630725</v>
      </c>
      <c r="Z12" s="9" t="n">
        <v>15.13296267897448</v>
      </c>
      <c r="AA12" s="9" t="n">
        <v>49.98</v>
      </c>
      <c r="AB12" s="9" t="n">
        <v>41.07</v>
      </c>
      <c r="AC12" s="9" t="n">
        <v>16.35</v>
      </c>
      <c r="AD12" s="9" t="n">
        <v>2</v>
      </c>
      <c r="AE12" s="9" t="n">
        <v>2.436623189526999</v>
      </c>
      <c r="AF12" s="9" t="n">
        <v>386.813</v>
      </c>
      <c r="AG12" s="9" t="n">
        <v>133.1011595650458</v>
      </c>
      <c r="AH12" s="9" t="n">
        <v>142.256724858</v>
      </c>
      <c r="AI12" s="9" t="n">
        <v>160.488538882484</v>
      </c>
      <c r="AJ12" s="9" t="n">
        <v>171.3788325923668</v>
      </c>
      <c r="AK12" s="9" t="n">
        <v>191.8782077039342</v>
      </c>
      <c r="AL12" s="9" t="n">
        <v>5.339980988775107</v>
      </c>
      <c r="AM12" s="9" t="n">
        <v>5.7206634876</v>
      </c>
      <c r="AN12" s="9" t="n">
        <v>6.453831447896352</v>
      </c>
      <c r="AO12" s="9" t="n">
        <v>6.891770010432176</v>
      </c>
      <c r="AP12" s="9" t="n">
        <v>795.2965369568132</v>
      </c>
      <c r="AQ12" s="9" t="n">
        <v>633.5580055097562</v>
      </c>
      <c r="AR12" s="9" t="n">
        <v>714.7556553340928</v>
      </c>
      <c r="AS12" s="9" t="n">
        <v>763.2569319460492</v>
      </c>
      <c r="AT12" s="9" t="n">
        <v>683.4329764088662</v>
      </c>
      <c r="AU12" s="9" t="n">
        <v>542.8655791488</v>
      </c>
      <c r="AV12" s="9" t="n">
        <v>625.3100118927856</v>
      </c>
      <c r="AW12" s="9" t="n">
        <v>693.6312467741045</v>
      </c>
      <c r="AX12" s="9" t="n">
        <v>295.9883001067024</v>
      </c>
      <c r="AY12" s="9" t="n">
        <v>236.08799982</v>
      </c>
      <c r="AZ12" s="9" t="n">
        <v>270.7994993881821</v>
      </c>
      <c r="BA12" s="9" t="n">
        <v>300.4287315609988</v>
      </c>
      <c r="BB12" s="9" t="n">
        <v>636.1053509447286</v>
      </c>
      <c r="BC12" s="9" t="n">
        <v>626.6948366108678</v>
      </c>
      <c r="BD12" s="9" t="n">
        <v>471.6159643097052</v>
      </c>
      <c r="BE12" s="9" t="n">
        <v>616.6296039162063</v>
      </c>
      <c r="BF12" s="9" t="n">
        <v>0</v>
      </c>
      <c r="BG12" s="9" t="n">
        <v>0</v>
      </c>
      <c r="BH12" s="9" t="n">
        <v>0</v>
      </c>
      <c r="BI12" s="9" t="n">
        <v>0</v>
      </c>
      <c r="BJ12" s="9" t="n">
        <v>18.96625757493465</v>
      </c>
      <c r="BK12" s="9" t="n">
        <v>15.17656547999998</v>
      </c>
      <c r="BL12" s="9" t="n">
        <v>17.1216146130934</v>
      </c>
      <c r="BM12" s="9" t="n">
        <v>18.28343846183904</v>
      </c>
      <c r="BN12" s="9" t="n">
        <v>732.5132888158308</v>
      </c>
      <c r="BO12" s="9" t="n">
        <v>638.6689080863999</v>
      </c>
      <c r="BP12" s="9" t="n">
        <v>720.5215780889928</v>
      </c>
      <c r="BQ12" s="9" t="n">
        <v>769.4141137450315</v>
      </c>
      <c r="BR12" s="9" t="n">
        <v>1294.295556917171</v>
      </c>
      <c r="BS12" s="9" t="n">
        <v>264.4053201888172</v>
      </c>
      <c r="BT12" s="9" t="n">
        <v>221.9847179652</v>
      </c>
      <c r="BU12" s="9" t="n">
        <v>250.4345792864061</v>
      </c>
      <c r="BV12" s="9" t="n">
        <v>267.4283543094121</v>
      </c>
      <c r="BW12" s="9" t="n">
        <v>1292.416120683754</v>
      </c>
      <c r="BX12" s="9" t="n">
        <v>663.1826942429803</v>
      </c>
      <c r="BY12" s="9" t="n">
        <v>1076.720640977269</v>
      </c>
      <c r="BZ12" s="9" t="n">
        <v>1216.148111977561</v>
      </c>
      <c r="CA12" s="9" t="n">
        <v>1.496334179591849</v>
      </c>
      <c r="CB12" s="9" t="n">
        <v>272.061465698769</v>
      </c>
      <c r="CC12" s="9" t="n">
        <v>0.115</v>
      </c>
      <c r="CD12" s="9" t="n">
        <v>2.222161282076503</v>
      </c>
      <c r="CE12" s="9" t="n">
        <v>1.971</v>
      </c>
      <c r="CF12" s="9" t="n">
        <v>2.009</v>
      </c>
      <c r="CG12" s="9" t="n">
        <v>1799.418</v>
      </c>
      <c r="CH12" s="9" t="n">
        <v>15.25</v>
      </c>
      <c r="CI12" s="9" t="n">
        <v>122.31</v>
      </c>
      <c r="CJ12" s="9" t="n">
        <v>175.72</v>
      </c>
      <c r="CK12" s="9" t="n">
        <v>47.05</v>
      </c>
      <c r="CL12" s="9" t="n">
        <v>6.36</v>
      </c>
      <c r="CM12" s="9" t="n">
        <v>56.42</v>
      </c>
      <c r="CN12" s="9" t="n">
        <v>286.68</v>
      </c>
      <c r="CO12" s="9" t="n">
        <v>39.29</v>
      </c>
      <c r="CP12" s="9" t="n">
        <v>517.295</v>
      </c>
      <c r="CQ12" s="9" t="n">
        <v>464.132</v>
      </c>
      <c r="CR12" s="9" t="n">
        <v>1</v>
      </c>
      <c r="CS12" s="9" t="n">
        <v>4</v>
      </c>
      <c r="CT12" s="9" t="n">
        <v>0.5</v>
      </c>
      <c r="CU12" s="9" t="n">
        <v>0.3</v>
      </c>
      <c r="CV12" s="9" t="n">
        <v>0.6</v>
      </c>
      <c r="CW12" s="9" t="n">
        <v>0.8</v>
      </c>
      <c r="CX12" s="9" t="n">
        <v>0.8</v>
      </c>
      <c r="CY12" s="9" t="n">
        <v>0.7</v>
      </c>
      <c r="CZ12" s="9" t="n">
        <v>0.5</v>
      </c>
      <c r="DA12" s="9" t="n">
        <v>0.5</v>
      </c>
      <c r="DB12" s="9" t="n">
        <v>1</v>
      </c>
      <c r="DC12" s="9" t="n">
        <v>0.3</v>
      </c>
      <c r="DD12" s="9" t="n">
        <v>0.8</v>
      </c>
      <c r="DE12" s="9" t="n">
        <v>0.9433473028841163</v>
      </c>
      <c r="DF12" s="9" t="n">
        <v>3</v>
      </c>
      <c r="DG12" s="9" t="n">
        <v>3.54</v>
      </c>
      <c r="DH12" s="9" t="n">
        <v>2.199</v>
      </c>
      <c r="DI12" s="9" t="n">
        <v>6.0962</v>
      </c>
      <c r="DJ12" s="9" t="n">
        <v>20.01520839550623</v>
      </c>
      <c r="DK12" s="9" t="n">
        <v>22.57011347525032</v>
      </c>
      <c r="DL12" s="9" t="n">
        <v>17.27205865604339</v>
      </c>
      <c r="DM12" s="9" t="n">
        <v>20.6760837731063</v>
      </c>
      <c r="DN12" s="9" t="n">
        <v>9.928000000000001</v>
      </c>
      <c r="DO12" s="9" t="n">
        <v>8.603999999999999</v>
      </c>
      <c r="DP12" s="9" t="n">
        <v>19.657</v>
      </c>
      <c r="DQ12" s="9" t="n">
        <v>14.11516989415954</v>
      </c>
      <c r="DR12" s="9" t="n">
        <v>14.11516989415954</v>
      </c>
      <c r="DS12" s="9" t="n">
        <v>0.0502</v>
      </c>
    </row>
    <row r="13">
      <c r="A13" s="9" t="inlineStr">
        <is>
          <t>AUT</t>
        </is>
      </c>
      <c r="B13" s="9" t="inlineStr">
        <is>
          <t>Austria</t>
        </is>
      </c>
      <c r="C13" s="9" t="n">
        <v>0.005</v>
      </c>
      <c r="D13" s="9" t="n">
        <v>0.005</v>
      </c>
      <c r="E13" s="9" t="n">
        <v>0.01</v>
      </c>
      <c r="F13" s="9" t="n">
        <v>0.005</v>
      </c>
      <c r="G13" s="9" t="n">
        <v>0.005</v>
      </c>
      <c r="H13" s="9" t="n">
        <v>0.01</v>
      </c>
      <c r="I13" s="9" t="n">
        <v>0.005</v>
      </c>
      <c r="J13" s="9" t="n">
        <v>0.005</v>
      </c>
      <c r="K13" s="9" t="n">
        <v>0.01</v>
      </c>
      <c r="L13" s="9" t="n">
        <v>0.01</v>
      </c>
      <c r="M13" s="9" t="n">
        <v>0.005</v>
      </c>
      <c r="N13" s="9" t="n">
        <v>2.58947</v>
      </c>
      <c r="O13" s="9" t="n">
        <v>0.002993</v>
      </c>
      <c r="P13" s="9" t="n">
        <v>70.933532</v>
      </c>
      <c r="Q13" s="9" t="n">
        <v>3.888490714218107</v>
      </c>
      <c r="R13" s="9" t="n">
        <v>0.9295751126545408</v>
      </c>
      <c r="S13" s="9" t="n">
        <v>9.315441119971917</v>
      </c>
      <c r="T13" s="9" t="n">
        <v>14.15835569012267</v>
      </c>
      <c r="U13" s="9" t="n">
        <v>0.444925</v>
      </c>
      <c r="V13" s="9" t="n">
        <v>0.08459700000000001</v>
      </c>
      <c r="W13" s="9" t="n">
        <v>0.189354</v>
      </c>
      <c r="X13" s="9" t="n">
        <v>4.393105513438384</v>
      </c>
      <c r="Y13" s="9" t="n">
        <v>4.393105513438384</v>
      </c>
      <c r="Z13" s="9" t="n">
        <v>4.49619590170829</v>
      </c>
      <c r="AA13" s="9" t="n">
        <v>5.53</v>
      </c>
      <c r="AB13" s="9" t="n">
        <v>10.3</v>
      </c>
      <c r="AC13" s="9" t="n">
        <v>4.29</v>
      </c>
      <c r="AD13" s="9" t="n">
        <v>0</v>
      </c>
      <c r="AE13" s="9" t="n">
        <v>0</v>
      </c>
      <c r="AF13" s="9" t="n">
        <v>64.767</v>
      </c>
      <c r="AG13" s="9" t="n">
        <v>30.65945919629027</v>
      </c>
      <c r="AH13" s="9" t="n">
        <v>35.65928961</v>
      </c>
      <c r="AI13" s="9" t="n">
        <v>34.72048176934167</v>
      </c>
      <c r="AJ13" s="9" t="n">
        <v>34.54687936049496</v>
      </c>
      <c r="AK13" s="9" t="n">
        <v>21.97355060075775</v>
      </c>
      <c r="AL13" s="9" t="n">
        <v>0.5676049909444727</v>
      </c>
      <c r="AM13" s="9" t="n">
        <v>0.6129056519999999</v>
      </c>
      <c r="AN13" s="9" t="n">
        <v>0.5967695865322222</v>
      </c>
      <c r="AO13" s="9" t="n">
        <v>0.5937857385995612</v>
      </c>
      <c r="AP13" s="9" t="n">
        <v>242.1265736380929</v>
      </c>
      <c r="AQ13" s="9" t="n">
        <v>245.4685026183334</v>
      </c>
      <c r="AR13" s="9" t="n">
        <v>239.006013953721</v>
      </c>
      <c r="AS13" s="9" t="n">
        <v>237.8109838839525</v>
      </c>
      <c r="AT13" s="9" t="n">
        <v>150.8390337089864</v>
      </c>
      <c r="AU13" s="9" t="n">
        <v>155.2611475584</v>
      </c>
      <c r="AV13" s="9" t="n">
        <v>151.8039744562305</v>
      </c>
      <c r="AW13" s="9" t="n">
        <v>159.0540265118244</v>
      </c>
      <c r="AX13" s="9" t="n">
        <v>74.6207407000669</v>
      </c>
      <c r="AY13" s="9" t="n">
        <v>76.77042084</v>
      </c>
      <c r="AZ13" s="9" t="n">
        <v>75.05820598971285</v>
      </c>
      <c r="BA13" s="9" t="n">
        <v>78.71803512781223</v>
      </c>
      <c r="BB13" s="9" t="n">
        <v>61.98754446177406</v>
      </c>
      <c r="BC13" s="9" t="n">
        <v>62.66300264639998</v>
      </c>
      <c r="BD13" s="9" t="n">
        <v>65.2478089536</v>
      </c>
      <c r="BE13" s="9" t="n">
        <v>60.708201621772</v>
      </c>
      <c r="BF13" s="9" t="n">
        <v>0</v>
      </c>
      <c r="BG13" s="9" t="n">
        <v>0</v>
      </c>
      <c r="BH13" s="9" t="n">
        <v>0</v>
      </c>
      <c r="BI13" s="9" t="n">
        <v>0</v>
      </c>
      <c r="BJ13" s="9" t="n">
        <v>1.497728313939019</v>
      </c>
      <c r="BK13" s="9" t="n">
        <v>1.352100429999998</v>
      </c>
      <c r="BL13" s="9" t="n">
        <v>1.316503464975616</v>
      </c>
      <c r="BM13" s="9" t="n">
        <v>1.309920947650737</v>
      </c>
      <c r="BN13" s="9" t="n">
        <v>147.3807204321719</v>
      </c>
      <c r="BO13" s="9" t="n">
        <v>126.495599994</v>
      </c>
      <c r="BP13" s="9" t="n">
        <v>123.165330031195</v>
      </c>
      <c r="BQ13" s="9" t="n">
        <v>122.549503381039</v>
      </c>
      <c r="BR13" s="9" t="n">
        <v>45.44862617442961</v>
      </c>
      <c r="BS13" s="9" t="n">
        <v>111.3242756309618</v>
      </c>
      <c r="BT13" s="9" t="n">
        <v>99.01327732199998</v>
      </c>
      <c r="BU13" s="9" t="n">
        <v>96.40653887892393</v>
      </c>
      <c r="BV13" s="9" t="n">
        <v>95.92450618452928</v>
      </c>
      <c r="BW13" s="9" t="n">
        <v>90.7411346762334</v>
      </c>
      <c r="BX13" s="9" t="n">
        <v>101.806827317988</v>
      </c>
      <c r="BY13" s="9" t="n">
        <v>87.0866313502887</v>
      </c>
      <c r="BZ13" s="9" t="n">
        <v>86.62998708100753</v>
      </c>
      <c r="CA13" s="9" t="n">
        <v>0.8993376896285425</v>
      </c>
      <c r="CB13" s="9" t="n">
        <v>62.62771511362592</v>
      </c>
      <c r="CC13" s="9" t="n">
        <v>0.041</v>
      </c>
      <c r="CD13" s="9" t="n">
        <v>1.777675556177185</v>
      </c>
      <c r="CE13" s="9" t="n">
        <v>0.616</v>
      </c>
      <c r="CF13" s="9" t="n">
        <v>0.6820000000000001</v>
      </c>
      <c r="CG13" s="9" t="n">
        <v>534.63</v>
      </c>
      <c r="CH13" s="9" t="n">
        <v>42.59</v>
      </c>
      <c r="CI13" s="9" t="n">
        <v>0</v>
      </c>
      <c r="CJ13" s="9" t="n">
        <v>12.07</v>
      </c>
      <c r="CK13" s="9" t="n">
        <v>8.800000000000001</v>
      </c>
      <c r="CL13" s="9" t="n">
        <v>3.27</v>
      </c>
      <c r="CM13" s="9" t="n">
        <v>10.29</v>
      </c>
      <c r="CN13" s="9" t="n">
        <v>73.26000000000001</v>
      </c>
      <c r="CO13" s="9" t="n">
        <v>8.31</v>
      </c>
      <c r="CP13" s="9" t="n">
        <v>76.658</v>
      </c>
      <c r="CQ13" s="9" t="n">
        <v>66.129</v>
      </c>
      <c r="CR13" s="9" t="n">
        <v>1</v>
      </c>
      <c r="CS13" s="9" t="n">
        <v>4</v>
      </c>
      <c r="CT13" s="9" t="n">
        <v>0.5</v>
      </c>
      <c r="CU13" s="9" t="n">
        <v>0.3</v>
      </c>
      <c r="CV13" s="9" t="n">
        <v>0.6</v>
      </c>
      <c r="CW13" s="9" t="n">
        <v>0.8</v>
      </c>
      <c r="CX13" s="9" t="n">
        <v>0.8</v>
      </c>
      <c r="CY13" s="9" t="n">
        <v>0.7</v>
      </c>
      <c r="CZ13" s="9" t="n">
        <v>0.5</v>
      </c>
      <c r="DA13" s="9" t="n">
        <v>0.5</v>
      </c>
      <c r="DB13" s="9" t="n">
        <v>1</v>
      </c>
      <c r="DC13" s="9" t="n">
        <v>0.3</v>
      </c>
      <c r="DD13" s="9" t="n">
        <v>0.8</v>
      </c>
      <c r="DE13" s="9" t="n">
        <v>0.7945670476787787</v>
      </c>
      <c r="DF13" s="9" t="n">
        <v>3</v>
      </c>
      <c r="DG13" s="9" t="n">
        <v>19.923</v>
      </c>
      <c r="DH13" s="9" t="n">
        <v>12.129</v>
      </c>
      <c r="DI13" s="9" t="n">
        <v>13.1628</v>
      </c>
      <c r="DJ13" s="9" t="n">
        <v>22.89271082946621</v>
      </c>
      <c r="DK13" s="9" t="n">
        <v>24.83758815478754</v>
      </c>
      <c r="DL13" s="9" t="n">
        <v>15.65611451797798</v>
      </c>
      <c r="DM13" s="9" t="n">
        <v>21.25871299974766</v>
      </c>
      <c r="DN13" s="9" t="n">
        <v>15.793</v>
      </c>
      <c r="DO13" s="9" t="n">
        <v>15.793</v>
      </c>
      <c r="DP13" s="9" t="n">
        <v>35.6736</v>
      </c>
      <c r="DQ13" s="9" t="n">
        <v>13.49474620847193</v>
      </c>
      <c r="DR13" s="9" t="n">
        <v>13.49474620847193</v>
      </c>
      <c r="DS13" s="9" t="n">
        <v>0.0611</v>
      </c>
    </row>
    <row r="14">
      <c r="A14" s="9" t="inlineStr">
        <is>
          <t>AZE</t>
        </is>
      </c>
      <c r="B14" s="9" t="inlineStr">
        <is>
          <t>Azerbaijan</t>
        </is>
      </c>
      <c r="C14" s="9" t="n">
        <v>0.005</v>
      </c>
      <c r="D14" s="9" t="n">
        <v>0.005</v>
      </c>
      <c r="E14" s="9" t="n">
        <v>0.01</v>
      </c>
      <c r="F14" s="9" t="n">
        <v>0.005</v>
      </c>
      <c r="G14" s="9" t="n">
        <v>0.005</v>
      </c>
      <c r="H14" s="9" t="n">
        <v>0.01</v>
      </c>
      <c r="I14" s="9" t="n">
        <v>0.005</v>
      </c>
      <c r="J14" s="9" t="n">
        <v>0.005</v>
      </c>
      <c r="K14" s="9" t="n">
        <v>0.01</v>
      </c>
      <c r="L14" s="9" t="n">
        <v>0.01</v>
      </c>
      <c r="M14" s="9" t="n">
        <v>0.005</v>
      </c>
      <c r="N14" s="9" t="n">
        <v>0.502491</v>
      </c>
      <c r="O14" s="9" t="n">
        <v>0</v>
      </c>
      <c r="P14" s="9" t="n">
        <v>154.228114</v>
      </c>
      <c r="Q14" s="9" t="n">
        <v>15.01995297516918</v>
      </c>
      <c r="R14" s="9" t="n">
        <v>4.4558238065253</v>
      </c>
      <c r="S14" s="9" t="n">
        <v>0</v>
      </c>
      <c r="T14" s="9" t="n">
        <v>0</v>
      </c>
      <c r="U14" s="9" t="n">
        <v>0.498989</v>
      </c>
      <c r="V14" s="9" t="n">
        <v>0</v>
      </c>
      <c r="W14" s="9" t="n">
        <v>0.475882</v>
      </c>
      <c r="X14" s="9" t="n">
        <v>19.47896120774806</v>
      </c>
      <c r="Y14" s="9" t="n">
        <v>19.47896120774806</v>
      </c>
      <c r="Z14" s="9" t="n">
        <v>0.2842308297189414</v>
      </c>
      <c r="AA14" s="9" t="n">
        <v>7.14</v>
      </c>
      <c r="AB14" s="9" t="n">
        <v>0.28</v>
      </c>
      <c r="AC14" s="9" t="n">
        <v>0.06</v>
      </c>
      <c r="AD14" s="9" t="n">
        <v>2.4</v>
      </c>
      <c r="AE14" s="9" t="n">
        <v>0</v>
      </c>
      <c r="AF14" s="9" t="n">
        <v>36.957</v>
      </c>
      <c r="AG14" s="9" t="n">
        <v>0</v>
      </c>
      <c r="AH14" s="9" t="n">
        <v>0</v>
      </c>
      <c r="AI14" s="9" t="n">
        <v>0</v>
      </c>
      <c r="AJ14" s="9" t="n">
        <v>0</v>
      </c>
      <c r="AK14" s="9" t="n">
        <v>0</v>
      </c>
      <c r="AL14" s="9" t="n">
        <v>0</v>
      </c>
      <c r="AM14" s="9" t="n">
        <v>0</v>
      </c>
      <c r="AN14" s="9" t="n">
        <v>0</v>
      </c>
      <c r="AO14" s="9" t="n">
        <v>0</v>
      </c>
      <c r="AP14" s="9" t="n">
        <v>37.18601006683112</v>
      </c>
      <c r="AQ14" s="9" t="n">
        <v>40.81457212000001</v>
      </c>
      <c r="AR14" s="9" t="n">
        <v>40.91660855029999</v>
      </c>
      <c r="AS14" s="9" t="n">
        <v>40.30285942204551</v>
      </c>
      <c r="AT14" s="9" t="n">
        <v>50.07295203709521</v>
      </c>
      <c r="AU14" s="9" t="n">
        <v>48.3332439996</v>
      </c>
      <c r="AV14" s="9" t="n">
        <v>44.77389017807744</v>
      </c>
      <c r="AW14" s="9" t="n">
        <v>48.31536148317613</v>
      </c>
      <c r="AX14" s="9" t="n">
        <v>26.46247859492922</v>
      </c>
      <c r="AY14" s="9" t="n">
        <v>25.0570810908</v>
      </c>
      <c r="AZ14" s="9" t="n">
        <v>23.65741629217027</v>
      </c>
      <c r="BA14" s="9" t="n">
        <v>25.53521718278676</v>
      </c>
      <c r="BB14" s="9" t="n">
        <v>60.01466120440947</v>
      </c>
      <c r="BC14" s="9" t="n">
        <v>61.78799003</v>
      </c>
      <c r="BD14" s="9" t="n">
        <v>67.94353358006536</v>
      </c>
      <c r="BE14" s="9" t="n">
        <v>61.01332310499888</v>
      </c>
      <c r="BF14" s="9" t="n">
        <v>0</v>
      </c>
      <c r="BG14" s="9" t="n">
        <v>0</v>
      </c>
      <c r="BH14" s="9" t="n">
        <v>0</v>
      </c>
      <c r="BI14" s="9" t="n">
        <v>0</v>
      </c>
      <c r="BJ14" s="9" t="n">
        <v>0.4547157039054467</v>
      </c>
      <c r="BK14" s="9" t="n">
        <v>0.3891839599999995</v>
      </c>
      <c r="BL14" s="9" t="n">
        <v>0.3901569198999994</v>
      </c>
      <c r="BM14" s="9" t="n">
        <v>0.3843045661014995</v>
      </c>
      <c r="BN14" s="9" t="n">
        <v>46.78082306495077</v>
      </c>
      <c r="BO14" s="9" t="n">
        <v>45.3380449608</v>
      </c>
      <c r="BP14" s="9" t="n">
        <v>45.451390073202</v>
      </c>
      <c r="BQ14" s="9" t="n">
        <v>44.76961922210398</v>
      </c>
      <c r="BR14" s="9" t="n">
        <v>223.3947659361444</v>
      </c>
      <c r="BS14" s="9" t="n">
        <v>160.0627196072775</v>
      </c>
      <c r="BT14" s="9" t="n">
        <v>158.0699711952</v>
      </c>
      <c r="BU14" s="9" t="n">
        <v>158.465146123188</v>
      </c>
      <c r="BV14" s="9" t="n">
        <v>156.0881689313402</v>
      </c>
      <c r="BW14" s="9" t="n">
        <v>35.14620135559824</v>
      </c>
      <c r="BX14" s="9" t="n">
        <v>42.26748833919556</v>
      </c>
      <c r="BY14" s="9" t="n">
        <v>39.51388112007672</v>
      </c>
      <c r="BZ14" s="9" t="n">
        <v>37.52541123739653</v>
      </c>
      <c r="CA14" s="9" t="n">
        <v>0.4385479343300127</v>
      </c>
      <c r="CB14" s="9" t="n">
        <v>21.25984184222901</v>
      </c>
      <c r="CC14" s="9" t="n">
        <v>5.538</v>
      </c>
      <c r="CD14" s="9" t="n">
        <v>1.050631202765954</v>
      </c>
      <c r="CE14" s="9" t="n">
        <v>1.4</v>
      </c>
      <c r="CF14" s="9" t="n">
        <v>2.217</v>
      </c>
      <c r="CG14" s="9" t="n">
        <v>74.426</v>
      </c>
      <c r="CH14" s="9" t="n">
        <v>2.63</v>
      </c>
      <c r="CI14" s="9" t="n">
        <v>0</v>
      </c>
      <c r="CJ14" s="9" t="n">
        <v>24.74</v>
      </c>
      <c r="CK14" s="9" t="n">
        <v>24.64</v>
      </c>
      <c r="CL14" s="9" t="n">
        <v>0.1</v>
      </c>
      <c r="CM14" s="9" t="n">
        <v>0</v>
      </c>
      <c r="CN14" s="9" t="n">
        <v>27.34</v>
      </c>
      <c r="CO14" s="9" t="n">
        <v>0.09</v>
      </c>
      <c r="CP14" s="9" t="n">
        <v>70.58799999999999</v>
      </c>
      <c r="CQ14" s="9" t="n">
        <v>68.69499999999999</v>
      </c>
      <c r="CR14" s="9" t="n">
        <v>3</v>
      </c>
      <c r="CS14" s="9" t="n">
        <v>3</v>
      </c>
      <c r="CT14" s="9" t="n">
        <v>0.5</v>
      </c>
      <c r="CU14" s="9" t="n">
        <v>0.3</v>
      </c>
      <c r="CV14" s="9" t="n">
        <v>0.6</v>
      </c>
      <c r="CW14" s="9" t="n">
        <v>0.8</v>
      </c>
      <c r="CX14" s="9" t="n">
        <v>0.8</v>
      </c>
      <c r="CY14" s="9" t="n">
        <v>0.7</v>
      </c>
      <c r="CZ14" s="9" t="n">
        <v>0.5</v>
      </c>
      <c r="DA14" s="9" t="n">
        <v>0.5</v>
      </c>
      <c r="DB14" s="9" t="n">
        <v>1</v>
      </c>
      <c r="DC14" s="9" t="n">
        <v>0.3</v>
      </c>
      <c r="DD14" s="9" t="n">
        <v>0.8</v>
      </c>
      <c r="DE14" s="9" t="n">
        <v>0.2900919862800125</v>
      </c>
      <c r="DF14" s="9" t="n">
        <v>2</v>
      </c>
      <c r="DG14" s="9" t="n">
        <v>7.124</v>
      </c>
      <c r="DH14" s="9" t="n">
        <v>4.351</v>
      </c>
      <c r="DI14" s="9" t="n">
        <v>12.94342</v>
      </c>
      <c r="DJ14" s="9" t="n">
        <v>21.12023024953084</v>
      </c>
      <c r="DK14" s="9" t="n">
        <v>24.41676718214091</v>
      </c>
      <c r="DL14" s="9" t="n">
        <v>15.65611451797798</v>
      </c>
      <c r="DM14" s="9" t="n">
        <v>21.01192956833006</v>
      </c>
      <c r="DN14" s="9" t="n">
        <v>5.56</v>
      </c>
      <c r="DO14" s="9" t="n">
        <v>4.794</v>
      </c>
      <c r="DP14" s="9" t="n">
        <v>11.98054</v>
      </c>
      <c r="DQ14" s="9" t="n">
        <v>13.49474620847193</v>
      </c>
      <c r="DR14" s="9" t="n">
        <v>13.49474620847193</v>
      </c>
      <c r="DS14" s="9" t="n">
        <v>0.0914000000000002</v>
      </c>
    </row>
    <row r="15">
      <c r="A15" s="9" t="inlineStr">
        <is>
          <t>BDI</t>
        </is>
      </c>
      <c r="B15" s="9" t="inlineStr">
        <is>
          <t>Burundi</t>
        </is>
      </c>
      <c r="C15" s="9" t="n">
        <v>0.005</v>
      </c>
      <c r="D15" s="9" t="n">
        <v>0.005</v>
      </c>
      <c r="E15" s="9" t="n">
        <v>0.01</v>
      </c>
      <c r="F15" s="9" t="n">
        <v>0.005</v>
      </c>
      <c r="G15" s="9" t="n">
        <v>0.005</v>
      </c>
      <c r="H15" s="9" t="n">
        <v>0.01</v>
      </c>
      <c r="I15" s="9" t="n">
        <v>0.005</v>
      </c>
      <c r="J15" s="9" t="n">
        <v>0.005</v>
      </c>
      <c r="K15" s="9" t="n">
        <v>0.01</v>
      </c>
      <c r="L15" s="9" t="n">
        <v>0.01</v>
      </c>
      <c r="M15" s="9" t="n">
        <v>0.005</v>
      </c>
      <c r="N15" s="9" t="n">
        <v>0.000803</v>
      </c>
      <c r="O15" s="9" t="n">
        <v>0.018305</v>
      </c>
      <c r="P15" s="9" t="n">
        <v>0.160135</v>
      </c>
      <c r="Q15" s="9" t="n">
        <v>0.1424580488797617</v>
      </c>
      <c r="R15" s="9" t="n">
        <v>0.0294254403950386</v>
      </c>
      <c r="S15" s="9" t="n">
        <v>0.0254842337839167</v>
      </c>
      <c r="T15" s="9" t="n">
        <v>0.0066719192398344</v>
      </c>
      <c r="U15" s="9" t="n">
        <v>2.6e-05</v>
      </c>
      <c r="V15" s="9" t="n">
        <v>3.9e-05</v>
      </c>
      <c r="W15" s="9" t="n">
        <v>0.000166</v>
      </c>
      <c r="X15" s="9" t="n">
        <v>0.0005813172188652</v>
      </c>
      <c r="Y15" s="9" t="n">
        <v>0.0005813172188652</v>
      </c>
      <c r="Z15" s="9" t="n">
        <v>0.01847618781313302</v>
      </c>
      <c r="AA15" s="9" t="n">
        <v>0.05</v>
      </c>
      <c r="AB15" s="9" t="n">
        <v>0.01</v>
      </c>
      <c r="AC15" s="9" t="n">
        <v>0</v>
      </c>
      <c r="AD15" s="9" t="n">
        <v>0</v>
      </c>
      <c r="AE15" s="9" t="n">
        <v>0</v>
      </c>
      <c r="AF15" s="9" t="n">
        <v>0.926</v>
      </c>
      <c r="AG15" s="9" t="n">
        <v>0.3342486075840485</v>
      </c>
      <c r="AH15" s="9" t="n">
        <v>0.30650390496</v>
      </c>
      <c r="AI15" s="9" t="n">
        <v>0.3160395820032</v>
      </c>
      <c r="AJ15" s="9" t="n">
        <v>0.307611859816448</v>
      </c>
      <c r="AK15" s="9" t="n">
        <v>0</v>
      </c>
      <c r="AL15" s="9" t="n">
        <v>0.1300125354972383</v>
      </c>
      <c r="AM15" s="9" t="n">
        <v>0.1247616158399999</v>
      </c>
      <c r="AN15" s="9" t="n">
        <v>0.1286430883328</v>
      </c>
      <c r="AO15" s="9" t="n">
        <v>0.1252126059772587</v>
      </c>
      <c r="AP15" s="9" t="n">
        <v>4.085819393378115</v>
      </c>
      <c r="AQ15" s="9" t="n">
        <v>3.984250050000001</v>
      </c>
      <c r="AR15" s="9" t="n">
        <v>4.108204496</v>
      </c>
      <c r="AS15" s="9" t="n">
        <v>3.998652376106666</v>
      </c>
      <c r="AT15" s="9" t="n">
        <v>0.6863102762093478</v>
      </c>
      <c r="AU15" s="9" t="n">
        <v>0.550899144</v>
      </c>
      <c r="AV15" s="9" t="n">
        <v>0.591187497809309</v>
      </c>
      <c r="AW15" s="9" t="n">
        <v>0.6085640972494768</v>
      </c>
      <c r="AX15" s="9" t="n">
        <v>0.6319698285587497</v>
      </c>
      <c r="AY15" s="9" t="n">
        <v>0.509491692</v>
      </c>
      <c r="AZ15" s="9" t="n">
        <v>0.5443786499892952</v>
      </c>
      <c r="BA15" s="9" t="n">
        <v>0.5603794107964772</v>
      </c>
      <c r="BB15" s="9" t="n">
        <v>4.969287279034085</v>
      </c>
      <c r="BC15" s="9" t="n">
        <v>4.911011000690912</v>
      </c>
      <c r="BD15" s="9" t="n">
        <v>5.084764862999999</v>
      </c>
      <c r="BE15" s="9" t="n">
        <v>4.938956679438221</v>
      </c>
      <c r="BF15" s="9" t="n">
        <v>8.671255805687654e-05</v>
      </c>
      <c r="BG15" s="9" t="n">
        <v>8.589499999999988e-05</v>
      </c>
      <c r="BH15" s="9" t="n">
        <v>8.856728888888874e-05</v>
      </c>
      <c r="BI15" s="9" t="n">
        <v>8.620549451851837e-05</v>
      </c>
      <c r="BJ15" s="9" t="n">
        <v>9.684411613100184e-05</v>
      </c>
      <c r="BK15" s="9" t="n">
        <v>9.217999999999992e-05</v>
      </c>
      <c r="BL15" s="9" t="n">
        <v>9.504782222222212e-05</v>
      </c>
      <c r="BM15" s="9" t="n">
        <v>9.251321362962952e-05</v>
      </c>
      <c r="BN15" s="9" t="n">
        <v>0</v>
      </c>
      <c r="BO15" s="9" t="n">
        <v>0</v>
      </c>
      <c r="BP15" s="9" t="n">
        <v>0</v>
      </c>
      <c r="BQ15" s="9" t="n">
        <v>0</v>
      </c>
      <c r="BR15" s="9" t="n">
        <v>0</v>
      </c>
      <c r="BS15" s="9" t="n">
        <v>0</v>
      </c>
      <c r="BT15" s="9" t="n">
        <v>0</v>
      </c>
      <c r="BU15" s="9" t="n">
        <v>0</v>
      </c>
      <c r="BV15" s="9" t="n">
        <v>0</v>
      </c>
      <c r="BW15" s="9" t="n">
        <v>1.310342251479964</v>
      </c>
      <c r="BX15" s="9" t="n">
        <v>1.33929221592049</v>
      </c>
      <c r="BY15" s="9" t="n">
        <v>1.304064297118386</v>
      </c>
      <c r="BZ15" s="9" t="n">
        <v>1.267309878923116</v>
      </c>
      <c r="CA15" s="9" t="n">
        <v>0.6178335948325195</v>
      </c>
      <c r="CB15" s="9" t="n">
        <v>0.3661889179911382</v>
      </c>
      <c r="CC15" s="9" t="n">
        <v>0.238</v>
      </c>
      <c r="CD15" s="9" t="n">
        <v>2.093144950287806</v>
      </c>
      <c r="CE15" s="9" t="n">
        <v>3.904</v>
      </c>
      <c r="CF15" s="9" t="n">
        <v>3.819</v>
      </c>
      <c r="CG15" s="9" t="n">
        <v>4.838</v>
      </c>
      <c r="CH15" s="9" t="n">
        <v>0.37</v>
      </c>
      <c r="CI15" s="9" t="n">
        <v>0</v>
      </c>
      <c r="CJ15" s="9" t="n">
        <v>0.12</v>
      </c>
      <c r="CK15" s="9" t="n">
        <v>0</v>
      </c>
      <c r="CL15" s="9" t="n">
        <v>0.12</v>
      </c>
      <c r="CM15" s="9" t="n">
        <v>0</v>
      </c>
      <c r="CN15" s="9" t="n">
        <v>0.49</v>
      </c>
      <c r="CO15" s="9" t="n">
        <v>0</v>
      </c>
      <c r="CP15" s="9" t="n">
        <v>7.661</v>
      </c>
      <c r="CQ15" s="9" t="n">
        <v>10.53</v>
      </c>
      <c r="CR15" s="9" t="n">
        <v>3</v>
      </c>
      <c r="CS15" s="9" t="n">
        <v>1</v>
      </c>
      <c r="CT15" s="9" t="n">
        <v>0.5</v>
      </c>
      <c r="CU15" s="9" t="n">
        <v>0.3</v>
      </c>
      <c r="CV15" s="9" t="n">
        <v>0.6</v>
      </c>
      <c r="CW15" s="9" t="n">
        <v>0.8</v>
      </c>
      <c r="CX15" s="9" t="n">
        <v>0.8</v>
      </c>
      <c r="CY15" s="9" t="n">
        <v>0.7</v>
      </c>
      <c r="CZ15" s="9" t="n">
        <v>0.5</v>
      </c>
      <c r="DA15" s="9" t="n">
        <v>0.5</v>
      </c>
      <c r="DB15" s="9" t="n">
        <v>1</v>
      </c>
      <c r="DC15" s="9" t="n">
        <v>0.3</v>
      </c>
      <c r="DD15" s="9" t="n">
        <v>0.8</v>
      </c>
      <c r="DE15" s="9" t="n">
        <v>0.3593552699992573</v>
      </c>
      <c r="DF15" s="9" t="n">
        <v>2</v>
      </c>
      <c r="DG15" s="9" t="n">
        <v>7.124</v>
      </c>
      <c r="DH15" s="9" t="n">
        <v>5.575</v>
      </c>
      <c r="DI15" s="9" t="n">
        <v>14.38774</v>
      </c>
      <c r="DJ15" s="9" t="n">
        <v>23.67522460671202</v>
      </c>
      <c r="DK15" s="9" t="n">
        <v>24.43026456587896</v>
      </c>
      <c r="DL15" s="9" t="n">
        <v>18.47421513121402</v>
      </c>
      <c r="DM15" s="9" t="n">
        <v>23.48127670140345</v>
      </c>
      <c r="DN15" s="9" t="n">
        <v>12.794</v>
      </c>
      <c r="DO15" s="9" t="n">
        <v>11.471</v>
      </c>
      <c r="DP15" s="9" t="n">
        <v>24.46848</v>
      </c>
      <c r="DQ15" s="9" t="n">
        <v>13.49474620847193</v>
      </c>
      <c r="DR15" s="9" t="n">
        <v>13.49474620847193</v>
      </c>
      <c r="DS15" s="9" t="n">
        <v>0.105</v>
      </c>
    </row>
    <row r="16">
      <c r="A16" s="9" t="inlineStr">
        <is>
          <t>BEL</t>
        </is>
      </c>
      <c r="B16" s="9" t="inlineStr">
        <is>
          <t>Belgium</t>
        </is>
      </c>
      <c r="C16" s="9" t="n">
        <v>0.005</v>
      </c>
      <c r="D16" s="9" t="n">
        <v>0.005</v>
      </c>
      <c r="E16" s="9" t="n">
        <v>0.01</v>
      </c>
      <c r="F16" s="9" t="n">
        <v>0.005</v>
      </c>
      <c r="G16" s="9" t="n">
        <v>0.005</v>
      </c>
      <c r="H16" s="9" t="n">
        <v>0.01</v>
      </c>
      <c r="I16" s="9" t="n">
        <v>0.005</v>
      </c>
      <c r="J16" s="9" t="n">
        <v>0.005</v>
      </c>
      <c r="K16" s="9" t="n">
        <v>0.01</v>
      </c>
      <c r="L16" s="9" t="n">
        <v>0.01</v>
      </c>
      <c r="M16" s="9" t="n">
        <v>0.005</v>
      </c>
      <c r="N16" s="9" t="n">
        <v>5.15879</v>
      </c>
      <c r="O16" s="9" t="n">
        <v>2.604307</v>
      </c>
      <c r="P16" s="9" t="n">
        <v>44.502292</v>
      </c>
      <c r="Q16" s="9" t="n">
        <v>4.126939693831832</v>
      </c>
      <c r="R16" s="9" t="n">
        <v>0.7215095107941895</v>
      </c>
      <c r="S16" s="9" t="n">
        <v>15.29340128620107</v>
      </c>
      <c r="T16" s="9" t="n">
        <v>15.8481743985233</v>
      </c>
      <c r="U16" s="9" t="n">
        <v>0.42675</v>
      </c>
      <c r="V16" s="9" t="n">
        <v>0.039657</v>
      </c>
      <c r="W16" s="9" t="n">
        <v>0.09718499999999999</v>
      </c>
      <c r="X16" s="9" t="n">
        <v>5.406898034687773</v>
      </c>
      <c r="Y16" s="9" t="n">
        <v>5.406898034687773</v>
      </c>
      <c r="Z16" s="9" t="n">
        <v>5.644469653700221</v>
      </c>
      <c r="AA16" s="9" t="n">
        <v>7.76</v>
      </c>
      <c r="AB16" s="9" t="n">
        <v>10.4</v>
      </c>
      <c r="AC16" s="9" t="n">
        <v>5.85</v>
      </c>
      <c r="AD16" s="9" t="n">
        <v>0</v>
      </c>
      <c r="AE16" s="9" t="n">
        <v>0</v>
      </c>
      <c r="AF16" s="9" t="n">
        <v>95.476</v>
      </c>
      <c r="AG16" s="9" t="n">
        <v>28.07626461834234</v>
      </c>
      <c r="AH16" s="9" t="n">
        <v>32.3332454484</v>
      </c>
      <c r="AI16" s="9" t="n">
        <v>30.58294404439075</v>
      </c>
      <c r="AJ16" s="9" t="n">
        <v>30.23006392080163</v>
      </c>
      <c r="AK16" s="9" t="n">
        <v>2.844243957094289</v>
      </c>
      <c r="AL16" s="9" t="n">
        <v>2.816756616094678</v>
      </c>
      <c r="AM16" s="9" t="n">
        <v>2.8617782832</v>
      </c>
      <c r="AN16" s="9" t="n">
        <v>2.706861123552607</v>
      </c>
      <c r="AO16" s="9" t="n">
        <v>2.675628110588538</v>
      </c>
      <c r="AP16" s="9" t="n">
        <v>222.852163476679</v>
      </c>
      <c r="AQ16" s="9" t="n">
        <v>233.47746355</v>
      </c>
      <c r="AR16" s="9" t="n">
        <v>220.8385859307319</v>
      </c>
      <c r="AS16" s="9" t="n">
        <v>218.290448400762</v>
      </c>
      <c r="AT16" s="9" t="n">
        <v>199.4627015866148</v>
      </c>
      <c r="AU16" s="9" t="n">
        <v>223.540913844</v>
      </c>
      <c r="AV16" s="9" t="n">
        <v>211.7231518762587</v>
      </c>
      <c r="AW16" s="9" t="n">
        <v>199.9367504401967</v>
      </c>
      <c r="AX16" s="9" t="n">
        <v>61.87657567694954</v>
      </c>
      <c r="AY16" s="9" t="n">
        <v>69.36300030240001</v>
      </c>
      <c r="AZ16" s="9" t="n">
        <v>65.69919396863691</v>
      </c>
      <c r="BA16" s="9" t="n">
        <v>62.02307791822476</v>
      </c>
      <c r="BB16" s="9" t="n">
        <v>78.19988670611068</v>
      </c>
      <c r="BC16" s="9" t="n">
        <v>80.04769578000003</v>
      </c>
      <c r="BD16" s="9" t="n">
        <v>90.93104776995396</v>
      </c>
      <c r="BE16" s="9" t="n">
        <v>74.84083105743497</v>
      </c>
      <c r="BF16" s="9" t="n">
        <v>1.456309412789152</v>
      </c>
      <c r="BG16" s="9" t="n">
        <v>1.47043421780905</v>
      </c>
      <c r="BH16" s="9" t="n">
        <v>1.390834937246827</v>
      </c>
      <c r="BI16" s="9" t="n">
        <v>1.374786841817056</v>
      </c>
      <c r="BJ16" s="9" t="n">
        <v>5.755170067805293</v>
      </c>
      <c r="BK16" s="9" t="n">
        <v>6.373497673260887</v>
      </c>
      <c r="BL16" s="9" t="n">
        <v>6.028479974874833</v>
      </c>
      <c r="BM16" s="9" t="n">
        <v>5.958920590549355</v>
      </c>
      <c r="BN16" s="9" t="n">
        <v>176.5432074403297</v>
      </c>
      <c r="BO16" s="9" t="n">
        <v>157.9351562352001</v>
      </c>
      <c r="BP16" s="9" t="n">
        <v>149.3856239545</v>
      </c>
      <c r="BQ16" s="9" t="n">
        <v>147.6619436781019</v>
      </c>
      <c r="BR16" s="9" t="n">
        <v>121.2444081902493</v>
      </c>
      <c r="BS16" s="9" t="n">
        <v>330.6508438173679</v>
      </c>
      <c r="BT16" s="9" t="n">
        <v>291.714745716</v>
      </c>
      <c r="BU16" s="9" t="n">
        <v>275.9232988038192</v>
      </c>
      <c r="BV16" s="9" t="n">
        <v>272.739568433006</v>
      </c>
      <c r="BW16" s="9" t="n">
        <v>238.7601921119467</v>
      </c>
      <c r="BX16" s="9" t="n">
        <v>241.0843368472154</v>
      </c>
      <c r="BY16" s="9" t="n">
        <v>231.3433106934361</v>
      </c>
      <c r="BZ16" s="9" t="n">
        <v>227.2375932084665</v>
      </c>
      <c r="CA16" s="9" t="n">
        <v>1.26601613982023</v>
      </c>
      <c r="CB16" s="9" t="n">
        <v>72.59424368432342</v>
      </c>
      <c r="CC16" s="9" t="n">
        <v>0</v>
      </c>
      <c r="CD16" s="9" t="n">
        <v>0.3558733755870421</v>
      </c>
      <c r="CE16" s="9" t="n">
        <v>0.972</v>
      </c>
      <c r="CF16" s="9" t="n">
        <v>0.661</v>
      </c>
      <c r="CG16" s="9" t="n">
        <v>671.168</v>
      </c>
      <c r="CH16" s="9" t="n">
        <v>29.94</v>
      </c>
      <c r="CI16" s="9" t="n">
        <v>0</v>
      </c>
      <c r="CJ16" s="9" t="n">
        <v>19.41</v>
      </c>
      <c r="CK16" s="9" t="n">
        <v>19.05</v>
      </c>
      <c r="CL16" s="9" t="n">
        <v>0.36</v>
      </c>
      <c r="CM16" s="9" t="n">
        <v>10.46</v>
      </c>
      <c r="CN16" s="9" t="n">
        <v>73.2</v>
      </c>
      <c r="CO16" s="9" t="n">
        <v>13.39</v>
      </c>
      <c r="CP16" s="9" t="n">
        <v>111.259</v>
      </c>
      <c r="CQ16" s="9" t="n">
        <v>110.832</v>
      </c>
      <c r="CR16" s="9" t="n">
        <v>1</v>
      </c>
      <c r="CS16" s="9" t="n">
        <v>4</v>
      </c>
      <c r="CT16" s="9" t="n">
        <v>0.5</v>
      </c>
      <c r="CU16" s="9" t="n">
        <v>0.3</v>
      </c>
      <c r="CV16" s="9" t="n">
        <v>0.6</v>
      </c>
      <c r="CW16" s="9" t="n">
        <v>0.8</v>
      </c>
      <c r="CX16" s="9" t="n">
        <v>0.8</v>
      </c>
      <c r="CY16" s="9" t="n">
        <v>0.7</v>
      </c>
      <c r="CZ16" s="9" t="n">
        <v>0.5</v>
      </c>
      <c r="DA16" s="9" t="n">
        <v>0.5</v>
      </c>
      <c r="DB16" s="9" t="n">
        <v>1</v>
      </c>
      <c r="DC16" s="9" t="n">
        <v>0.3</v>
      </c>
      <c r="DD16" s="9" t="n">
        <v>0.8</v>
      </c>
      <c r="DE16" s="9" t="n">
        <v>0.7695486368295653</v>
      </c>
      <c r="DF16" s="9" t="n">
        <v>3</v>
      </c>
      <c r="DG16" s="9" t="n">
        <v>15.048</v>
      </c>
      <c r="DH16" s="9" t="n">
        <v>15.168</v>
      </c>
      <c r="DI16" s="9" t="n">
        <v>18.65336</v>
      </c>
      <c r="DJ16" s="9" t="n">
        <v>23.22101053782003</v>
      </c>
      <c r="DK16" s="9" t="n">
        <v>24.95185837812921</v>
      </c>
      <c r="DL16" s="9" t="n">
        <v>17.62279800666611</v>
      </c>
      <c r="DM16" s="9" t="n">
        <v>21.1659267740402</v>
      </c>
      <c r="DN16" s="9" t="n">
        <v>14.196</v>
      </c>
      <c r="DO16" s="9" t="n">
        <v>14.196</v>
      </c>
      <c r="DP16" s="9" t="n">
        <v>22.07403</v>
      </c>
      <c r="DQ16" s="9" t="n">
        <v>13.50380723701658</v>
      </c>
      <c r="DR16" s="9" t="n">
        <v>13.50380723701658</v>
      </c>
      <c r="DS16" s="9" t="n">
        <v>0.038</v>
      </c>
    </row>
    <row r="17">
      <c r="A17" s="9" t="inlineStr">
        <is>
          <t>BEN</t>
        </is>
      </c>
      <c r="B17" s="9" t="inlineStr">
        <is>
          <t>Benin</t>
        </is>
      </c>
      <c r="C17" s="9" t="n">
        <v>0.005</v>
      </c>
      <c r="D17" s="9" t="n">
        <v>0.005</v>
      </c>
      <c r="E17" s="9" t="n">
        <v>0.01</v>
      </c>
      <c r="F17" s="9" t="n">
        <v>0.005</v>
      </c>
      <c r="G17" s="9" t="n">
        <v>0.005</v>
      </c>
      <c r="H17" s="9" t="n">
        <v>0.01</v>
      </c>
      <c r="I17" s="9" t="n">
        <v>0.005</v>
      </c>
      <c r="J17" s="9" t="n">
        <v>0.005</v>
      </c>
      <c r="K17" s="9" t="n">
        <v>0.01</v>
      </c>
      <c r="L17" s="9" t="n">
        <v>0.01</v>
      </c>
      <c r="M17" s="9" t="n">
        <v>0.005</v>
      </c>
      <c r="N17" s="9" t="n">
        <v>0.009147000000000001</v>
      </c>
      <c r="O17" s="9" t="n">
        <v>0.08111</v>
      </c>
      <c r="P17" s="9" t="n">
        <v>1.004574</v>
      </c>
      <c r="Q17" s="9" t="n">
        <v>0.6022224313644736</v>
      </c>
      <c r="R17" s="9" t="n">
        <v>0.1483568365106518</v>
      </c>
      <c r="S17" s="9" t="n">
        <v>0.08718151079300419</v>
      </c>
      <c r="T17" s="9" t="n">
        <v>0.0301787974918093</v>
      </c>
      <c r="U17" s="9" t="n">
        <v>0.000389</v>
      </c>
      <c r="V17" s="9" t="n">
        <v>0.001432</v>
      </c>
      <c r="W17" s="9" t="n">
        <v>0.001752</v>
      </c>
      <c r="X17" s="9" t="n">
        <v>0.0178278422327712</v>
      </c>
      <c r="Y17" s="9" t="n">
        <v>0.0178278422327712</v>
      </c>
      <c r="Z17" s="9" t="n">
        <v>0.08205825703612842</v>
      </c>
      <c r="AA17" s="9" t="n">
        <v>0.3</v>
      </c>
      <c r="AB17" s="9" t="n">
        <v>0.04</v>
      </c>
      <c r="AC17" s="9" t="n">
        <v>0</v>
      </c>
      <c r="AD17" s="9" t="n">
        <v>0</v>
      </c>
      <c r="AE17" s="9" t="n">
        <v>0</v>
      </c>
      <c r="AF17" s="9" t="n">
        <v>9.722</v>
      </c>
      <c r="AG17" s="9" t="n">
        <v>3.651618482050051</v>
      </c>
      <c r="AH17" s="9" t="n">
        <v>3.243032478</v>
      </c>
      <c r="AI17" s="9" t="n">
        <v>3.38356388538</v>
      </c>
      <c r="AJ17" s="9" t="n">
        <v>3.28544053270398</v>
      </c>
      <c r="AK17" s="9" t="n">
        <v>0</v>
      </c>
      <c r="AL17" s="9" t="n">
        <v>0.0001414287062898</v>
      </c>
      <c r="AM17" s="9" t="n">
        <v>0.000125604</v>
      </c>
      <c r="AN17" s="9" t="n">
        <v>0.00013104684</v>
      </c>
      <c r="AO17" s="9" t="n">
        <v>0.0001272464816399</v>
      </c>
      <c r="AP17" s="9" t="n">
        <v>16.90651226342404</v>
      </c>
      <c r="AQ17" s="9" t="n">
        <v>15.91494404</v>
      </c>
      <c r="AR17" s="9" t="n">
        <v>16.60459161506667</v>
      </c>
      <c r="AS17" s="9" t="n">
        <v>16.12305845822974</v>
      </c>
      <c r="AT17" s="9" t="n">
        <v>4.707516661636125</v>
      </c>
      <c r="AU17" s="9" t="n">
        <v>3.7985831568</v>
      </c>
      <c r="AV17" s="9" t="n">
        <v>4.01019862449542</v>
      </c>
      <c r="AW17" s="9" t="n">
        <v>4.447921643165541</v>
      </c>
      <c r="AX17" s="9" t="n">
        <v>1.577682625555839</v>
      </c>
      <c r="AY17" s="9" t="n">
        <v>1.2721340592</v>
      </c>
      <c r="AZ17" s="9" t="n">
        <v>1.343982645128956</v>
      </c>
      <c r="BA17" s="9" t="n">
        <v>1.490681648233851</v>
      </c>
      <c r="BB17" s="9" t="n">
        <v>46.77526765217699</v>
      </c>
      <c r="BC17" s="9" t="n">
        <v>43.86697993545549</v>
      </c>
      <c r="BD17" s="9" t="n">
        <v>46.46196858292544</v>
      </c>
      <c r="BE17" s="9" t="n">
        <v>44.7763246477186</v>
      </c>
      <c r="BF17" s="9" t="n">
        <v>1.025538525813684</v>
      </c>
      <c r="BG17" s="9" t="n">
        <v>0.965370508832496</v>
      </c>
      <c r="BH17" s="9" t="n">
        <v>1.007203230881904</v>
      </c>
      <c r="BI17" s="9" t="n">
        <v>0.9779943371863282</v>
      </c>
      <c r="BJ17" s="9" t="n">
        <v>0.982651652199638</v>
      </c>
      <c r="BK17" s="9" t="n">
        <v>0.9262246399999988</v>
      </c>
      <c r="BL17" s="9" t="n">
        <v>0.9663610410666652</v>
      </c>
      <c r="BM17" s="9" t="n">
        <v>0.938336570875732</v>
      </c>
      <c r="BN17" s="9" t="n">
        <v>0</v>
      </c>
      <c r="BO17" s="9" t="n">
        <v>0</v>
      </c>
      <c r="BP17" s="9" t="n">
        <v>0</v>
      </c>
      <c r="BQ17" s="9" t="n">
        <v>0</v>
      </c>
      <c r="BR17" s="9" t="n">
        <v>8.354693781745006</v>
      </c>
      <c r="BS17" s="9" t="n">
        <v>0</v>
      </c>
      <c r="BT17" s="9" t="n">
        <v>0</v>
      </c>
      <c r="BU17" s="9" t="n">
        <v>0</v>
      </c>
      <c r="BV17" s="9" t="n">
        <v>0</v>
      </c>
      <c r="BW17" s="9" t="n">
        <v>3.740013910873477</v>
      </c>
      <c r="BX17" s="9" t="n">
        <v>5.831881752040319</v>
      </c>
      <c r="BY17" s="9" t="n">
        <v>3.675423864080331</v>
      </c>
      <c r="BZ17" s="9" t="n">
        <v>3.568743548617224</v>
      </c>
      <c r="CA17" s="9" t="n">
        <v>2.078182916944948</v>
      </c>
      <c r="CB17" s="9" t="n">
        <v>1.745888690886657</v>
      </c>
      <c r="CC17" s="9" t="n">
        <v>0</v>
      </c>
      <c r="CD17" s="9" t="n">
        <v>0.7301615117264015</v>
      </c>
      <c r="CE17" s="9" t="n">
        <v>7.5</v>
      </c>
      <c r="CF17" s="9" t="n">
        <v>6.972</v>
      </c>
      <c r="CG17" s="9" t="n">
        <v>21.487</v>
      </c>
      <c r="CH17" s="9" t="n">
        <v>0</v>
      </c>
      <c r="CI17" s="9" t="n">
        <v>0</v>
      </c>
      <c r="CJ17" s="9" t="n">
        <v>0.97</v>
      </c>
      <c r="CK17" s="9" t="n">
        <v>0.73</v>
      </c>
      <c r="CL17" s="9" t="n">
        <v>0.24</v>
      </c>
      <c r="CM17" s="9" t="n">
        <v>0.04</v>
      </c>
      <c r="CN17" s="9" t="n">
        <v>1.01</v>
      </c>
      <c r="CO17" s="9" t="n">
        <v>0</v>
      </c>
      <c r="CP17" s="9" t="n">
        <v>21.098</v>
      </c>
      <c r="CQ17" s="9" t="n">
        <v>31.288</v>
      </c>
      <c r="CR17" s="9" t="n">
        <v>3</v>
      </c>
      <c r="CS17" s="9" t="n">
        <v>1</v>
      </c>
      <c r="CT17" s="9" t="n">
        <v>0.5</v>
      </c>
      <c r="CU17" s="9" t="n">
        <v>0.3</v>
      </c>
      <c r="CV17" s="9" t="n">
        <v>0.6</v>
      </c>
      <c r="CW17" s="9" t="n">
        <v>0.8</v>
      </c>
      <c r="CX17" s="9" t="n">
        <v>0.8</v>
      </c>
      <c r="CY17" s="9" t="n">
        <v>0.7</v>
      </c>
      <c r="CZ17" s="9" t="n">
        <v>0.5</v>
      </c>
      <c r="DA17" s="9" t="n">
        <v>0.5</v>
      </c>
      <c r="DB17" s="9" t="n">
        <v>1</v>
      </c>
      <c r="DC17" s="9" t="n">
        <v>0.3</v>
      </c>
      <c r="DD17" s="9" t="n">
        <v>0.8</v>
      </c>
      <c r="DE17" s="9" t="n">
        <v>0.3345373585140669</v>
      </c>
      <c r="DF17" s="9" t="n">
        <v>2</v>
      </c>
      <c r="DG17" s="9" t="n">
        <v>7.124</v>
      </c>
      <c r="DH17" s="9" t="n">
        <v>5.575</v>
      </c>
      <c r="DI17" s="9" t="n">
        <v>14.38774</v>
      </c>
      <c r="DJ17" s="9" t="n">
        <v>21.5981202937966</v>
      </c>
      <c r="DK17" s="9" t="n">
        <v>24.42726196992028</v>
      </c>
      <c r="DL17" s="9" t="n">
        <v>18.32221041868583</v>
      </c>
      <c r="DM17" s="9" t="n">
        <v>22.19941482233618</v>
      </c>
      <c r="DN17" s="9" t="n">
        <v>7.947</v>
      </c>
      <c r="DO17" s="9" t="n">
        <v>6.623</v>
      </c>
      <c r="DP17" s="9" t="n">
        <v>18.74784</v>
      </c>
      <c r="DQ17" s="9" t="n">
        <v>13.49474620847193</v>
      </c>
      <c r="DR17" s="9" t="n">
        <v>13.49474620847193</v>
      </c>
      <c r="DS17" s="9" t="n">
        <v>0.105</v>
      </c>
    </row>
    <row r="18">
      <c r="A18" s="9" t="inlineStr">
        <is>
          <t>BFA</t>
        </is>
      </c>
      <c r="B18" s="9" t="inlineStr">
        <is>
          <t>Burkina Faso</t>
        </is>
      </c>
      <c r="C18" s="9" t="n">
        <v>0.005</v>
      </c>
      <c r="D18" s="9" t="n">
        <v>0.005</v>
      </c>
      <c r="E18" s="9" t="n">
        <v>0.01</v>
      </c>
      <c r="F18" s="9" t="n">
        <v>0.005</v>
      </c>
      <c r="G18" s="9" t="n">
        <v>0.005</v>
      </c>
      <c r="H18" s="9" t="n">
        <v>0.01</v>
      </c>
      <c r="I18" s="9" t="n">
        <v>0.005</v>
      </c>
      <c r="J18" s="9" t="n">
        <v>0.005</v>
      </c>
      <c r="K18" s="9" t="n">
        <v>0.01</v>
      </c>
      <c r="L18" s="9" t="n">
        <v>0.01</v>
      </c>
      <c r="M18" s="9" t="n">
        <v>0.005</v>
      </c>
      <c r="N18" s="9" t="n">
        <v>0.005845</v>
      </c>
      <c r="O18" s="9" t="n">
        <v>0.027766</v>
      </c>
      <c r="P18" s="9" t="n">
        <v>0.276388</v>
      </c>
      <c r="Q18" s="9" t="n">
        <v>0.0450192102520459</v>
      </c>
      <c r="R18" s="9" t="n">
        <v>0.008664634052183399</v>
      </c>
      <c r="S18" s="9" t="n">
        <v>0.0541473740689458</v>
      </c>
      <c r="T18" s="9" t="n">
        <v>0.0172616515216647</v>
      </c>
      <c r="U18" s="9" t="n">
        <v>0.000259</v>
      </c>
      <c r="V18" s="9" t="n">
        <v>0.000103</v>
      </c>
      <c r="W18" s="9" t="n">
        <v>0.000497</v>
      </c>
      <c r="X18" s="9" t="n">
        <v>0.4890423190951413</v>
      </c>
      <c r="Y18" s="9" t="n">
        <v>0.4890423190951413</v>
      </c>
      <c r="Z18" s="9" t="n">
        <v>0.08833282846584679</v>
      </c>
      <c r="AA18" s="9" t="n">
        <v>0.4</v>
      </c>
      <c r="AB18" s="9" t="n">
        <v>0.21</v>
      </c>
      <c r="AC18" s="9" t="n">
        <v>0</v>
      </c>
      <c r="AD18" s="9" t="n">
        <v>0</v>
      </c>
      <c r="AE18" s="9" t="n">
        <v>0</v>
      </c>
      <c r="AF18" s="9" t="n">
        <v>5.914</v>
      </c>
      <c r="AG18" s="9" t="n">
        <v>0</v>
      </c>
      <c r="AH18" s="9" t="n">
        <v>0</v>
      </c>
      <c r="AI18" s="9" t="n">
        <v>0</v>
      </c>
      <c r="AJ18" s="9" t="n">
        <v>0</v>
      </c>
      <c r="AK18" s="9" t="n">
        <v>0</v>
      </c>
      <c r="AL18" s="9" t="n">
        <v>0</v>
      </c>
      <c r="AM18" s="9" t="n">
        <v>0</v>
      </c>
      <c r="AN18" s="9" t="n">
        <v>0</v>
      </c>
      <c r="AO18" s="9" t="n">
        <v>0</v>
      </c>
      <c r="AP18" s="9" t="n">
        <v>23.53357400635988</v>
      </c>
      <c r="AQ18" s="9" t="n">
        <v>21.83121147</v>
      </c>
      <c r="AR18" s="9" t="n">
        <v>23.2229512012125</v>
      </c>
      <c r="AS18" s="9" t="n">
        <v>22.58432004317915</v>
      </c>
      <c r="AT18" s="9" t="n">
        <v>9.875534606737046</v>
      </c>
      <c r="AU18" s="9" t="n">
        <v>9.043642911599999</v>
      </c>
      <c r="AV18" s="9" t="n">
        <v>8.678996020964071</v>
      </c>
      <c r="AW18" s="9" t="n">
        <v>9.416332861933077</v>
      </c>
      <c r="AX18" s="9" t="n">
        <v>1.723613385761416</v>
      </c>
      <c r="AY18" s="9" t="n">
        <v>1.5648416208</v>
      </c>
      <c r="AZ18" s="9" t="n">
        <v>1.514777104471753</v>
      </c>
      <c r="BA18" s="9" t="n">
        <v>1.643467215895414</v>
      </c>
      <c r="BB18" s="9" t="n">
        <v>23.80831707211253</v>
      </c>
      <c r="BC18" s="9" t="n">
        <v>23.03202786165735</v>
      </c>
      <c r="BD18" s="9" t="n">
        <v>22.42797222</v>
      </c>
      <c r="BE18" s="9" t="n">
        <v>22.79662157120537</v>
      </c>
      <c r="BF18" s="9" t="n">
        <v>0.0463100357418459</v>
      </c>
      <c r="BG18" s="9" t="n">
        <v>0.0426125495725855</v>
      </c>
      <c r="BH18" s="9" t="n">
        <v>0.0453290996078379</v>
      </c>
      <c r="BI18" s="9" t="n">
        <v>0.0440825493686223</v>
      </c>
      <c r="BJ18" s="9" t="n">
        <v>4.377730889519245</v>
      </c>
      <c r="BK18" s="9" t="n">
        <v>3.866938429999996</v>
      </c>
      <c r="BL18" s="9" t="n">
        <v>4.113455754912494</v>
      </c>
      <c r="BM18" s="9" t="n">
        <v>4.000335721652401</v>
      </c>
      <c r="BN18" s="9" t="n">
        <v>0</v>
      </c>
      <c r="BO18" s="9" t="n">
        <v>0</v>
      </c>
      <c r="BP18" s="9" t="n">
        <v>0</v>
      </c>
      <c r="BQ18" s="9" t="n">
        <v>0</v>
      </c>
      <c r="BR18" s="9" t="n">
        <v>0</v>
      </c>
      <c r="BS18" s="9" t="n">
        <v>0</v>
      </c>
      <c r="BT18" s="9" t="n">
        <v>0</v>
      </c>
      <c r="BU18" s="9" t="n">
        <v>0</v>
      </c>
      <c r="BV18" s="9" t="n">
        <v>0</v>
      </c>
      <c r="BW18" s="9" t="n">
        <v>25.0458307696966</v>
      </c>
      <c r="BX18" s="9" t="n">
        <v>24.62222305222415</v>
      </c>
      <c r="BY18" s="9" t="n">
        <v>24.94628058156666</v>
      </c>
      <c r="BZ18" s="9" t="n">
        <v>24.41736725845814</v>
      </c>
      <c r="CA18" s="9" t="n">
        <v>0.8076430005496927</v>
      </c>
      <c r="CB18" s="9" t="n">
        <v>3.221985553471795</v>
      </c>
      <c r="CC18" s="9" t="n">
        <v>0.955</v>
      </c>
      <c r="CD18" s="9" t="n">
        <v>-0.322963885716924</v>
      </c>
      <c r="CE18" s="9" t="n">
        <v>4.995</v>
      </c>
      <c r="CF18" s="9" t="n">
        <v>4.858</v>
      </c>
      <c r="CG18" s="9" t="n">
        <v>23.13</v>
      </c>
      <c r="CH18" s="9" t="n">
        <v>0.18</v>
      </c>
      <c r="CI18" s="9" t="n">
        <v>0</v>
      </c>
      <c r="CJ18" s="9" t="n">
        <v>1.4</v>
      </c>
      <c r="CK18" s="9" t="n">
        <v>0</v>
      </c>
      <c r="CL18" s="9" t="n">
        <v>1.4</v>
      </c>
      <c r="CM18" s="9" t="n">
        <v>0.11</v>
      </c>
      <c r="CN18" s="9" t="n">
        <v>1.69</v>
      </c>
      <c r="CO18" s="9" t="n">
        <v>0</v>
      </c>
      <c r="CP18" s="9" t="n">
        <v>37.307</v>
      </c>
      <c r="CQ18" s="9" t="n">
        <v>60.204</v>
      </c>
      <c r="CR18" s="9" t="n">
        <v>3</v>
      </c>
      <c r="CS18" s="9" t="n">
        <v>1</v>
      </c>
      <c r="CT18" s="9" t="n">
        <v>0.5</v>
      </c>
      <c r="CU18" s="9" t="n">
        <v>0.3</v>
      </c>
      <c r="CV18" s="9" t="n">
        <v>0.6</v>
      </c>
      <c r="CW18" s="9" t="n">
        <v>0.8</v>
      </c>
      <c r="CX18" s="9" t="n">
        <v>0.8</v>
      </c>
      <c r="CY18" s="9" t="n">
        <v>0.7</v>
      </c>
      <c r="CZ18" s="9" t="n">
        <v>0.5</v>
      </c>
      <c r="DA18" s="9" t="n">
        <v>0.5</v>
      </c>
      <c r="DB18" s="9" t="n">
        <v>1</v>
      </c>
      <c r="DC18" s="9" t="n">
        <v>0.3</v>
      </c>
      <c r="DD18" s="9" t="n">
        <v>0.8</v>
      </c>
      <c r="DE18" s="9" t="n">
        <v>0.338682753975459</v>
      </c>
      <c r="DF18" s="9" t="n">
        <v>2</v>
      </c>
      <c r="DG18" s="9" t="n">
        <v>7.124</v>
      </c>
      <c r="DH18" s="9" t="n">
        <v>5.575</v>
      </c>
      <c r="DI18" s="9" t="n">
        <v>14.38774</v>
      </c>
      <c r="DJ18" s="9" t="n">
        <v>21.27486144996178</v>
      </c>
      <c r="DK18" s="9" t="n">
        <v>24.43026456587896</v>
      </c>
      <c r="DL18" s="9" t="n">
        <v>15.93773914308902</v>
      </c>
      <c r="DM18" s="9" t="n">
        <v>22.04852083487713</v>
      </c>
      <c r="DN18" s="9" t="n">
        <v>6.998</v>
      </c>
      <c r="DO18" s="9" t="n">
        <v>5.675</v>
      </c>
      <c r="DP18" s="9" t="n">
        <v>17.6292</v>
      </c>
      <c r="DQ18" s="9" t="n">
        <v>13.49474620847193</v>
      </c>
      <c r="DR18" s="9" t="n">
        <v>13.49474620847193</v>
      </c>
      <c r="DS18" s="9" t="n">
        <v>0.07916000000000011</v>
      </c>
    </row>
    <row r="19">
      <c r="A19" s="9" t="inlineStr">
        <is>
          <t>BGD</t>
        </is>
      </c>
      <c r="B19" s="9" t="inlineStr">
        <is>
          <t>Bangladesh</t>
        </is>
      </c>
      <c r="C19" s="9" t="n">
        <v>0.005</v>
      </c>
      <c r="D19" s="9" t="n">
        <v>0.005</v>
      </c>
      <c r="E19" s="9" t="n">
        <v>0.01</v>
      </c>
      <c r="F19" s="9" t="n">
        <v>0.005</v>
      </c>
      <c r="G19" s="9" t="n">
        <v>0.005</v>
      </c>
      <c r="H19" s="9" t="n">
        <v>0.01</v>
      </c>
      <c r="I19" s="9" t="n">
        <v>0.005</v>
      </c>
      <c r="J19" s="9" t="n">
        <v>0.005</v>
      </c>
      <c r="K19" s="9" t="n">
        <v>0.01</v>
      </c>
      <c r="L19" s="9" t="n">
        <v>0.01</v>
      </c>
      <c r="M19" s="9" t="n">
        <v>0.005</v>
      </c>
      <c r="N19" s="9" t="n">
        <v>54.007956</v>
      </c>
      <c r="O19" s="9" t="n">
        <v>1.242126</v>
      </c>
      <c r="P19" s="9" t="n">
        <v>20.859483</v>
      </c>
      <c r="Q19" s="9" t="n">
        <v>18.14992764482498</v>
      </c>
      <c r="R19" s="9" t="n">
        <v>4.917537276513923</v>
      </c>
      <c r="S19" s="9" t="n">
        <v>21.24579774598378</v>
      </c>
      <c r="T19" s="9" t="n">
        <v>7.070256092589462</v>
      </c>
      <c r="U19" s="9" t="n">
        <v>0.6941040000000001</v>
      </c>
      <c r="V19" s="9" t="n">
        <v>0.079822</v>
      </c>
      <c r="W19" s="9" t="n">
        <v>0.028342</v>
      </c>
      <c r="X19" s="9" t="n">
        <v>27.54198313106204</v>
      </c>
      <c r="Y19" s="9" t="n">
        <v>27.54198313106204</v>
      </c>
      <c r="Z19" s="9" t="n">
        <v>1.720298065004489</v>
      </c>
      <c r="AA19" s="9" t="n">
        <v>28.24</v>
      </c>
      <c r="AB19" s="9" t="n">
        <v>1.15</v>
      </c>
      <c r="AC19" s="9" t="n">
        <v>0.06</v>
      </c>
      <c r="AD19" s="9" t="n">
        <v>0</v>
      </c>
      <c r="AE19" s="9" t="n">
        <v>0</v>
      </c>
      <c r="AF19" s="9" t="n">
        <v>130.798</v>
      </c>
      <c r="AG19" s="9" t="n">
        <v>98.45763380160642</v>
      </c>
      <c r="AH19" s="9" t="n">
        <v>83.61024946199998</v>
      </c>
      <c r="AI19" s="9" t="n">
        <v>91.39354397858412</v>
      </c>
      <c r="AJ19" s="9" t="n">
        <v>88.9563828058219</v>
      </c>
      <c r="AK19" s="9" t="n">
        <v>222.0088949255536</v>
      </c>
      <c r="AL19" s="9" t="n">
        <v>0</v>
      </c>
      <c r="AM19" s="9" t="n">
        <v>0</v>
      </c>
      <c r="AN19" s="9" t="n">
        <v>0</v>
      </c>
      <c r="AO19" s="9" t="n">
        <v>0</v>
      </c>
      <c r="AP19" s="9" t="n">
        <v>134.3503216882145</v>
      </c>
      <c r="AQ19" s="9" t="n">
        <v>114.52013725</v>
      </c>
      <c r="AR19" s="9" t="n">
        <v>125.1808392815314</v>
      </c>
      <c r="AS19" s="9" t="n">
        <v>121.8426835673572</v>
      </c>
      <c r="AT19" s="9" t="n">
        <v>312.3231486099312</v>
      </c>
      <c r="AU19" s="9" t="n">
        <v>180.2461319532</v>
      </c>
      <c r="AV19" s="9" t="n">
        <v>212.6275794590538</v>
      </c>
      <c r="AW19" s="9" t="n">
        <v>244.2662921166577</v>
      </c>
      <c r="AX19" s="9" t="n">
        <v>250.2930771116624</v>
      </c>
      <c r="AY19" s="9" t="n">
        <v>145.1661782328</v>
      </c>
      <c r="AZ19" s="9" t="n">
        <v>170.37615959089</v>
      </c>
      <c r="BA19" s="9" t="n">
        <v>195.7248589620311</v>
      </c>
      <c r="BB19" s="9" t="n">
        <v>31.41816266747568</v>
      </c>
      <c r="BC19" s="9" t="n">
        <v>26.85906083910533</v>
      </c>
      <c r="BD19" s="9" t="n">
        <v>37.39187005338501</v>
      </c>
      <c r="BE19" s="9" t="n">
        <v>32.24954345948557</v>
      </c>
      <c r="BF19" s="9" t="n">
        <v>6.564263967935367</v>
      </c>
      <c r="BG19" s="9" t="n">
        <v>5.447419943473011</v>
      </c>
      <c r="BH19" s="9" t="n">
        <v>5.954521334132475</v>
      </c>
      <c r="BI19" s="9" t="n">
        <v>5.795734098555608</v>
      </c>
      <c r="BJ19" s="9" t="n">
        <v>0.6398044482778998</v>
      </c>
      <c r="BK19" s="9" t="n">
        <v>0.5672283848156172</v>
      </c>
      <c r="BL19" s="9" t="n">
        <v>0.6200317863793552</v>
      </c>
      <c r="BM19" s="9" t="n">
        <v>0.603497605409239</v>
      </c>
      <c r="BN19" s="9" t="n">
        <v>268.0967958280919</v>
      </c>
      <c r="BO19" s="9" t="n">
        <v>219.747379968</v>
      </c>
      <c r="BP19" s="9" t="n">
        <v>240.2037066569427</v>
      </c>
      <c r="BQ19" s="9" t="n">
        <v>233.7982744794242</v>
      </c>
      <c r="BR19" s="9" t="n">
        <v>936.8096610694868</v>
      </c>
      <c r="BS19" s="9" t="n">
        <v>162.4182901752545</v>
      </c>
      <c r="BT19" s="9" t="n">
        <v>138.7028308536</v>
      </c>
      <c r="BU19" s="9" t="n">
        <v>151.6147045743951</v>
      </c>
      <c r="BV19" s="9" t="n">
        <v>147.5716457857446</v>
      </c>
      <c r="BW19" s="9" t="n">
        <v>96.87357107832344</v>
      </c>
      <c r="BX19" s="9" t="n">
        <v>274.0195648155676</v>
      </c>
      <c r="BY19" s="9" t="n">
        <v>84.44184142112603</v>
      </c>
      <c r="BZ19" s="9" t="n">
        <v>82.15191680375074</v>
      </c>
      <c r="CA19" s="9" t="n">
        <v>0.5878768927084286</v>
      </c>
      <c r="CB19" s="9" t="n">
        <v>156.2822849226649</v>
      </c>
      <c r="CC19" s="9" t="n">
        <v>2.547</v>
      </c>
      <c r="CD19" s="9" t="n">
        <v>0.1720074415209049</v>
      </c>
      <c r="CE19" s="9" t="n">
        <v>3.49</v>
      </c>
      <c r="CF19" s="9" t="n">
        <v>4.693</v>
      </c>
      <c r="CG19" s="9" t="n">
        <v>450.461</v>
      </c>
      <c r="CH19" s="9" t="n">
        <v>0.65</v>
      </c>
      <c r="CI19" s="9" t="n">
        <v>22.24</v>
      </c>
      <c r="CJ19" s="9" t="n">
        <v>101.19</v>
      </c>
      <c r="CK19" s="9" t="n">
        <v>66.48</v>
      </c>
      <c r="CL19" s="9" t="n">
        <v>12.47</v>
      </c>
      <c r="CM19" s="9" t="n">
        <v>1.56</v>
      </c>
      <c r="CN19" s="9" t="n">
        <v>103.33</v>
      </c>
      <c r="CO19" s="9" t="n">
        <v>0</v>
      </c>
      <c r="CP19" s="9" t="n">
        <v>309.657</v>
      </c>
      <c r="CQ19" s="9" t="n">
        <v>326.847</v>
      </c>
      <c r="CR19" s="9" t="n">
        <v>3</v>
      </c>
      <c r="CS19" s="9" t="n">
        <v>2</v>
      </c>
      <c r="CT19" s="9" t="n">
        <v>0.5</v>
      </c>
      <c r="CU19" s="9" t="n">
        <v>0.3</v>
      </c>
      <c r="CV19" s="9" t="n">
        <v>0.6</v>
      </c>
      <c r="CW19" s="9" t="n">
        <v>0.8</v>
      </c>
      <c r="CX19" s="9" t="n">
        <v>0.8</v>
      </c>
      <c r="CY19" s="9" t="n">
        <v>0.7</v>
      </c>
      <c r="CZ19" s="9" t="n">
        <v>0.5</v>
      </c>
      <c r="DA19" s="9" t="n">
        <v>0.5</v>
      </c>
      <c r="DB19" s="9" t="n">
        <v>1</v>
      </c>
      <c r="DC19" s="9" t="n">
        <v>0.3</v>
      </c>
      <c r="DD19" s="9" t="n">
        <v>0.8</v>
      </c>
      <c r="DE19" s="9" t="n">
        <v>0.2686517405428487</v>
      </c>
      <c r="DF19" s="9" t="n">
        <v>2</v>
      </c>
      <c r="DG19" s="9" t="n">
        <v>6.683</v>
      </c>
      <c r="DH19" s="9" t="n">
        <v>4.506</v>
      </c>
      <c r="DI19" s="9" t="n">
        <v>12.34525</v>
      </c>
      <c r="DJ19" s="9" t="n">
        <v>20.04408611405385</v>
      </c>
      <c r="DK19" s="9" t="n">
        <v>23.6473877129198</v>
      </c>
      <c r="DL19" s="9" t="n">
        <v>19.80962077055627</v>
      </c>
      <c r="DM19" s="9" t="n">
        <v>22.75046880327274</v>
      </c>
      <c r="DN19" s="9" t="n">
        <v>4.869</v>
      </c>
      <c r="DO19" s="9" t="n">
        <v>4.036</v>
      </c>
      <c r="DP19" s="9" t="n">
        <v>11.34935</v>
      </c>
      <c r="DQ19" s="9" t="n">
        <v>14.11516989415954</v>
      </c>
      <c r="DR19" s="9" t="n">
        <v>14.11516989415954</v>
      </c>
      <c r="DS19" s="9" t="n">
        <v>0.08936000000000011</v>
      </c>
    </row>
    <row r="20">
      <c r="A20" s="9" t="inlineStr">
        <is>
          <t>BGR</t>
        </is>
      </c>
      <c r="B20" s="9" t="inlineStr">
        <is>
          <t>Bulgaria</t>
        </is>
      </c>
      <c r="C20" s="9" t="n">
        <v>0.005</v>
      </c>
      <c r="D20" s="9" t="n">
        <v>0.005</v>
      </c>
      <c r="E20" s="9" t="n">
        <v>0.01</v>
      </c>
      <c r="F20" s="9" t="n">
        <v>0.005</v>
      </c>
      <c r="G20" s="9" t="n">
        <v>0.005</v>
      </c>
      <c r="H20" s="9" t="n">
        <v>0.01</v>
      </c>
      <c r="I20" s="9" t="n">
        <v>0.005</v>
      </c>
      <c r="J20" s="9" t="n">
        <v>0.005</v>
      </c>
      <c r="K20" s="9" t="n">
        <v>0.01</v>
      </c>
      <c r="L20" s="9" t="n">
        <v>0.01</v>
      </c>
      <c r="M20" s="9" t="n">
        <v>0.005</v>
      </c>
      <c r="N20" s="9" t="n">
        <v>31.510909</v>
      </c>
      <c r="O20" s="9" t="n">
        <v>3.687729</v>
      </c>
      <c r="P20" s="9" t="n">
        <v>95.273826</v>
      </c>
      <c r="Q20" s="9" t="n">
        <v>19.89312830957558</v>
      </c>
      <c r="R20" s="9" t="n">
        <v>2.101474017250343</v>
      </c>
      <c r="S20" s="9" t="n">
        <v>8.495786569547626</v>
      </c>
      <c r="T20" s="9" t="n">
        <v>8.322094335077473</v>
      </c>
      <c r="U20" s="9" t="n">
        <v>1.825269</v>
      </c>
      <c r="V20" s="9" t="n">
        <v>0.000445</v>
      </c>
      <c r="W20" s="9" t="n">
        <v>0.614313</v>
      </c>
      <c r="X20" s="9" t="n">
        <v>15.98859551868109</v>
      </c>
      <c r="Y20" s="9" t="n">
        <v>15.98859551868109</v>
      </c>
      <c r="Z20" s="9" t="n">
        <v>0.4329339717337768</v>
      </c>
      <c r="AA20" s="9" t="n">
        <v>5.84</v>
      </c>
      <c r="AB20" s="9" t="n">
        <v>5.91</v>
      </c>
      <c r="AC20" s="9" t="n">
        <v>0.71</v>
      </c>
      <c r="AD20" s="9" t="n">
        <v>0</v>
      </c>
      <c r="AE20" s="9" t="n">
        <v>0</v>
      </c>
      <c r="AF20" s="9" t="n">
        <v>47.89</v>
      </c>
      <c r="AG20" s="9" t="n">
        <v>13.77199108792905</v>
      </c>
      <c r="AH20" s="9" t="n">
        <v>10.3866678684</v>
      </c>
      <c r="AI20" s="9" t="n">
        <v>13.17939167735581</v>
      </c>
      <c r="AJ20" s="9" t="n">
        <v>11.87702450891447</v>
      </c>
      <c r="AK20" s="9" t="n">
        <v>159.2036345674178</v>
      </c>
      <c r="AL20" s="9" t="n">
        <v>7.456980563031818</v>
      </c>
      <c r="AM20" s="9" t="n">
        <v>6.3443166552</v>
      </c>
      <c r="AN20" s="9" t="n">
        <v>8.05014997913214</v>
      </c>
      <c r="AO20" s="9" t="n">
        <v>7.254646568161815</v>
      </c>
      <c r="AP20" s="9" t="n">
        <v>108.4162345347787</v>
      </c>
      <c r="AQ20" s="9" t="n">
        <v>91.01590487</v>
      </c>
      <c r="AR20" s="9" t="n">
        <v>115.4878806513206</v>
      </c>
      <c r="AS20" s="9" t="n">
        <v>104.0755463194125</v>
      </c>
      <c r="AT20" s="9" t="n">
        <v>82.81954274735391</v>
      </c>
      <c r="AU20" s="9" t="n">
        <v>68.45928370919999</v>
      </c>
      <c r="AV20" s="9" t="n">
        <v>86.15318470908473</v>
      </c>
      <c r="AW20" s="9" t="n">
        <v>82.85335406610204</v>
      </c>
      <c r="AX20" s="9" t="n">
        <v>52.16883539927019</v>
      </c>
      <c r="AY20" s="9" t="n">
        <v>43.0318592244</v>
      </c>
      <c r="AZ20" s="9" t="n">
        <v>54.26313340580964</v>
      </c>
      <c r="BA20" s="9" t="n">
        <v>52.19656360779064</v>
      </c>
      <c r="BB20" s="9" t="n">
        <v>24.94609217600449</v>
      </c>
      <c r="BC20" s="9" t="n">
        <v>21.00382083990673</v>
      </c>
      <c r="BD20" s="9" t="n">
        <v>21.96253942548352</v>
      </c>
      <c r="BE20" s="9" t="n">
        <v>24.02042753670719</v>
      </c>
      <c r="BF20" s="9" t="n">
        <v>0</v>
      </c>
      <c r="BG20" s="9" t="n">
        <v>0</v>
      </c>
      <c r="BH20" s="9" t="n">
        <v>0</v>
      </c>
      <c r="BI20" s="9" t="n">
        <v>0</v>
      </c>
      <c r="BJ20" s="9" t="n">
        <v>0.9546722785449498</v>
      </c>
      <c r="BK20" s="9" t="n">
        <v>0.8620086999999991</v>
      </c>
      <c r="BL20" s="9" t="n">
        <v>1.093781993467972</v>
      </c>
      <c r="BM20" s="9" t="n">
        <v>0.9856961430282648</v>
      </c>
      <c r="BN20" s="9" t="n">
        <v>72.41095146954086</v>
      </c>
      <c r="BO20" s="9" t="n">
        <v>48.91605912</v>
      </c>
      <c r="BP20" s="9" t="n">
        <v>62.06840447999058</v>
      </c>
      <c r="BQ20" s="9" t="n">
        <v>55.93490043282234</v>
      </c>
      <c r="BR20" s="9" t="n">
        <v>93.80078609945828</v>
      </c>
      <c r="BS20" s="9" t="n">
        <v>22.65378342918187</v>
      </c>
      <c r="BT20" s="9" t="n">
        <v>15.2269226784</v>
      </c>
      <c r="BU20" s="9" t="n">
        <v>19.32107395385111</v>
      </c>
      <c r="BV20" s="9" t="n">
        <v>17.41179521075427</v>
      </c>
      <c r="BW20" s="9" t="n">
        <v>68.81046127463684</v>
      </c>
      <c r="BX20" s="9" t="n">
        <v>54.20969890372131</v>
      </c>
      <c r="BY20" s="9" t="n">
        <v>80.2519525961735</v>
      </c>
      <c r="BZ20" s="9" t="n">
        <v>69.41396000109842</v>
      </c>
      <c r="CA20" s="9" t="n">
        <v>0.9995787609128636</v>
      </c>
      <c r="CB20" s="9" t="n">
        <v>37.49677170739558</v>
      </c>
      <c r="CC20" s="9" t="n">
        <v>0.292</v>
      </c>
      <c r="CD20" s="9" t="n">
        <v>6.681058950341489</v>
      </c>
      <c r="CE20" s="9" t="n">
        <v>3.096</v>
      </c>
      <c r="CF20" s="9" t="n">
        <v>2.773</v>
      </c>
      <c r="CG20" s="9" t="n">
        <v>113.364</v>
      </c>
      <c r="CH20" s="9" t="n">
        <v>19.09</v>
      </c>
      <c r="CI20" s="9" t="n">
        <v>8.550000000000001</v>
      </c>
      <c r="CJ20" s="9" t="n">
        <v>10.66</v>
      </c>
      <c r="CK20" s="9" t="n">
        <v>1.85</v>
      </c>
      <c r="CL20" s="9" t="n">
        <v>0.26</v>
      </c>
      <c r="CM20" s="9" t="n">
        <v>6.91</v>
      </c>
      <c r="CN20" s="9" t="n">
        <v>37.98</v>
      </c>
      <c r="CO20" s="9" t="n">
        <v>1.32</v>
      </c>
      <c r="CP20" s="9" t="n">
        <v>59.772</v>
      </c>
      <c r="CQ20" s="9" t="n">
        <v>50.266</v>
      </c>
      <c r="CR20" s="9" t="n">
        <v>3</v>
      </c>
      <c r="CS20" s="9" t="n">
        <v>3</v>
      </c>
      <c r="CT20" s="9" t="n">
        <v>0.5</v>
      </c>
      <c r="CU20" s="9" t="n">
        <v>0.3</v>
      </c>
      <c r="CV20" s="9" t="n">
        <v>0.6</v>
      </c>
      <c r="CW20" s="9" t="n">
        <v>0.8</v>
      </c>
      <c r="CX20" s="9" t="n">
        <v>0.8</v>
      </c>
      <c r="CY20" s="9" t="n">
        <v>0.7</v>
      </c>
      <c r="CZ20" s="9" t="n">
        <v>0.5</v>
      </c>
      <c r="DA20" s="9" t="n">
        <v>0.5</v>
      </c>
      <c r="DB20" s="9" t="n">
        <v>1</v>
      </c>
      <c r="DC20" s="9" t="n">
        <v>0.3</v>
      </c>
      <c r="DD20" s="9" t="n">
        <v>0.8</v>
      </c>
      <c r="DE20" s="9" t="n">
        <v>0.4482190090977025</v>
      </c>
      <c r="DF20" s="9" t="n">
        <v>3</v>
      </c>
      <c r="DG20" s="9" t="n">
        <v>6.545</v>
      </c>
      <c r="DH20" s="9" t="n">
        <v>6.181</v>
      </c>
      <c r="DI20" s="9" t="n">
        <v>6.7128</v>
      </c>
      <c r="DJ20" s="9" t="n">
        <v>21.66252538195944</v>
      </c>
      <c r="DK20" s="9" t="n">
        <v>24.84385071207278</v>
      </c>
      <c r="DL20" s="9" t="n">
        <v>15.65611451797798</v>
      </c>
      <c r="DM20" s="9" t="n">
        <v>20.08084772231991</v>
      </c>
      <c r="DN20" s="9" t="n">
        <v>12.466</v>
      </c>
      <c r="DO20" s="9" t="n">
        <v>12.466</v>
      </c>
      <c r="DP20" s="9" t="n">
        <v>19.4856</v>
      </c>
      <c r="DQ20" s="9" t="n">
        <v>13.49474620847193</v>
      </c>
      <c r="DR20" s="9" t="n">
        <v>13.49474620847193</v>
      </c>
      <c r="DS20" s="9" t="n">
        <v>0.0911</v>
      </c>
    </row>
    <row r="21">
      <c r="A21" s="9" t="inlineStr">
        <is>
          <t>BHR</t>
        </is>
      </c>
      <c r="B21" s="9" t="inlineStr">
        <is>
          <t>Bahrain</t>
        </is>
      </c>
      <c r="C21" s="9" t="n">
        <v>0.005</v>
      </c>
      <c r="D21" s="9" t="n">
        <v>0.005</v>
      </c>
      <c r="E21" s="9" t="n">
        <v>0.01</v>
      </c>
      <c r="F21" s="9" t="n">
        <v>0.005</v>
      </c>
      <c r="G21" s="9" t="n">
        <v>0.005</v>
      </c>
      <c r="H21" s="9" t="n">
        <v>0.01</v>
      </c>
      <c r="I21" s="9" t="n">
        <v>0.005</v>
      </c>
      <c r="J21" s="9" t="n">
        <v>0.005</v>
      </c>
      <c r="K21" s="9" t="n">
        <v>0.01</v>
      </c>
      <c r="L21" s="9" t="n">
        <v>0.01</v>
      </c>
      <c r="M21" s="9" t="n">
        <v>0.005</v>
      </c>
      <c r="N21" s="9" t="n">
        <v>3.435224</v>
      </c>
      <c r="O21" s="9" t="n">
        <v>1.192033</v>
      </c>
      <c r="P21" s="9" t="n">
        <v>7.125465</v>
      </c>
      <c r="Q21" s="9" t="n">
        <v>6.437720252933421</v>
      </c>
      <c r="R21" s="9" t="n">
        <v>1.355829354178784</v>
      </c>
      <c r="S21" s="9" t="n">
        <v>1.056456593869648</v>
      </c>
      <c r="T21" s="9" t="n">
        <v>1.39260798040289</v>
      </c>
      <c r="U21" s="9" t="n">
        <v>0.214823</v>
      </c>
      <c r="V21" s="9" t="n">
        <v>0.006999</v>
      </c>
      <c r="W21" s="9" t="n">
        <v>0.013308</v>
      </c>
      <c r="X21" s="9" t="n">
        <v>4.736150253182237</v>
      </c>
      <c r="Y21" s="9" t="n">
        <v>4.736150253182237</v>
      </c>
      <c r="Z21" s="9" t="n">
        <v>0.1802936805824742</v>
      </c>
      <c r="AA21" s="9" t="n">
        <v>9.279999999999999</v>
      </c>
      <c r="AB21" s="9" t="n">
        <v>0.07000000000000001</v>
      </c>
      <c r="AC21" s="9" t="n">
        <v>0</v>
      </c>
      <c r="AD21" s="9" t="n">
        <v>2.6</v>
      </c>
      <c r="AE21" s="9" t="n">
        <v>2.462178778895121</v>
      </c>
      <c r="AF21" s="9" t="n">
        <v>39.42</v>
      </c>
      <c r="AG21" s="9" t="n">
        <v>0</v>
      </c>
      <c r="AH21" s="9" t="n">
        <v>0</v>
      </c>
      <c r="AI21" s="9" t="n">
        <v>0</v>
      </c>
      <c r="AJ21" s="9" t="n">
        <v>0</v>
      </c>
      <c r="AK21" s="9" t="n">
        <v>0</v>
      </c>
      <c r="AL21" s="9" t="n">
        <v>0</v>
      </c>
      <c r="AM21" s="9" t="n">
        <v>0</v>
      </c>
      <c r="AN21" s="9" t="n">
        <v>0</v>
      </c>
      <c r="AO21" s="9" t="n">
        <v>0</v>
      </c>
      <c r="AP21" s="9" t="n">
        <v>13.32662334631981</v>
      </c>
      <c r="AQ21" s="9" t="n">
        <v>12.25182397</v>
      </c>
      <c r="AR21" s="9" t="n">
        <v>12.33350279646667</v>
      </c>
      <c r="AS21" s="9" t="n">
        <v>13.09711411158124</v>
      </c>
      <c r="AT21" s="9" t="n">
        <v>106.2026744231156</v>
      </c>
      <c r="AU21" s="9" t="n">
        <v>89.42424928199999</v>
      </c>
      <c r="AV21" s="9" t="n">
        <v>93.83611747684446</v>
      </c>
      <c r="AW21" s="9" t="n">
        <v>103.3181500048312</v>
      </c>
      <c r="AX21" s="9" t="n">
        <v>36.45303956181742</v>
      </c>
      <c r="AY21" s="9" t="n">
        <v>30.876226488</v>
      </c>
      <c r="AZ21" s="9" t="n">
        <v>32.20833864393008</v>
      </c>
      <c r="BA21" s="9" t="n">
        <v>35.4629544880854</v>
      </c>
      <c r="BB21" s="9" t="n">
        <v>39.80818250002955</v>
      </c>
      <c r="BC21" s="9" t="n">
        <v>32.49581601195005</v>
      </c>
      <c r="BD21" s="9" t="n">
        <v>40.90469902</v>
      </c>
      <c r="BE21" s="9" t="n">
        <v>38.84475111574147</v>
      </c>
      <c r="BF21" s="9" t="n">
        <v>0</v>
      </c>
      <c r="BG21" s="9" t="n">
        <v>0</v>
      </c>
      <c r="BH21" s="9" t="n">
        <v>0</v>
      </c>
      <c r="BI21" s="9" t="n">
        <v>0</v>
      </c>
      <c r="BJ21" s="9" t="n">
        <v>3.681062826124605</v>
      </c>
      <c r="BK21" s="9" t="n">
        <v>3.370192979999993</v>
      </c>
      <c r="BL21" s="9" t="n">
        <v>3.392660933199994</v>
      </c>
      <c r="BM21" s="9" t="n">
        <v>3.60271271813824</v>
      </c>
      <c r="BN21" s="9" t="n">
        <v>99.20311549687553</v>
      </c>
      <c r="BO21" s="9" t="n">
        <v>89.58228423480001</v>
      </c>
      <c r="BP21" s="9" t="n">
        <v>90.179499463032</v>
      </c>
      <c r="BQ21" s="9" t="n">
        <v>95.76283513966293</v>
      </c>
      <c r="BR21" s="9" t="n">
        <v>427.8342825729578</v>
      </c>
      <c r="BS21" s="9" t="n">
        <v>0.0493318068846733</v>
      </c>
      <c r="BT21" s="9" t="n">
        <v>0.044547552</v>
      </c>
      <c r="BU21" s="9" t="n">
        <v>0.0448445356799999</v>
      </c>
      <c r="BV21" s="9" t="n">
        <v>0.0476210214384592</v>
      </c>
      <c r="BW21" s="9" t="n">
        <v>7.694627106683782</v>
      </c>
      <c r="BX21" s="9" t="n">
        <v>6.996959522341009</v>
      </c>
      <c r="BY21" s="9" t="n">
        <v>7.011050411341639</v>
      </c>
      <c r="BZ21" s="9" t="n">
        <v>7.445129643599393</v>
      </c>
      <c r="CA21" s="9" t="n">
        <v>0.3010040452016166</v>
      </c>
      <c r="CB21" s="9" t="n">
        <v>39.62658721803693</v>
      </c>
      <c r="CC21" s="9" t="n">
        <v>6.783</v>
      </c>
      <c r="CD21" s="9" t="n">
        <v>0.0485151024301984</v>
      </c>
      <c r="CE21" s="9" t="n">
        <v>3.109</v>
      </c>
      <c r="CF21" s="9" t="n">
        <v>-0.499</v>
      </c>
      <c r="CG21" s="9" t="n">
        <v>47.21</v>
      </c>
      <c r="CH21" s="9" t="n">
        <v>0</v>
      </c>
      <c r="CI21" s="9" t="n">
        <v>0</v>
      </c>
      <c r="CJ21" s="9" t="n">
        <v>37.85</v>
      </c>
      <c r="CK21" s="9" t="n">
        <v>37.85</v>
      </c>
      <c r="CL21" s="9" t="n">
        <v>0</v>
      </c>
      <c r="CM21" s="9" t="n">
        <v>0.1</v>
      </c>
      <c r="CN21" s="9" t="n">
        <v>37.95</v>
      </c>
      <c r="CO21" s="9" t="n">
        <v>0</v>
      </c>
      <c r="CP21" s="9" t="n">
        <v>74.727</v>
      </c>
      <c r="CQ21" s="9" t="n">
        <v>74.724</v>
      </c>
      <c r="CR21" s="9" t="n">
        <v>3</v>
      </c>
      <c r="CS21" s="9" t="n">
        <v>4</v>
      </c>
      <c r="CT21" s="9" t="n">
        <v>0.5</v>
      </c>
      <c r="CU21" s="9" t="n">
        <v>0.3</v>
      </c>
      <c r="CV21" s="9" t="n">
        <v>0.6</v>
      </c>
      <c r="CW21" s="9" t="n">
        <v>0.8</v>
      </c>
      <c r="CX21" s="9" t="n">
        <v>0.8</v>
      </c>
      <c r="CY21" s="9" t="n">
        <v>0.7</v>
      </c>
      <c r="CZ21" s="9" t="n">
        <v>0.5</v>
      </c>
      <c r="DA21" s="9" t="n">
        <v>0.5</v>
      </c>
      <c r="DB21" s="9" t="n">
        <v>1</v>
      </c>
      <c r="DC21" s="9" t="n">
        <v>0.3</v>
      </c>
      <c r="DD21" s="9" t="n">
        <v>0.8</v>
      </c>
      <c r="DE21" s="9" t="n">
        <v>0.4420163661217535</v>
      </c>
      <c r="DF21" s="9" t="n">
        <v>2</v>
      </c>
      <c r="DG21" s="9" t="n">
        <v>7.124</v>
      </c>
      <c r="DH21" s="9" t="n">
        <v>5.575</v>
      </c>
      <c r="DI21" s="9" t="n">
        <v>13.4123</v>
      </c>
      <c r="DJ21" s="9" t="n">
        <v>20.55610924625937</v>
      </c>
      <c r="DK21" s="9" t="n">
        <v>22.64815237402394</v>
      </c>
      <c r="DL21" s="9" t="n">
        <v>17.27205865604339</v>
      </c>
      <c r="DM21" s="9" t="n">
        <v>21.76131798573915</v>
      </c>
      <c r="DN21" s="9" t="n">
        <v>3.684</v>
      </c>
      <c r="DO21" s="9" t="n">
        <v>3.022</v>
      </c>
      <c r="DP21" s="9" t="n">
        <v>8.420500000000001</v>
      </c>
      <c r="DQ21" s="9" t="n">
        <v>14.11516989415954</v>
      </c>
      <c r="DR21" s="9" t="n">
        <v>14.11516989415954</v>
      </c>
      <c r="DS21" s="9" t="n">
        <v>0.105</v>
      </c>
    </row>
    <row r="22">
      <c r="A22" s="9" t="inlineStr">
        <is>
          <t>BHS</t>
        </is>
      </c>
      <c r="B22" s="9" t="inlineStr">
        <is>
          <t>Bahamas, The</t>
        </is>
      </c>
      <c r="C22" s="9" t="n">
        <v>0.005</v>
      </c>
      <c r="D22" s="9" t="n">
        <v>0.005</v>
      </c>
      <c r="E22" s="9" t="n">
        <v>0.01</v>
      </c>
      <c r="F22" s="9" t="n">
        <v>0.005</v>
      </c>
      <c r="G22" s="9" t="n">
        <v>0.005</v>
      </c>
      <c r="H22" s="9" t="n">
        <v>0.01</v>
      </c>
      <c r="I22" s="9" t="n">
        <v>0.005</v>
      </c>
      <c r="J22" s="9" t="n">
        <v>0.005</v>
      </c>
      <c r="K22" s="9" t="n">
        <v>0.01</v>
      </c>
      <c r="L22" s="9" t="n">
        <v>0.01</v>
      </c>
      <c r="M22" s="9" t="n">
        <v>0.005</v>
      </c>
      <c r="N22" s="9" t="n">
        <v>0.713051</v>
      </c>
      <c r="O22" s="9" t="n">
        <v>1.288143</v>
      </c>
      <c r="P22" s="9" t="n">
        <v>9.871473999999999</v>
      </c>
      <c r="Q22" s="9" t="n">
        <v>5.963637670166046</v>
      </c>
      <c r="R22" s="9" t="n">
        <v>0.8642900976672976</v>
      </c>
      <c r="S22" s="9" t="n">
        <v>0.7021144825456657</v>
      </c>
      <c r="T22" s="9" t="n">
        <v>0.7071070687380372</v>
      </c>
      <c r="U22" s="9" t="n">
        <v>0.113204</v>
      </c>
      <c r="V22" s="9" t="n">
        <v>0.010755</v>
      </c>
      <c r="W22" s="9" t="n">
        <v>0.035516</v>
      </c>
      <c r="X22" s="9" t="n">
        <v>1.501511339988072</v>
      </c>
      <c r="Y22" s="9" t="n">
        <v>1.501511339988072</v>
      </c>
      <c r="Z22" s="9" t="n">
        <v>0.06046578785558809</v>
      </c>
      <c r="AA22" s="9" t="n">
        <v>1.06</v>
      </c>
      <c r="AB22" s="9" t="n">
        <v>0.02</v>
      </c>
      <c r="AC22" s="9" t="n">
        <v>0</v>
      </c>
      <c r="AD22" s="9" t="n">
        <v>0</v>
      </c>
      <c r="AE22" s="9" t="n">
        <v>0</v>
      </c>
      <c r="AF22" s="9" t="n">
        <v>1.324</v>
      </c>
      <c r="AG22" s="9" t="n">
        <v>0.0610303781763219</v>
      </c>
      <c r="AH22" s="9" t="n">
        <v>0.0586151999999999</v>
      </c>
      <c r="AI22" s="9" t="n">
        <v>0.0580290479999999</v>
      </c>
      <c r="AJ22" s="9" t="n">
        <v>0.05686846704</v>
      </c>
      <c r="AK22" s="9" t="n">
        <v>0</v>
      </c>
      <c r="AL22" s="9" t="n">
        <v>0</v>
      </c>
      <c r="AM22" s="9" t="n">
        <v>0</v>
      </c>
      <c r="AN22" s="9" t="n">
        <v>0</v>
      </c>
      <c r="AO22" s="9" t="n">
        <v>0</v>
      </c>
      <c r="AP22" s="9" t="n">
        <v>2.176062159253965</v>
      </c>
      <c r="AQ22" s="9" t="n">
        <v>2.2584519</v>
      </c>
      <c r="AR22" s="9" t="n">
        <v>2.235867381000001</v>
      </c>
      <c r="AS22" s="9" t="n">
        <v>2.191150033380001</v>
      </c>
      <c r="AT22" s="9" t="n">
        <v>3.425621303452353</v>
      </c>
      <c r="AU22" s="9" t="n">
        <v>3.35905163676</v>
      </c>
      <c r="AV22" s="9" t="n">
        <v>3.846033074658938</v>
      </c>
      <c r="AW22" s="9" t="n">
        <v>3.881085293041589</v>
      </c>
      <c r="AX22" s="9" t="n">
        <v>2.360869591004945</v>
      </c>
      <c r="AY22" s="9" t="n">
        <v>2.39784776748</v>
      </c>
      <c r="AZ22" s="9" t="n">
        <v>2.650608963346504</v>
      </c>
      <c r="BA22" s="9" t="n">
        <v>2.674766250199393</v>
      </c>
      <c r="BB22" s="9" t="n">
        <v>12.34628464508494</v>
      </c>
      <c r="BC22" s="9" t="n">
        <v>11.01270525607967</v>
      </c>
      <c r="BD22" s="9" t="n">
        <v>13.95318334350585</v>
      </c>
      <c r="BE22" s="9" t="n">
        <v>12.0872451494718</v>
      </c>
      <c r="BF22" s="9" t="n">
        <v>1.028724318740189</v>
      </c>
      <c r="BG22" s="9" t="n">
        <v>1.042715019999996</v>
      </c>
      <c r="BH22" s="9" t="n">
        <v>1.032287869799996</v>
      </c>
      <c r="BI22" s="9" t="n">
        <v>1.011642112403996</v>
      </c>
      <c r="BJ22" s="9" t="n">
        <v>0.4648894747534151</v>
      </c>
      <c r="BK22" s="9" t="n">
        <v>0.4608999999999982</v>
      </c>
      <c r="BL22" s="9" t="n">
        <v>0.4562909999999984</v>
      </c>
      <c r="BM22" s="9" t="n">
        <v>0.4471651799999984</v>
      </c>
      <c r="BN22" s="9" t="n">
        <v>0</v>
      </c>
      <c r="BO22" s="9" t="n">
        <v>0</v>
      </c>
      <c r="BP22" s="9" t="n">
        <v>0</v>
      </c>
      <c r="BQ22" s="9" t="n">
        <v>0</v>
      </c>
      <c r="BR22" s="9" t="n">
        <v>0</v>
      </c>
      <c r="BS22" s="9" t="n">
        <v>0</v>
      </c>
      <c r="BT22" s="9" t="n">
        <v>0</v>
      </c>
      <c r="BU22" s="9" t="n">
        <v>0</v>
      </c>
      <c r="BV22" s="9" t="n">
        <v>0</v>
      </c>
      <c r="BW22" s="9" t="n">
        <v>18.85880607413477</v>
      </c>
      <c r="BX22" s="9" t="n">
        <v>20.93539800622464</v>
      </c>
      <c r="BY22" s="9" t="n">
        <v>21.29817544319139</v>
      </c>
      <c r="BZ22" s="9" t="n">
        <v>20.75924760759674</v>
      </c>
      <c r="CA22" s="9" t="n">
        <v>1.508003547457074</v>
      </c>
      <c r="CB22" s="9" t="n">
        <v>1.607358581793694</v>
      </c>
      <c r="CC22" s="9" t="n">
        <v>0</v>
      </c>
      <c r="CD22" s="9" t="n">
        <v>0.1328976034858375</v>
      </c>
      <c r="CE22" s="9" t="n">
        <v>2.8</v>
      </c>
      <c r="CF22" s="9" t="n">
        <v>2.1</v>
      </c>
      <c r="CG22" s="9" t="n">
        <v>15.833</v>
      </c>
      <c r="CH22" s="9" t="n">
        <v>0</v>
      </c>
      <c r="CI22" s="9" t="n">
        <v>0</v>
      </c>
      <c r="CJ22" s="9" t="n">
        <v>2.23</v>
      </c>
      <c r="CK22" s="9" t="n">
        <v>0</v>
      </c>
      <c r="CL22" s="9" t="n">
        <v>2.23</v>
      </c>
      <c r="CM22" s="9" t="n">
        <v>0.02</v>
      </c>
      <c r="CN22" s="9" t="n">
        <v>2.25</v>
      </c>
      <c r="CO22" s="9" t="n">
        <v>0</v>
      </c>
      <c r="CP22" s="9" t="n">
        <v>1.751</v>
      </c>
      <c r="CQ22" s="9" t="n">
        <v>1.807</v>
      </c>
      <c r="CR22" s="9" t="n">
        <v>3</v>
      </c>
      <c r="CS22" s="9" t="n">
        <v>4</v>
      </c>
      <c r="CT22" s="9" t="n">
        <v>0.5</v>
      </c>
      <c r="CU22" s="9" t="n">
        <v>0.3</v>
      </c>
      <c r="CV22" s="9" t="n">
        <v>0.6</v>
      </c>
      <c r="CW22" s="9" t="n">
        <v>0.8</v>
      </c>
      <c r="CX22" s="9" t="n">
        <v>0.8</v>
      </c>
      <c r="CY22" s="9" t="n">
        <v>0.7</v>
      </c>
      <c r="CZ22" s="9" t="n">
        <v>0.5</v>
      </c>
      <c r="DA22" s="9" t="n">
        <v>0.5</v>
      </c>
      <c r="DB22" s="9" t="n">
        <v>1</v>
      </c>
      <c r="DC22" s="9" t="n">
        <v>0.3</v>
      </c>
      <c r="DD22" s="9" t="n">
        <v>0.8</v>
      </c>
      <c r="DE22" s="9" t="n">
        <v>0.9563300314085528</v>
      </c>
      <c r="DF22" s="9" t="n">
        <v>2</v>
      </c>
      <c r="DG22" s="9" t="n">
        <v>7.124</v>
      </c>
      <c r="DH22" s="9" t="n">
        <v>5.575</v>
      </c>
      <c r="DI22" s="9" t="n">
        <v>13.4123</v>
      </c>
      <c r="DJ22" s="9" t="n">
        <v>17.6177410545435</v>
      </c>
      <c r="DK22" s="9" t="n">
        <v>23.29531188965088</v>
      </c>
      <c r="DL22" s="9" t="n">
        <v>16.55150651579127</v>
      </c>
      <c r="DM22" s="9" t="n">
        <v>22.5309936924647</v>
      </c>
      <c r="DN22" s="9" t="n">
        <v>12.77</v>
      </c>
      <c r="DO22" s="9" t="n">
        <v>11.446</v>
      </c>
      <c r="DP22" s="9" t="n">
        <v>22.7832</v>
      </c>
      <c r="DQ22" s="9" t="n">
        <v>13.49474621831422</v>
      </c>
      <c r="DR22" s="9" t="n">
        <v>13.49474621831422</v>
      </c>
      <c r="DS22" s="9" t="n">
        <v>0.105</v>
      </c>
    </row>
    <row r="23">
      <c r="A23" s="9" t="inlineStr">
        <is>
          <t>BIH</t>
        </is>
      </c>
      <c r="B23" s="9" t="inlineStr">
        <is>
          <t>Bosnia and Herzegovina</t>
        </is>
      </c>
      <c r="C23" s="9" t="n">
        <v>0.005</v>
      </c>
      <c r="D23" s="9" t="n">
        <v>0.005</v>
      </c>
      <c r="E23" s="9" t="n">
        <v>0.01</v>
      </c>
      <c r="F23" s="9" t="n">
        <v>0.005</v>
      </c>
      <c r="G23" s="9" t="n">
        <v>0.005</v>
      </c>
      <c r="H23" s="9" t="n">
        <v>0.01</v>
      </c>
      <c r="I23" s="9" t="n">
        <v>0.005</v>
      </c>
      <c r="J23" s="9" t="n">
        <v>0.005</v>
      </c>
      <c r="K23" s="9" t="n">
        <v>0.01</v>
      </c>
      <c r="L23" s="9" t="n">
        <v>0.01</v>
      </c>
      <c r="M23" s="9" t="n">
        <v>0.005</v>
      </c>
      <c r="N23" s="9" t="n">
        <v>5.886787</v>
      </c>
      <c r="O23" s="9" t="n">
        <v>2.149669</v>
      </c>
      <c r="P23" s="9" t="n">
        <v>93.89520899999999</v>
      </c>
      <c r="Q23" s="9" t="n">
        <v>2.550087558207908</v>
      </c>
      <c r="R23" s="9" t="n">
        <v>0.348844458094341</v>
      </c>
      <c r="S23" s="9" t="n">
        <v>2.175219755161097</v>
      </c>
      <c r="T23" s="9" t="n">
        <v>1.726630634904137</v>
      </c>
      <c r="U23" s="9" t="n">
        <v>0.40046</v>
      </c>
      <c r="V23" s="9" t="n">
        <v>0.10075</v>
      </c>
      <c r="W23" s="9" t="n">
        <v>0.292683</v>
      </c>
      <c r="X23" s="9" t="n">
        <v>1.595930575077916</v>
      </c>
      <c r="Y23" s="9" t="n">
        <v>1.595930575077916</v>
      </c>
      <c r="Z23" s="9" t="n">
        <v>0.1135685971862236</v>
      </c>
      <c r="AA23" s="9" t="n">
        <v>2.09</v>
      </c>
      <c r="AB23" s="9" t="n">
        <v>0.67</v>
      </c>
      <c r="AC23" s="9" t="n">
        <v>0.24</v>
      </c>
      <c r="AD23" s="9" t="n">
        <v>2.8</v>
      </c>
      <c r="AE23" s="9" t="n">
        <v>0.005277738</v>
      </c>
      <c r="AF23" s="9" t="n">
        <v>23.486</v>
      </c>
      <c r="AG23" s="9" t="n">
        <v>19.74273078051787</v>
      </c>
      <c r="AH23" s="9" t="n">
        <v>17.2530742968</v>
      </c>
      <c r="AI23" s="9" t="n">
        <v>18.288258754608</v>
      </c>
      <c r="AJ23" s="9" t="n">
        <v>18.71553898187476</v>
      </c>
      <c r="AK23" s="9" t="n">
        <v>127.783237813481</v>
      </c>
      <c r="AL23" s="9" t="n">
        <v>4.669895713871524</v>
      </c>
      <c r="AM23" s="9" t="n">
        <v>4.1514675948</v>
      </c>
      <c r="AN23" s="9" t="n">
        <v>4.400555650488002</v>
      </c>
      <c r="AO23" s="9" t="n">
        <v>4.503368632503948</v>
      </c>
      <c r="AP23" s="9" t="n">
        <v>53.63120789025275</v>
      </c>
      <c r="AQ23" s="9" t="n">
        <v>47.07790144000001</v>
      </c>
      <c r="AR23" s="9" t="n">
        <v>49.90257552640001</v>
      </c>
      <c r="AS23" s="9" t="n">
        <v>51.06848115460773</v>
      </c>
      <c r="AT23" s="9" t="n">
        <v>27.19241953417733</v>
      </c>
      <c r="AU23" s="9" t="n">
        <v>21.304803942</v>
      </c>
      <c r="AV23" s="9" t="n">
        <v>23.63742813931465</v>
      </c>
      <c r="AW23" s="9" t="n">
        <v>26.2587858540281</v>
      </c>
      <c r="AX23" s="9" t="n">
        <v>22.37927094799344</v>
      </c>
      <c r="AY23" s="9" t="n">
        <v>17.683201008</v>
      </c>
      <c r="AZ23" s="9" t="n">
        <v>19.45150520257181</v>
      </c>
      <c r="BA23" s="9" t="n">
        <v>21.61092299232016</v>
      </c>
      <c r="BB23" s="9" t="n">
        <v>8.247740888304586</v>
      </c>
      <c r="BC23" s="9" t="n">
        <v>8.290898910087765</v>
      </c>
      <c r="BD23" s="9" t="n">
        <v>6.713567116820229</v>
      </c>
      <c r="BE23" s="9" t="n">
        <v>7.860684960046182</v>
      </c>
      <c r="BF23" s="9" t="n">
        <v>0</v>
      </c>
      <c r="BG23" s="9" t="n">
        <v>0</v>
      </c>
      <c r="BH23" s="9" t="n">
        <v>0</v>
      </c>
      <c r="BI23" s="9" t="n">
        <v>0</v>
      </c>
      <c r="BJ23" s="9" t="n">
        <v>0.321013014695253</v>
      </c>
      <c r="BK23" s="9" t="n">
        <v>0.2796322199999996</v>
      </c>
      <c r="BL23" s="9" t="n">
        <v>0.2964101531999996</v>
      </c>
      <c r="BM23" s="9" t="n">
        <v>0.3033353722338542</v>
      </c>
      <c r="BN23" s="9" t="n">
        <v>5.902607555236126</v>
      </c>
      <c r="BO23" s="9" t="n">
        <v>5.096708870400001</v>
      </c>
      <c r="BP23" s="9" t="n">
        <v>5.402511402624</v>
      </c>
      <c r="BQ23" s="9" t="n">
        <v>5.528733714485307</v>
      </c>
      <c r="BR23" s="9" t="n">
        <v>0</v>
      </c>
      <c r="BS23" s="9" t="n">
        <v>4.001678847401898</v>
      </c>
      <c r="BT23" s="9" t="n">
        <v>3.4577985708</v>
      </c>
      <c r="BU23" s="9" t="n">
        <v>3.665266485048</v>
      </c>
      <c r="BV23" s="9" t="n">
        <v>3.750900438380486</v>
      </c>
      <c r="BW23" s="9" t="n">
        <v>18.62375069015796</v>
      </c>
      <c r="BX23" s="9" t="n">
        <v>12.79147104509341</v>
      </c>
      <c r="BY23" s="9" t="n">
        <v>13.37422476913054</v>
      </c>
      <c r="BZ23" s="9" t="n">
        <v>15.995016267176</v>
      </c>
      <c r="CA23" s="9" t="n">
        <v>1.018944199610993</v>
      </c>
      <c r="CB23" s="9" t="n">
        <v>13.76991402282521</v>
      </c>
      <c r="CC23" s="9" t="n">
        <v>0.218</v>
      </c>
      <c r="CD23" s="9" t="n">
        <v>3.756876521680522</v>
      </c>
      <c r="CE23" s="9" t="n">
        <v>2</v>
      </c>
      <c r="CF23" s="9" t="n">
        <v>2.2</v>
      </c>
      <c r="CG23" s="9" t="n">
        <v>29.738</v>
      </c>
      <c r="CH23" s="9" t="n">
        <v>5.33</v>
      </c>
      <c r="CI23" s="9" t="n">
        <v>8.08</v>
      </c>
      <c r="CJ23" s="9" t="n">
        <v>8.23</v>
      </c>
      <c r="CK23" s="9" t="n">
        <v>0</v>
      </c>
      <c r="CL23" s="9" t="n">
        <v>0.15</v>
      </c>
      <c r="CM23" s="9" t="n">
        <v>0.59</v>
      </c>
      <c r="CN23" s="9" t="n">
        <v>14.52</v>
      </c>
      <c r="CO23" s="9" t="n">
        <v>0.37</v>
      </c>
      <c r="CP23" s="9" t="n">
        <v>31.12</v>
      </c>
      <c r="CQ23" s="9" t="n">
        <v>29.481</v>
      </c>
      <c r="CR23" s="9" t="n">
        <v>3</v>
      </c>
      <c r="CS23" s="9" t="n">
        <v>3</v>
      </c>
      <c r="CT23" s="9" t="n">
        <v>0.5</v>
      </c>
      <c r="CU23" s="9" t="n">
        <v>0.3</v>
      </c>
      <c r="CV23" s="9" t="n">
        <v>0.6</v>
      </c>
      <c r="CW23" s="9" t="n">
        <v>0.8</v>
      </c>
      <c r="CX23" s="9" t="n">
        <v>0.8</v>
      </c>
      <c r="CY23" s="9" t="n">
        <v>0.7</v>
      </c>
      <c r="CZ23" s="9" t="n">
        <v>0.5</v>
      </c>
      <c r="DA23" s="9" t="n">
        <v>0.5</v>
      </c>
      <c r="DB23" s="9" t="n">
        <v>1</v>
      </c>
      <c r="DC23" s="9" t="n">
        <v>0.3</v>
      </c>
      <c r="DD23" s="9" t="n">
        <v>0.8</v>
      </c>
      <c r="DE23" s="9" t="n">
        <v>0.395609950778236</v>
      </c>
      <c r="DF23" s="9" t="n">
        <v>3</v>
      </c>
      <c r="DG23" s="9" t="n">
        <v>4.194</v>
      </c>
      <c r="DH23" s="9" t="n">
        <v>2.553</v>
      </c>
      <c r="DI23" s="9" t="n">
        <v>7.70562</v>
      </c>
      <c r="DJ23" s="9" t="n">
        <v>21.7841764581438</v>
      </c>
      <c r="DK23" s="9" t="n">
        <v>24.1280032393721</v>
      </c>
      <c r="DL23" s="9" t="n">
        <v>15.65611451797798</v>
      </c>
      <c r="DM23" s="9" t="n">
        <v>20.11405215760653</v>
      </c>
      <c r="DN23" s="9" t="n">
        <v>15.707</v>
      </c>
      <c r="DO23" s="9" t="n">
        <v>15.707</v>
      </c>
      <c r="DP23" s="9" t="n">
        <v>23.96043</v>
      </c>
      <c r="DQ23" s="9" t="n">
        <v>13.49474620847193</v>
      </c>
      <c r="DR23" s="9" t="n">
        <v>13.49474620847193</v>
      </c>
      <c r="DS23" s="9" t="n">
        <v>0.12608</v>
      </c>
    </row>
    <row r="24">
      <c r="A24" s="9" t="inlineStr">
        <is>
          <t>BLR</t>
        </is>
      </c>
      <c r="B24" s="9" t="inlineStr">
        <is>
          <t>Belarus</t>
        </is>
      </c>
      <c r="C24" s="9" t="n">
        <v>0.005</v>
      </c>
      <c r="D24" s="9" t="n">
        <v>0.005</v>
      </c>
      <c r="E24" s="9" t="n">
        <v>0.01</v>
      </c>
      <c r="F24" s="9" t="n">
        <v>0.005</v>
      </c>
      <c r="G24" s="9" t="n">
        <v>0.005</v>
      </c>
      <c r="H24" s="9" t="n">
        <v>0.01</v>
      </c>
      <c r="I24" s="9" t="n">
        <v>0.005</v>
      </c>
      <c r="J24" s="9" t="n">
        <v>0.005</v>
      </c>
      <c r="K24" s="9" t="n">
        <v>0.01</v>
      </c>
      <c r="L24" s="9" t="n">
        <v>0.01</v>
      </c>
      <c r="M24" s="9" t="n">
        <v>0.005</v>
      </c>
      <c r="N24" s="9" t="n">
        <v>7.25415</v>
      </c>
      <c r="O24" s="9" t="n">
        <v>0.034919</v>
      </c>
      <c r="P24" s="9" t="n">
        <v>162.279637</v>
      </c>
      <c r="Q24" s="9" t="n">
        <v>21.66434867338121</v>
      </c>
      <c r="R24" s="9" t="n">
        <v>4.491597592661541</v>
      </c>
      <c r="S24" s="9" t="n">
        <v>9.363363135476185</v>
      </c>
      <c r="T24" s="9" t="n">
        <v>9.308607417097647</v>
      </c>
      <c r="U24" s="9" t="n">
        <v>0.859847</v>
      </c>
      <c r="V24" s="9" t="n">
        <v>0.9832070000000001</v>
      </c>
      <c r="W24" s="9" t="n">
        <v>0.63009</v>
      </c>
      <c r="X24" s="9" t="n">
        <v>12.13611353802463</v>
      </c>
      <c r="Y24" s="9" t="n">
        <v>12.13611353802463</v>
      </c>
      <c r="Z24" s="9" t="n">
        <v>0.3011145060979949</v>
      </c>
      <c r="AA24" s="9" t="n">
        <v>9.76</v>
      </c>
      <c r="AB24" s="9" t="n">
        <v>0.28</v>
      </c>
      <c r="AC24" s="9" t="n">
        <v>0.12</v>
      </c>
      <c r="AD24" s="9" t="n">
        <v>1</v>
      </c>
      <c r="AE24" s="9" t="n">
        <v>0.0303469935</v>
      </c>
      <c r="AF24" s="9" t="n">
        <v>57.927</v>
      </c>
      <c r="AG24" s="9" t="n">
        <v>25.11993161306862</v>
      </c>
      <c r="AH24" s="9" t="n">
        <v>24.4193309676</v>
      </c>
      <c r="AI24" s="9" t="n">
        <v>23.95314374003672</v>
      </c>
      <c r="AJ24" s="9" t="n">
        <v>23.13189309752119</v>
      </c>
      <c r="AK24" s="9" t="n">
        <v>0</v>
      </c>
      <c r="AL24" s="9" t="n">
        <v>5.703978380920895</v>
      </c>
      <c r="AM24" s="9" t="n">
        <v>5.856885212400001</v>
      </c>
      <c r="AN24" s="9" t="n">
        <v>5.745071949254182</v>
      </c>
      <c r="AO24" s="9" t="n">
        <v>5.548098053851182</v>
      </c>
      <c r="AP24" s="9" t="n">
        <v>84.48457177885764</v>
      </c>
      <c r="AQ24" s="9" t="n">
        <v>84.38491562000002</v>
      </c>
      <c r="AR24" s="9" t="n">
        <v>82.77393086725455</v>
      </c>
      <c r="AS24" s="9" t="n">
        <v>79.93596752323438</v>
      </c>
      <c r="AT24" s="9" t="n">
        <v>86.13895455879759</v>
      </c>
      <c r="AU24" s="9" t="n">
        <v>93.60332882279999</v>
      </c>
      <c r="AV24" s="9" t="n">
        <v>84.36287143784332</v>
      </c>
      <c r="AW24" s="9" t="n">
        <v>93.67161327197374</v>
      </c>
      <c r="AX24" s="9" t="n">
        <v>23.48115757406697</v>
      </c>
      <c r="AY24" s="9" t="n">
        <v>25.2252020448</v>
      </c>
      <c r="AZ24" s="9" t="n">
        <v>23.00580745675126</v>
      </c>
      <c r="BA24" s="9" t="n">
        <v>25.55425556692238</v>
      </c>
      <c r="BB24" s="9" t="n">
        <v>46.768536012471</v>
      </c>
      <c r="BC24" s="9" t="n">
        <v>47.22384957688122</v>
      </c>
      <c r="BD24" s="9" t="n">
        <v>43.91903557904433</v>
      </c>
      <c r="BE24" s="9" t="n">
        <v>43.55822024752951</v>
      </c>
      <c r="BF24" s="9" t="n">
        <v>0</v>
      </c>
      <c r="BG24" s="9" t="n">
        <v>0</v>
      </c>
      <c r="BH24" s="9" t="n">
        <v>0</v>
      </c>
      <c r="BI24" s="9" t="n">
        <v>0</v>
      </c>
      <c r="BJ24" s="9" t="n">
        <v>2.031844294084647</v>
      </c>
      <c r="BK24" s="9" t="n">
        <v>1.979511029999997</v>
      </c>
      <c r="BL24" s="9" t="n">
        <v>1.941720364881816</v>
      </c>
      <c r="BM24" s="9" t="n">
        <v>1.875147095228725</v>
      </c>
      <c r="BN24" s="9" t="n">
        <v>134.0756043811486</v>
      </c>
      <c r="BO24" s="9" t="n">
        <v>129.4967568492</v>
      </c>
      <c r="BP24" s="9" t="n">
        <v>127.0245460366244</v>
      </c>
      <c r="BQ24" s="9" t="n">
        <v>122.6694187439401</v>
      </c>
      <c r="BR24" s="9" t="n">
        <v>345.4184224933735</v>
      </c>
      <c r="BS24" s="9" t="n">
        <v>77.91927036352627</v>
      </c>
      <c r="BT24" s="9" t="n">
        <v>83.5344013932</v>
      </c>
      <c r="BU24" s="9" t="n">
        <v>81.93965373023892</v>
      </c>
      <c r="BV24" s="9" t="n">
        <v>79.13029417377358</v>
      </c>
      <c r="BW24" s="9" t="n">
        <v>89.29470789176156</v>
      </c>
      <c r="BX24" s="9" t="n">
        <v>100.1589774666531</v>
      </c>
      <c r="BY24" s="9" t="n">
        <v>88.32142764380033</v>
      </c>
      <c r="BZ24" s="9" t="n">
        <v>85.14702351904847</v>
      </c>
      <c r="CA24" s="9" t="n">
        <v>0.6841635087410201</v>
      </c>
      <c r="CB24" s="9" t="n">
        <v>30.45003114801793</v>
      </c>
      <c r="CC24" s="9" t="n">
        <v>5.205</v>
      </c>
      <c r="CD24" s="9" t="n">
        <v>8.22918968466367</v>
      </c>
      <c r="CE24" s="9" t="n">
        <v>1.263</v>
      </c>
      <c r="CF24" s="9" t="n">
        <v>1.22</v>
      </c>
      <c r="CG24" s="9" t="n">
        <v>78.84699999999999</v>
      </c>
      <c r="CH24" s="9" t="n">
        <v>18.24</v>
      </c>
      <c r="CI24" s="9" t="n">
        <v>0.02</v>
      </c>
      <c r="CJ24" s="9" t="n">
        <v>27.17</v>
      </c>
      <c r="CK24" s="9" t="n">
        <v>25.25</v>
      </c>
      <c r="CL24" s="9" t="n">
        <v>1.9</v>
      </c>
      <c r="CM24" s="9" t="n">
        <v>0</v>
      </c>
      <c r="CN24" s="9" t="n">
        <v>45.79</v>
      </c>
      <c r="CO24" s="9" t="n">
        <v>0.41</v>
      </c>
      <c r="CP24" s="9" t="n">
        <v>88.447</v>
      </c>
      <c r="CQ24" s="9" t="n">
        <v>45.511</v>
      </c>
      <c r="CR24" s="9" t="n">
        <v>3</v>
      </c>
      <c r="CS24" s="9" t="n">
        <v>3</v>
      </c>
      <c r="CT24" s="9" t="n">
        <v>0.5</v>
      </c>
      <c r="CU24" s="9" t="n">
        <v>0.3</v>
      </c>
      <c r="CV24" s="9" t="n">
        <v>0.6</v>
      </c>
      <c r="CW24" s="9" t="n">
        <v>0.8</v>
      </c>
      <c r="CX24" s="9" t="n">
        <v>0.8</v>
      </c>
      <c r="CY24" s="9" t="n">
        <v>0.7</v>
      </c>
      <c r="CZ24" s="9" t="n">
        <v>0.5</v>
      </c>
      <c r="DA24" s="9" t="n">
        <v>0.5</v>
      </c>
      <c r="DB24" s="9" t="n">
        <v>1</v>
      </c>
      <c r="DC24" s="9" t="n">
        <v>0.3</v>
      </c>
      <c r="DD24" s="9" t="n">
        <v>0.8</v>
      </c>
      <c r="DE24" s="9" t="n">
        <v>0.2654816899890908</v>
      </c>
      <c r="DF24" s="9" t="n">
        <v>1</v>
      </c>
      <c r="DG24" s="9" t="n">
        <v>7.124</v>
      </c>
      <c r="DH24" s="9" t="n">
        <v>4.351</v>
      </c>
      <c r="DI24" s="9" t="n">
        <v>16.4424</v>
      </c>
      <c r="DJ24" s="9" t="n">
        <v>21.91875145293536</v>
      </c>
      <c r="DK24" s="9" t="n">
        <v>24.76652671709884</v>
      </c>
      <c r="DL24" s="9" t="n">
        <v>15.65611451797798</v>
      </c>
      <c r="DM24" s="9" t="n">
        <v>21.19684258586664</v>
      </c>
      <c r="DN24" s="9" t="n">
        <v>8.164</v>
      </c>
      <c r="DO24" s="9" t="n">
        <v>6.846</v>
      </c>
      <c r="DP24" s="9" t="n">
        <v>19.2816</v>
      </c>
      <c r="DQ24" s="9" t="n">
        <v>13.49474620847193</v>
      </c>
      <c r="DR24" s="9" t="n">
        <v>13.49474620847193</v>
      </c>
      <c r="DS24" s="9" t="n">
        <v>0.105</v>
      </c>
    </row>
    <row r="25">
      <c r="A25" s="9" t="inlineStr">
        <is>
          <t>BLZ</t>
        </is>
      </c>
      <c r="B25" s="9" t="inlineStr">
        <is>
          <t>Belize</t>
        </is>
      </c>
      <c r="C25" s="9" t="n">
        <v>0.005</v>
      </c>
      <c r="D25" s="9" t="n">
        <v>0.005</v>
      </c>
      <c r="E25" s="9" t="n">
        <v>0.01</v>
      </c>
      <c r="F25" s="9" t="n">
        <v>0.005</v>
      </c>
      <c r="G25" s="9" t="n">
        <v>0.005</v>
      </c>
      <c r="H25" s="9" t="n">
        <v>0.01</v>
      </c>
      <c r="I25" s="9" t="n">
        <v>0.005</v>
      </c>
      <c r="J25" s="9" t="n">
        <v>0.005</v>
      </c>
      <c r="K25" s="9" t="n">
        <v>0.01</v>
      </c>
      <c r="L25" s="9" t="n">
        <v>0.01</v>
      </c>
      <c r="M25" s="9" t="n">
        <v>0.005</v>
      </c>
      <c r="N25" s="9" t="n">
        <v>0.440048</v>
      </c>
      <c r="O25" s="9" t="n">
        <v>0.224793</v>
      </c>
      <c r="P25" s="9" t="n">
        <v>1.632402</v>
      </c>
      <c r="Q25" s="9" t="n">
        <v>0.8767350427762937</v>
      </c>
      <c r="R25" s="9" t="n">
        <v>0.1378334525792871</v>
      </c>
      <c r="S25" s="9" t="n">
        <v>0.1180433947413026</v>
      </c>
      <c r="T25" s="9" t="n">
        <v>0.1125304518299986</v>
      </c>
      <c r="U25" s="9" t="n">
        <v>0.016525</v>
      </c>
      <c r="V25" s="9" t="n">
        <v>0</v>
      </c>
      <c r="W25" s="9" t="n">
        <v>0.005643</v>
      </c>
      <c r="X25" s="9" t="n">
        <v>-0.6776249258404984</v>
      </c>
      <c r="Y25" s="9" t="n">
        <v>-0.6776249258404984</v>
      </c>
      <c r="Z25" s="9" t="n">
        <v>0.01223598713379045</v>
      </c>
      <c r="AA25" s="9" t="n">
        <v>0.15</v>
      </c>
      <c r="AB25" s="9" t="n">
        <v>0.01</v>
      </c>
      <c r="AC25" s="9" t="n">
        <v>0</v>
      </c>
      <c r="AD25" s="9" t="n">
        <v>0</v>
      </c>
      <c r="AE25" s="9" t="n">
        <v>0</v>
      </c>
      <c r="AF25" s="9" t="n">
        <v>0.317</v>
      </c>
      <c r="AG25" s="9" t="n">
        <v>0</v>
      </c>
      <c r="AH25" s="9" t="n">
        <v>0</v>
      </c>
      <c r="AI25" s="9" t="n">
        <v>0</v>
      </c>
      <c r="AJ25" s="9" t="n">
        <v>0</v>
      </c>
      <c r="AK25" s="9" t="n">
        <v>0</v>
      </c>
      <c r="AL25" s="9" t="n">
        <v>0</v>
      </c>
      <c r="AM25" s="9" t="n">
        <v>0</v>
      </c>
      <c r="AN25" s="9" t="n">
        <v>0</v>
      </c>
      <c r="AO25" s="9" t="n">
        <v>0</v>
      </c>
      <c r="AP25" s="9" t="n">
        <v>2.68859330282464</v>
      </c>
      <c r="AQ25" s="9" t="n">
        <v>2.372434984</v>
      </c>
      <c r="AR25" s="9" t="n">
        <v>2.665694308411112</v>
      </c>
      <c r="AS25" s="9" t="n">
        <v>2.593720562084011</v>
      </c>
      <c r="AT25" s="9" t="n">
        <v>1.747827122930686</v>
      </c>
      <c r="AU25" s="9" t="n">
        <v>1.266347901584029</v>
      </c>
      <c r="AV25" s="9" t="n">
        <v>1.618543705974231</v>
      </c>
      <c r="AW25" s="9" t="n">
        <v>1.685127573646695</v>
      </c>
      <c r="AX25" s="9" t="n">
        <v>1.088562664827019</v>
      </c>
      <c r="AY25" s="9" t="n">
        <v>0.8187873552</v>
      </c>
      <c r="AZ25" s="9" t="n">
        <v>1.008043774237836</v>
      </c>
      <c r="BA25" s="9" t="n">
        <v>1.049512813982736</v>
      </c>
      <c r="BB25" s="9" t="n">
        <v>4.396882260844262</v>
      </c>
      <c r="BC25" s="9" t="n">
        <v>3.349156789417354</v>
      </c>
      <c r="BD25" s="9" t="n">
        <v>3.594512172000002</v>
      </c>
      <c r="BE25" s="9" t="n">
        <v>3.578562196611869</v>
      </c>
      <c r="BF25" s="9" t="n">
        <v>1.202243974625446</v>
      </c>
      <c r="BG25" s="9" t="n">
        <v>1.092885660999996</v>
      </c>
      <c r="BH25" s="9" t="n">
        <v>1.227978471873607</v>
      </c>
      <c r="BI25" s="9" t="n">
        <v>1.194823053133019</v>
      </c>
      <c r="BJ25" s="9" t="n">
        <v>1.128836227547397</v>
      </c>
      <c r="BK25" s="9" t="n">
        <v>0.9803820659999964</v>
      </c>
      <c r="BL25" s="9" t="n">
        <v>1.101568182491663</v>
      </c>
      <c r="BM25" s="9" t="n">
        <v>1.071825841564388</v>
      </c>
      <c r="BN25" s="9" t="n">
        <v>0</v>
      </c>
      <c r="BO25" s="9" t="n">
        <v>0</v>
      </c>
      <c r="BP25" s="9" t="n">
        <v>0</v>
      </c>
      <c r="BQ25" s="9" t="n">
        <v>0</v>
      </c>
      <c r="BR25" s="9" t="n">
        <v>0</v>
      </c>
      <c r="BS25" s="9" t="n">
        <v>0</v>
      </c>
      <c r="BT25" s="9" t="n">
        <v>0</v>
      </c>
      <c r="BU25" s="9" t="n">
        <v>0</v>
      </c>
      <c r="BV25" s="9" t="n">
        <v>0</v>
      </c>
      <c r="BW25" s="9" t="n">
        <v>2.649787463555173</v>
      </c>
      <c r="BX25" s="9" t="n">
        <v>1.927584889487194</v>
      </c>
      <c r="BY25" s="9" t="n">
        <v>2.677909245002013</v>
      </c>
      <c r="BZ25" s="9" t="n">
        <v>2.618847380524518</v>
      </c>
      <c r="CA25" s="9" t="n">
        <v>0.582577576144369</v>
      </c>
      <c r="CB25" s="9" t="n">
        <v>0.7878860521549182</v>
      </c>
      <c r="CC25" s="9" t="n">
        <v>0.757</v>
      </c>
      <c r="CD25" s="9" t="n">
        <v>0.3743104806934599</v>
      </c>
      <c r="CE25" s="9" t="n">
        <v>2.747</v>
      </c>
      <c r="CF25" s="9" t="n">
        <v>2.192</v>
      </c>
      <c r="CG25" s="9" t="n">
        <v>3.204</v>
      </c>
      <c r="CH25" s="9" t="n">
        <v>0.4</v>
      </c>
      <c r="CI25" s="9" t="n">
        <v>0</v>
      </c>
      <c r="CJ25" s="9" t="n">
        <v>0.06</v>
      </c>
      <c r="CK25" s="9" t="n">
        <v>0</v>
      </c>
      <c r="CL25" s="9" t="n">
        <v>0.06</v>
      </c>
      <c r="CM25" s="9" t="n">
        <v>0.01</v>
      </c>
      <c r="CN25" s="9" t="n">
        <v>0.47</v>
      </c>
      <c r="CO25" s="9" t="n">
        <v>0</v>
      </c>
      <c r="CP25" s="9" t="n">
        <v>1.038</v>
      </c>
      <c r="CQ25" s="9" t="n">
        <v>6.385</v>
      </c>
      <c r="CR25" s="9" t="n">
        <v>3</v>
      </c>
      <c r="CS25" s="9" t="n">
        <v>3</v>
      </c>
      <c r="CT25" s="9" t="n">
        <v>0.5</v>
      </c>
      <c r="CU25" s="9" t="n">
        <v>0.3</v>
      </c>
      <c r="CV25" s="9" t="n">
        <v>0.6</v>
      </c>
      <c r="CW25" s="9" t="n">
        <v>0.8</v>
      </c>
      <c r="CX25" s="9" t="n">
        <v>0.8</v>
      </c>
      <c r="CY25" s="9" t="n">
        <v>0.7</v>
      </c>
      <c r="CZ25" s="9" t="n">
        <v>0.5</v>
      </c>
      <c r="DA25" s="9" t="n">
        <v>0.5</v>
      </c>
      <c r="DB25" s="9" t="n">
        <v>1</v>
      </c>
      <c r="DC25" s="9" t="n">
        <v>0.3</v>
      </c>
      <c r="DD25" s="9" t="n">
        <v>0.8</v>
      </c>
      <c r="DE25" s="9" t="n">
        <v>0.5347129506008012</v>
      </c>
      <c r="DF25" s="9" t="n">
        <v>2</v>
      </c>
      <c r="DG25" s="9" t="n">
        <v>7.124</v>
      </c>
      <c r="DH25" s="9" t="n">
        <v>5.575</v>
      </c>
      <c r="DI25" s="9" t="n">
        <v>13.717125</v>
      </c>
      <c r="DJ25" s="9" t="n">
        <v>17.69799269021019</v>
      </c>
      <c r="DK25" s="9" t="n">
        <v>24.32102726528707</v>
      </c>
      <c r="DL25" s="9" t="n">
        <v>16.9276771184229</v>
      </c>
      <c r="DM25" s="9" t="n">
        <v>23.01556122237175</v>
      </c>
      <c r="DN25" s="9" t="n">
        <v>5.164</v>
      </c>
      <c r="DO25" s="9" t="n">
        <v>3.841</v>
      </c>
      <c r="DP25" s="9" t="n">
        <v>14.74425</v>
      </c>
      <c r="DQ25" s="9" t="n">
        <v>13.49474620847193</v>
      </c>
      <c r="DR25" s="9" t="n">
        <v>13.49474620847193</v>
      </c>
      <c r="DS25" s="9" t="n">
        <v>0.105</v>
      </c>
    </row>
    <row r="26">
      <c r="A26" s="9" t="inlineStr">
        <is>
          <t>BOL</t>
        </is>
      </c>
      <c r="B26" s="9" t="inlineStr">
        <is>
          <t>Bolivia</t>
        </is>
      </c>
      <c r="C26" s="9" t="n">
        <v>0.005</v>
      </c>
      <c r="D26" s="9" t="n">
        <v>0.005</v>
      </c>
      <c r="E26" s="9" t="n">
        <v>0.01</v>
      </c>
      <c r="F26" s="9" t="n">
        <v>0.005</v>
      </c>
      <c r="G26" s="9" t="n">
        <v>0.005</v>
      </c>
      <c r="H26" s="9" t="n">
        <v>0.01</v>
      </c>
      <c r="I26" s="9" t="n">
        <v>0.005</v>
      </c>
      <c r="J26" s="9" t="n">
        <v>0.005</v>
      </c>
      <c r="K26" s="9" t="n">
        <v>0.01</v>
      </c>
      <c r="L26" s="9" t="n">
        <v>0.01</v>
      </c>
      <c r="M26" s="9" t="n">
        <v>0.005</v>
      </c>
      <c r="N26" s="9" t="n">
        <v>9.076891</v>
      </c>
      <c r="O26" s="9" t="n">
        <v>0.608889</v>
      </c>
      <c r="P26" s="9" t="n">
        <v>9.654693999999999</v>
      </c>
      <c r="Q26" s="9" t="n">
        <v>2.291877317155376</v>
      </c>
      <c r="R26" s="9" t="n">
        <v>0.4472438170829981</v>
      </c>
      <c r="S26" s="9" t="n">
        <v>0.5330761293490202</v>
      </c>
      <c r="T26" s="9" t="n">
        <v>0.2658682236617756</v>
      </c>
      <c r="U26" s="9" t="n">
        <v>0.07942200000000001</v>
      </c>
      <c r="V26" s="9" t="n">
        <v>0.008978</v>
      </c>
      <c r="W26" s="9" t="n">
        <v>0.017133</v>
      </c>
      <c r="X26" s="9" t="n">
        <v>12.79160042920087</v>
      </c>
      <c r="Y26" s="9" t="n">
        <v>12.79160042920087</v>
      </c>
      <c r="Z26" s="9" t="n">
        <v>0.2111166057250531</v>
      </c>
      <c r="AA26" s="9" t="n">
        <v>2.39</v>
      </c>
      <c r="AB26" s="9" t="n">
        <v>0.19</v>
      </c>
      <c r="AC26" s="9" t="n">
        <v>0.14</v>
      </c>
      <c r="AD26" s="9" t="n">
        <v>0</v>
      </c>
      <c r="AE26" s="9" t="n">
        <v>0</v>
      </c>
      <c r="AF26" s="9" t="n">
        <v>22.924</v>
      </c>
      <c r="AG26" s="9" t="n">
        <v>0.2725384335359889</v>
      </c>
      <c r="AH26" s="9" t="n">
        <v>0.2553068772</v>
      </c>
      <c r="AI26" s="9" t="n">
        <v>0.257292597356</v>
      </c>
      <c r="AJ26" s="9" t="n">
        <v>0.2504314614265067</v>
      </c>
      <c r="AK26" s="9" t="n">
        <v>0</v>
      </c>
      <c r="AL26" s="9" t="n">
        <v>0</v>
      </c>
      <c r="AM26" s="9" t="n">
        <v>0</v>
      </c>
      <c r="AN26" s="9" t="n">
        <v>0</v>
      </c>
      <c r="AO26" s="9" t="n">
        <v>0</v>
      </c>
      <c r="AP26" s="9" t="n">
        <v>64.86732370965737</v>
      </c>
      <c r="AQ26" s="9" t="n">
        <v>64.54047645</v>
      </c>
      <c r="AR26" s="9" t="n">
        <v>65.04245793349999</v>
      </c>
      <c r="AS26" s="9" t="n">
        <v>63.30799238860669</v>
      </c>
      <c r="AT26" s="9" t="n">
        <v>21.25271471343478</v>
      </c>
      <c r="AU26" s="9" t="n">
        <v>19.3456411236</v>
      </c>
      <c r="AV26" s="9" t="n">
        <v>20.85612847997285</v>
      </c>
      <c r="AW26" s="9" t="n">
        <v>21.0130602202908</v>
      </c>
      <c r="AX26" s="9" t="n">
        <v>14.22303821565048</v>
      </c>
      <c r="AY26" s="9" t="n">
        <v>13.0954814136</v>
      </c>
      <c r="AZ26" s="9" t="n">
        <v>13.9576292441197</v>
      </c>
      <c r="BA26" s="9" t="n">
        <v>14.06265329257125</v>
      </c>
      <c r="BB26" s="9" t="n">
        <v>67.89304275670814</v>
      </c>
      <c r="BC26" s="9" t="n">
        <v>64.15553627854581</v>
      </c>
      <c r="BD26" s="9" t="n">
        <v>73.76793747000001</v>
      </c>
      <c r="BE26" s="9" t="n">
        <v>67.21943778837513</v>
      </c>
      <c r="BF26" s="9" t="n">
        <v>0.8287681199518814</v>
      </c>
      <c r="BG26" s="9" t="n">
        <v>0.8232913180875182</v>
      </c>
      <c r="BH26" s="9" t="n">
        <v>0.8296946950059765</v>
      </c>
      <c r="BI26" s="9" t="n">
        <v>0.8075695031391507</v>
      </c>
      <c r="BJ26" s="9" t="n">
        <v>22.09479023781108</v>
      </c>
      <c r="BK26" s="9" t="n">
        <v>22.11876278999997</v>
      </c>
      <c r="BL26" s="9" t="n">
        <v>22.29079761169998</v>
      </c>
      <c r="BM26" s="9" t="n">
        <v>21.69637634205464</v>
      </c>
      <c r="BN26" s="9" t="n">
        <v>78.71222408628772</v>
      </c>
      <c r="BO26" s="9" t="n">
        <v>68.12321346</v>
      </c>
      <c r="BP26" s="9" t="n">
        <v>68.65306067580002</v>
      </c>
      <c r="BQ26" s="9" t="n">
        <v>66.82231239111199</v>
      </c>
      <c r="BR26" s="9" t="n">
        <v>60.24193565968515</v>
      </c>
      <c r="BS26" s="9" t="n">
        <v>9.929347145900108</v>
      </c>
      <c r="BT26" s="9" t="n">
        <v>9.154312596</v>
      </c>
      <c r="BU26" s="9" t="n">
        <v>9.225512805079999</v>
      </c>
      <c r="BV26" s="9" t="n">
        <v>8.979499130277869</v>
      </c>
      <c r="BW26" s="9" t="n">
        <v>23.5688926458492</v>
      </c>
      <c r="BX26" s="9" t="n">
        <v>25.5801177783862</v>
      </c>
      <c r="BY26" s="9" t="n">
        <v>23.23878126988751</v>
      </c>
      <c r="BZ26" s="9" t="n">
        <v>22.61930535611013</v>
      </c>
      <c r="CA26" s="9" t="n">
        <v>1.010936677462777</v>
      </c>
      <c r="CB26" s="9" t="n">
        <v>9.854375813634794</v>
      </c>
      <c r="CC26" s="9" t="n">
        <v>4.201</v>
      </c>
      <c r="CD26" s="9" t="n">
        <v>0.1213991265046843</v>
      </c>
      <c r="CE26" s="9" t="n">
        <v>-1.2</v>
      </c>
      <c r="CF26" s="9" t="n">
        <v>-3.285</v>
      </c>
      <c r="CG26" s="9" t="n">
        <v>55.281</v>
      </c>
      <c r="CH26" s="9" t="n">
        <v>4.24</v>
      </c>
      <c r="CI26" s="9" t="n">
        <v>0</v>
      </c>
      <c r="CJ26" s="9" t="n">
        <v>8.709999999999999</v>
      </c>
      <c r="CK26" s="9" t="n">
        <v>8.51</v>
      </c>
      <c r="CL26" s="9" t="n">
        <v>0.2</v>
      </c>
      <c r="CM26" s="9" t="n">
        <v>0.4</v>
      </c>
      <c r="CN26" s="9" t="n">
        <v>13.63</v>
      </c>
      <c r="CO26" s="9" t="n">
        <v>0.28</v>
      </c>
      <c r="CP26" s="9" t="n">
        <v>60.352</v>
      </c>
      <c r="CQ26" s="9" t="n">
        <v>127.921</v>
      </c>
      <c r="CR26" s="9" t="n">
        <v>3</v>
      </c>
      <c r="CS26" s="9" t="n">
        <v>2</v>
      </c>
      <c r="CT26" s="9" t="n">
        <v>0.5</v>
      </c>
      <c r="CU26" s="9" t="n">
        <v>0.3</v>
      </c>
      <c r="CV26" s="9" t="n">
        <v>0.6</v>
      </c>
      <c r="CW26" s="9" t="n">
        <v>0.8</v>
      </c>
      <c r="CX26" s="9" t="n">
        <v>0.8</v>
      </c>
      <c r="CY26" s="9" t="n">
        <v>0.7</v>
      </c>
      <c r="CZ26" s="9" t="n">
        <v>0.5</v>
      </c>
      <c r="DA26" s="9" t="n">
        <v>0.5</v>
      </c>
      <c r="DB26" s="9" t="n">
        <v>1</v>
      </c>
      <c r="DC26" s="9" t="n">
        <v>0.3</v>
      </c>
      <c r="DD26" s="9" t="n">
        <v>0.8</v>
      </c>
      <c r="DE26" s="9" t="n">
        <v>0.3453206401559162</v>
      </c>
      <c r="DF26" s="9" t="n">
        <v>3</v>
      </c>
      <c r="DG26" s="9" t="n">
        <v>7.124</v>
      </c>
      <c r="DH26" s="9" t="n">
        <v>5.575</v>
      </c>
      <c r="DI26" s="9" t="n">
        <v>14.009757</v>
      </c>
      <c r="DJ26" s="9" t="n">
        <v>18.30359357332675</v>
      </c>
      <c r="DK26" s="9" t="n">
        <v>24.83987584694653</v>
      </c>
      <c r="DL26" s="9" t="n">
        <v>15.44670405221721</v>
      </c>
      <c r="DM26" s="9" t="n">
        <v>23.6701851124383</v>
      </c>
      <c r="DN26" s="9" t="n">
        <v>8.922000000000001</v>
      </c>
      <c r="DO26" s="9" t="n">
        <v>8.26</v>
      </c>
      <c r="DP26" s="9" t="n">
        <v>14.812908</v>
      </c>
      <c r="DQ26" s="9" t="n">
        <v>13.49474620847193</v>
      </c>
      <c r="DR26" s="9" t="n">
        <v>13.49474620847193</v>
      </c>
      <c r="DS26" s="9" t="n">
        <v>0.105</v>
      </c>
    </row>
    <row r="27">
      <c r="A27" s="9" t="inlineStr">
        <is>
          <t>BRA</t>
        </is>
      </c>
      <c r="B27" s="9" t="inlineStr">
        <is>
          <t>Brazil</t>
        </is>
      </c>
      <c r="C27" s="9" t="n">
        <v>0.005</v>
      </c>
      <c r="D27" s="9" t="n">
        <v>0.005</v>
      </c>
      <c r="E27" s="9" t="n">
        <v>0.01</v>
      </c>
      <c r="F27" s="9" t="n">
        <v>0.005</v>
      </c>
      <c r="G27" s="9" t="n">
        <v>0.005</v>
      </c>
      <c r="H27" s="9" t="n">
        <v>0.01</v>
      </c>
      <c r="I27" s="9" t="n">
        <v>0.005</v>
      </c>
      <c r="J27" s="9" t="n">
        <v>0.005</v>
      </c>
      <c r="K27" s="9" t="n">
        <v>0.01</v>
      </c>
      <c r="L27" s="9" t="n">
        <v>0.01</v>
      </c>
      <c r="M27" s="9" t="n">
        <v>0.005</v>
      </c>
      <c r="N27" s="9" t="n">
        <v>3.590356</v>
      </c>
      <c r="O27" s="9" t="n">
        <v>2.065699</v>
      </c>
      <c r="P27" s="9" t="n">
        <v>33.090679</v>
      </c>
      <c r="Q27" s="9" t="n">
        <v>10.58643219138983</v>
      </c>
      <c r="R27" s="9" t="n">
        <v>0.6937712433664077</v>
      </c>
      <c r="S27" s="9" t="n">
        <v>2.643737591650028</v>
      </c>
      <c r="T27" s="9" t="n">
        <v>2.032491583776781</v>
      </c>
      <c r="U27" s="9" t="n">
        <v>0.07338699999999999</v>
      </c>
      <c r="V27" s="9" t="n">
        <v>0.228896</v>
      </c>
      <c r="W27" s="9" t="n">
        <v>0.062</v>
      </c>
      <c r="X27" s="9" t="n">
        <v>4.030398728937149</v>
      </c>
      <c r="Y27" s="9" t="n">
        <v>4.030398728937149</v>
      </c>
      <c r="Z27" s="9" t="n">
        <v>8.347593591996292</v>
      </c>
      <c r="AA27" s="9" t="n">
        <v>30.46</v>
      </c>
      <c r="AB27" s="9" t="n">
        <v>64.69</v>
      </c>
      <c r="AC27" s="9" t="n">
        <v>34.87</v>
      </c>
      <c r="AD27" s="9" t="n">
        <v>2.3</v>
      </c>
      <c r="AE27" s="9" t="n">
        <v>29.26250931112818</v>
      </c>
      <c r="AF27" s="9" t="n">
        <v>505.632</v>
      </c>
      <c r="AG27" s="9" t="n">
        <v>370.0174791307477</v>
      </c>
      <c r="AH27" s="9" t="n">
        <v>343.833769638</v>
      </c>
      <c r="AI27" s="9" t="n">
        <v>326.1650047433839</v>
      </c>
      <c r="AJ27" s="9" t="n">
        <v>320.7928752534929</v>
      </c>
      <c r="AK27" s="9" t="n">
        <v>534.7000794679933</v>
      </c>
      <c r="AL27" s="9" t="n">
        <v>1.019710619946483</v>
      </c>
      <c r="AM27" s="9" t="n">
        <v>0.9475523892</v>
      </c>
      <c r="AN27" s="9" t="n">
        <v>0.8988600213510446</v>
      </c>
      <c r="AO27" s="9" t="n">
        <v>0.8840552680582037</v>
      </c>
      <c r="AP27" s="9" t="n">
        <v>1563.820318451828</v>
      </c>
      <c r="AQ27" s="9" t="n">
        <v>1608.59523536</v>
      </c>
      <c r="AR27" s="9" t="n">
        <v>1525.933514685795</v>
      </c>
      <c r="AS27" s="9" t="n">
        <v>1500.80049209097</v>
      </c>
      <c r="AT27" s="9" t="n">
        <v>1360.020859598663</v>
      </c>
      <c r="AU27" s="9" t="n">
        <v>1375.6025438964</v>
      </c>
      <c r="AV27" s="9" t="n">
        <v>1294.585004495262</v>
      </c>
      <c r="AW27" s="9" t="n">
        <v>1322.862519348106</v>
      </c>
      <c r="AX27" s="9" t="n">
        <v>536.4192888425157</v>
      </c>
      <c r="AY27" s="9" t="n">
        <v>541.703549556</v>
      </c>
      <c r="AZ27" s="9" t="n">
        <v>510.6131206029169</v>
      </c>
      <c r="BA27" s="9" t="n">
        <v>521.7625820759955</v>
      </c>
      <c r="BB27" s="9" t="n">
        <v>886.2918864849208</v>
      </c>
      <c r="BC27" s="9" t="n">
        <v>926.00771951</v>
      </c>
      <c r="BD27" s="9" t="n">
        <v>1013.66702795</v>
      </c>
      <c r="BE27" s="9" t="n">
        <v>863.954343871733</v>
      </c>
      <c r="BF27" s="9" t="n">
        <v>62.30495259734047</v>
      </c>
      <c r="BG27" s="9" t="n">
        <v>66.89191767776722</v>
      </c>
      <c r="BH27" s="9" t="n">
        <v>63.45450788511416</v>
      </c>
      <c r="BI27" s="9" t="n">
        <v>62.40937481406523</v>
      </c>
      <c r="BJ27" s="9" t="n">
        <v>273.4257816240624</v>
      </c>
      <c r="BK27" s="9" t="n">
        <v>273.2623431699997</v>
      </c>
      <c r="BL27" s="9" t="n">
        <v>259.2200689015184</v>
      </c>
      <c r="BM27" s="9" t="n">
        <v>254.9505618843169</v>
      </c>
      <c r="BN27" s="9" t="n">
        <v>652.6545832668129</v>
      </c>
      <c r="BO27" s="9" t="n">
        <v>604.6480179864</v>
      </c>
      <c r="BP27" s="9" t="n">
        <v>573.5766555514504</v>
      </c>
      <c r="BQ27" s="9" t="n">
        <v>564.1295106364852</v>
      </c>
      <c r="BR27" s="9" t="n">
        <v>156.5186347359855</v>
      </c>
      <c r="BS27" s="9" t="n">
        <v>66.23860129615512</v>
      </c>
      <c r="BT27" s="9" t="n">
        <v>61.8886788876</v>
      </c>
      <c r="BU27" s="9" t="n">
        <v>58.70837313097039</v>
      </c>
      <c r="BV27" s="9" t="n">
        <v>57.74141169116616</v>
      </c>
      <c r="BW27" s="9" t="n">
        <v>1138.253971434058</v>
      </c>
      <c r="BX27" s="9" t="n">
        <v>1084.39069913675</v>
      </c>
      <c r="BY27" s="9" t="n">
        <v>1031.944658106764</v>
      </c>
      <c r="BZ27" s="9" t="n">
        <v>1066.150387702117</v>
      </c>
      <c r="CA27" s="9" t="n">
        <v>1.018104212828414</v>
      </c>
      <c r="CB27" s="9" t="n">
        <v>526.7889301225496</v>
      </c>
      <c r="CC27" s="9" t="n">
        <v>0.146</v>
      </c>
      <c r="CD27" s="9" t="n">
        <v>-0.3708777347089492</v>
      </c>
      <c r="CE27" s="9" t="n">
        <v>2.286</v>
      </c>
      <c r="CF27" s="9" t="n">
        <v>1.911</v>
      </c>
      <c r="CG27" s="9" t="n">
        <v>2185.822</v>
      </c>
      <c r="CH27" s="9" t="n">
        <v>459.62</v>
      </c>
      <c r="CI27" s="9" t="n">
        <v>17.19</v>
      </c>
      <c r="CJ27" s="9" t="n">
        <v>84.69000000000001</v>
      </c>
      <c r="CK27" s="9" t="n">
        <v>54.85</v>
      </c>
      <c r="CL27" s="9" t="n">
        <v>12.65</v>
      </c>
      <c r="CM27" s="9" t="n">
        <v>90.28</v>
      </c>
      <c r="CN27" s="9" t="n">
        <v>752.17</v>
      </c>
      <c r="CO27" s="9" t="n">
        <v>117.58</v>
      </c>
      <c r="CP27" s="9" t="n">
        <v>1357.434</v>
      </c>
      <c r="CQ27" s="9" t="n">
        <v>1767.337</v>
      </c>
      <c r="CR27" s="9" t="n">
        <v>3</v>
      </c>
      <c r="CS27" s="9" t="n">
        <v>3</v>
      </c>
      <c r="CT27" s="9" t="n">
        <v>0.5</v>
      </c>
      <c r="CU27" s="9" t="n">
        <v>0.3</v>
      </c>
      <c r="CV27" s="9" t="n">
        <v>0.6</v>
      </c>
      <c r="CW27" s="9" t="n">
        <v>0.8</v>
      </c>
      <c r="CX27" s="9" t="n">
        <v>0.8</v>
      </c>
      <c r="CY27" s="9" t="n">
        <v>0.7</v>
      </c>
      <c r="CZ27" s="9" t="n">
        <v>0.5</v>
      </c>
      <c r="DA27" s="9" t="n">
        <v>0.5</v>
      </c>
      <c r="DB27" s="9" t="n">
        <v>1</v>
      </c>
      <c r="DC27" s="9" t="n">
        <v>0.3</v>
      </c>
      <c r="DD27" s="9" t="n">
        <v>0.8</v>
      </c>
      <c r="DE27" s="9" t="n">
        <v>0.4608910724075402</v>
      </c>
      <c r="DF27" s="9" t="n">
        <v>3</v>
      </c>
      <c r="DG27" s="9" t="n">
        <v>6.222</v>
      </c>
      <c r="DH27" s="9" t="n">
        <v>6.222</v>
      </c>
      <c r="DI27" s="9" t="n">
        <v>12.95424</v>
      </c>
      <c r="DJ27" s="9" t="n">
        <v>17.96379104115035</v>
      </c>
      <c r="DK27" s="9" t="n">
        <v>25.29386835589856</v>
      </c>
      <c r="DL27" s="9" t="n">
        <v>16.64517829402405</v>
      </c>
      <c r="DM27" s="9" t="n">
        <v>23.48174218414111</v>
      </c>
      <c r="DN27" s="9" t="n">
        <v>17.367</v>
      </c>
      <c r="DO27" s="9" t="n">
        <v>17.661</v>
      </c>
      <c r="DP27" s="9" t="n">
        <v>53.76852</v>
      </c>
      <c r="DQ27" s="9" t="n">
        <v>13.49474620847193</v>
      </c>
      <c r="DR27" s="9" t="n">
        <v>13.49474620847193</v>
      </c>
      <c r="DS27" s="9" t="n">
        <v>0.09775499999999999</v>
      </c>
    </row>
    <row r="28">
      <c r="A28" s="9" t="inlineStr">
        <is>
          <t>BRB</t>
        </is>
      </c>
      <c r="B28" s="9" t="inlineStr">
        <is>
          <t>Barbados</t>
        </is>
      </c>
      <c r="C28" s="9" t="n">
        <v>0.005</v>
      </c>
      <c r="D28" s="9" t="n">
        <v>0.005</v>
      </c>
      <c r="E28" s="9" t="n">
        <v>0.01</v>
      </c>
      <c r="F28" s="9" t="n">
        <v>0.005</v>
      </c>
      <c r="G28" s="9" t="n">
        <v>0.005</v>
      </c>
      <c r="H28" s="9" t="n">
        <v>0.01</v>
      </c>
      <c r="I28" s="9" t="n">
        <v>0.005</v>
      </c>
      <c r="J28" s="9" t="n">
        <v>0.005</v>
      </c>
      <c r="K28" s="9" t="n">
        <v>0.01</v>
      </c>
      <c r="L28" s="9" t="n">
        <v>0.01</v>
      </c>
      <c r="M28" s="9" t="n">
        <v>0.005</v>
      </c>
      <c r="N28" s="9" t="n">
        <v>0.161187</v>
      </c>
      <c r="O28" s="9" t="n">
        <v>0.912889</v>
      </c>
      <c r="P28" s="9" t="n">
        <v>7.9317</v>
      </c>
      <c r="Q28" s="9" t="n">
        <v>2.135664143284965</v>
      </c>
      <c r="R28" s="9" t="n">
        <v>0.3023757111148095</v>
      </c>
      <c r="S28" s="9" t="n">
        <v>0.3597992341508916</v>
      </c>
      <c r="T28" s="9" t="n">
        <v>0.3163731006981969</v>
      </c>
      <c r="U28" s="9" t="n">
        <v>0.017345</v>
      </c>
      <c r="V28" s="9" t="n">
        <v>0</v>
      </c>
      <c r="W28" s="9" t="n">
        <v>0.027418</v>
      </c>
      <c r="X28" s="9" t="n">
        <v>0.3254225289925864</v>
      </c>
      <c r="Y28" s="9" t="n">
        <v>0.3254225289925864</v>
      </c>
      <c r="Z28" s="9" t="n">
        <v>0.02901655126171656</v>
      </c>
      <c r="AA28" s="9" t="n">
        <v>0.3</v>
      </c>
      <c r="AB28" s="9" t="n">
        <v>0.07000000000000001</v>
      </c>
      <c r="AC28" s="9" t="n">
        <v>0</v>
      </c>
      <c r="AD28" s="9" t="n">
        <v>0</v>
      </c>
      <c r="AE28" s="9" t="n">
        <v>0</v>
      </c>
      <c r="AF28" s="9" t="n">
        <v>0.66</v>
      </c>
      <c r="AG28" s="9" t="n">
        <v>0</v>
      </c>
      <c r="AH28" s="9" t="n">
        <v>0</v>
      </c>
      <c r="AI28" s="9" t="n">
        <v>0</v>
      </c>
      <c r="AJ28" s="9" t="n">
        <v>0</v>
      </c>
      <c r="AK28" s="9" t="n">
        <v>0</v>
      </c>
      <c r="AL28" s="9" t="n">
        <v>0</v>
      </c>
      <c r="AM28" s="9" t="n">
        <v>0</v>
      </c>
      <c r="AN28" s="9" t="n">
        <v>0</v>
      </c>
      <c r="AO28" s="9" t="n">
        <v>0</v>
      </c>
      <c r="AP28" s="9" t="n">
        <v>1.736108925742986</v>
      </c>
      <c r="AQ28" s="9" t="n">
        <v>1.601583086</v>
      </c>
      <c r="AR28" s="9" t="n">
        <v>1.720497817050455</v>
      </c>
      <c r="AS28" s="9" t="n">
        <v>1.694690349794698</v>
      </c>
      <c r="AT28" s="9" t="n">
        <v>2.100127313395755</v>
      </c>
      <c r="AU28" s="9" t="n">
        <v>1.82572866504</v>
      </c>
      <c r="AV28" s="9" t="n">
        <v>2.021664877115369</v>
      </c>
      <c r="AW28" s="9" t="n">
        <v>2.015588892719251</v>
      </c>
      <c r="AX28" s="9" t="n">
        <v>1.638750120207317</v>
      </c>
      <c r="AY28" s="9" t="n">
        <v>1.42605673704</v>
      </c>
      <c r="AZ28" s="9" t="n">
        <v>1.577525104911298</v>
      </c>
      <c r="BA28" s="9" t="n">
        <v>1.572783954174386</v>
      </c>
      <c r="BB28" s="9" t="n">
        <v>3.417952683783767</v>
      </c>
      <c r="BC28" s="9" t="n">
        <v>2.982717385645852</v>
      </c>
      <c r="BD28" s="9" t="n">
        <v>3.660927862000002</v>
      </c>
      <c r="BE28" s="9" t="n">
        <v>3.373573643843381</v>
      </c>
      <c r="BF28" s="9" t="n">
        <v>0.023456101641947</v>
      </c>
      <c r="BG28" s="9" t="n">
        <v>0.0223331189999999</v>
      </c>
      <c r="BH28" s="9" t="n">
        <v>0.02399131385896</v>
      </c>
      <c r="BI28" s="9" t="n">
        <v>0.0236314441510756</v>
      </c>
      <c r="BJ28" s="9" t="n">
        <v>0.3442791345397768</v>
      </c>
      <c r="BK28" s="9" t="n">
        <v>0.3172835599999988</v>
      </c>
      <c r="BL28" s="9" t="n">
        <v>0.3408413070403736</v>
      </c>
      <c r="BM28" s="9" t="n">
        <v>0.3357286874347678</v>
      </c>
      <c r="BN28" s="9" t="n">
        <v>0.1392262795487641</v>
      </c>
      <c r="BO28" s="9" t="n">
        <v>0.12691572444</v>
      </c>
      <c r="BP28" s="9" t="n">
        <v>0.1363389940597792</v>
      </c>
      <c r="BQ28" s="9" t="n">
        <v>0.1342939091488826</v>
      </c>
      <c r="BR28" s="9" t="n">
        <v>0.7438167383857451</v>
      </c>
      <c r="BS28" s="9" t="n">
        <v>0.3523765181035985</v>
      </c>
      <c r="BT28" s="9" t="n">
        <v>0.3204936784799999</v>
      </c>
      <c r="BU28" s="9" t="n">
        <v>0.3442897711791333</v>
      </c>
      <c r="BV28" s="9" t="n">
        <v>0.3391254246114462</v>
      </c>
      <c r="BW28" s="9" t="n">
        <v>8.325753874811509</v>
      </c>
      <c r="BX28" s="9" t="n">
        <v>8.942933572264316</v>
      </c>
      <c r="BY28" s="9" t="n">
        <v>7.749484191586077</v>
      </c>
      <c r="BZ28" s="9" t="n">
        <v>7.927544422904562</v>
      </c>
      <c r="CA28" s="9" t="n">
        <v>0.9278867595933736</v>
      </c>
      <c r="CB28" s="9" t="n">
        <v>1.038577064889742</v>
      </c>
      <c r="CC28" s="9" t="n">
        <v>0.282</v>
      </c>
      <c r="CD28" s="9" t="n">
        <v>0.4872797325627509</v>
      </c>
      <c r="CE28" s="9" t="n">
        <v>2.743</v>
      </c>
      <c r="CF28" s="9" t="n">
        <v>2.465</v>
      </c>
      <c r="CG28" s="9" t="n">
        <v>7.598</v>
      </c>
      <c r="CH28" s="9" t="n">
        <v>0</v>
      </c>
      <c r="CI28" s="9" t="n">
        <v>0</v>
      </c>
      <c r="CJ28" s="9" t="n">
        <v>1.01</v>
      </c>
      <c r="CK28" s="9" t="n">
        <v>0.03</v>
      </c>
      <c r="CL28" s="9" t="n">
        <v>0.98</v>
      </c>
      <c r="CM28" s="9" t="n">
        <v>0.1</v>
      </c>
      <c r="CN28" s="9" t="n">
        <v>1.11</v>
      </c>
      <c r="CO28" s="9" t="n">
        <v>0</v>
      </c>
      <c r="CP28" s="9" t="n">
        <v>0.912</v>
      </c>
      <c r="CQ28" s="9" t="n">
        <v>0.91</v>
      </c>
      <c r="CR28" s="9" t="n">
        <v>3</v>
      </c>
      <c r="CS28" s="9" t="n">
        <v>4</v>
      </c>
      <c r="CT28" s="9" t="n">
        <v>0.5</v>
      </c>
      <c r="CU28" s="9" t="n">
        <v>0.3</v>
      </c>
      <c r="CV28" s="9" t="n">
        <v>0.6</v>
      </c>
      <c r="CW28" s="9" t="n">
        <v>0.8</v>
      </c>
      <c r="CX28" s="9" t="n">
        <v>0.8</v>
      </c>
      <c r="CY28" s="9" t="n">
        <v>0.7</v>
      </c>
      <c r="CZ28" s="9" t="n">
        <v>0.5</v>
      </c>
      <c r="DA28" s="9" t="n">
        <v>0.5</v>
      </c>
      <c r="DB28" s="9" t="n">
        <v>1</v>
      </c>
      <c r="DC28" s="9" t="n">
        <v>0.3</v>
      </c>
      <c r="DD28" s="9" t="n">
        <v>0.8</v>
      </c>
      <c r="DE28" s="9" t="n">
        <v>1.096076168493941</v>
      </c>
      <c r="DF28" s="9" t="n">
        <v>1</v>
      </c>
      <c r="DG28" s="9" t="n">
        <v>7.124</v>
      </c>
      <c r="DH28" s="9" t="n">
        <v>5.575</v>
      </c>
      <c r="DI28" s="9" t="n">
        <v>14.326775</v>
      </c>
      <c r="DJ28" s="9" t="n">
        <v>18.33252491809265</v>
      </c>
      <c r="DK28" s="9" t="n">
        <v>25.40196181041095</v>
      </c>
      <c r="DL28" s="9" t="n">
        <v>17.68001832368613</v>
      </c>
      <c r="DM28" s="9" t="n">
        <v>24.05723400880497</v>
      </c>
      <c r="DN28" s="9" t="n">
        <v>9.496</v>
      </c>
      <c r="DO28" s="9" t="n">
        <v>8.172000000000001</v>
      </c>
      <c r="DP28" s="9" t="n">
        <v>20.48965</v>
      </c>
      <c r="DQ28" s="9" t="n">
        <v>13.49650603215609</v>
      </c>
      <c r="DR28" s="9" t="n">
        <v>13.49650603215609</v>
      </c>
      <c r="DS28" s="9" t="n">
        <v>0.105</v>
      </c>
    </row>
    <row r="29">
      <c r="A29" s="9" t="inlineStr">
        <is>
          <t>BRN</t>
        </is>
      </c>
      <c r="B29" s="9" t="inlineStr">
        <is>
          <t>Brunei Darussalam</t>
        </is>
      </c>
      <c r="C29" s="9" t="n">
        <v>0.005</v>
      </c>
      <c r="D29" s="9" t="n">
        <v>0.005</v>
      </c>
      <c r="E29" s="9" t="n">
        <v>0.01</v>
      </c>
      <c r="F29" s="9" t="n">
        <v>0.005</v>
      </c>
      <c r="G29" s="9" t="n">
        <v>0.005</v>
      </c>
      <c r="H29" s="9" t="n">
        <v>0.01</v>
      </c>
      <c r="I29" s="9" t="n">
        <v>0.005</v>
      </c>
      <c r="J29" s="9" t="n">
        <v>0.005</v>
      </c>
      <c r="K29" s="9" t="n">
        <v>0.01</v>
      </c>
      <c r="L29" s="9" t="n">
        <v>0.01</v>
      </c>
      <c r="M29" s="9" t="n">
        <v>0.005</v>
      </c>
      <c r="N29" s="9" t="n">
        <v>0.633306</v>
      </c>
      <c r="O29" s="9" t="n">
        <v>0.020944</v>
      </c>
      <c r="P29" s="9" t="n">
        <v>2.919783</v>
      </c>
      <c r="Q29" s="9" t="n">
        <v>2.108019827757949</v>
      </c>
      <c r="R29" s="9" t="n">
        <v>0.6741828792550359</v>
      </c>
      <c r="S29" s="9" t="n">
        <v>0.7506457884626465</v>
      </c>
      <c r="T29" s="9" t="n">
        <v>0.1200557560888817</v>
      </c>
      <c r="U29" s="9" t="n">
        <v>0.026363</v>
      </c>
      <c r="V29" s="9" t="n">
        <v>0.006566</v>
      </c>
      <c r="W29" s="9" t="n">
        <v>0.00629</v>
      </c>
      <c r="X29" s="9" t="n">
        <v>0.9735245689164406</v>
      </c>
      <c r="Y29" s="9" t="n">
        <v>0.9735245689164406</v>
      </c>
      <c r="Z29" s="9" t="n">
        <v>0.0585601206958623</v>
      </c>
      <c r="AA29" s="9" t="n">
        <v>1.37</v>
      </c>
      <c r="AB29" s="9" t="n">
        <v>0.01</v>
      </c>
      <c r="AC29" s="9" t="n">
        <v>0</v>
      </c>
      <c r="AD29" s="9" t="n">
        <v>0</v>
      </c>
      <c r="AE29" s="9" t="n">
        <v>0</v>
      </c>
      <c r="AF29" s="9" t="n">
        <v>9.571</v>
      </c>
      <c r="AG29" s="9" t="n">
        <v>7.508532851882238</v>
      </c>
      <c r="AH29" s="9" t="n">
        <v>6.44411322</v>
      </c>
      <c r="AI29" s="9" t="n">
        <v>6.849171765257142</v>
      </c>
      <c r="AJ29" s="9" t="n">
        <v>6.994716665268856</v>
      </c>
      <c r="AK29" s="9" t="n">
        <v>5.86968260335008</v>
      </c>
      <c r="AL29" s="9" t="n">
        <v>0</v>
      </c>
      <c r="AM29" s="9" t="n">
        <v>0</v>
      </c>
      <c r="AN29" s="9" t="n">
        <v>0</v>
      </c>
      <c r="AO29" s="9" t="n">
        <v>0</v>
      </c>
      <c r="AP29" s="9" t="n">
        <v>5.331538277425132</v>
      </c>
      <c r="AQ29" s="9" t="n">
        <v>4.902316759999999</v>
      </c>
      <c r="AR29" s="9" t="n">
        <v>5.210462384914286</v>
      </c>
      <c r="AS29" s="9" t="n">
        <v>5.321184710593716</v>
      </c>
      <c r="AT29" s="9" t="n">
        <v>13.12495315157475</v>
      </c>
      <c r="AU29" s="9" t="n">
        <v>12.1562775036</v>
      </c>
      <c r="AV29" s="9" t="n">
        <v>12.69677544561743</v>
      </c>
      <c r="AW29" s="9" t="n">
        <v>13.0067597904425</v>
      </c>
      <c r="AX29" s="9" t="n">
        <v>5.534004160633075</v>
      </c>
      <c r="AY29" s="9" t="n">
        <v>5.1126103368</v>
      </c>
      <c r="AZ29" s="9" t="n">
        <v>5.353467348128433</v>
      </c>
      <c r="BA29" s="9" t="n">
        <v>5.484169121626739</v>
      </c>
      <c r="BB29" s="9" t="n">
        <v>12.45614325522529</v>
      </c>
      <c r="BC29" s="9" t="n">
        <v>11.5266563330621</v>
      </c>
      <c r="BD29" s="9" t="n">
        <v>11.97675047</v>
      </c>
      <c r="BE29" s="9" t="n">
        <v>12.37059789431357</v>
      </c>
      <c r="BF29" s="9" t="n">
        <v>0</v>
      </c>
      <c r="BG29" s="9" t="n">
        <v>0</v>
      </c>
      <c r="BH29" s="9" t="n">
        <v>0</v>
      </c>
      <c r="BI29" s="9" t="n">
        <v>0</v>
      </c>
      <c r="BJ29" s="9" t="n">
        <v>0.8601173482971834</v>
      </c>
      <c r="BK29" s="9" t="n">
        <v>0.7884905790909078</v>
      </c>
      <c r="BL29" s="9" t="n">
        <v>0.8380528440623364</v>
      </c>
      <c r="BM29" s="9" t="n">
        <v>0.8558614669986609</v>
      </c>
      <c r="BN29" s="9" t="n">
        <v>33.08148109571237</v>
      </c>
      <c r="BO29" s="9" t="n">
        <v>30.2341304664</v>
      </c>
      <c r="BP29" s="9" t="n">
        <v>32.134561524288</v>
      </c>
      <c r="BQ29" s="9" t="n">
        <v>32.81742095667911</v>
      </c>
      <c r="BR29" s="9" t="n">
        <v>55.50319285654749</v>
      </c>
      <c r="BS29" s="9" t="n">
        <v>0.8100154868806075</v>
      </c>
      <c r="BT29" s="9" t="n">
        <v>0.748453302</v>
      </c>
      <c r="BU29" s="9" t="n">
        <v>0.7954989381257145</v>
      </c>
      <c r="BV29" s="9" t="n">
        <v>0.8124032905608859</v>
      </c>
      <c r="BW29" s="9" t="n">
        <v>18.57570259781347</v>
      </c>
      <c r="BX29" s="9" t="n">
        <v>16.73463369159693</v>
      </c>
      <c r="BY29" s="9" t="n">
        <v>17.72142650782041</v>
      </c>
      <c r="BZ29" s="9" t="n">
        <v>18.09140953371977</v>
      </c>
      <c r="CA29" s="9" t="n">
        <v>0.7423300588481141</v>
      </c>
      <c r="CB29" s="9" t="n">
        <v>5.183043697835507</v>
      </c>
      <c r="CC29" s="9" t="n">
        <v>2.549</v>
      </c>
      <c r="CD29" s="9" t="n">
        <v>0.0599520383693041</v>
      </c>
      <c r="CE29" s="9" t="n">
        <v>0.6</v>
      </c>
      <c r="CF29" s="9" t="n">
        <v>2.6</v>
      </c>
      <c r="CG29" s="9" t="n">
        <v>15.334</v>
      </c>
      <c r="CH29" s="9" t="n">
        <v>0</v>
      </c>
      <c r="CI29" s="9" t="n">
        <v>1.1</v>
      </c>
      <c r="CJ29" s="9" t="n">
        <v>5.55</v>
      </c>
      <c r="CK29" s="9" t="n">
        <v>4.4</v>
      </c>
      <c r="CL29" s="9" t="n">
        <v>0.05</v>
      </c>
      <c r="CM29" s="9" t="n">
        <v>0.01</v>
      </c>
      <c r="CN29" s="9" t="n">
        <v>5.56</v>
      </c>
      <c r="CO29" s="9" t="n">
        <v>0</v>
      </c>
      <c r="CP29" s="9" t="n">
        <v>15.542</v>
      </c>
      <c r="CQ29" s="9" t="n">
        <v>15.977</v>
      </c>
      <c r="CR29" s="9" t="n">
        <v>3</v>
      </c>
      <c r="CS29" s="9" t="n">
        <v>4</v>
      </c>
      <c r="CT29" s="9" t="n">
        <v>0.5</v>
      </c>
      <c r="CU29" s="9" t="n">
        <v>0.3</v>
      </c>
      <c r="CV29" s="9" t="n">
        <v>0.6</v>
      </c>
      <c r="CW29" s="9" t="n">
        <v>0.8</v>
      </c>
      <c r="CX29" s="9" t="n">
        <v>0.8</v>
      </c>
      <c r="CY29" s="9" t="n">
        <v>0.7</v>
      </c>
      <c r="CZ29" s="9" t="n">
        <v>0.5</v>
      </c>
      <c r="DA29" s="9" t="n">
        <v>0.5</v>
      </c>
      <c r="DB29" s="9" t="n">
        <v>1</v>
      </c>
      <c r="DC29" s="9" t="n">
        <v>0.3</v>
      </c>
      <c r="DD29" s="9" t="n">
        <v>0.8</v>
      </c>
      <c r="DE29" s="9" t="n">
        <v>0.3681721049725084</v>
      </c>
      <c r="DF29" s="9" t="n">
        <v>1</v>
      </c>
      <c r="DG29" s="9" t="n">
        <v>7.124</v>
      </c>
      <c r="DH29" s="9" t="n">
        <v>4.833</v>
      </c>
      <c r="DI29" s="9" t="n">
        <v>11.451</v>
      </c>
      <c r="DJ29" s="9" t="n">
        <v>19.68082211137683</v>
      </c>
      <c r="DK29" s="9" t="n">
        <v>20.58922943093086</v>
      </c>
      <c r="DL29" s="9" t="n">
        <v>17.27205865604339</v>
      </c>
      <c r="DM29" s="9" t="n">
        <v>19.78301635067195</v>
      </c>
      <c r="DN29" s="9" t="n">
        <v>4.68</v>
      </c>
      <c r="DO29" s="9" t="n">
        <v>4.018</v>
      </c>
      <c r="DP29" s="9" t="n">
        <v>8.651</v>
      </c>
      <c r="DQ29" s="9" t="n">
        <v>14.11516989415954</v>
      </c>
      <c r="DR29" s="9" t="n">
        <v>14.11516989415954</v>
      </c>
      <c r="DS29" s="9" t="n">
        <v>0.105</v>
      </c>
    </row>
    <row r="30">
      <c r="A30" s="9" t="inlineStr">
        <is>
          <t>BTN</t>
        </is>
      </c>
      <c r="B30" s="9" t="inlineStr">
        <is>
          <t>Bhutan</t>
        </is>
      </c>
      <c r="C30" s="9" t="n">
        <v>0.005</v>
      </c>
      <c r="D30" s="9" t="n">
        <v>0.005</v>
      </c>
      <c r="E30" s="9" t="n">
        <v>0.01</v>
      </c>
      <c r="F30" s="9" t="n">
        <v>0.005</v>
      </c>
      <c r="G30" s="9" t="n">
        <v>0.005</v>
      </c>
      <c r="H30" s="9" t="n">
        <v>0.01</v>
      </c>
      <c r="I30" s="9" t="n">
        <v>0.005</v>
      </c>
      <c r="J30" s="9" t="n">
        <v>0.005</v>
      </c>
      <c r="K30" s="9" t="n">
        <v>0.01</v>
      </c>
      <c r="L30" s="9" t="n">
        <v>0.01</v>
      </c>
      <c r="M30" s="9" t="n">
        <v>0.005</v>
      </c>
      <c r="N30" s="9" t="n">
        <v>2.698067</v>
      </c>
      <c r="O30" s="9" t="n">
        <v>0.394398</v>
      </c>
      <c r="P30" s="9" t="n">
        <v>5.795841</v>
      </c>
      <c r="Q30" s="9" t="n">
        <v>0.7898069429328555</v>
      </c>
      <c r="R30" s="9" t="n">
        <v>0.1586800473781046</v>
      </c>
      <c r="S30" s="9" t="n">
        <v>1.000640293887618</v>
      </c>
      <c r="T30" s="9" t="n">
        <v>0.2959694406973078</v>
      </c>
      <c r="U30" s="9" t="n">
        <v>0.091748</v>
      </c>
      <c r="V30" s="9" t="n">
        <v>0.008257</v>
      </c>
      <c r="W30" s="9" t="n">
        <v>0.015562</v>
      </c>
      <c r="X30" s="9" t="n">
        <v>0.8778968040315538</v>
      </c>
      <c r="Y30" s="9" t="n">
        <v>0.8778968040315538</v>
      </c>
      <c r="Z30" s="9" t="n">
        <v>0.01201830571474362</v>
      </c>
      <c r="AA30" s="9" t="n">
        <v>0.01</v>
      </c>
      <c r="AB30" s="9" t="n">
        <v>0</v>
      </c>
      <c r="AC30" s="9" t="n">
        <v>0</v>
      </c>
      <c r="AD30" s="9" t="n">
        <v>0</v>
      </c>
      <c r="AE30" s="9" t="n">
        <v>0</v>
      </c>
      <c r="AF30" s="9" t="n">
        <v>1.921</v>
      </c>
      <c r="AG30" s="9" t="n">
        <v>9.27114321593546</v>
      </c>
      <c r="AH30" s="9" t="n">
        <v>8.148643236000002</v>
      </c>
      <c r="AI30" s="9" t="n">
        <v>8.430711655707695</v>
      </c>
      <c r="AJ30" s="9" t="n">
        <v>8.430711655707695</v>
      </c>
      <c r="AK30" s="9" t="n">
        <v>0</v>
      </c>
      <c r="AL30" s="9" t="n">
        <v>0</v>
      </c>
      <c r="AM30" s="9" t="n">
        <v>0</v>
      </c>
      <c r="AN30" s="9" t="n">
        <v>0</v>
      </c>
      <c r="AO30" s="9" t="n">
        <v>0</v>
      </c>
      <c r="AP30" s="9" t="n">
        <v>0</v>
      </c>
      <c r="AQ30" s="9" t="n">
        <v>0</v>
      </c>
      <c r="AR30" s="9" t="n">
        <v>0</v>
      </c>
      <c r="AS30" s="9" t="n">
        <v>0</v>
      </c>
      <c r="AT30" s="9" t="n">
        <v>8.8317815211397</v>
      </c>
      <c r="AU30" s="9" t="n">
        <v>6.758200256861466</v>
      </c>
      <c r="AV30" s="9" t="n">
        <v>7.417442659497206</v>
      </c>
      <c r="AW30" s="9" t="n">
        <v>8.166186800916103</v>
      </c>
      <c r="AX30" s="9" t="n">
        <v>2.715768259416292</v>
      </c>
      <c r="AY30" s="9" t="n">
        <v>2.08038240144</v>
      </c>
      <c r="AZ30" s="9" t="n">
        <v>2.280859789441824</v>
      </c>
      <c r="BA30" s="9" t="n">
        <v>2.511098226479942</v>
      </c>
      <c r="BB30" s="9" t="n">
        <v>1.17681843561341</v>
      </c>
      <c r="BC30" s="9" t="n">
        <v>0.7556198758525907</v>
      </c>
      <c r="BD30" s="9" t="n">
        <v>1.616022249603268</v>
      </c>
      <c r="BE30" s="9" t="n">
        <v>1.123996141873077</v>
      </c>
      <c r="BF30" s="9" t="n">
        <v>0.0631358371463555</v>
      </c>
      <c r="BG30" s="9" t="n">
        <v>0.0595960369892471</v>
      </c>
      <c r="BH30" s="9" t="n">
        <v>0.0616589767311826</v>
      </c>
      <c r="BI30" s="9" t="n">
        <v>0.0616589767311826</v>
      </c>
      <c r="BJ30" s="9" t="n">
        <v>0.4186352315873585</v>
      </c>
      <c r="BK30" s="9" t="n">
        <v>0.383448976344085</v>
      </c>
      <c r="BL30" s="9" t="n">
        <v>0.3967222101406109</v>
      </c>
      <c r="BM30" s="9" t="n">
        <v>0.3967222101406109</v>
      </c>
      <c r="BN30" s="9" t="n">
        <v>0</v>
      </c>
      <c r="BO30" s="9" t="n">
        <v>0</v>
      </c>
      <c r="BP30" s="9" t="n">
        <v>0</v>
      </c>
      <c r="BQ30" s="9" t="n">
        <v>0</v>
      </c>
      <c r="BR30" s="9" t="n">
        <v>0</v>
      </c>
      <c r="BS30" s="9" t="n">
        <v>0</v>
      </c>
      <c r="BT30" s="9" t="n">
        <v>0</v>
      </c>
      <c r="BU30" s="9" t="n">
        <v>0</v>
      </c>
      <c r="BV30" s="9" t="n">
        <v>0</v>
      </c>
      <c r="BW30" s="9" t="n">
        <v>5.167233472962182</v>
      </c>
      <c r="BX30" s="9" t="n">
        <v>4.241051029295257</v>
      </c>
      <c r="BY30" s="9" t="n">
        <v>4.387853978491489</v>
      </c>
      <c r="BZ30" s="9" t="n">
        <v>4.91603147358011</v>
      </c>
      <c r="CA30" s="9" t="n">
        <v>0.1472036472669755</v>
      </c>
      <c r="CB30" s="9" t="n">
        <v>3.207652716821109</v>
      </c>
      <c r="CC30" s="9" t="n">
        <v>0.038</v>
      </c>
      <c r="CD30" s="9" t="n">
        <v>0</v>
      </c>
      <c r="CE30" s="9" t="n">
        <v>7.123</v>
      </c>
      <c r="CF30" s="9" t="n">
        <v>7.478</v>
      </c>
      <c r="CG30" s="9" t="n">
        <v>3.147</v>
      </c>
      <c r="CH30" s="9" t="n">
        <v>11</v>
      </c>
      <c r="CI30" s="9" t="n">
        <v>0</v>
      </c>
      <c r="CJ30" s="9" t="n">
        <v>0</v>
      </c>
      <c r="CK30" s="9" t="n">
        <v>0</v>
      </c>
      <c r="CL30" s="9" t="n">
        <v>0</v>
      </c>
      <c r="CM30" s="9" t="n">
        <v>0</v>
      </c>
      <c r="CN30" s="9" t="n">
        <v>11</v>
      </c>
      <c r="CO30" s="9" t="n">
        <v>0</v>
      </c>
      <c r="CP30" s="9" t="n">
        <v>3.509</v>
      </c>
      <c r="CQ30" s="9" t="n">
        <v>2.204</v>
      </c>
      <c r="CR30" s="9" t="n">
        <v>3</v>
      </c>
      <c r="CS30" s="9" t="n">
        <v>2</v>
      </c>
      <c r="CT30" s="9" t="n">
        <v>0.5</v>
      </c>
      <c r="CU30" s="9" t="n">
        <v>0.3</v>
      </c>
      <c r="CV30" s="9" t="n">
        <v>0.6</v>
      </c>
      <c r="CW30" s="9" t="n">
        <v>0.8</v>
      </c>
      <c r="CX30" s="9" t="n">
        <v>0.8</v>
      </c>
      <c r="CY30" s="9" t="n">
        <v>0.7</v>
      </c>
      <c r="CZ30" s="9" t="n">
        <v>0.5</v>
      </c>
      <c r="DA30" s="9" t="n">
        <v>0.5</v>
      </c>
      <c r="DB30" s="9" t="n">
        <v>1</v>
      </c>
      <c r="DC30" s="9" t="n">
        <v>0.3</v>
      </c>
      <c r="DD30" s="9" t="n">
        <v>0.8</v>
      </c>
      <c r="DE30" s="9" t="n">
        <v>0.2402473471257348</v>
      </c>
      <c r="DF30" s="9" t="n">
        <v>1</v>
      </c>
      <c r="DG30" s="9" t="n">
        <v>7.124</v>
      </c>
      <c r="DH30" s="9" t="n">
        <v>4.833</v>
      </c>
      <c r="DI30" s="9" t="n">
        <v>12.5961</v>
      </c>
      <c r="DJ30" s="9" t="n">
        <v>19.68082211137683</v>
      </c>
      <c r="DK30" s="9" t="n">
        <v>22.64815237402394</v>
      </c>
      <c r="DL30" s="9" t="n">
        <v>18.99926452164773</v>
      </c>
      <c r="DM30" s="9" t="n">
        <v>21.76131798573915</v>
      </c>
      <c r="DN30" s="9" t="n">
        <v>13.439</v>
      </c>
      <c r="DO30" s="9" t="n">
        <v>12.116</v>
      </c>
      <c r="DP30" s="9" t="n">
        <v>23.5191</v>
      </c>
      <c r="DQ30" s="9" t="n">
        <v>14.11517011379044</v>
      </c>
      <c r="DR30" s="9" t="n">
        <v>14.11517011379044</v>
      </c>
      <c r="DS30" s="9" t="n">
        <v>0.105</v>
      </c>
    </row>
    <row r="31">
      <c r="A31" s="9" t="inlineStr">
        <is>
          <t>BWA</t>
        </is>
      </c>
      <c r="B31" s="9" t="inlineStr">
        <is>
          <t>Botswana</t>
        </is>
      </c>
      <c r="C31" s="9" t="n">
        <v>0.005</v>
      </c>
      <c r="D31" s="9" t="n">
        <v>0.005</v>
      </c>
      <c r="E31" s="9" t="n">
        <v>0.01</v>
      </c>
      <c r="F31" s="9" t="n">
        <v>0.005</v>
      </c>
      <c r="G31" s="9" t="n">
        <v>0.005</v>
      </c>
      <c r="H31" s="9" t="n">
        <v>0.01</v>
      </c>
      <c r="I31" s="9" t="n">
        <v>0.005</v>
      </c>
      <c r="J31" s="9" t="n">
        <v>0.005</v>
      </c>
      <c r="K31" s="9" t="n">
        <v>0.01</v>
      </c>
      <c r="L31" s="9" t="n">
        <v>0.01</v>
      </c>
      <c r="M31" s="9" t="n">
        <v>0.005</v>
      </c>
      <c r="N31" s="9" t="n">
        <v>4.080418</v>
      </c>
      <c r="O31" s="9" t="n">
        <v>1.710211</v>
      </c>
      <c r="P31" s="9" t="n">
        <v>11.743219</v>
      </c>
      <c r="Q31" s="9" t="n">
        <v>5.05311810986886</v>
      </c>
      <c r="R31" s="9" t="n">
        <v>1.29606339652511</v>
      </c>
      <c r="S31" s="9" t="n">
        <v>1.744054070060234</v>
      </c>
      <c r="T31" s="9" t="n">
        <v>0.5629237907469634</v>
      </c>
      <c r="U31" s="9" t="n">
        <v>0.106565</v>
      </c>
      <c r="V31" s="9" t="n">
        <v>0.001511</v>
      </c>
      <c r="W31" s="9" t="n">
        <v>0.026592</v>
      </c>
      <c r="X31" s="9" t="n">
        <v>7.846496060756483</v>
      </c>
      <c r="Y31" s="9" t="n">
        <v>7.846496060756483</v>
      </c>
      <c r="Z31" s="9" t="n">
        <v>0.07392002714158802</v>
      </c>
      <c r="AA31" s="9" t="n">
        <v>0.8</v>
      </c>
      <c r="AB31" s="9" t="n">
        <v>0.07000000000000001</v>
      </c>
      <c r="AC31" s="9" t="n">
        <v>0</v>
      </c>
      <c r="AD31" s="9" t="n">
        <v>0</v>
      </c>
      <c r="AE31" s="9" t="n">
        <v>0</v>
      </c>
      <c r="AF31" s="9" t="n">
        <v>8.276</v>
      </c>
      <c r="AG31" s="9" t="n">
        <v>2.177376927009468</v>
      </c>
      <c r="AH31" s="9" t="n">
        <v>1.8041088672</v>
      </c>
      <c r="AI31" s="9" t="n">
        <v>2.312779562439805</v>
      </c>
      <c r="AJ31" s="9" t="n">
        <v>2.153239823168957</v>
      </c>
      <c r="AK31" s="9" t="n">
        <v>42.93320521089834</v>
      </c>
      <c r="AL31" s="9" t="n">
        <v>0.1954129992314032</v>
      </c>
      <c r="AM31" s="9" t="n">
        <v>0.161568612</v>
      </c>
      <c r="AN31" s="9" t="n">
        <v>0.2071230791882927</v>
      </c>
      <c r="AO31" s="9" t="n">
        <v>0.1928353525984676</v>
      </c>
      <c r="AP31" s="9" t="n">
        <v>13.71197662120524</v>
      </c>
      <c r="AQ31" s="9" t="n">
        <v>11.10133377</v>
      </c>
      <c r="AR31" s="9" t="n">
        <v>14.23136836466342</v>
      </c>
      <c r="AS31" s="9" t="n">
        <v>13.24966269965373</v>
      </c>
      <c r="AT31" s="9" t="n">
        <v>10.03837712817743</v>
      </c>
      <c r="AU31" s="9" t="n">
        <v>7.099200882</v>
      </c>
      <c r="AV31" s="9" t="n">
        <v>9.327475303212132</v>
      </c>
      <c r="AW31" s="9" t="n">
        <v>9.334257241177903</v>
      </c>
      <c r="AX31" s="9" t="n">
        <v>6.221392706535379</v>
      </c>
      <c r="AY31" s="9" t="n">
        <v>4.413598956</v>
      </c>
      <c r="AZ31" s="9" t="n">
        <v>5.780803618037491</v>
      </c>
      <c r="BA31" s="9" t="n">
        <v>5.785006797381888</v>
      </c>
      <c r="BB31" s="9" t="n">
        <v>24.21083679523286</v>
      </c>
      <c r="BC31" s="9" t="n">
        <v>24.45685593970126</v>
      </c>
      <c r="BD31" s="9" t="n">
        <v>20.78125194</v>
      </c>
      <c r="BE31" s="9" t="n">
        <v>23.76457647095254</v>
      </c>
      <c r="BF31" s="9" t="n">
        <v>0.1541552565592658</v>
      </c>
      <c r="BG31" s="9" t="n">
        <v>0.1208395999999997</v>
      </c>
      <c r="BH31" s="9" t="n">
        <v>0.1549104725853656</v>
      </c>
      <c r="BI31" s="9" t="n">
        <v>0.1442244665310223</v>
      </c>
      <c r="BJ31" s="9" t="n">
        <v>0.7317717029174914</v>
      </c>
      <c r="BK31" s="9" t="n">
        <v>0.5781152499999992</v>
      </c>
      <c r="BL31" s="9" t="n">
        <v>0.7411155497560967</v>
      </c>
      <c r="BM31" s="9" t="n">
        <v>0.6899920516511034</v>
      </c>
      <c r="BN31" s="9" t="n">
        <v>0</v>
      </c>
      <c r="BO31" s="9" t="n">
        <v>0</v>
      </c>
      <c r="BP31" s="9" t="n">
        <v>0</v>
      </c>
      <c r="BQ31" s="9" t="n">
        <v>0</v>
      </c>
      <c r="BR31" s="9" t="n">
        <v>0</v>
      </c>
      <c r="BS31" s="9" t="n">
        <v>0</v>
      </c>
      <c r="BT31" s="9" t="n">
        <v>0</v>
      </c>
      <c r="BU31" s="9" t="n">
        <v>0</v>
      </c>
      <c r="BV31" s="9" t="n">
        <v>0</v>
      </c>
      <c r="BW31" s="9" t="n">
        <v>8.665338036377694</v>
      </c>
      <c r="BX31" s="9" t="n">
        <v>8.32066988481453</v>
      </c>
      <c r="BY31" s="9" t="n">
        <v>8.777125066518675</v>
      </c>
      <c r="BZ31" s="9" t="n">
        <v>8.171663027420985</v>
      </c>
      <c r="CA31" s="9" t="n">
        <v>0.928981206709751</v>
      </c>
      <c r="CB31" s="9" t="n">
        <v>4.516602731864669</v>
      </c>
      <c r="CC31" s="9" t="n">
        <v>0.319</v>
      </c>
      <c r="CD31" s="9" t="n">
        <v>-0.036687078732811</v>
      </c>
      <c r="CE31" s="9" t="n">
        <v>-0.887</v>
      </c>
      <c r="CF31" s="9" t="n">
        <v>4.749</v>
      </c>
      <c r="CG31" s="9" t="n">
        <v>19.356</v>
      </c>
      <c r="CH31" s="9" t="n">
        <v>0</v>
      </c>
      <c r="CI31" s="9" t="n">
        <v>3.37</v>
      </c>
      <c r="CJ31" s="9" t="n">
        <v>3.42</v>
      </c>
      <c r="CK31" s="9" t="n">
        <v>0</v>
      </c>
      <c r="CL31" s="9" t="n">
        <v>0.05</v>
      </c>
      <c r="CM31" s="9" t="n">
        <v>0.01</v>
      </c>
      <c r="CN31" s="9" t="n">
        <v>3.43</v>
      </c>
      <c r="CO31" s="9" t="n">
        <v>0</v>
      </c>
      <c r="CP31" s="9" t="n">
        <v>13.09</v>
      </c>
      <c r="CQ31" s="9" t="n">
        <v>52.183</v>
      </c>
      <c r="CR31" s="9" t="n">
        <v>3</v>
      </c>
      <c r="CS31" s="9" t="n">
        <v>3</v>
      </c>
      <c r="CT31" s="9" t="n">
        <v>0.5</v>
      </c>
      <c r="CU31" s="9" t="n">
        <v>0.3</v>
      </c>
      <c r="CV31" s="9" t="n">
        <v>0.6</v>
      </c>
      <c r="CW31" s="9" t="n">
        <v>0.8</v>
      </c>
      <c r="CX31" s="9" t="n">
        <v>0.8</v>
      </c>
      <c r="CY31" s="9" t="n">
        <v>0.7</v>
      </c>
      <c r="CZ31" s="9" t="n">
        <v>0.5</v>
      </c>
      <c r="DA31" s="9" t="n">
        <v>0.5</v>
      </c>
      <c r="DB31" s="9" t="n">
        <v>1</v>
      </c>
      <c r="DC31" s="9" t="n">
        <v>0.3</v>
      </c>
      <c r="DD31" s="9" t="n">
        <v>0.8</v>
      </c>
      <c r="DE31" s="9" t="n">
        <v>0.3732716227943304</v>
      </c>
      <c r="DF31" s="9" t="n">
        <v>2</v>
      </c>
      <c r="DG31" s="9" t="n">
        <v>3.373</v>
      </c>
      <c r="DH31" s="9" t="n">
        <v>2.049</v>
      </c>
      <c r="DI31" s="9" t="n">
        <v>6.00096</v>
      </c>
      <c r="DJ31" s="9" t="n">
        <v>21.00898265969419</v>
      </c>
      <c r="DK31" s="9" t="n">
        <v>23.18804772354613</v>
      </c>
      <c r="DL31" s="9" t="n">
        <v>17.53484826013534</v>
      </c>
      <c r="DM31" s="9" t="n">
        <v>21.39191864317552</v>
      </c>
      <c r="DN31" s="9" t="n">
        <v>12.08</v>
      </c>
      <c r="DO31" s="9" t="n">
        <v>10.757</v>
      </c>
      <c r="DP31" s="9" t="n">
        <v>22.42464</v>
      </c>
      <c r="DQ31" s="9" t="n">
        <v>13.49474620847193</v>
      </c>
      <c r="DR31" s="9" t="n">
        <v>13.49474620847193</v>
      </c>
      <c r="DS31" s="9" t="n">
        <v>0.105</v>
      </c>
    </row>
    <row r="32">
      <c r="A32" s="9" t="inlineStr">
        <is>
          <t>CAF</t>
        </is>
      </c>
      <c r="B32" s="9" t="inlineStr">
        <is>
          <t>Central African Republic</t>
        </is>
      </c>
      <c r="C32" s="9" t="n">
        <v>0.005</v>
      </c>
      <c r="D32" s="9" t="n">
        <v>0.005</v>
      </c>
      <c r="E32" s="9" t="n">
        <v>0.01</v>
      </c>
      <c r="F32" s="9" t="n">
        <v>0.005</v>
      </c>
      <c r="G32" s="9" t="n">
        <v>0.005</v>
      </c>
      <c r="H32" s="9" t="n">
        <v>0.01</v>
      </c>
      <c r="I32" s="9" t="n">
        <v>0.005</v>
      </c>
      <c r="J32" s="9" t="n">
        <v>0.005</v>
      </c>
      <c r="K32" s="9" t="n">
        <v>0.01</v>
      </c>
      <c r="L32" s="9" t="n">
        <v>0.01</v>
      </c>
      <c r="M32" s="9" t="n">
        <v>0.005</v>
      </c>
      <c r="N32" s="9" t="n">
        <v>0.003088</v>
      </c>
      <c r="O32" s="9" t="n">
        <v>0.034279</v>
      </c>
      <c r="P32" s="9" t="n">
        <v>0.109144</v>
      </c>
      <c r="Q32" s="9" t="n">
        <v>0.0227375165537432</v>
      </c>
      <c r="R32" s="9" t="n">
        <v>0.0043752112540728</v>
      </c>
      <c r="S32" s="9" t="n">
        <v>0.0068346489773914</v>
      </c>
      <c r="T32" s="9" t="n">
        <v>0.0020946723194829</v>
      </c>
      <c r="U32" s="9" t="n">
        <v>0.000132</v>
      </c>
      <c r="V32" s="9" t="n">
        <v>0.000118</v>
      </c>
      <c r="W32" s="9" t="n">
        <v>0.000228</v>
      </c>
      <c r="X32" s="9" t="n">
        <v>0.0060619256639501</v>
      </c>
      <c r="Y32" s="9" t="n">
        <v>0.0060619256639501</v>
      </c>
      <c r="Z32" s="9" t="n">
        <v>0.01095281245309333</v>
      </c>
      <c r="AA32" s="9" t="n">
        <v>0.07000000000000001</v>
      </c>
      <c r="AB32" s="9" t="n">
        <v>0.04</v>
      </c>
      <c r="AC32" s="9" t="n">
        <v>0</v>
      </c>
      <c r="AD32" s="9" t="n">
        <v>0</v>
      </c>
      <c r="AE32" s="9" t="n">
        <v>0</v>
      </c>
      <c r="AF32" s="9" t="n">
        <v>0.283</v>
      </c>
      <c r="AG32" s="9" t="n">
        <v>0</v>
      </c>
      <c r="AH32" s="9" t="n">
        <v>0</v>
      </c>
      <c r="AI32" s="9" t="n">
        <v>0</v>
      </c>
      <c r="AJ32" s="9" t="n">
        <v>0</v>
      </c>
      <c r="AK32" s="9" t="n">
        <v>0</v>
      </c>
      <c r="AL32" s="9" t="n">
        <v>0</v>
      </c>
      <c r="AM32" s="9" t="n">
        <v>0</v>
      </c>
      <c r="AN32" s="9" t="n">
        <v>0</v>
      </c>
      <c r="AO32" s="9" t="n">
        <v>0</v>
      </c>
      <c r="AP32" s="9" t="n">
        <v>2.202915220950179</v>
      </c>
      <c r="AQ32" s="9" t="n">
        <v>2.340693639</v>
      </c>
      <c r="AR32" s="9" t="n">
        <v>2.192615987313098</v>
      </c>
      <c r="AS32" s="9" t="n">
        <v>2.133415355655645</v>
      </c>
      <c r="AT32" s="9" t="n">
        <v>0.1959467982598707</v>
      </c>
      <c r="AU32" s="9" t="n">
        <v>0.22708533312</v>
      </c>
      <c r="AV32" s="9" t="n">
        <v>0.1829465568594203</v>
      </c>
      <c r="AW32" s="9" t="n">
        <v>0.194131425679729</v>
      </c>
      <c r="AX32" s="9" t="n">
        <v>0.1173928716944592</v>
      </c>
      <c r="AY32" s="9" t="n">
        <v>0.13077553536</v>
      </c>
      <c r="AZ32" s="9" t="n">
        <v>0.1096043511150311</v>
      </c>
      <c r="BA32" s="9" t="n">
        <v>0.1163052713750319</v>
      </c>
      <c r="BB32" s="9" t="n">
        <v>1.479380146740635</v>
      </c>
      <c r="BC32" s="9" t="n">
        <v>1.344099037668748</v>
      </c>
      <c r="BD32" s="9" t="n">
        <v>1.580044006729125</v>
      </c>
      <c r="BE32" s="9" t="n">
        <v>1.372372672104114</v>
      </c>
      <c r="BF32" s="9" t="n">
        <v>0.6076572806346724</v>
      </c>
      <c r="BG32" s="9" t="n">
        <v>0.593852051999999</v>
      </c>
      <c r="BH32" s="9" t="n">
        <v>0.5562836082513432</v>
      </c>
      <c r="BI32" s="9" t="n">
        <v>0.5412639508285573</v>
      </c>
      <c r="BJ32" s="9" t="n">
        <v>0.0016179010024237</v>
      </c>
      <c r="BK32" s="9" t="n">
        <v>0.0017975099999999</v>
      </c>
      <c r="BL32" s="9" t="n">
        <v>0.0016837953919672</v>
      </c>
      <c r="BM32" s="9" t="n">
        <v>0.001638332916384</v>
      </c>
      <c r="BN32" s="9" t="n">
        <v>0</v>
      </c>
      <c r="BO32" s="9" t="n">
        <v>0</v>
      </c>
      <c r="BP32" s="9" t="n">
        <v>0</v>
      </c>
      <c r="BQ32" s="9" t="n">
        <v>0</v>
      </c>
      <c r="BR32" s="9" t="n">
        <v>0</v>
      </c>
      <c r="BS32" s="9" t="n">
        <v>0</v>
      </c>
      <c r="BT32" s="9" t="n">
        <v>0</v>
      </c>
      <c r="BU32" s="9" t="n">
        <v>0</v>
      </c>
      <c r="BV32" s="9" t="n">
        <v>0</v>
      </c>
      <c r="BW32" s="9" t="n">
        <v>0.6993635270809246</v>
      </c>
      <c r="BX32" s="9" t="n">
        <v>0.728610794963844</v>
      </c>
      <c r="BY32" s="9" t="n">
        <v>0.6746992326837891</v>
      </c>
      <c r="BZ32" s="9" t="n">
        <v>0.6564823534013267</v>
      </c>
      <c r="CA32" s="9" t="n">
        <v>0.6803881722663377</v>
      </c>
      <c r="CB32" s="9" t="n">
        <v>0.0870387972095361</v>
      </c>
      <c r="CC32" s="9" t="n">
        <v>0.001</v>
      </c>
      <c r="CD32" s="9" t="n">
        <v>0</v>
      </c>
      <c r="CE32" s="9" t="n">
        <v>4.801</v>
      </c>
      <c r="CF32" s="9" t="n">
        <v>2.613</v>
      </c>
      <c r="CG32" s="9" t="n">
        <v>2.868</v>
      </c>
      <c r="CH32" s="9" t="n">
        <v>0.14</v>
      </c>
      <c r="CI32" s="9" t="n">
        <v>0</v>
      </c>
      <c r="CJ32" s="9" t="n">
        <v>0</v>
      </c>
      <c r="CK32" s="9" t="n">
        <v>0</v>
      </c>
      <c r="CL32" s="9" t="n">
        <v>0</v>
      </c>
      <c r="CM32" s="9" t="n">
        <v>0</v>
      </c>
      <c r="CN32" s="9" t="n">
        <v>0.14</v>
      </c>
      <c r="CO32" s="9" t="n">
        <v>0</v>
      </c>
      <c r="CP32" s="9" t="n">
        <v>13.472</v>
      </c>
      <c r="CQ32" s="9" t="n">
        <v>43.945</v>
      </c>
      <c r="CR32" s="9" t="n">
        <v>3</v>
      </c>
      <c r="CS32" s="9" t="n">
        <v>1</v>
      </c>
      <c r="CT32" s="9" t="n">
        <v>0.5</v>
      </c>
      <c r="CU32" s="9" t="n">
        <v>0.3</v>
      </c>
      <c r="CV32" s="9" t="n">
        <v>0.6</v>
      </c>
      <c r="CW32" s="9" t="n">
        <v>0.8</v>
      </c>
      <c r="CX32" s="9" t="n">
        <v>0.8</v>
      </c>
      <c r="CY32" s="9" t="n">
        <v>0.7</v>
      </c>
      <c r="CZ32" s="9" t="n">
        <v>0.5</v>
      </c>
      <c r="DA32" s="9" t="n">
        <v>0.5</v>
      </c>
      <c r="DB32" s="9" t="n">
        <v>1</v>
      </c>
      <c r="DC32" s="9" t="n">
        <v>0.3</v>
      </c>
      <c r="DD32" s="9" t="n">
        <v>0.8</v>
      </c>
      <c r="DE32" s="9" t="n">
        <v>0.3899388171312032</v>
      </c>
      <c r="DF32" s="9" t="n">
        <v>2</v>
      </c>
      <c r="DG32" s="9" t="n">
        <v>7.124</v>
      </c>
      <c r="DH32" s="9" t="n">
        <v>5.575</v>
      </c>
      <c r="DI32" s="9" t="n">
        <v>14.50967</v>
      </c>
      <c r="DJ32" s="9" t="n">
        <v>21.45952333263352</v>
      </c>
      <c r="DK32" s="9" t="n">
        <v>24.63730070626776</v>
      </c>
      <c r="DL32" s="9" t="n">
        <v>18.6307762763938</v>
      </c>
      <c r="DM32" s="9" t="n">
        <v>21.59424847314632</v>
      </c>
      <c r="DN32" s="9" t="n">
        <v>8.176</v>
      </c>
      <c r="DO32" s="9" t="n">
        <v>6.853</v>
      </c>
      <c r="DP32" s="9" t="n">
        <v>19.18042</v>
      </c>
      <c r="DQ32" s="9" t="n">
        <v>13.494746211392</v>
      </c>
      <c r="DR32" s="9" t="n">
        <v>13.494746211392</v>
      </c>
      <c r="DS32" s="9" t="n">
        <v>0.105</v>
      </c>
    </row>
    <row r="33">
      <c r="A33" s="9" t="inlineStr">
        <is>
          <t>CAN</t>
        </is>
      </c>
      <c r="B33" s="9" t="inlineStr">
        <is>
          <t>Canada</t>
        </is>
      </c>
      <c r="C33" s="9" t="n">
        <v>0.005</v>
      </c>
      <c r="D33" s="9" t="n">
        <v>0.005</v>
      </c>
      <c r="E33" s="9" t="n">
        <v>0.01</v>
      </c>
      <c r="F33" s="9" t="n">
        <v>0.005</v>
      </c>
      <c r="G33" s="9" t="n">
        <v>0.005</v>
      </c>
      <c r="H33" s="9" t="n">
        <v>0.01</v>
      </c>
      <c r="I33" s="9" t="n">
        <v>0.005</v>
      </c>
      <c r="J33" s="9" t="n">
        <v>0.005</v>
      </c>
      <c r="K33" s="9" t="n">
        <v>0.01</v>
      </c>
      <c r="L33" s="9" t="n">
        <v>0.01</v>
      </c>
      <c r="M33" s="9" t="n">
        <v>0.005</v>
      </c>
      <c r="N33" s="9" t="n">
        <v>0.832371</v>
      </c>
      <c r="O33" s="9" t="n">
        <v>1.047297</v>
      </c>
      <c r="P33" s="9" t="n">
        <v>46.452357</v>
      </c>
      <c r="Q33" s="9" t="n">
        <v>1.629647147527604</v>
      </c>
      <c r="R33" s="9" t="n">
        <v>0.5249681581847621</v>
      </c>
      <c r="S33" s="9" t="n">
        <v>1.045542348215829</v>
      </c>
      <c r="T33" s="9" t="n">
        <v>0.7761536748246961</v>
      </c>
      <c r="U33" s="9" t="n">
        <v>0.044593</v>
      </c>
      <c r="V33" s="9" t="n">
        <v>0.169866</v>
      </c>
      <c r="W33" s="9" t="n">
        <v>0.11927</v>
      </c>
      <c r="X33" s="9" t="n">
        <v>2.091528061982455</v>
      </c>
      <c r="Y33" s="9" t="n">
        <v>2.091528061982455</v>
      </c>
      <c r="Z33" s="9" t="n">
        <v>19.09115913391756</v>
      </c>
      <c r="AA33" s="9" t="n">
        <v>32.85</v>
      </c>
      <c r="AB33" s="9" t="n">
        <v>5.93</v>
      </c>
      <c r="AC33" s="9" t="n">
        <v>17.74</v>
      </c>
      <c r="AD33" s="9" t="n">
        <v>1.7</v>
      </c>
      <c r="AE33" s="9" t="n">
        <v>5.469446975941868</v>
      </c>
      <c r="AF33" s="9" t="n">
        <v>554.217</v>
      </c>
      <c r="AG33" s="9" t="n">
        <v>85.56275297153555</v>
      </c>
      <c r="AH33" s="9" t="n">
        <v>84.9380344668</v>
      </c>
      <c r="AI33" s="9" t="n">
        <v>88.88465020970182</v>
      </c>
      <c r="AJ33" s="9" t="n">
        <v>87.67258679775135</v>
      </c>
      <c r="AK33" s="9" t="n">
        <v>128.2331445822203</v>
      </c>
      <c r="AL33" s="9" t="n">
        <v>0.5480721067982098</v>
      </c>
      <c r="AM33" s="9" t="n">
        <v>0.5440704732</v>
      </c>
      <c r="AN33" s="9" t="n">
        <v>0.5693505153890909</v>
      </c>
      <c r="AO33" s="9" t="n">
        <v>0.5615866447246942</v>
      </c>
      <c r="AP33" s="9" t="n">
        <v>754.7590069231518</v>
      </c>
      <c r="AQ33" s="9" t="n">
        <v>707.7472130400002</v>
      </c>
      <c r="AR33" s="9" t="n">
        <v>740.6324370802424</v>
      </c>
      <c r="AS33" s="9" t="n">
        <v>730.53290384733</v>
      </c>
      <c r="AT33" s="9" t="n">
        <v>1304.472048273031</v>
      </c>
      <c r="AU33" s="9" t="n">
        <v>1257.199199316</v>
      </c>
      <c r="AV33" s="9" t="n">
        <v>1298.883097791447</v>
      </c>
      <c r="AW33" s="9" t="n">
        <v>1294.890558839947</v>
      </c>
      <c r="AX33" s="9" t="n">
        <v>661.8814768557562</v>
      </c>
      <c r="AY33" s="9" t="n">
        <v>635.2632016812</v>
      </c>
      <c r="AZ33" s="9" t="n">
        <v>659.0309094477375</v>
      </c>
      <c r="BA33" s="9" t="n">
        <v>657.0138027905618</v>
      </c>
      <c r="BB33" s="9" t="n">
        <v>1334.25472892956</v>
      </c>
      <c r="BC33" s="9" t="n">
        <v>1269.327657715978</v>
      </c>
      <c r="BD33" s="9" t="n">
        <v>1291.694447395852</v>
      </c>
      <c r="BE33" s="9" t="n">
        <v>1310.742938886479</v>
      </c>
      <c r="BF33" s="9" t="n">
        <v>11.79822583378916</v>
      </c>
      <c r="BG33" s="9" t="n">
        <v>11.54933499605092</v>
      </c>
      <c r="BH33" s="9" t="n">
        <v>12.0859707635442</v>
      </c>
      <c r="BI33" s="9" t="n">
        <v>11.92116207131405</v>
      </c>
      <c r="BJ33" s="9" t="n">
        <v>15.74683453027654</v>
      </c>
      <c r="BK33" s="9" t="n">
        <v>14.91226027999999</v>
      </c>
      <c r="BL33" s="9" t="n">
        <v>15.60515318189897</v>
      </c>
      <c r="BM33" s="9" t="n">
        <v>15.39235563850944</v>
      </c>
      <c r="BN33" s="9" t="n">
        <v>2482.667500012352</v>
      </c>
      <c r="BO33" s="9" t="n">
        <v>2235.2724017388</v>
      </c>
      <c r="BP33" s="9" t="n">
        <v>2339.133543637775</v>
      </c>
      <c r="BQ33" s="9" t="n">
        <v>2307.236268042715</v>
      </c>
      <c r="BR33" s="9" t="n">
        <v>690.4572276659859</v>
      </c>
      <c r="BS33" s="9" t="n">
        <v>1390.566617531945</v>
      </c>
      <c r="BT33" s="9" t="n">
        <v>1229.5548014292</v>
      </c>
      <c r="BU33" s="9" t="n">
        <v>1286.685630586516</v>
      </c>
      <c r="BV33" s="9" t="n">
        <v>1269.139917442155</v>
      </c>
      <c r="BW33" s="9" t="n">
        <v>1303.645107829761</v>
      </c>
      <c r="BX33" s="9" t="n">
        <v>1240.342591708272</v>
      </c>
      <c r="BY33" s="9" t="n">
        <v>1239.526538387124</v>
      </c>
      <c r="BZ33" s="9" t="n">
        <v>1225.230735921276</v>
      </c>
      <c r="CA33" s="9" t="n">
        <v>1.108328113798168</v>
      </c>
      <c r="CB33" s="9" t="n">
        <v>546.2093125357742</v>
      </c>
      <c r="CC33" s="9" t="n">
        <v>0.082</v>
      </c>
      <c r="CD33" s="9" t="n">
        <v>-1.40411142580822</v>
      </c>
      <c r="CE33" s="9" t="n">
        <v>1.743</v>
      </c>
      <c r="CF33" s="9" t="n">
        <v>1.5</v>
      </c>
      <c r="CG33" s="9" t="n">
        <v>2270.076</v>
      </c>
      <c r="CH33" s="9" t="n">
        <v>440.51</v>
      </c>
      <c r="CI33" s="9" t="n">
        <v>26.05</v>
      </c>
      <c r="CJ33" s="9" t="n">
        <v>150.27</v>
      </c>
      <c r="CK33" s="9" t="n">
        <v>116.61</v>
      </c>
      <c r="CL33" s="9" t="n">
        <v>7.61</v>
      </c>
      <c r="CM33" s="9" t="n">
        <v>10.17</v>
      </c>
      <c r="CN33" s="9" t="n">
        <v>652.4299999999999</v>
      </c>
      <c r="CO33" s="9" t="n">
        <v>51.48</v>
      </c>
      <c r="CP33" s="9" t="n">
        <v>692.775</v>
      </c>
      <c r="CQ33" s="9" t="n">
        <v>674.974</v>
      </c>
      <c r="CR33" s="9" t="n">
        <v>1</v>
      </c>
      <c r="CS33" s="9" t="n">
        <v>4</v>
      </c>
      <c r="CT33" s="9" t="n">
        <v>0.5</v>
      </c>
      <c r="CU33" s="9" t="n">
        <v>0.3</v>
      </c>
      <c r="CV33" s="9" t="n">
        <v>0.6</v>
      </c>
      <c r="CW33" s="9" t="n">
        <v>0.8</v>
      </c>
      <c r="CX33" s="9" t="n">
        <v>0.8</v>
      </c>
      <c r="CY33" s="9" t="n">
        <v>0.7</v>
      </c>
      <c r="CZ33" s="9" t="n">
        <v>0.5</v>
      </c>
      <c r="DA33" s="9" t="n">
        <v>0.5</v>
      </c>
      <c r="DB33" s="9" t="n">
        <v>1</v>
      </c>
      <c r="DC33" s="9" t="n">
        <v>0.3</v>
      </c>
      <c r="DD33" s="9" t="n">
        <v>0.8</v>
      </c>
      <c r="DE33" s="9" t="n">
        <v>0.8519710459639881</v>
      </c>
      <c r="DF33" s="9" t="n">
        <v>2</v>
      </c>
      <c r="DG33" s="9" t="n">
        <v>5.678</v>
      </c>
      <c r="DH33" s="9" t="n">
        <v>4.055</v>
      </c>
      <c r="DI33" s="9" t="n">
        <v>9.867900000000001</v>
      </c>
      <c r="DJ33" s="9" t="n">
        <v>17.60111692687449</v>
      </c>
      <c r="DK33" s="9" t="n">
        <v>22.62701981770525</v>
      </c>
      <c r="DL33" s="9" t="n">
        <v>15.13959519332225</v>
      </c>
      <c r="DM33" s="9" t="n">
        <v>20.90847602988449</v>
      </c>
      <c r="DN33" s="9" t="n">
        <v>5.223</v>
      </c>
      <c r="DO33" s="9" t="n">
        <v>5.223</v>
      </c>
      <c r="DP33" s="9" t="n">
        <v>8.751749999999999</v>
      </c>
      <c r="DQ33" s="9" t="n">
        <v>13.49474620847193</v>
      </c>
      <c r="DR33" s="9" t="n">
        <v>13.49474620847193</v>
      </c>
      <c r="DS33" s="9" t="n">
        <v>0.055</v>
      </c>
    </row>
    <row r="34">
      <c r="A34" s="9" t="inlineStr">
        <is>
          <t>CHE</t>
        </is>
      </c>
      <c r="B34" s="9" t="inlineStr">
        <is>
          <t>Switzerland</t>
        </is>
      </c>
      <c r="C34" s="9" t="n">
        <v>0.005</v>
      </c>
      <c r="D34" s="9" t="n">
        <v>0.005</v>
      </c>
      <c r="E34" s="9" t="n">
        <v>0.01</v>
      </c>
      <c r="F34" s="9" t="n">
        <v>0.005</v>
      </c>
      <c r="G34" s="9" t="n">
        <v>0.005</v>
      </c>
      <c r="H34" s="9" t="n">
        <v>0.01</v>
      </c>
      <c r="I34" s="9" t="n">
        <v>0.005</v>
      </c>
      <c r="J34" s="9" t="n">
        <v>0.005</v>
      </c>
      <c r="K34" s="9" t="n">
        <v>0.01</v>
      </c>
      <c r="L34" s="9" t="n">
        <v>0.01</v>
      </c>
      <c r="M34" s="9" t="n">
        <v>0.005</v>
      </c>
      <c r="N34" s="9" t="n">
        <v>1.092053</v>
      </c>
      <c r="O34" s="9" t="n">
        <v>0.289363</v>
      </c>
      <c r="P34" s="9" t="n">
        <v>77.145991</v>
      </c>
      <c r="Q34" s="9" t="n">
        <v>13.10037567847221</v>
      </c>
      <c r="R34" s="9" t="n">
        <v>1.593634954106036</v>
      </c>
      <c r="S34" s="9" t="n">
        <v>5.805398524993775</v>
      </c>
      <c r="T34" s="9" t="n">
        <v>5.023916397367211</v>
      </c>
      <c r="U34" s="9" t="n">
        <v>0.787089</v>
      </c>
      <c r="V34" s="9" t="n">
        <v>0.116301</v>
      </c>
      <c r="W34" s="9" t="n">
        <v>0.348265</v>
      </c>
      <c r="X34" s="9" t="n">
        <v>1.687267819478257</v>
      </c>
      <c r="Y34" s="9" t="n">
        <v>1.687267819478257</v>
      </c>
      <c r="Z34" s="9" t="n">
        <v>8.159220960062784</v>
      </c>
      <c r="AA34" s="9" t="n">
        <v>0.49</v>
      </c>
      <c r="AB34" s="9" t="n">
        <v>9.109999999999999</v>
      </c>
      <c r="AC34" s="9" t="n">
        <v>0.11</v>
      </c>
      <c r="AD34" s="9" t="n">
        <v>0</v>
      </c>
      <c r="AE34" s="9" t="n">
        <v>0</v>
      </c>
      <c r="AF34" s="9" t="n">
        <v>35.583</v>
      </c>
      <c r="AG34" s="9" t="n">
        <v>4.092526249736031</v>
      </c>
      <c r="AH34" s="9" t="n">
        <v>3.5713487736</v>
      </c>
      <c r="AI34" s="9" t="n">
        <v>3.52920685807152</v>
      </c>
      <c r="AJ34" s="9" t="n">
        <v>3.40231852578363</v>
      </c>
      <c r="AK34" s="9" t="n">
        <v>0</v>
      </c>
      <c r="AL34" s="9" t="n">
        <v>0.1260018177349839</v>
      </c>
      <c r="AM34" s="9" t="n">
        <v>0.1258677684</v>
      </c>
      <c r="AN34" s="9" t="n">
        <v>0.1243825287328799</v>
      </c>
      <c r="AO34" s="9" t="n">
        <v>0.1199105064708327</v>
      </c>
      <c r="AP34" s="9" t="n">
        <v>110.0650741627522</v>
      </c>
      <c r="AQ34" s="9" t="n">
        <v>113.7253667846707</v>
      </c>
      <c r="AR34" s="9" t="n">
        <v>112.3834074566115</v>
      </c>
      <c r="AS34" s="9" t="n">
        <v>108.3427989792744</v>
      </c>
      <c r="AT34" s="9" t="n">
        <v>120.3007056286707</v>
      </c>
      <c r="AU34" s="9" t="n">
        <v>136.589995728</v>
      </c>
      <c r="AV34" s="9" t="n">
        <v>136.9010518623003</v>
      </c>
      <c r="AW34" s="9" t="n">
        <v>132.3649100614731</v>
      </c>
      <c r="AX34" s="9" t="n">
        <v>63.65010016224735</v>
      </c>
      <c r="AY34" s="9" t="n">
        <v>72.61999994520001</v>
      </c>
      <c r="AZ34" s="9" t="n">
        <v>72.5455472471176</v>
      </c>
      <c r="BA34" s="9" t="n">
        <v>70.15863046806781</v>
      </c>
      <c r="BB34" s="9" t="n">
        <v>91.69016335310997</v>
      </c>
      <c r="BC34" s="9" t="n">
        <v>95.30631274596772</v>
      </c>
      <c r="BD34" s="9" t="n">
        <v>92.46813143225803</v>
      </c>
      <c r="BE34" s="9" t="n">
        <v>90.7955100539986</v>
      </c>
      <c r="BF34" s="9" t="n">
        <v>0</v>
      </c>
      <c r="BG34" s="9" t="n">
        <v>0</v>
      </c>
      <c r="BH34" s="9" t="n">
        <v>0</v>
      </c>
      <c r="BI34" s="9" t="n">
        <v>0</v>
      </c>
      <c r="BJ34" s="9" t="n">
        <v>0</v>
      </c>
      <c r="BK34" s="9" t="n">
        <v>0</v>
      </c>
      <c r="BL34" s="9" t="n">
        <v>0</v>
      </c>
      <c r="BM34" s="9" t="n">
        <v>0</v>
      </c>
      <c r="BN34" s="9" t="n">
        <v>40.1674598949547</v>
      </c>
      <c r="BO34" s="9" t="n">
        <v>36.93633059880001</v>
      </c>
      <c r="BP34" s="9" t="n">
        <v>36.50048189773416</v>
      </c>
      <c r="BQ34" s="9" t="n">
        <v>35.18815154647822</v>
      </c>
      <c r="BR34" s="9" t="n">
        <v>0</v>
      </c>
      <c r="BS34" s="9" t="n">
        <v>95.91706943727068</v>
      </c>
      <c r="BT34" s="9" t="n">
        <v>90.39986997840001</v>
      </c>
      <c r="BU34" s="9" t="n">
        <v>89.33315151265488</v>
      </c>
      <c r="BV34" s="9" t="n">
        <v>86.12128690133643</v>
      </c>
      <c r="BW34" s="9" t="n">
        <v>122.3196158266942</v>
      </c>
      <c r="BX34" s="9" t="n">
        <v>124.518733253442</v>
      </c>
      <c r="BY34" s="9" t="n">
        <v>125.469132494203</v>
      </c>
      <c r="BZ34" s="9" t="n">
        <v>118.1914780077774</v>
      </c>
      <c r="CA34" s="9" t="n">
        <v>1.131021256517615</v>
      </c>
      <c r="CB34" s="9" t="n">
        <v>51.09744605303278</v>
      </c>
      <c r="CC34" s="9" t="n">
        <v>0.002</v>
      </c>
      <c r="CD34" s="9" t="n">
        <v>0.0843218953385165</v>
      </c>
      <c r="CE34" s="9" t="n">
        <v>1.272</v>
      </c>
      <c r="CF34" s="9" t="n">
        <v>1.342</v>
      </c>
      <c r="CG34" s="9" t="n">
        <v>970.1900000000001</v>
      </c>
      <c r="CH34" s="9" t="n">
        <v>55.49</v>
      </c>
      <c r="CI34" s="9" t="n">
        <v>0</v>
      </c>
      <c r="CJ34" s="9" t="n">
        <v>1.5</v>
      </c>
      <c r="CK34" s="9" t="n">
        <v>0.27</v>
      </c>
      <c r="CL34" s="9" t="n">
        <v>1.23</v>
      </c>
      <c r="CM34" s="9" t="n">
        <v>7.89</v>
      </c>
      <c r="CN34" s="9" t="n">
        <v>65.02</v>
      </c>
      <c r="CO34" s="9" t="n">
        <v>0.14</v>
      </c>
      <c r="CP34" s="9" t="n">
        <v>45.202</v>
      </c>
      <c r="CQ34" s="9" t="n">
        <v>43.278</v>
      </c>
      <c r="CR34" s="9" t="n">
        <v>1</v>
      </c>
      <c r="CS34" s="9" t="n">
        <v>4</v>
      </c>
      <c r="CT34" s="9" t="n">
        <v>0.5</v>
      </c>
      <c r="CU34" s="9" t="n">
        <v>0.3</v>
      </c>
      <c r="CV34" s="9" t="n">
        <v>0.6</v>
      </c>
      <c r="CW34" s="9" t="n">
        <v>0.8</v>
      </c>
      <c r="CX34" s="9" t="n">
        <v>0.8</v>
      </c>
      <c r="CY34" s="9" t="n">
        <v>0.7</v>
      </c>
      <c r="CZ34" s="9" t="n">
        <v>0.5</v>
      </c>
      <c r="DA34" s="9" t="n">
        <v>0.5</v>
      </c>
      <c r="DB34" s="9" t="n">
        <v>1</v>
      </c>
      <c r="DC34" s="9" t="n">
        <v>0.3</v>
      </c>
      <c r="DD34" s="9" t="n">
        <v>0.8</v>
      </c>
      <c r="DE34" s="9" t="n">
        <v>1.096500249772266</v>
      </c>
      <c r="DF34" s="9" t="n">
        <v>3</v>
      </c>
      <c r="DG34" s="9" t="n">
        <v>7.124</v>
      </c>
      <c r="DH34" s="9" t="n">
        <v>5.47</v>
      </c>
      <c r="DI34" s="9" t="n">
        <v>13.360185</v>
      </c>
      <c r="DJ34" s="9" t="n">
        <v>21.16935186548185</v>
      </c>
      <c r="DK34" s="9" t="n">
        <v>22.2886415512383</v>
      </c>
      <c r="DL34" s="9" t="n">
        <v>15.65611451797798</v>
      </c>
      <c r="DM34" s="9" t="n">
        <v>19.89938703508767</v>
      </c>
      <c r="DN34" s="9" t="n">
        <v>40.254</v>
      </c>
      <c r="DO34" s="9" t="n">
        <v>40.254</v>
      </c>
      <c r="DP34" s="9" t="n">
        <v>46.614714</v>
      </c>
      <c r="DQ34" s="9" t="n">
        <v>13.49474620847193</v>
      </c>
      <c r="DR34" s="9" t="n">
        <v>13.49474620847193</v>
      </c>
      <c r="DS34" s="9" t="n">
        <v>0.0397</v>
      </c>
    </row>
    <row r="35">
      <c r="A35" s="9" t="inlineStr">
        <is>
          <t>CHL</t>
        </is>
      </c>
      <c r="B35" s="9" t="inlineStr">
        <is>
          <t>Chile</t>
        </is>
      </c>
      <c r="C35" s="9" t="n">
        <v>0.005</v>
      </c>
      <c r="D35" s="9" t="n">
        <v>0.005</v>
      </c>
      <c r="E35" s="9" t="n">
        <v>0.01</v>
      </c>
      <c r="F35" s="9" t="n">
        <v>0.005</v>
      </c>
      <c r="G35" s="9" t="n">
        <v>0.005</v>
      </c>
      <c r="H35" s="9" t="n">
        <v>0.01</v>
      </c>
      <c r="I35" s="9" t="n">
        <v>0.005</v>
      </c>
      <c r="J35" s="9" t="n">
        <v>0.005</v>
      </c>
      <c r="K35" s="9" t="n">
        <v>0.01</v>
      </c>
      <c r="L35" s="9" t="n">
        <v>0.01</v>
      </c>
      <c r="M35" s="9" t="n">
        <v>0.005</v>
      </c>
      <c r="N35" s="9" t="n">
        <v>1.195574</v>
      </c>
      <c r="O35" s="9" t="n">
        <v>0.379918</v>
      </c>
      <c r="P35" s="9" t="n">
        <v>33.141697</v>
      </c>
      <c r="Q35" s="9" t="n">
        <v>16.17259491103276</v>
      </c>
      <c r="R35" s="9" t="n">
        <v>1.564895821358695</v>
      </c>
      <c r="S35" s="9" t="n">
        <v>1.71557636598777</v>
      </c>
      <c r="T35" s="9" t="n">
        <v>2.126053614047017</v>
      </c>
      <c r="U35" s="9" t="n">
        <v>0.09778000000000001</v>
      </c>
      <c r="V35" s="9" t="n">
        <v>0.046421</v>
      </c>
      <c r="W35" s="9" t="n">
        <v>0.07335700000000001</v>
      </c>
      <c r="X35" s="9" t="n">
        <v>1.024995323452978</v>
      </c>
      <c r="Y35" s="9" t="n">
        <v>1.024995323452978</v>
      </c>
      <c r="Z35" s="9" t="n">
        <v>1.261062831288684</v>
      </c>
      <c r="AA35" s="9" t="n">
        <v>10.11</v>
      </c>
      <c r="AB35" s="9" t="n">
        <v>12.14</v>
      </c>
      <c r="AC35" s="9" t="n">
        <v>5.88</v>
      </c>
      <c r="AD35" s="9" t="n">
        <v>2.4</v>
      </c>
      <c r="AE35" s="9" t="n">
        <v>0.03518492</v>
      </c>
      <c r="AF35" s="9" t="n">
        <v>93.038</v>
      </c>
      <c r="AG35" s="9" t="n">
        <v>11.26766314433967</v>
      </c>
      <c r="AH35" s="9" t="n">
        <v>11.1361260024</v>
      </c>
      <c r="AI35" s="9" t="n">
        <v>10.969084112364</v>
      </c>
      <c r="AJ35" s="9" t="n">
        <v>10.76341378525717</v>
      </c>
      <c r="AK35" s="9" t="n">
        <v>169.9919920985381</v>
      </c>
      <c r="AL35" s="9" t="n">
        <v>1.924637707137481</v>
      </c>
      <c r="AM35" s="9" t="n">
        <v>1.9022055912</v>
      </c>
      <c r="AN35" s="9" t="n">
        <v>1.873672507332</v>
      </c>
      <c r="AO35" s="9" t="n">
        <v>1.838541147819525</v>
      </c>
      <c r="AP35" s="9" t="n">
        <v>220.166665471246</v>
      </c>
      <c r="AQ35" s="9" t="n">
        <v>209.64525054</v>
      </c>
      <c r="AR35" s="9" t="n">
        <v>206.5005717819</v>
      </c>
      <c r="AS35" s="9" t="n">
        <v>202.6286860609894</v>
      </c>
      <c r="AT35" s="9" t="n">
        <v>235.2250641332697</v>
      </c>
      <c r="AU35" s="9" t="n">
        <v>220.8982517388</v>
      </c>
      <c r="AV35" s="9" t="n">
        <v>217.5078903555095</v>
      </c>
      <c r="AW35" s="9" t="n">
        <v>253.6736329029138</v>
      </c>
      <c r="AX35" s="9" t="n">
        <v>57.37624944475309</v>
      </c>
      <c r="AY35" s="9" t="n">
        <v>53.85543642</v>
      </c>
      <c r="AZ35" s="9" t="n">
        <v>53.0298305955022</v>
      </c>
      <c r="BA35" s="9" t="n">
        <v>61.89947492405926</v>
      </c>
      <c r="BB35" s="9" t="n">
        <v>163.3250022646937</v>
      </c>
      <c r="BC35" s="9" t="n">
        <v>137.4234894591611</v>
      </c>
      <c r="BD35" s="9" t="n">
        <v>179.0921641775856</v>
      </c>
      <c r="BE35" s="9" t="n">
        <v>152.7800202539732</v>
      </c>
      <c r="BF35" s="9" t="n">
        <v>19.32087147250742</v>
      </c>
      <c r="BG35" s="9" t="n">
        <v>18.68558032737306</v>
      </c>
      <c r="BH35" s="9" t="n">
        <v>18.40529662246247</v>
      </c>
      <c r="BI35" s="9" t="n">
        <v>18.06019731079129</v>
      </c>
      <c r="BJ35" s="9" t="n">
        <v>44.901556179675</v>
      </c>
      <c r="BK35" s="9" t="n">
        <v>44.6697932107986</v>
      </c>
      <c r="BL35" s="9" t="n">
        <v>43.9997463126366</v>
      </c>
      <c r="BM35" s="9" t="n">
        <v>43.17475106927467</v>
      </c>
      <c r="BN35" s="9" t="n">
        <v>51.38528943054533</v>
      </c>
      <c r="BO35" s="9" t="n">
        <v>51.96446401319999</v>
      </c>
      <c r="BP35" s="9" t="n">
        <v>51.18499705300199</v>
      </c>
      <c r="BQ35" s="9" t="n">
        <v>50.2252783582582</v>
      </c>
      <c r="BR35" s="9" t="n">
        <v>63.75290957060234</v>
      </c>
      <c r="BS35" s="9" t="n">
        <v>28.74924072112304</v>
      </c>
      <c r="BT35" s="9" t="n">
        <v>28.7180273844</v>
      </c>
      <c r="BU35" s="9" t="n">
        <v>28.28725697363399</v>
      </c>
      <c r="BV35" s="9" t="n">
        <v>27.75687090537836</v>
      </c>
      <c r="BW35" s="9" t="n">
        <v>304.402293517839</v>
      </c>
      <c r="BX35" s="9" t="n">
        <v>237.6286217202162</v>
      </c>
      <c r="BY35" s="9" t="n">
        <v>292.3831392812398</v>
      </c>
      <c r="BZ35" s="9" t="n">
        <v>289.4471065822806</v>
      </c>
      <c r="CA35" s="9" t="n">
        <v>0.973914399006559</v>
      </c>
      <c r="CB35" s="9" t="n">
        <v>81.2781426605619</v>
      </c>
      <c r="CC35" s="9" t="n">
        <v>0.083</v>
      </c>
      <c r="CD35" s="9" t="n">
        <v>3.681850903061173</v>
      </c>
      <c r="CE35" s="9" t="n">
        <v>2.292</v>
      </c>
      <c r="CF35" s="9" t="n">
        <v>2.396</v>
      </c>
      <c r="CG35" s="9" t="n">
        <v>330.21</v>
      </c>
      <c r="CH35" s="9" t="n">
        <v>24.98</v>
      </c>
      <c r="CI35" s="9" t="n">
        <v>15.72</v>
      </c>
      <c r="CJ35" s="9" t="n">
        <v>29.76</v>
      </c>
      <c r="CK35" s="9" t="n">
        <v>13.54</v>
      </c>
      <c r="CL35" s="9" t="n">
        <v>0.5</v>
      </c>
      <c r="CM35" s="9" t="n">
        <v>22.18</v>
      </c>
      <c r="CN35" s="9" t="n">
        <v>88.5</v>
      </c>
      <c r="CO35" s="9" t="n">
        <v>11.58</v>
      </c>
      <c r="CP35" s="9" t="n">
        <v>138.572</v>
      </c>
      <c r="CQ35" s="9" t="n">
        <v>81.712</v>
      </c>
      <c r="CR35" s="9" t="n">
        <v>3</v>
      </c>
      <c r="CS35" s="9" t="n">
        <v>4</v>
      </c>
      <c r="CT35" s="9" t="n">
        <v>0.5</v>
      </c>
      <c r="CU35" s="9" t="n">
        <v>0.3</v>
      </c>
      <c r="CV35" s="9" t="n">
        <v>0.6</v>
      </c>
      <c r="CW35" s="9" t="n">
        <v>0.8</v>
      </c>
      <c r="CX35" s="9" t="n">
        <v>0.8</v>
      </c>
      <c r="CY35" s="9" t="n">
        <v>0.7</v>
      </c>
      <c r="CZ35" s="9" t="n">
        <v>0.5</v>
      </c>
      <c r="DA35" s="9" t="n">
        <v>0.5</v>
      </c>
      <c r="DB35" s="9" t="n">
        <v>1</v>
      </c>
      <c r="DC35" s="9" t="n">
        <v>0.3</v>
      </c>
      <c r="DD35" s="9" t="n">
        <v>0.8</v>
      </c>
      <c r="DE35" s="9" t="n">
        <v>0.4862994936865451</v>
      </c>
      <c r="DF35" s="9" t="n">
        <v>3</v>
      </c>
      <c r="DG35" s="9" t="n">
        <v>8.794</v>
      </c>
      <c r="DH35" s="9" t="n">
        <v>3.853</v>
      </c>
      <c r="DI35" s="9" t="n">
        <v>14.4109</v>
      </c>
      <c r="DJ35" s="9" t="n">
        <v>18.29855270880776</v>
      </c>
      <c r="DK35" s="9" t="n">
        <v>25.72567025090836</v>
      </c>
      <c r="DL35" s="9" t="n">
        <v>17.49346949384586</v>
      </c>
      <c r="DM35" s="9" t="n">
        <v>23.13790560192081</v>
      </c>
      <c r="DN35" s="9" t="n">
        <v>13.977</v>
      </c>
      <c r="DO35" s="9" t="n">
        <v>13.977</v>
      </c>
      <c r="DP35" s="9" t="n">
        <v>38.95346</v>
      </c>
      <c r="DQ35" s="9" t="n">
        <v>13.49474620847193</v>
      </c>
      <c r="DR35" s="9" t="n">
        <v>13.49474620847193</v>
      </c>
      <c r="DS35" s="9" t="n">
        <v>0.0603</v>
      </c>
    </row>
    <row r="36">
      <c r="A36" s="9" t="inlineStr">
        <is>
          <t>CHN</t>
        </is>
      </c>
      <c r="B36" s="9" t="inlineStr">
        <is>
          <t>China</t>
        </is>
      </c>
      <c r="C36" s="9" t="n">
        <v>0.005</v>
      </c>
      <c r="D36" s="9" t="n">
        <v>0.005</v>
      </c>
      <c r="E36" s="9" t="n">
        <v>0.01</v>
      </c>
      <c r="F36" s="9" t="n">
        <v>0.005</v>
      </c>
      <c r="G36" s="9" t="n">
        <v>0.005</v>
      </c>
      <c r="H36" s="9" t="n">
        <v>0.01</v>
      </c>
      <c r="I36" s="9" t="n">
        <v>0.005</v>
      </c>
      <c r="J36" s="9" t="n">
        <v>0.005</v>
      </c>
      <c r="K36" s="9" t="n">
        <v>0.01</v>
      </c>
      <c r="L36" s="9" t="n">
        <v>0.01</v>
      </c>
      <c r="M36" s="9" t="n">
        <v>0.005</v>
      </c>
      <c r="N36" s="9" t="n">
        <v>16.889941</v>
      </c>
      <c r="O36" s="9" t="n">
        <v>9.186285</v>
      </c>
      <c r="P36" s="9" t="n">
        <v>133.217277</v>
      </c>
      <c r="Q36" s="9" t="n">
        <v>48.26552700227563</v>
      </c>
      <c r="R36" s="9" t="n">
        <v>6.865478553743894</v>
      </c>
      <c r="S36" s="9" t="n">
        <v>33.030004145607</v>
      </c>
      <c r="T36" s="9" t="n">
        <v>20.35257327043061</v>
      </c>
      <c r="U36" s="9" t="n">
        <v>4.125949</v>
      </c>
      <c r="V36" s="9" t="n">
        <v>3.78587</v>
      </c>
      <c r="W36" s="9" t="n">
        <v>0.652311</v>
      </c>
      <c r="X36" s="9" t="n">
        <v>20.72074608380474</v>
      </c>
      <c r="Y36" s="9" t="n">
        <v>20.72074608380474</v>
      </c>
      <c r="Z36" s="9" t="n">
        <v>89.66215771140378</v>
      </c>
      <c r="AA36" s="9" t="n">
        <v>1420.37</v>
      </c>
      <c r="AB36" s="9" t="n">
        <v>1202.18</v>
      </c>
      <c r="AC36" s="9" t="n">
        <v>640.63</v>
      </c>
      <c r="AD36" s="9" t="n">
        <v>3.9</v>
      </c>
      <c r="AE36" s="9" t="n">
        <v>826.153816148531</v>
      </c>
      <c r="AF36" s="9" t="n">
        <v>13206.767</v>
      </c>
      <c r="AG36" s="9" t="n">
        <v>21743.84071022952</v>
      </c>
      <c r="AH36" s="9" t="n">
        <v>19354.5683776584</v>
      </c>
      <c r="AI36" s="9" t="n">
        <v>20327.5277609677</v>
      </c>
      <c r="AJ36" s="9" t="n">
        <v>20980.91258185596</v>
      </c>
      <c r="AK36" s="9" t="n">
        <v>57938.19758992904</v>
      </c>
      <c r="AL36" s="9" t="n">
        <v>2626.090050125888</v>
      </c>
      <c r="AM36" s="9" t="n">
        <v>2362.9506555024</v>
      </c>
      <c r="AN36" s="9" t="n">
        <v>2481.736823589818</v>
      </c>
      <c r="AO36" s="9" t="n">
        <v>2561.506935776634</v>
      </c>
      <c r="AP36" s="9" t="n">
        <v>5247.961327128814</v>
      </c>
      <c r="AQ36" s="9" t="n">
        <v>4654.05887871</v>
      </c>
      <c r="AR36" s="9" t="n">
        <v>4888.019676396502</v>
      </c>
      <c r="AS36" s="9" t="n">
        <v>5045.134594566391</v>
      </c>
      <c r="AT36" s="9" t="n">
        <v>27061.64233218348</v>
      </c>
      <c r="AU36" s="9" t="n">
        <v>21694.2973153992</v>
      </c>
      <c r="AV36" s="9" t="n">
        <v>22762.07615674451</v>
      </c>
      <c r="AW36" s="9" t="n">
        <v>25455.75416953854</v>
      </c>
      <c r="AX36" s="9" t="n">
        <v>5513.455361747279</v>
      </c>
      <c r="AY36" s="9" t="n">
        <v>4420.404000687599</v>
      </c>
      <c r="AZ36" s="9" t="n">
        <v>4637.516390464802</v>
      </c>
      <c r="BA36" s="9" t="n">
        <v>5186.340287685573</v>
      </c>
      <c r="BB36" s="9" t="n">
        <v>7137.694773899518</v>
      </c>
      <c r="BC36" s="9" t="n">
        <v>7150.176448686241</v>
      </c>
      <c r="BD36" s="9" t="n">
        <v>5734.463262189713</v>
      </c>
      <c r="BE36" s="9" t="n">
        <v>6772.872462439685</v>
      </c>
      <c r="BF36" s="9" t="n">
        <v>20.36741715450915</v>
      </c>
      <c r="BG36" s="9" t="n">
        <v>17.9445637754528</v>
      </c>
      <c r="BH36" s="9" t="n">
        <v>18.8466418463269</v>
      </c>
      <c r="BI36" s="9" t="n">
        <v>19.45242676281598</v>
      </c>
      <c r="BJ36" s="9" t="n">
        <v>1648.280961108978</v>
      </c>
      <c r="BK36" s="9" t="n">
        <v>1466.09747996415</v>
      </c>
      <c r="BL36" s="9" t="n">
        <v>1539.79859652451</v>
      </c>
      <c r="BM36" s="9" t="n">
        <v>1589.29212284137</v>
      </c>
      <c r="BN36" s="9" t="n">
        <v>7955.453143448961</v>
      </c>
      <c r="BO36" s="9" t="n">
        <v>7116.175781118</v>
      </c>
      <c r="BP36" s="9" t="n">
        <v>7473.907860925554</v>
      </c>
      <c r="BQ36" s="9" t="n">
        <v>7714.14061359816</v>
      </c>
      <c r="BR36" s="9" t="n">
        <v>1105.04681901245</v>
      </c>
      <c r="BS36" s="9" t="n">
        <v>3256.329952228539</v>
      </c>
      <c r="BT36" s="9" t="n">
        <v>2934.3191233176</v>
      </c>
      <c r="BU36" s="9" t="n">
        <v>3081.828138705998</v>
      </c>
      <c r="BV36" s="9" t="n">
        <v>3180.886900307263</v>
      </c>
      <c r="BW36" s="9" t="n">
        <v>10980.17013664229</v>
      </c>
      <c r="BX36" s="9" t="n">
        <v>9708.107055911869</v>
      </c>
      <c r="BY36" s="9" t="n">
        <v>10198.30714125066</v>
      </c>
      <c r="BZ36" s="9" t="n">
        <v>10534.15017245476</v>
      </c>
      <c r="CA36" s="9" t="n">
        <v>0.9676307813893652</v>
      </c>
      <c r="CB36" s="9" t="n">
        <v>9048.638248314101</v>
      </c>
      <c r="CC36" s="9" t="n">
        <v>0.243</v>
      </c>
      <c r="CD36" s="9" t="n">
        <v>2.228052097711826</v>
      </c>
      <c r="CE36" s="9" t="n">
        <v>4.959</v>
      </c>
      <c r="CF36" s="9" t="n">
        <v>4.413</v>
      </c>
      <c r="CG36" s="9" t="n">
        <v>18945.112</v>
      </c>
      <c r="CH36" s="9" t="n">
        <v>2088.69</v>
      </c>
      <c r="CI36" s="9" t="n">
        <v>5772.37</v>
      </c>
      <c r="CJ36" s="9" t="n">
        <v>6178.97</v>
      </c>
      <c r="CK36" s="9" t="n">
        <v>317.89</v>
      </c>
      <c r="CL36" s="9" t="n">
        <v>88.70999999999999</v>
      </c>
      <c r="CM36" s="9" t="n">
        <v>1174.94</v>
      </c>
      <c r="CN36" s="9" t="n">
        <v>10578.05</v>
      </c>
      <c r="CO36" s="9" t="n">
        <v>1135.45</v>
      </c>
      <c r="CP36" s="9" t="n">
        <v>16257.103</v>
      </c>
      <c r="CQ36" s="9" t="n">
        <v>15609.747</v>
      </c>
      <c r="CR36" s="9" t="n">
        <v>2</v>
      </c>
      <c r="CS36" s="9" t="n">
        <v>3</v>
      </c>
      <c r="CT36" s="9" t="n">
        <v>0.5</v>
      </c>
      <c r="CU36" s="9" t="n">
        <v>0.3</v>
      </c>
      <c r="CV36" s="9" t="n">
        <v>0.6</v>
      </c>
      <c r="CW36" s="9" t="n">
        <v>0.8</v>
      </c>
      <c r="CX36" s="9" t="n">
        <v>0.8</v>
      </c>
      <c r="CY36" s="9" t="n">
        <v>0.7</v>
      </c>
      <c r="CZ36" s="9" t="n">
        <v>0.5</v>
      </c>
      <c r="DA36" s="9" t="n">
        <v>0.5</v>
      </c>
      <c r="DB36" s="9" t="n">
        <v>1</v>
      </c>
      <c r="DC36" s="9" t="n">
        <v>0.3</v>
      </c>
      <c r="DD36" s="9" t="n">
        <v>0.8</v>
      </c>
      <c r="DE36" s="9" t="n">
        <v>0.4958213979442678</v>
      </c>
      <c r="DF36" s="9" t="n">
        <v>2</v>
      </c>
      <c r="DG36" s="9" t="n">
        <v>7.656</v>
      </c>
      <c r="DH36" s="9" t="n">
        <v>4.109</v>
      </c>
      <c r="DI36" s="9" t="n">
        <v>2.21593</v>
      </c>
      <c r="DJ36" s="9" t="n">
        <v>19.73930150241895</v>
      </c>
      <c r="DK36" s="9" t="n">
        <v>22.73125279169934</v>
      </c>
      <c r="DL36" s="9" t="n">
        <v>17.29945023372797</v>
      </c>
      <c r="DM36" s="9" t="n">
        <v>23.14128035176886</v>
      </c>
      <c r="DN36" s="9" t="n">
        <v>13.283</v>
      </c>
      <c r="DO36" s="9" t="n">
        <v>13.283</v>
      </c>
      <c r="DP36" s="9" t="n">
        <v>18.25741</v>
      </c>
      <c r="DQ36" s="9" t="n">
        <v>14.11516989415954</v>
      </c>
      <c r="DR36" s="9" t="n">
        <v>14.11516989415954</v>
      </c>
      <c r="DS36" s="9" t="n">
        <v>0.0388999999999999</v>
      </c>
    </row>
    <row r="37">
      <c r="A37" s="9" t="inlineStr">
        <is>
          <t>CIV</t>
        </is>
      </c>
      <c r="B37" s="9" t="inlineStr">
        <is>
          <t>Côte d'Ivoire</t>
        </is>
      </c>
      <c r="C37" s="9" t="n">
        <v>0.005</v>
      </c>
      <c r="D37" s="9" t="n">
        <v>0.005</v>
      </c>
      <c r="E37" s="9" t="n">
        <v>0.01</v>
      </c>
      <c r="F37" s="9" t="n">
        <v>0.005</v>
      </c>
      <c r="G37" s="9" t="n">
        <v>0.005</v>
      </c>
      <c r="H37" s="9" t="n">
        <v>0.01</v>
      </c>
      <c r="I37" s="9" t="n">
        <v>0.005</v>
      </c>
      <c r="J37" s="9" t="n">
        <v>0.005</v>
      </c>
      <c r="K37" s="9" t="n">
        <v>0.01</v>
      </c>
      <c r="L37" s="9" t="n">
        <v>0.01</v>
      </c>
      <c r="M37" s="9" t="n">
        <v>0.005</v>
      </c>
      <c r="N37" s="9" t="n">
        <v>0.095431</v>
      </c>
      <c r="O37" s="9" t="n">
        <v>0.256046</v>
      </c>
      <c r="P37" s="9" t="n">
        <v>3.733767</v>
      </c>
      <c r="Q37" s="9" t="n">
        <v>3.905463412305984</v>
      </c>
      <c r="R37" s="9" t="n">
        <v>0.9622605143761436</v>
      </c>
      <c r="S37" s="9" t="n">
        <v>0.4829818610689925</v>
      </c>
      <c r="T37" s="9" t="n">
        <v>0.1513982604248482</v>
      </c>
      <c r="U37" s="9" t="n">
        <v>0.004239</v>
      </c>
      <c r="V37" s="9" t="n">
        <v>0.007846000000000001</v>
      </c>
      <c r="W37" s="9" t="n">
        <v>0.006568</v>
      </c>
      <c r="X37" s="9" t="n">
        <v>0.1838204031045338</v>
      </c>
      <c r="Y37" s="9" t="n">
        <v>0.1838204031045338</v>
      </c>
      <c r="Z37" s="9" t="n">
        <v>0.3327546913050655</v>
      </c>
      <c r="AA37" s="9" t="n">
        <v>1.67</v>
      </c>
      <c r="AB37" s="9" t="n">
        <v>0.04</v>
      </c>
      <c r="AC37" s="9" t="n">
        <v>0</v>
      </c>
      <c r="AD37" s="9" t="n">
        <v>0</v>
      </c>
      <c r="AE37" s="9" t="n">
        <v>0</v>
      </c>
      <c r="AF37" s="9" t="n">
        <v>13.981</v>
      </c>
      <c r="AG37" s="9" t="n">
        <v>0</v>
      </c>
      <c r="AH37" s="9" t="n">
        <v>0</v>
      </c>
      <c r="AI37" s="9" t="n">
        <v>0</v>
      </c>
      <c r="AJ37" s="9" t="n">
        <v>0</v>
      </c>
      <c r="AK37" s="9" t="n">
        <v>0</v>
      </c>
      <c r="AL37" s="9" t="n">
        <v>0</v>
      </c>
      <c r="AM37" s="9" t="n">
        <v>0</v>
      </c>
      <c r="AN37" s="9" t="n">
        <v>0</v>
      </c>
      <c r="AO37" s="9" t="n">
        <v>0</v>
      </c>
      <c r="AP37" s="9" t="n">
        <v>47.94644546241636</v>
      </c>
      <c r="AQ37" s="9" t="n">
        <v>49.93528032000001</v>
      </c>
      <c r="AR37" s="9" t="n">
        <v>50.21269854399998</v>
      </c>
      <c r="AS37" s="9" t="n">
        <v>47.06521963526635</v>
      </c>
      <c r="AT37" s="9" t="n">
        <v>18.46662372574453</v>
      </c>
      <c r="AU37" s="9" t="n">
        <v>15.0972993504</v>
      </c>
      <c r="AV37" s="9" t="n">
        <v>16.19035835315731</v>
      </c>
      <c r="AW37" s="9" t="n">
        <v>17.59574902649772</v>
      </c>
      <c r="AX37" s="9" t="n">
        <v>21.071483051288</v>
      </c>
      <c r="AY37" s="9" t="n">
        <v>17.3611565388</v>
      </c>
      <c r="AZ37" s="9" t="n">
        <v>18.47413293840094</v>
      </c>
      <c r="BA37" s="9" t="n">
        <v>20.07776477676704</v>
      </c>
      <c r="BB37" s="9" t="n">
        <v>42.48730728915081</v>
      </c>
      <c r="BC37" s="9" t="n">
        <v>41.38497371911789</v>
      </c>
      <c r="BD37" s="9" t="n">
        <v>46.83927256</v>
      </c>
      <c r="BE37" s="9" t="n">
        <v>41.38242868585257</v>
      </c>
      <c r="BF37" s="9" t="n">
        <v>0.7969047920054699</v>
      </c>
      <c r="BG37" s="9" t="n">
        <v>0.8216715699999985</v>
      </c>
      <c r="BH37" s="9" t="n">
        <v>0.8262364120555543</v>
      </c>
      <c r="BI37" s="9" t="n">
        <v>0.7744454954949989</v>
      </c>
      <c r="BJ37" s="9" t="n">
        <v>21.32761684885024</v>
      </c>
      <c r="BK37" s="9" t="n">
        <v>21.52280232999998</v>
      </c>
      <c r="BL37" s="9" t="n">
        <v>21.64237345405554</v>
      </c>
      <c r="BM37" s="9" t="n">
        <v>20.28576614242328</v>
      </c>
      <c r="BN37" s="9" t="n">
        <v>10.84068246830561</v>
      </c>
      <c r="BO37" s="9" t="n">
        <v>10.7542521612</v>
      </c>
      <c r="BP37" s="9" t="n">
        <v>10.81399800654</v>
      </c>
      <c r="BQ37" s="9" t="n">
        <v>10.1361449607642</v>
      </c>
      <c r="BR37" s="9" t="n">
        <v>72.90971929250931</v>
      </c>
      <c r="BS37" s="9" t="n">
        <v>6.74610866836627</v>
      </c>
      <c r="BT37" s="9" t="n">
        <v>6.692323471200001</v>
      </c>
      <c r="BU37" s="9" t="n">
        <v>6.72950304604</v>
      </c>
      <c r="BV37" s="9" t="n">
        <v>6.307678099007736</v>
      </c>
      <c r="BW37" s="9" t="n">
        <v>22.1410166685616</v>
      </c>
      <c r="BX37" s="9" t="n">
        <v>27.41135220127024</v>
      </c>
      <c r="BY37" s="9" t="n">
        <v>23.21258408208645</v>
      </c>
      <c r="BZ37" s="9" t="n">
        <v>21.76027156172023</v>
      </c>
      <c r="CA37" s="9" t="n">
        <v>0.9006885153127711</v>
      </c>
      <c r="CB37" s="9" t="n">
        <v>10.98280743806459</v>
      </c>
      <c r="CC37" s="9" t="n">
        <v>0.338</v>
      </c>
      <c r="CD37" s="9" t="n">
        <v>1.679670222741181</v>
      </c>
      <c r="CE37" s="9" t="n">
        <v>6.5</v>
      </c>
      <c r="CF37" s="9" t="n">
        <v>6.2</v>
      </c>
      <c r="CG37" s="9" t="n">
        <v>87.13200000000001</v>
      </c>
      <c r="CH37" s="9" t="n">
        <v>3.1</v>
      </c>
      <c r="CI37" s="9" t="n">
        <v>0</v>
      </c>
      <c r="CJ37" s="9" t="n">
        <v>7.67</v>
      </c>
      <c r="CK37" s="9" t="n">
        <v>7.65</v>
      </c>
      <c r="CL37" s="9" t="n">
        <v>0.02</v>
      </c>
      <c r="CM37" s="9" t="n">
        <v>0.02</v>
      </c>
      <c r="CN37" s="9" t="n">
        <v>10.79</v>
      </c>
      <c r="CO37" s="9" t="n">
        <v>0</v>
      </c>
      <c r="CP37" s="9" t="n">
        <v>36.553</v>
      </c>
      <c r="CQ37" s="9" t="n">
        <v>36.553</v>
      </c>
      <c r="CR37" s="9" t="n">
        <v>3</v>
      </c>
      <c r="CS37" s="9" t="n">
        <v>2</v>
      </c>
      <c r="CT37" s="9" t="n">
        <v>0.5</v>
      </c>
      <c r="CU37" s="9" t="n">
        <v>0.3</v>
      </c>
      <c r="CV37" s="9" t="n">
        <v>0.6</v>
      </c>
      <c r="CW37" s="9" t="n">
        <v>0.8</v>
      </c>
      <c r="CX37" s="9" t="n">
        <v>0.8</v>
      </c>
      <c r="CY37" s="9" t="n">
        <v>0.7</v>
      </c>
      <c r="CZ37" s="9" t="n">
        <v>0.5</v>
      </c>
      <c r="DA37" s="9" t="n">
        <v>0.5</v>
      </c>
      <c r="DB37" s="9" t="n">
        <v>1</v>
      </c>
      <c r="DC37" s="9" t="n">
        <v>0.3</v>
      </c>
      <c r="DD37" s="9" t="n">
        <v>0.8</v>
      </c>
      <c r="DE37" s="9" t="n">
        <v>0.3552551107776863</v>
      </c>
      <c r="DF37" s="9" t="n">
        <v>2</v>
      </c>
      <c r="DG37" s="9" t="n">
        <v>7.124</v>
      </c>
      <c r="DH37" s="9" t="n">
        <v>5.575</v>
      </c>
      <c r="DI37" s="9" t="n">
        <v>14.38774</v>
      </c>
      <c r="DJ37" s="9" t="n">
        <v>17.03578933369156</v>
      </c>
      <c r="DK37" s="9" t="n">
        <v>24.43026456587896</v>
      </c>
      <c r="DL37" s="9" t="n">
        <v>18.47421513121402</v>
      </c>
      <c r="DM37" s="9" t="n">
        <v>23.06517392416098</v>
      </c>
      <c r="DN37" s="9" t="n">
        <v>9.010999999999999</v>
      </c>
      <c r="DO37" s="9" t="n">
        <v>6.224</v>
      </c>
      <c r="DP37" s="9" t="n">
        <v>15.31758</v>
      </c>
      <c r="DQ37" s="9" t="n">
        <v>13.49474620847193</v>
      </c>
      <c r="DR37" s="9" t="n">
        <v>13.49474620847193</v>
      </c>
      <c r="DS37" s="9" t="n">
        <v>0.105</v>
      </c>
    </row>
    <row r="38">
      <c r="A38" s="9" t="inlineStr">
        <is>
          <t>CMR</t>
        </is>
      </c>
      <c r="B38" s="9" t="inlineStr">
        <is>
          <t>Cameroon</t>
        </is>
      </c>
      <c r="C38" s="9" t="n">
        <v>0.005</v>
      </c>
      <c r="D38" s="9" t="n">
        <v>0.005</v>
      </c>
      <c r="E38" s="9" t="n">
        <v>0.01</v>
      </c>
      <c r="F38" s="9" t="n">
        <v>0.005</v>
      </c>
      <c r="G38" s="9" t="n">
        <v>0.005</v>
      </c>
      <c r="H38" s="9" t="n">
        <v>0.01</v>
      </c>
      <c r="I38" s="9" t="n">
        <v>0.005</v>
      </c>
      <c r="J38" s="9" t="n">
        <v>0.005</v>
      </c>
      <c r="K38" s="9" t="n">
        <v>0.01</v>
      </c>
      <c r="L38" s="9" t="n">
        <v>0.01</v>
      </c>
      <c r="M38" s="9" t="n">
        <v>0.005</v>
      </c>
      <c r="N38" s="9" t="n">
        <v>0.07588499999999999</v>
      </c>
      <c r="O38" s="9" t="n">
        <v>0.237828</v>
      </c>
      <c r="P38" s="9" t="n">
        <v>2.854809</v>
      </c>
      <c r="Q38" s="9" t="n">
        <v>1.620718382182796</v>
      </c>
      <c r="R38" s="9" t="n">
        <v>0.4834751416510388</v>
      </c>
      <c r="S38" s="9" t="n">
        <v>0.309916892970938</v>
      </c>
      <c r="T38" s="9" t="n">
        <v>0.09255348433863381</v>
      </c>
      <c r="U38" s="9" t="n">
        <v>0.003342</v>
      </c>
      <c r="V38" s="9" t="n">
        <v>0.002314</v>
      </c>
      <c r="W38" s="9" t="n">
        <v>0.005478</v>
      </c>
      <c r="X38" s="9" t="n">
        <v>0.7635893208187545</v>
      </c>
      <c r="Y38" s="9" t="n">
        <v>0.7635893208187545</v>
      </c>
      <c r="Z38" s="9" t="n">
        <v>0.2035817734482214</v>
      </c>
      <c r="AA38" s="9" t="n">
        <v>0.37</v>
      </c>
      <c r="AB38" s="9" t="n">
        <v>0.09</v>
      </c>
      <c r="AC38" s="9" t="n">
        <v>0</v>
      </c>
      <c r="AD38" s="9" t="n">
        <v>4</v>
      </c>
      <c r="AE38" s="9" t="n">
        <v>0</v>
      </c>
      <c r="AF38" s="9" t="n">
        <v>8.32</v>
      </c>
      <c r="AG38" s="9" t="n">
        <v>0</v>
      </c>
      <c r="AH38" s="9" t="n">
        <v>0</v>
      </c>
      <c r="AI38" s="9" t="n">
        <v>0</v>
      </c>
      <c r="AJ38" s="9" t="n">
        <v>0</v>
      </c>
      <c r="AK38" s="9" t="n">
        <v>0</v>
      </c>
      <c r="AL38" s="9" t="n">
        <v>0</v>
      </c>
      <c r="AM38" s="9" t="n">
        <v>0</v>
      </c>
      <c r="AN38" s="9" t="n">
        <v>0</v>
      </c>
      <c r="AO38" s="9" t="n">
        <v>0</v>
      </c>
      <c r="AP38" s="9" t="n">
        <v>21.7886777037575</v>
      </c>
      <c r="AQ38" s="9" t="n">
        <v>25.70324075</v>
      </c>
      <c r="AR38" s="9" t="n">
        <v>23.85723232584789</v>
      </c>
      <c r="AS38" s="9" t="n">
        <v>22.59514213360995</v>
      </c>
      <c r="AT38" s="9" t="n">
        <v>17.53693978820326</v>
      </c>
      <c r="AU38" s="9" t="n">
        <v>20.5404659208</v>
      </c>
      <c r="AV38" s="9" t="n">
        <v>15.83024362914642</v>
      </c>
      <c r="AW38" s="9" t="n">
        <v>16.86267629602721</v>
      </c>
      <c r="AX38" s="9" t="n">
        <v>4.807214452959895</v>
      </c>
      <c r="AY38" s="9" t="n">
        <v>5.5735184016</v>
      </c>
      <c r="AZ38" s="9" t="n">
        <v>4.339376019247065</v>
      </c>
      <c r="BA38" s="9" t="n">
        <v>4.622385785938276</v>
      </c>
      <c r="BB38" s="9" t="n">
        <v>19.88678629627213</v>
      </c>
      <c r="BC38" s="9" t="n">
        <v>21.15437521642284</v>
      </c>
      <c r="BD38" s="9" t="n">
        <v>24.4588736</v>
      </c>
      <c r="BE38" s="9" t="n">
        <v>20.75531999859388</v>
      </c>
      <c r="BF38" s="9" t="n">
        <v>4.336605619844326</v>
      </c>
      <c r="BG38" s="9" t="n">
        <v>4.755342394728291</v>
      </c>
      <c r="BH38" s="9" t="n">
        <v>4.413813394327976</v>
      </c>
      <c r="BI38" s="9" t="n">
        <v>4.180314783958393</v>
      </c>
      <c r="BJ38" s="9" t="n">
        <v>3.768210419378361</v>
      </c>
      <c r="BK38" s="9" t="n">
        <v>4.170503929999995</v>
      </c>
      <c r="BL38" s="9" t="n">
        <v>3.870978066214143</v>
      </c>
      <c r="BM38" s="9" t="n">
        <v>3.666196414050582</v>
      </c>
      <c r="BN38" s="9" t="n">
        <v>0</v>
      </c>
      <c r="BO38" s="9" t="n">
        <v>0</v>
      </c>
      <c r="BP38" s="9" t="n">
        <v>0</v>
      </c>
      <c r="BQ38" s="9" t="n">
        <v>0</v>
      </c>
      <c r="BR38" s="9" t="n">
        <v>18.89255928418476</v>
      </c>
      <c r="BS38" s="9" t="n">
        <v>0</v>
      </c>
      <c r="BT38" s="9" t="n">
        <v>0</v>
      </c>
      <c r="BU38" s="9" t="n">
        <v>0</v>
      </c>
      <c r="BV38" s="9" t="n">
        <v>0</v>
      </c>
      <c r="BW38" s="9" t="n">
        <v>6.013614473720402</v>
      </c>
      <c r="BX38" s="9" t="n">
        <v>16.42274083509491</v>
      </c>
      <c r="BY38" s="9" t="n">
        <v>6.262984609513158</v>
      </c>
      <c r="BZ38" s="9" t="n">
        <v>6.117943736004781</v>
      </c>
      <c r="CA38" s="9" t="n">
        <v>1.448793957042712</v>
      </c>
      <c r="CB38" s="9" t="n">
        <v>6.20670951143421</v>
      </c>
      <c r="CC38" s="9" t="n">
        <v>0.105</v>
      </c>
      <c r="CD38" s="9" t="n">
        <v>3.413062633687431</v>
      </c>
      <c r="CE38" s="9" t="n">
        <v>3.073</v>
      </c>
      <c r="CF38" s="9" t="n">
        <v>3.344</v>
      </c>
      <c r="CG38" s="9" t="n">
        <v>53.308</v>
      </c>
      <c r="CH38" s="9" t="n">
        <v>5.27</v>
      </c>
      <c r="CI38" s="9" t="n">
        <v>0</v>
      </c>
      <c r="CJ38" s="9" t="n">
        <v>1.95</v>
      </c>
      <c r="CK38" s="9" t="n">
        <v>1.6</v>
      </c>
      <c r="CL38" s="9" t="n">
        <v>0.35</v>
      </c>
      <c r="CM38" s="9" t="n">
        <v>0.04</v>
      </c>
      <c r="CN38" s="9" t="n">
        <v>7.26</v>
      </c>
      <c r="CO38" s="9" t="n">
        <v>0</v>
      </c>
      <c r="CP38" s="9" t="n">
        <v>43.821</v>
      </c>
      <c r="CQ38" s="9" t="n">
        <v>78.489</v>
      </c>
      <c r="CR38" s="9" t="n">
        <v>3</v>
      </c>
      <c r="CS38" s="9" t="n">
        <v>2</v>
      </c>
      <c r="CT38" s="9" t="n">
        <v>0.5</v>
      </c>
      <c r="CU38" s="9" t="n">
        <v>0.3</v>
      </c>
      <c r="CV38" s="9" t="n">
        <v>0.6</v>
      </c>
      <c r="CW38" s="9" t="n">
        <v>0.8</v>
      </c>
      <c r="CX38" s="9" t="n">
        <v>0.8</v>
      </c>
      <c r="CY38" s="9" t="n">
        <v>0.7</v>
      </c>
      <c r="CZ38" s="9" t="n">
        <v>0.5</v>
      </c>
      <c r="DA38" s="9" t="n">
        <v>0.5</v>
      </c>
      <c r="DB38" s="9" t="n">
        <v>1</v>
      </c>
      <c r="DC38" s="9" t="n">
        <v>0.3</v>
      </c>
      <c r="DD38" s="9" t="n">
        <v>0.8</v>
      </c>
      <c r="DE38" s="9" t="n">
        <v>0.3270268943855516</v>
      </c>
      <c r="DF38" s="9" t="n">
        <v>2</v>
      </c>
      <c r="DG38" s="9" t="n">
        <v>7.124</v>
      </c>
      <c r="DH38" s="9" t="n">
        <v>5.575</v>
      </c>
      <c r="DI38" s="9" t="n">
        <v>14.534056</v>
      </c>
      <c r="DJ38" s="9" t="n">
        <v>21.48043755776549</v>
      </c>
      <c r="DK38" s="9" t="n">
        <v>24.67870793434552</v>
      </c>
      <c r="DL38" s="9" t="n">
        <v>18.44290290217807</v>
      </c>
      <c r="DM38" s="9" t="n">
        <v>22.6158667116319</v>
      </c>
      <c r="DN38" s="9" t="n">
        <v>8.922000000000001</v>
      </c>
      <c r="DO38" s="9" t="n">
        <v>8.26</v>
      </c>
      <c r="DP38" s="9" t="n">
        <v>15.367264</v>
      </c>
      <c r="DQ38" s="9" t="n">
        <v>13.49474620847193</v>
      </c>
      <c r="DR38" s="9" t="n">
        <v>13.49474620847193</v>
      </c>
      <c r="DS38" s="9" t="n">
        <v>0.105</v>
      </c>
    </row>
    <row r="39">
      <c r="A39" s="9" t="inlineStr">
        <is>
          <t>COD</t>
        </is>
      </c>
      <c r="B39" s="9" t="inlineStr">
        <is>
          <t>Congo, Dem. Rep.</t>
        </is>
      </c>
      <c r="C39" s="9" t="n">
        <v>0.005</v>
      </c>
      <c r="D39" s="9" t="n">
        <v>0.005</v>
      </c>
      <c r="E39" s="9" t="n">
        <v>0.01</v>
      </c>
      <c r="F39" s="9" t="n">
        <v>0.005</v>
      </c>
      <c r="G39" s="9" t="n">
        <v>0.005</v>
      </c>
      <c r="H39" s="9" t="n">
        <v>0.01</v>
      </c>
      <c r="I39" s="9" t="n">
        <v>0.005</v>
      </c>
      <c r="J39" s="9" t="n">
        <v>0.005</v>
      </c>
      <c r="K39" s="9" t="n">
        <v>0.01</v>
      </c>
      <c r="L39" s="9" t="n">
        <v>0.01</v>
      </c>
      <c r="M39" s="9" t="n">
        <v>0.005</v>
      </c>
      <c r="N39" s="9" t="n">
        <v>0.118854</v>
      </c>
      <c r="O39" s="9" t="n">
        <v>0.033911</v>
      </c>
      <c r="P39" s="9" t="n">
        <v>0.309493</v>
      </c>
      <c r="Q39" s="9" t="n">
        <v>0.0686147462983832</v>
      </c>
      <c r="R39" s="9" t="n">
        <v>0.0132114222181806</v>
      </c>
      <c r="S39" s="9" t="n">
        <v>0.025510724671426</v>
      </c>
      <c r="T39" s="9" t="n">
        <v>0.007796835855853</v>
      </c>
      <c r="U39" s="9" t="n">
        <v>0.00087</v>
      </c>
      <c r="V39" s="9" t="n">
        <v>0.000467</v>
      </c>
      <c r="W39" s="9" t="n">
        <v>0.000552</v>
      </c>
      <c r="X39" s="9" t="n">
        <v>0.1698863405314806</v>
      </c>
      <c r="Y39" s="9" t="n">
        <v>0.1698863405314806</v>
      </c>
      <c r="Z39" s="9" t="n">
        <v>0.2930335607874142</v>
      </c>
      <c r="AA39" s="9" t="n">
        <v>0.42</v>
      </c>
      <c r="AB39" s="9" t="n">
        <v>0.03</v>
      </c>
      <c r="AC39" s="9" t="n">
        <v>0</v>
      </c>
      <c r="AD39" s="9" t="n">
        <v>0</v>
      </c>
      <c r="AE39" s="9" t="n">
        <v>0</v>
      </c>
      <c r="AF39" s="9" t="n">
        <v>3.76</v>
      </c>
      <c r="AG39" s="9" t="n">
        <v>0</v>
      </c>
      <c r="AH39" s="9" t="n">
        <v>0</v>
      </c>
      <c r="AI39" s="9" t="n">
        <v>0</v>
      </c>
      <c r="AJ39" s="9" t="n">
        <v>0</v>
      </c>
      <c r="AK39" s="9" t="n">
        <v>0</v>
      </c>
      <c r="AL39" s="9" t="n">
        <v>0</v>
      </c>
      <c r="AM39" s="9" t="n">
        <v>0</v>
      </c>
      <c r="AN39" s="9" t="n">
        <v>0</v>
      </c>
      <c r="AO39" s="9" t="n">
        <v>0</v>
      </c>
      <c r="AP39" s="9" t="n">
        <v>30.22834817288796</v>
      </c>
      <c r="AQ39" s="9" t="n">
        <v>29.56612745000001</v>
      </c>
      <c r="AR39" s="9" t="n">
        <v>29.03393715590001</v>
      </c>
      <c r="AS39" s="9" t="n">
        <v>28.2500208526907</v>
      </c>
      <c r="AT39" s="9" t="n">
        <v>43.48274982084425</v>
      </c>
      <c r="AU39" s="9" t="n">
        <v>37.03822475040001</v>
      </c>
      <c r="AV39" s="9" t="n">
        <v>34.3076178561018</v>
      </c>
      <c r="AW39" s="9" t="n">
        <v>38.96471220621078</v>
      </c>
      <c r="AX39" s="9" t="n">
        <v>7.380883859960477</v>
      </c>
      <c r="AY39" s="9" t="n">
        <v>6.2577420048</v>
      </c>
      <c r="AZ39" s="9" t="n">
        <v>5.823435140666587</v>
      </c>
      <c r="BA39" s="9" t="n">
        <v>6.613968243299958</v>
      </c>
      <c r="BB39" s="9" t="n">
        <v>16.72626758651764</v>
      </c>
      <c r="BC39" s="9" t="n">
        <v>15.08602139804202</v>
      </c>
      <c r="BD39" s="9" t="n">
        <v>16.81656081</v>
      </c>
      <c r="BE39" s="9" t="n">
        <v>15.35764183382478</v>
      </c>
      <c r="BF39" s="9" t="n">
        <v>1.015971373002068</v>
      </c>
      <c r="BG39" s="9" t="n">
        <v>0.9046880399999986</v>
      </c>
      <c r="BH39" s="9" t="n">
        <v>0.8884036552799986</v>
      </c>
      <c r="BI39" s="9" t="n">
        <v>0.8644167565874386</v>
      </c>
      <c r="BJ39" s="9" t="n">
        <v>0</v>
      </c>
      <c r="BK39" s="9" t="n">
        <v>0</v>
      </c>
      <c r="BL39" s="9" t="n">
        <v>0</v>
      </c>
      <c r="BM39" s="9" t="n">
        <v>0</v>
      </c>
      <c r="BN39" s="9" t="n">
        <v>0</v>
      </c>
      <c r="BO39" s="9" t="n">
        <v>0</v>
      </c>
      <c r="BP39" s="9" t="n">
        <v>0</v>
      </c>
      <c r="BQ39" s="9" t="n">
        <v>0</v>
      </c>
      <c r="BR39" s="9" t="n">
        <v>0</v>
      </c>
      <c r="BS39" s="9" t="n">
        <v>0</v>
      </c>
      <c r="BT39" s="9" t="n">
        <v>0</v>
      </c>
      <c r="BU39" s="9" t="n">
        <v>0</v>
      </c>
      <c r="BV39" s="9" t="n">
        <v>0</v>
      </c>
      <c r="BW39" s="9" t="n">
        <v>0.057161019927161</v>
      </c>
      <c r="BX39" s="9" t="n">
        <v>0.057017430135637</v>
      </c>
      <c r="BY39" s="9" t="n">
        <v>0.0298323380513021</v>
      </c>
      <c r="BZ39" s="9" t="n">
        <v>0.0541665469687008</v>
      </c>
      <c r="CA39" s="9" t="n">
        <v>0.4572069808635381</v>
      </c>
      <c r="CB39" s="9" t="n">
        <v>14.12878713355687</v>
      </c>
      <c r="CC39" s="9" t="n">
        <v>0</v>
      </c>
      <c r="CD39" s="9" t="n">
        <v>0</v>
      </c>
      <c r="CE39" s="9" t="n">
        <v>5.746</v>
      </c>
      <c r="CF39" s="9" t="n">
        <v>5.901</v>
      </c>
      <c r="CG39" s="9" t="n">
        <v>76.73099999999999</v>
      </c>
      <c r="CH39" s="9" t="n">
        <v>13.41</v>
      </c>
      <c r="CI39" s="9" t="n">
        <v>0</v>
      </c>
      <c r="CJ39" s="9" t="n">
        <v>0</v>
      </c>
      <c r="CK39" s="9" t="n">
        <v>0</v>
      </c>
      <c r="CL39" s="9" t="n">
        <v>0</v>
      </c>
      <c r="CM39" s="9" t="n">
        <v>2.51</v>
      </c>
      <c r="CN39" s="9" t="n">
        <v>15.92</v>
      </c>
      <c r="CO39" s="9" t="n">
        <v>0</v>
      </c>
      <c r="CP39" s="9" t="n">
        <v>66.533</v>
      </c>
      <c r="CQ39" s="9" t="n">
        <v>669.183</v>
      </c>
      <c r="CR39" s="9" t="n">
        <v>3</v>
      </c>
      <c r="CS39" s="9" t="n">
        <v>1</v>
      </c>
      <c r="CT39" s="9" t="n">
        <v>0.5</v>
      </c>
      <c r="CU39" s="9" t="n">
        <v>0.3</v>
      </c>
      <c r="CV39" s="9" t="n">
        <v>0.6</v>
      </c>
      <c r="CW39" s="9" t="n">
        <v>0.8</v>
      </c>
      <c r="CX39" s="9" t="n">
        <v>0.8</v>
      </c>
      <c r="CY39" s="9" t="n">
        <v>0.7</v>
      </c>
      <c r="CZ39" s="9" t="n">
        <v>0.5</v>
      </c>
      <c r="DA39" s="9" t="n">
        <v>0.5</v>
      </c>
      <c r="DB39" s="9" t="n">
        <v>1</v>
      </c>
      <c r="DC39" s="9" t="n">
        <v>0.3</v>
      </c>
      <c r="DD39" s="9" t="n">
        <v>0.8</v>
      </c>
      <c r="DE39" s="9" t="n">
        <v>0.3852576719151671</v>
      </c>
      <c r="DF39" s="9" t="n">
        <v>2</v>
      </c>
      <c r="DG39" s="9" t="n">
        <v>7.124</v>
      </c>
      <c r="DH39" s="9" t="n">
        <v>5.575</v>
      </c>
      <c r="DI39" s="9" t="n">
        <v>14.14388</v>
      </c>
      <c r="DJ39" s="9" t="n">
        <v>21.17069252093903</v>
      </c>
      <c r="DK39" s="9" t="n">
        <v>24.01619228510135</v>
      </c>
      <c r="DL39" s="9" t="n">
        <v>18.16109284085445</v>
      </c>
      <c r="DM39" s="9" t="n">
        <v>19.89938703508767</v>
      </c>
      <c r="DN39" s="9" t="n">
        <v>6.853</v>
      </c>
      <c r="DO39" s="9" t="n">
        <v>6.191</v>
      </c>
      <c r="DP39" s="9" t="n">
        <v>12.55468</v>
      </c>
      <c r="DQ39" s="9" t="n">
        <v>13.49474620847193</v>
      </c>
      <c r="DR39" s="9" t="n">
        <v>13.49474620847193</v>
      </c>
      <c r="DS39" s="9" t="n">
        <v>0.105</v>
      </c>
    </row>
    <row r="40">
      <c r="A40" s="9" t="inlineStr">
        <is>
          <t>COG</t>
        </is>
      </c>
      <c r="B40" s="9" t="inlineStr">
        <is>
          <t>Congo, Rep.</t>
        </is>
      </c>
      <c r="C40" s="9" t="n">
        <v>0.005</v>
      </c>
      <c r="D40" s="9" t="n">
        <v>0.005</v>
      </c>
      <c r="E40" s="9" t="n">
        <v>0.01</v>
      </c>
      <c r="F40" s="9" t="n">
        <v>0.005</v>
      </c>
      <c r="G40" s="9" t="n">
        <v>0.005</v>
      </c>
      <c r="H40" s="9" t="n">
        <v>0.01</v>
      </c>
      <c r="I40" s="9" t="n">
        <v>0.005</v>
      </c>
      <c r="J40" s="9" t="n">
        <v>0.005</v>
      </c>
      <c r="K40" s="9" t="n">
        <v>0.01</v>
      </c>
      <c r="L40" s="9" t="n">
        <v>0.01</v>
      </c>
      <c r="M40" s="9" t="n">
        <v>0.005</v>
      </c>
      <c r="N40" s="9" t="n">
        <v>1.003451</v>
      </c>
      <c r="O40" s="9" t="n">
        <v>0.221172</v>
      </c>
      <c r="P40" s="9" t="n">
        <v>2.337487</v>
      </c>
      <c r="Q40" s="9" t="n">
        <v>1.250214840037013</v>
      </c>
      <c r="R40" s="9" t="n">
        <v>0.2792414241569997</v>
      </c>
      <c r="S40" s="9" t="n">
        <v>0.5136053270297074</v>
      </c>
      <c r="T40" s="9" t="n">
        <v>0.159311466965117</v>
      </c>
      <c r="U40" s="9" t="n">
        <v>0.015818</v>
      </c>
      <c r="V40" s="9" t="n">
        <v>0.000992</v>
      </c>
      <c r="W40" s="9" t="n">
        <v>0.004549</v>
      </c>
      <c r="X40" s="9" t="n">
        <v>1.526288055278483</v>
      </c>
      <c r="Y40" s="9" t="n">
        <v>1.526288055278483</v>
      </c>
      <c r="Z40" s="9" t="n">
        <v>0.05642149622803375</v>
      </c>
      <c r="AA40" s="9" t="n">
        <v>0.5900000000000001</v>
      </c>
      <c r="AB40" s="9" t="n">
        <v>0</v>
      </c>
      <c r="AC40" s="9" t="n">
        <v>0</v>
      </c>
      <c r="AD40" s="9" t="n">
        <v>0</v>
      </c>
      <c r="AE40" s="9" t="n">
        <v>0</v>
      </c>
      <c r="AF40" s="9" t="n">
        <v>7.173</v>
      </c>
      <c r="AG40" s="9" t="n">
        <v>0</v>
      </c>
      <c r="AH40" s="9" t="n">
        <v>0</v>
      </c>
      <c r="AI40" s="9" t="n">
        <v>0</v>
      </c>
      <c r="AJ40" s="9" t="n">
        <v>0</v>
      </c>
      <c r="AK40" s="9" t="n">
        <v>0</v>
      </c>
      <c r="AL40" s="9" t="n">
        <v>0</v>
      </c>
      <c r="AM40" s="9" t="n">
        <v>0</v>
      </c>
      <c r="AN40" s="9" t="n">
        <v>0</v>
      </c>
      <c r="AO40" s="9" t="n">
        <v>0</v>
      </c>
      <c r="AP40" s="9" t="n">
        <v>10.1574481993598</v>
      </c>
      <c r="AQ40" s="9" t="n">
        <v>10.08404367</v>
      </c>
      <c r="AR40" s="9" t="n">
        <v>11.0670801298242</v>
      </c>
      <c r="AS40" s="9" t="n">
        <v>10.73506772592948</v>
      </c>
      <c r="AT40" s="9" t="n">
        <v>3.796509551132311</v>
      </c>
      <c r="AU40" s="9" t="n">
        <v>2.9617297596</v>
      </c>
      <c r="AV40" s="9" t="n">
        <v>3.329472675316459</v>
      </c>
      <c r="AW40" s="9" t="n">
        <v>3.63480842691981</v>
      </c>
      <c r="AX40" s="9" t="n">
        <v>3.397199394203505</v>
      </c>
      <c r="AY40" s="9" t="n">
        <v>2.67191109</v>
      </c>
      <c r="AZ40" s="9" t="n">
        <v>2.979284630596733</v>
      </c>
      <c r="BA40" s="9" t="n">
        <v>3.252505708116793</v>
      </c>
      <c r="BB40" s="9" t="n">
        <v>6.749393054504412</v>
      </c>
      <c r="BC40" s="9" t="n">
        <v>6.957732191900801</v>
      </c>
      <c r="BD40" s="9" t="n">
        <v>6.565743617607552</v>
      </c>
      <c r="BE40" s="9" t="n">
        <v>6.868259837868747</v>
      </c>
      <c r="BF40" s="9" t="n">
        <v>0.7574568537624397</v>
      </c>
      <c r="BG40" s="9" t="n">
        <v>0.6766069702627372</v>
      </c>
      <c r="BH40" s="9" t="n">
        <v>0.7425655621238789</v>
      </c>
      <c r="BI40" s="9" t="n">
        <v>0.7202885952601625</v>
      </c>
      <c r="BJ40" s="9" t="n">
        <v>0.4637678619253024</v>
      </c>
      <c r="BK40" s="9" t="n">
        <v>0.4261188099999995</v>
      </c>
      <c r="BL40" s="9" t="n">
        <v>0.4676587259459308</v>
      </c>
      <c r="BM40" s="9" t="n">
        <v>0.453628964167553</v>
      </c>
      <c r="BN40" s="9" t="n">
        <v>0</v>
      </c>
      <c r="BO40" s="9" t="n">
        <v>0</v>
      </c>
      <c r="BP40" s="9" t="n">
        <v>0</v>
      </c>
      <c r="BQ40" s="9" t="n">
        <v>0</v>
      </c>
      <c r="BR40" s="9" t="n">
        <v>41.10326354793012</v>
      </c>
      <c r="BS40" s="9" t="n">
        <v>0</v>
      </c>
      <c r="BT40" s="9" t="n">
        <v>0</v>
      </c>
      <c r="BU40" s="9" t="n">
        <v>0</v>
      </c>
      <c r="BV40" s="9" t="n">
        <v>0</v>
      </c>
      <c r="BW40" s="9" t="n">
        <v>2.837580157970442</v>
      </c>
      <c r="BX40" s="9" t="n">
        <v>6.332670833622805</v>
      </c>
      <c r="BY40" s="9" t="n">
        <v>2.697704327272375</v>
      </c>
      <c r="BZ40" s="9" t="n">
        <v>2.680879036698189</v>
      </c>
      <c r="CA40" s="9" t="n">
        <v>0.5797437116156695</v>
      </c>
      <c r="CB40" s="9" t="n">
        <v>1.998252484815504</v>
      </c>
      <c r="CC40" s="9" t="n">
        <v>0.9320000000000001</v>
      </c>
      <c r="CD40" s="9" t="n">
        <v>-1.799417127884284</v>
      </c>
      <c r="CE40" s="9" t="n">
        <v>2.367</v>
      </c>
      <c r="CF40" s="9" t="n">
        <v>2.837</v>
      </c>
      <c r="CG40" s="9" t="n">
        <v>14.774</v>
      </c>
      <c r="CH40" s="9" t="n">
        <v>1.13</v>
      </c>
      <c r="CI40" s="9" t="n">
        <v>0</v>
      </c>
      <c r="CJ40" s="9" t="n">
        <v>4.32</v>
      </c>
      <c r="CK40" s="9" t="n">
        <v>4.03</v>
      </c>
      <c r="CL40" s="9" t="n">
        <v>0.29</v>
      </c>
      <c r="CM40" s="9" t="n">
        <v>0.01</v>
      </c>
      <c r="CN40" s="9" t="n">
        <v>5.46</v>
      </c>
      <c r="CO40" s="9" t="n">
        <v>0</v>
      </c>
      <c r="CP40" s="9" t="n">
        <v>26.776</v>
      </c>
      <c r="CQ40" s="9" t="n">
        <v>36.275</v>
      </c>
      <c r="CR40" s="9" t="n">
        <v>3</v>
      </c>
      <c r="CS40" s="9" t="n">
        <v>2</v>
      </c>
      <c r="CT40" s="9" t="n">
        <v>0.5</v>
      </c>
      <c r="CU40" s="9" t="n">
        <v>0.3</v>
      </c>
      <c r="CV40" s="9" t="n">
        <v>0.6</v>
      </c>
      <c r="CW40" s="9" t="n">
        <v>0.8</v>
      </c>
      <c r="CX40" s="9" t="n">
        <v>0.8</v>
      </c>
      <c r="CY40" s="9" t="n">
        <v>0.7</v>
      </c>
      <c r="CZ40" s="9" t="n">
        <v>0.5</v>
      </c>
      <c r="DA40" s="9" t="n">
        <v>0.5</v>
      </c>
      <c r="DB40" s="9" t="n">
        <v>1</v>
      </c>
      <c r="DC40" s="9" t="n">
        <v>0.3</v>
      </c>
      <c r="DD40" s="9" t="n">
        <v>0.8</v>
      </c>
      <c r="DE40" s="9" t="n">
        <v>0.3676130284406181</v>
      </c>
      <c r="DF40" s="9" t="n">
        <v>1</v>
      </c>
      <c r="DG40" s="9" t="n">
        <v>7.124</v>
      </c>
      <c r="DH40" s="9" t="n">
        <v>5.575</v>
      </c>
      <c r="DI40" s="9" t="n">
        <v>14.38774</v>
      </c>
      <c r="DJ40" s="9" t="n">
        <v>21.66863877084418</v>
      </c>
      <c r="DK40" s="9" t="n">
        <v>24.04596087932024</v>
      </c>
      <c r="DL40" s="9" t="n">
        <v>18.19272296054053</v>
      </c>
      <c r="DM40" s="9" t="n">
        <v>23.48127670140345</v>
      </c>
      <c r="DN40" s="9" t="n">
        <v>8.036</v>
      </c>
      <c r="DO40" s="9" t="n">
        <v>7.374</v>
      </c>
      <c r="DP40" s="9" t="n">
        <v>14.16708</v>
      </c>
      <c r="DQ40" s="9" t="n">
        <v>13.58371217840883</v>
      </c>
      <c r="DR40" s="9" t="n">
        <v>13.58371217840883</v>
      </c>
      <c r="DS40" s="9" t="n">
        <v>0.105</v>
      </c>
    </row>
    <row r="41">
      <c r="A41" s="9" t="inlineStr">
        <is>
          <t>COL</t>
        </is>
      </c>
      <c r="B41" s="9" t="inlineStr">
        <is>
          <t>Colombia</t>
        </is>
      </c>
      <c r="C41" s="9" t="n">
        <v>0.005</v>
      </c>
      <c r="D41" s="9" t="n">
        <v>0.005</v>
      </c>
      <c r="E41" s="9" t="n">
        <v>0.01</v>
      </c>
      <c r="F41" s="9" t="n">
        <v>0.005</v>
      </c>
      <c r="G41" s="9" t="n">
        <v>0.005</v>
      </c>
      <c r="H41" s="9" t="n">
        <v>0.01</v>
      </c>
      <c r="I41" s="9" t="n">
        <v>0.005</v>
      </c>
      <c r="J41" s="9" t="n">
        <v>0.005</v>
      </c>
      <c r="K41" s="9" t="n">
        <v>0.01</v>
      </c>
      <c r="L41" s="9" t="n">
        <v>0.01</v>
      </c>
      <c r="M41" s="9" t="n">
        <v>0.005</v>
      </c>
      <c r="N41" s="9" t="n">
        <v>26.939491</v>
      </c>
      <c r="O41" s="9" t="n">
        <v>3.661883</v>
      </c>
      <c r="P41" s="9" t="n">
        <v>57.95463</v>
      </c>
      <c r="Q41" s="9" t="n">
        <v>13.00408980353767</v>
      </c>
      <c r="R41" s="9" t="n">
        <v>2.957042288561482</v>
      </c>
      <c r="S41" s="9" t="n">
        <v>7.277762052758946</v>
      </c>
      <c r="T41" s="9" t="n">
        <v>1.663674094635234</v>
      </c>
      <c r="U41" s="9" t="n">
        <v>0.328652</v>
      </c>
      <c r="V41" s="9" t="n">
        <v>0.053637</v>
      </c>
      <c r="W41" s="9" t="n">
        <v>0.138024</v>
      </c>
      <c r="X41" s="9" t="n">
        <v>18.65308727566569</v>
      </c>
      <c r="Y41" s="9" t="n">
        <v>18.65308727566569</v>
      </c>
      <c r="Z41" s="9" t="n">
        <v>1.605893112892454</v>
      </c>
      <c r="AA41" s="9" t="n">
        <v>7.33</v>
      </c>
      <c r="AB41" s="9" t="n">
        <v>1.73</v>
      </c>
      <c r="AC41" s="9" t="n">
        <v>0.03</v>
      </c>
      <c r="AD41" s="9" t="n">
        <v>2.6</v>
      </c>
      <c r="AE41" s="9" t="n">
        <v>0.015833214</v>
      </c>
      <c r="AF41" s="9" t="n">
        <v>85.273</v>
      </c>
      <c r="AG41" s="9" t="n">
        <v>63.00584956953983</v>
      </c>
      <c r="AH41" s="9" t="n">
        <v>64.30622931719999</v>
      </c>
      <c r="AI41" s="9" t="n">
        <v>65.04822427085999</v>
      </c>
      <c r="AJ41" s="9" t="n">
        <v>63.2468888295131</v>
      </c>
      <c r="AK41" s="9" t="n">
        <v>193.3789003734437</v>
      </c>
      <c r="AL41" s="9" t="n">
        <v>30.41103463957409</v>
      </c>
      <c r="AM41" s="9" t="n">
        <v>31.0309999236</v>
      </c>
      <c r="AN41" s="9" t="n">
        <v>31.38904992271846</v>
      </c>
      <c r="AO41" s="9" t="n">
        <v>30.51981469408933</v>
      </c>
      <c r="AP41" s="9" t="n">
        <v>201.8632801487129</v>
      </c>
      <c r="AQ41" s="9" t="n">
        <v>213.97041156</v>
      </c>
      <c r="AR41" s="9" t="n">
        <v>216.4393009241538</v>
      </c>
      <c r="AS41" s="9" t="n">
        <v>210.4455972062542</v>
      </c>
      <c r="AT41" s="9" t="n">
        <v>109.7427608699857</v>
      </c>
      <c r="AU41" s="9" t="n">
        <v>107.477542476</v>
      </c>
      <c r="AV41" s="9" t="n">
        <v>114.0766890319756</v>
      </c>
      <c r="AW41" s="9" t="n">
        <v>111.8477449787737</v>
      </c>
      <c r="AX41" s="9" t="n">
        <v>142.0323985503674</v>
      </c>
      <c r="AY41" s="9" t="n">
        <v>140.2957826496</v>
      </c>
      <c r="AZ41" s="9" t="n">
        <v>147.6421445210627</v>
      </c>
      <c r="BA41" s="9" t="n">
        <v>144.7593071061312</v>
      </c>
      <c r="BB41" s="9" t="n">
        <v>217.9857247593447</v>
      </c>
      <c r="BC41" s="9" t="n">
        <v>253.06893566</v>
      </c>
      <c r="BD41" s="9" t="n">
        <v>284.2691925513452</v>
      </c>
      <c r="BE41" s="9" t="n">
        <v>248.9000367435654</v>
      </c>
      <c r="BF41" s="9" t="n">
        <v>0.8344452230888669</v>
      </c>
      <c r="BG41" s="9" t="n">
        <v>0.8691893739103165</v>
      </c>
      <c r="BH41" s="9" t="n">
        <v>0.87921848207082</v>
      </c>
      <c r="BI41" s="9" t="n">
        <v>0.8548708933365514</v>
      </c>
      <c r="BJ41" s="9" t="n">
        <v>20.94696296895082</v>
      </c>
      <c r="BK41" s="9" t="n">
        <v>21.91476844999998</v>
      </c>
      <c r="BL41" s="9" t="n">
        <v>22.16763116288458</v>
      </c>
      <c r="BM41" s="9" t="n">
        <v>21.5537582999124</v>
      </c>
      <c r="BN41" s="9" t="n">
        <v>118.1646468877368</v>
      </c>
      <c r="BO41" s="9" t="n">
        <v>120.4347296988</v>
      </c>
      <c r="BP41" s="9" t="n">
        <v>121.8243611953246</v>
      </c>
      <c r="BQ41" s="9" t="n">
        <v>118.4507635006849</v>
      </c>
      <c r="BR41" s="9" t="n">
        <v>0.7038506550499856</v>
      </c>
      <c r="BS41" s="9" t="n">
        <v>75.26991811323481</v>
      </c>
      <c r="BT41" s="9" t="n">
        <v>77.13775392480001</v>
      </c>
      <c r="BU41" s="9" t="n">
        <v>78.02780493162462</v>
      </c>
      <c r="BV41" s="9" t="n">
        <v>75.86703494890271</v>
      </c>
      <c r="BW41" s="9" t="n">
        <v>127.2405666213324</v>
      </c>
      <c r="BX41" s="9" t="n">
        <v>163.2173965111509</v>
      </c>
      <c r="BY41" s="9" t="n">
        <v>139.6579502472097</v>
      </c>
      <c r="BZ41" s="9" t="n">
        <v>135.1591821491369</v>
      </c>
      <c r="CA41" s="9" t="n">
        <v>0.9315111908376288</v>
      </c>
      <c r="CB41" s="9" t="n">
        <v>69.93754428343141</v>
      </c>
      <c r="CC41" s="9" t="n">
        <v>0.438</v>
      </c>
      <c r="CD41" s="9" t="n">
        <v>0.8869083212843817</v>
      </c>
      <c r="CE41" s="9" t="n">
        <v>2.642</v>
      </c>
      <c r="CF41" s="9" t="n">
        <v>2.342</v>
      </c>
      <c r="CG41" s="9" t="n">
        <v>420.504</v>
      </c>
      <c r="CH41" s="9" t="n">
        <v>64.81</v>
      </c>
      <c r="CI41" s="9" t="n">
        <v>5.53</v>
      </c>
      <c r="CJ41" s="9" t="n">
        <v>20.76</v>
      </c>
      <c r="CK41" s="9" t="n">
        <v>12.43</v>
      </c>
      <c r="CL41" s="9" t="n">
        <v>2.8</v>
      </c>
      <c r="CM41" s="9" t="n">
        <v>4.6</v>
      </c>
      <c r="CN41" s="9" t="n">
        <v>90.31999999999999</v>
      </c>
      <c r="CO41" s="9" t="n">
        <v>0.15</v>
      </c>
      <c r="CP41" s="9" t="n">
        <v>213.882</v>
      </c>
      <c r="CQ41" s="9" t="n">
        <v>293.577</v>
      </c>
      <c r="CR41" s="9" t="n">
        <v>3</v>
      </c>
      <c r="CS41" s="9" t="n">
        <v>3</v>
      </c>
      <c r="CT41" s="9" t="n">
        <v>0.5</v>
      </c>
      <c r="CU41" s="9" t="n">
        <v>0.3</v>
      </c>
      <c r="CV41" s="9" t="n">
        <v>0.6</v>
      </c>
      <c r="CW41" s="9" t="n">
        <v>0.8</v>
      </c>
      <c r="CX41" s="9" t="n">
        <v>0.8</v>
      </c>
      <c r="CY41" s="9" t="n">
        <v>0.7</v>
      </c>
      <c r="CZ41" s="9" t="n">
        <v>0.5</v>
      </c>
      <c r="DA41" s="9" t="n">
        <v>0.5</v>
      </c>
      <c r="DB41" s="9" t="n">
        <v>1</v>
      </c>
      <c r="DC41" s="9" t="n">
        <v>0.3</v>
      </c>
      <c r="DD41" s="9" t="n">
        <v>0.8</v>
      </c>
      <c r="DE41" s="9" t="n">
        <v>0.3711630665809896</v>
      </c>
      <c r="DF41" s="9" t="n">
        <v>3</v>
      </c>
      <c r="DG41" s="9" t="n">
        <v>2.537</v>
      </c>
      <c r="DH41" s="9" t="n">
        <v>2.325</v>
      </c>
      <c r="DI41" s="9" t="n">
        <v>6.32247</v>
      </c>
      <c r="DJ41" s="9" t="n">
        <v>17.98896855063616</v>
      </c>
      <c r="DK41" s="9" t="n">
        <v>25.66604727401462</v>
      </c>
      <c r="DL41" s="9" t="n">
        <v>17.8251089145744</v>
      </c>
      <c r="DM41" s="9" t="n">
        <v>23.06672553328652</v>
      </c>
      <c r="DN41" s="9" t="n">
        <v>13.978</v>
      </c>
      <c r="DO41" s="9" t="n">
        <v>13.978</v>
      </c>
      <c r="DP41" s="9" t="n">
        <v>19.87062</v>
      </c>
      <c r="DQ41" s="9" t="n">
        <v>13.49474620847193</v>
      </c>
      <c r="DR41" s="9" t="n">
        <v>13.49474620847193</v>
      </c>
      <c r="DS41" s="9" t="n">
        <v>0.06836</v>
      </c>
    </row>
    <row r="42">
      <c r="A42" s="9" t="inlineStr">
        <is>
          <t>COM</t>
        </is>
      </c>
      <c r="B42" s="9" t="inlineStr">
        <is>
          <t>Comoros</t>
        </is>
      </c>
      <c r="C42" s="9" t="n">
        <v>0.005</v>
      </c>
      <c r="D42" s="9" t="n">
        <v>0.005</v>
      </c>
      <c r="E42" s="9" t="n">
        <v>0.01</v>
      </c>
      <c r="F42" s="9" t="n">
        <v>0.005</v>
      </c>
      <c r="G42" s="9" t="n">
        <v>0.005</v>
      </c>
      <c r="H42" s="9" t="n">
        <v>0.01</v>
      </c>
      <c r="I42" s="9" t="n">
        <v>0.005</v>
      </c>
      <c r="J42" s="9" t="n">
        <v>0.005</v>
      </c>
      <c r="K42" s="9" t="n">
        <v>0.01</v>
      </c>
      <c r="L42" s="9" t="n">
        <v>0.01</v>
      </c>
      <c r="M42" s="9" t="n">
        <v>0.005</v>
      </c>
      <c r="N42" s="9" t="n">
        <v>0.036091</v>
      </c>
      <c r="O42" s="9" t="n">
        <v>0.028284</v>
      </c>
      <c r="P42" s="9" t="n">
        <v>0.186317</v>
      </c>
      <c r="Q42" s="9" t="n">
        <v>0.1146796678070282</v>
      </c>
      <c r="R42" s="9" t="n">
        <v>0.024707075317117</v>
      </c>
      <c r="S42" s="9" t="n">
        <v>0.0321334465487433</v>
      </c>
      <c r="T42" s="9" t="n">
        <v>0.0107061029662459</v>
      </c>
      <c r="U42" s="9" t="n">
        <v>0.000727</v>
      </c>
      <c r="V42" s="9" t="n">
        <v>0.000128</v>
      </c>
      <c r="W42" s="9" t="n">
        <v>0.000388</v>
      </c>
      <c r="X42" s="9" t="n">
        <v>0.0502777666784722</v>
      </c>
      <c r="Y42" s="9" t="n">
        <v>0.0502777666784722</v>
      </c>
      <c r="Z42" s="9" t="n">
        <v>0.005506958004658499</v>
      </c>
      <c r="AA42" s="9" t="n">
        <v>0.02</v>
      </c>
      <c r="AB42" s="9" t="n">
        <v>0</v>
      </c>
      <c r="AC42" s="9" t="n">
        <v>0</v>
      </c>
      <c r="AD42" s="9" t="n">
        <v>0</v>
      </c>
      <c r="AE42" s="9" t="n">
        <v>0</v>
      </c>
      <c r="AF42" s="9" t="n">
        <v>0.339</v>
      </c>
      <c r="AG42" s="9" t="n">
        <v>0</v>
      </c>
      <c r="AH42" s="9" t="n">
        <v>0</v>
      </c>
      <c r="AI42" s="9" t="n">
        <v>0</v>
      </c>
      <c r="AJ42" s="9" t="n">
        <v>0</v>
      </c>
      <c r="AK42" s="9" t="n">
        <v>0</v>
      </c>
      <c r="AL42" s="9" t="n">
        <v>0</v>
      </c>
      <c r="AM42" s="9" t="n">
        <v>0</v>
      </c>
      <c r="AN42" s="9" t="n">
        <v>0</v>
      </c>
      <c r="AO42" s="9" t="n">
        <v>0</v>
      </c>
      <c r="AP42" s="9" t="n">
        <v>2.236547739471259</v>
      </c>
      <c r="AQ42" s="9" t="n">
        <v>2.1732273</v>
      </c>
      <c r="AR42" s="9" t="n">
        <v>2.244633339857143</v>
      </c>
      <c r="AS42" s="9" t="n">
        <v>2.180500958718367</v>
      </c>
      <c r="AT42" s="9" t="n">
        <v>0</v>
      </c>
      <c r="AU42" s="9" t="n">
        <v>0</v>
      </c>
      <c r="AV42" s="9" t="n">
        <v>0</v>
      </c>
      <c r="AW42" s="9" t="n">
        <v>0</v>
      </c>
      <c r="AX42" s="9" t="n">
        <v>0.386825466893945</v>
      </c>
      <c r="AY42" s="9" t="n">
        <v>0.3669060312</v>
      </c>
      <c r="AZ42" s="9" t="n">
        <v>0.3706840833616839</v>
      </c>
      <c r="BA42" s="9" t="n">
        <v>0.3686270025004092</v>
      </c>
      <c r="BB42" s="9" t="n">
        <v>2.056154186148861</v>
      </c>
      <c r="BC42" s="9" t="n">
        <v>1.92428205105051</v>
      </c>
      <c r="BD42" s="9" t="n">
        <v>2.110754376983639</v>
      </c>
      <c r="BE42" s="9" t="n">
        <v>1.989684528203266</v>
      </c>
      <c r="BF42" s="9" t="n">
        <v>0.5405848599603756</v>
      </c>
      <c r="BG42" s="9" t="n">
        <v>0.5270651279999993</v>
      </c>
      <c r="BH42" s="9" t="n">
        <v>0.5443829822057132</v>
      </c>
      <c r="BI42" s="9" t="n">
        <v>0.5288291827141216</v>
      </c>
      <c r="BJ42" s="9" t="n">
        <v>0.065048302614665</v>
      </c>
      <c r="BK42" s="9" t="n">
        <v>0.0612996999999999</v>
      </c>
      <c r="BL42" s="9" t="n">
        <v>0.0633138329999999</v>
      </c>
      <c r="BM42" s="9" t="n">
        <v>0.061504866342857</v>
      </c>
      <c r="BN42" s="9" t="n">
        <v>0</v>
      </c>
      <c r="BO42" s="9" t="n">
        <v>0</v>
      </c>
      <c r="BP42" s="9" t="n">
        <v>0</v>
      </c>
      <c r="BQ42" s="9" t="n">
        <v>0</v>
      </c>
      <c r="BR42" s="9" t="n">
        <v>0</v>
      </c>
      <c r="BS42" s="9" t="n">
        <v>0</v>
      </c>
      <c r="BT42" s="9" t="n">
        <v>0</v>
      </c>
      <c r="BU42" s="9" t="n">
        <v>0</v>
      </c>
      <c r="BV42" s="9" t="n">
        <v>0</v>
      </c>
      <c r="BW42" s="9" t="n">
        <v>2.319603321585219</v>
      </c>
      <c r="BX42" s="9" t="n">
        <v>2.439730901341594</v>
      </c>
      <c r="BY42" s="9" t="n">
        <v>2.411675929802492</v>
      </c>
      <c r="BZ42" s="9" t="n">
        <v>2.342783280651066</v>
      </c>
      <c r="CA42" s="9" t="n">
        <v>1</v>
      </c>
      <c r="CB42" s="9" t="n">
        <v>0.1074515185816514</v>
      </c>
      <c r="CC42" s="9" t="n">
        <v>0</v>
      </c>
      <c r="CD42" s="9" t="n">
        <v>0</v>
      </c>
      <c r="CE42" s="9" t="n">
        <v>3.776</v>
      </c>
      <c r="CF42" s="9" t="n">
        <v>4.083</v>
      </c>
      <c r="CG42" s="9" t="n">
        <v>1.442</v>
      </c>
      <c r="CH42" s="9" t="n">
        <v>0</v>
      </c>
      <c r="CI42" s="9" t="n">
        <v>0</v>
      </c>
      <c r="CJ42" s="9" t="n">
        <v>0.14</v>
      </c>
      <c r="CK42" s="9" t="n">
        <v>0</v>
      </c>
      <c r="CL42" s="9" t="n">
        <v>0.14</v>
      </c>
      <c r="CM42" s="9" t="n">
        <v>0</v>
      </c>
      <c r="CN42" s="9" t="n">
        <v>0.14</v>
      </c>
      <c r="CO42" s="9" t="n">
        <v>0</v>
      </c>
      <c r="CP42" s="9" t="n">
        <v>0.931</v>
      </c>
      <c r="CQ42" s="9" t="n">
        <v>0.988</v>
      </c>
      <c r="CR42" s="9" t="n">
        <v>3</v>
      </c>
      <c r="CS42" s="9" t="n">
        <v>1</v>
      </c>
      <c r="CT42" s="9" t="n">
        <v>0.5</v>
      </c>
      <c r="CU42" s="9" t="n">
        <v>0.3</v>
      </c>
      <c r="CV42" s="9" t="n">
        <v>0.6</v>
      </c>
      <c r="CW42" s="9" t="n">
        <v>0.8</v>
      </c>
      <c r="CX42" s="9" t="n">
        <v>0.8</v>
      </c>
      <c r="CY42" s="9" t="n">
        <v>0.7</v>
      </c>
      <c r="CZ42" s="9" t="n">
        <v>0.5</v>
      </c>
      <c r="DA42" s="9" t="n">
        <v>0.5</v>
      </c>
      <c r="DB42" s="9" t="n">
        <v>1</v>
      </c>
      <c r="DC42" s="9" t="n">
        <v>0.3</v>
      </c>
      <c r="DD42" s="9" t="n">
        <v>0.8</v>
      </c>
      <c r="DE42" s="9" t="n">
        <v>0.419674039580908</v>
      </c>
      <c r="DF42" s="9" t="n">
        <v>1</v>
      </c>
      <c r="DG42" s="9" t="n">
        <v>7.124</v>
      </c>
      <c r="DH42" s="9" t="n">
        <v>5.575</v>
      </c>
      <c r="DI42" s="9" t="n">
        <v>13.4123</v>
      </c>
      <c r="DJ42" s="9" t="n">
        <v>20.5614182418698</v>
      </c>
      <c r="DK42" s="9" t="n">
        <v>22.63920177845188</v>
      </c>
      <c r="DL42" s="9" t="n">
        <v>17.22172596977578</v>
      </c>
      <c r="DM42" s="9" t="n">
        <v>21.88932573859644</v>
      </c>
      <c r="DN42" s="9" t="n">
        <v>9.914</v>
      </c>
      <c r="DO42" s="9" t="n">
        <v>8.590999999999999</v>
      </c>
      <c r="DP42" s="9" t="n">
        <v>19.6416</v>
      </c>
      <c r="DQ42" s="9" t="n">
        <v>14.11061921414125</v>
      </c>
      <c r="DR42" s="9" t="n">
        <v>14.11061921414125</v>
      </c>
      <c r="DS42" s="9" t="n">
        <v>0.105</v>
      </c>
    </row>
    <row r="43">
      <c r="A43" s="9" t="inlineStr">
        <is>
          <t>CPV</t>
        </is>
      </c>
      <c r="B43" s="9" t="inlineStr">
        <is>
          <t>Cabo Verde</t>
        </is>
      </c>
      <c r="C43" s="9" t="n">
        <v>0.005</v>
      </c>
      <c r="D43" s="9" t="n">
        <v>0.005</v>
      </c>
      <c r="E43" s="9" t="n">
        <v>0.01</v>
      </c>
      <c r="F43" s="9" t="n">
        <v>0.005</v>
      </c>
      <c r="G43" s="9" t="n">
        <v>0.005</v>
      </c>
      <c r="H43" s="9" t="n">
        <v>0.01</v>
      </c>
      <c r="I43" s="9" t="n">
        <v>0.005</v>
      </c>
      <c r="J43" s="9" t="n">
        <v>0.005</v>
      </c>
      <c r="K43" s="9" t="n">
        <v>0.01</v>
      </c>
      <c r="L43" s="9" t="n">
        <v>0.01</v>
      </c>
      <c r="M43" s="9" t="n">
        <v>0.005</v>
      </c>
      <c r="N43" s="9" t="n">
        <v>0.017846</v>
      </c>
      <c r="O43" s="9" t="n">
        <v>0.221582</v>
      </c>
      <c r="P43" s="9" t="n">
        <v>0.8746350000000001</v>
      </c>
      <c r="Q43" s="9" t="n">
        <v>0.5026385440052725</v>
      </c>
      <c r="R43" s="9" t="n">
        <v>0.1176159731241925</v>
      </c>
      <c r="S43" s="9" t="n">
        <v>0.1505212228276665</v>
      </c>
      <c r="T43" s="9" t="n">
        <v>0.0468198053632569</v>
      </c>
      <c r="U43" s="9" t="n">
        <v>0.000786</v>
      </c>
      <c r="V43" s="9" t="n">
        <v>0.001636</v>
      </c>
      <c r="W43" s="9" t="n">
        <v>0.001559</v>
      </c>
      <c r="X43" s="9" t="n">
        <v>0.1369539854732061</v>
      </c>
      <c r="Y43" s="9" t="n">
        <v>0.1369539854732061</v>
      </c>
      <c r="Z43" s="9" t="n">
        <v>0.01041051839160823</v>
      </c>
      <c r="AA43" s="9" t="n">
        <v>0.16</v>
      </c>
      <c r="AB43" s="9" t="n">
        <v>0.03</v>
      </c>
      <c r="AC43" s="9" t="n">
        <v>0.03</v>
      </c>
      <c r="AD43" s="9" t="n">
        <v>0</v>
      </c>
      <c r="AE43" s="9" t="n">
        <v>0</v>
      </c>
      <c r="AF43" s="9" t="n">
        <v>1.04</v>
      </c>
      <c r="AG43" s="9" t="n">
        <v>0</v>
      </c>
      <c r="AH43" s="9" t="n">
        <v>0</v>
      </c>
      <c r="AI43" s="9" t="n">
        <v>0</v>
      </c>
      <c r="AJ43" s="9" t="n">
        <v>0</v>
      </c>
      <c r="AK43" s="9" t="n">
        <v>0</v>
      </c>
      <c r="AL43" s="9" t="n">
        <v>0</v>
      </c>
      <c r="AM43" s="9" t="n">
        <v>0</v>
      </c>
      <c r="AN43" s="9" t="n">
        <v>0</v>
      </c>
      <c r="AO43" s="9" t="n">
        <v>0</v>
      </c>
      <c r="AP43" s="9" t="n">
        <v>2.795329262096443</v>
      </c>
      <c r="AQ43" s="9" t="n">
        <v>2.5993503</v>
      </c>
      <c r="AR43" s="9" t="n">
        <v>2.666242671356643</v>
      </c>
      <c r="AS43" s="9" t="n">
        <v>2.585811017437384</v>
      </c>
      <c r="AT43" s="9" t="n">
        <v>1.028549356725299</v>
      </c>
      <c r="AU43" s="9" t="n">
        <v>0.8025844392</v>
      </c>
      <c r="AV43" s="9" t="n">
        <v>0.976103611678274</v>
      </c>
      <c r="AW43" s="9" t="n">
        <v>0.9913892212169184</v>
      </c>
      <c r="AX43" s="9" t="n">
        <v>0.563827535093722</v>
      </c>
      <c r="AY43" s="9" t="n">
        <v>0.457282296</v>
      </c>
      <c r="AZ43" s="9" t="n">
        <v>0.5350779617624392</v>
      </c>
      <c r="BA43" s="9" t="n">
        <v>0.543457187797851</v>
      </c>
      <c r="BB43" s="9" t="n">
        <v>0.6733691962446994</v>
      </c>
      <c r="BC43" s="9" t="n">
        <v>0.6497807411123241</v>
      </c>
      <c r="BD43" s="9" t="n">
        <v>0.6289789170000002</v>
      </c>
      <c r="BE43" s="9" t="n">
        <v>0.6279368986348139</v>
      </c>
      <c r="BF43" s="9" t="n">
        <v>0.1408138110225361</v>
      </c>
      <c r="BG43" s="9" t="n">
        <v>0.1284239189999998</v>
      </c>
      <c r="BH43" s="9" t="n">
        <v>0.1317288142581816</v>
      </c>
      <c r="BI43" s="9" t="n">
        <v>0.1277549950280598</v>
      </c>
      <c r="BJ43" s="9" t="n">
        <v>0.4078863186480758</v>
      </c>
      <c r="BK43" s="9" t="n">
        <v>0.3917649999999995</v>
      </c>
      <c r="BL43" s="9" t="n">
        <v>0.4018467846153841</v>
      </c>
      <c r="BM43" s="9" t="n">
        <v>0.38972440661282</v>
      </c>
      <c r="BN43" s="9" t="n">
        <v>0</v>
      </c>
      <c r="BO43" s="9" t="n">
        <v>0</v>
      </c>
      <c r="BP43" s="9" t="n">
        <v>0</v>
      </c>
      <c r="BQ43" s="9" t="n">
        <v>0</v>
      </c>
      <c r="BR43" s="9" t="n">
        <v>0</v>
      </c>
      <c r="BS43" s="9" t="n">
        <v>0</v>
      </c>
      <c r="BT43" s="9" t="n">
        <v>0</v>
      </c>
      <c r="BU43" s="9" t="n">
        <v>0</v>
      </c>
      <c r="BV43" s="9" t="n">
        <v>0</v>
      </c>
      <c r="BW43" s="9" t="n">
        <v>4.839051200711607</v>
      </c>
      <c r="BX43" s="9" t="n">
        <v>4.509219110373662</v>
      </c>
      <c r="BY43" s="9" t="n">
        <v>5.006889928826828</v>
      </c>
      <c r="BZ43" s="9" t="n">
        <v>4.877015090516647</v>
      </c>
      <c r="CA43" s="9" t="n">
        <v>0.9357206871416112</v>
      </c>
      <c r="CB43" s="9" t="n">
        <v>0.4423269143941724</v>
      </c>
      <c r="CC43" s="9" t="n">
        <v>0.35</v>
      </c>
      <c r="CD43" s="9" t="n">
        <v>4.054859868813358</v>
      </c>
      <c r="CE43" s="9" t="n">
        <v>5.513</v>
      </c>
      <c r="CF43" s="9" t="n">
        <v>4.787</v>
      </c>
      <c r="CG43" s="9" t="n">
        <v>2.726</v>
      </c>
      <c r="CH43" s="9" t="n">
        <v>0</v>
      </c>
      <c r="CI43" s="9" t="n">
        <v>0</v>
      </c>
      <c r="CJ43" s="9" t="n">
        <v>0.36</v>
      </c>
      <c r="CK43" s="9" t="n">
        <v>0</v>
      </c>
      <c r="CL43" s="9" t="n">
        <v>0.36</v>
      </c>
      <c r="CM43" s="9" t="n">
        <v>0.08</v>
      </c>
      <c r="CN43" s="9" t="n">
        <v>0.52</v>
      </c>
      <c r="CO43" s="9" t="n">
        <v>0.08</v>
      </c>
      <c r="CP43" s="9" t="n">
        <v>1.331</v>
      </c>
      <c r="CQ43" s="9" t="n">
        <v>1.268</v>
      </c>
      <c r="CR43" s="9" t="n">
        <v>3</v>
      </c>
      <c r="CS43" s="9" t="n">
        <v>2</v>
      </c>
      <c r="CT43" s="9" t="n">
        <v>0.5</v>
      </c>
      <c r="CU43" s="9" t="n">
        <v>0.3</v>
      </c>
      <c r="CV43" s="9" t="n">
        <v>0.6</v>
      </c>
      <c r="CW43" s="9" t="n">
        <v>0.8</v>
      </c>
      <c r="CX43" s="9" t="n">
        <v>0.8</v>
      </c>
      <c r="CY43" s="9" t="n">
        <v>0.7</v>
      </c>
      <c r="CZ43" s="9" t="n">
        <v>0.5</v>
      </c>
      <c r="DA43" s="9" t="n">
        <v>0.5</v>
      </c>
      <c r="DB43" s="9" t="n">
        <v>1</v>
      </c>
      <c r="DC43" s="9" t="n">
        <v>0.3</v>
      </c>
      <c r="DD43" s="9" t="n">
        <v>0.8</v>
      </c>
      <c r="DE43" s="9" t="n">
        <v>0.4632115548003399</v>
      </c>
      <c r="DF43" s="9" t="n">
        <v>2</v>
      </c>
      <c r="DG43" s="9" t="n">
        <v>7.124</v>
      </c>
      <c r="DH43" s="9" t="n">
        <v>5.575</v>
      </c>
      <c r="DI43" s="9" t="n">
        <v>14.02195</v>
      </c>
      <c r="DJ43" s="9" t="n">
        <v>21.44839589233893</v>
      </c>
      <c r="DK43" s="9" t="n">
        <v>23.80915614471255</v>
      </c>
      <c r="DL43" s="9" t="n">
        <v>18.00453169567468</v>
      </c>
      <c r="DM43" s="9" t="n">
        <v>21.60220046991472</v>
      </c>
      <c r="DN43" s="9" t="n">
        <v>9.843999999999999</v>
      </c>
      <c r="DO43" s="9" t="n">
        <v>8.521000000000001</v>
      </c>
      <c r="DP43" s="9" t="n">
        <v>20.4539</v>
      </c>
      <c r="DQ43" s="9" t="n">
        <v>13.49474620847193</v>
      </c>
      <c r="DR43" s="9" t="n">
        <v>13.49474620847193</v>
      </c>
      <c r="DS43" s="9" t="n">
        <v>0.105</v>
      </c>
    </row>
    <row r="44">
      <c r="A44" s="9" t="inlineStr">
        <is>
          <t>CRI</t>
        </is>
      </c>
      <c r="B44" s="9" t="inlineStr">
        <is>
          <t>Costa Rica</t>
        </is>
      </c>
      <c r="C44" s="9" t="n">
        <v>0.005</v>
      </c>
      <c r="D44" s="9" t="n">
        <v>0.005</v>
      </c>
      <c r="E44" s="9" t="n">
        <v>0.01</v>
      </c>
      <c r="F44" s="9" t="n">
        <v>0.005</v>
      </c>
      <c r="G44" s="9" t="n">
        <v>0.005</v>
      </c>
      <c r="H44" s="9" t="n">
        <v>0.01</v>
      </c>
      <c r="I44" s="9" t="n">
        <v>0.005</v>
      </c>
      <c r="J44" s="9" t="n">
        <v>0.005</v>
      </c>
      <c r="K44" s="9" t="n">
        <v>0.01</v>
      </c>
      <c r="L44" s="9" t="n">
        <v>0.01</v>
      </c>
      <c r="M44" s="9" t="n">
        <v>0.005</v>
      </c>
      <c r="N44" s="9" t="n">
        <v>14.784003</v>
      </c>
      <c r="O44" s="9" t="n">
        <v>0.713548</v>
      </c>
      <c r="P44" s="9" t="n">
        <v>22.236658</v>
      </c>
      <c r="Q44" s="9" t="n">
        <v>8.490558702073915</v>
      </c>
      <c r="R44" s="9" t="n">
        <v>1.057771662014073</v>
      </c>
      <c r="S44" s="9" t="n">
        <v>1.147187883588894</v>
      </c>
      <c r="T44" s="9" t="n">
        <v>0.9367840095465249</v>
      </c>
      <c r="U44" s="9" t="n">
        <v>0.293263</v>
      </c>
      <c r="V44" s="9" t="n">
        <v>0.00443</v>
      </c>
      <c r="W44" s="9" t="n">
        <v>0.056589</v>
      </c>
      <c r="X44" s="9" t="n">
        <v>13.22198218069814</v>
      </c>
      <c r="Y44" s="9" t="n">
        <v>13.22198218069814</v>
      </c>
      <c r="Z44" s="9" t="n">
        <v>0.3694091870947411</v>
      </c>
      <c r="AA44" s="9" t="n">
        <v>0.52</v>
      </c>
      <c r="AB44" s="9" t="n">
        <v>0.08</v>
      </c>
      <c r="AC44" s="9" t="n">
        <v>0.44</v>
      </c>
      <c r="AD44" s="9" t="n">
        <v>0</v>
      </c>
      <c r="AE44" s="9" t="n">
        <v>0</v>
      </c>
      <c r="AF44" s="9" t="n">
        <v>7.87</v>
      </c>
      <c r="AG44" s="9" t="n">
        <v>0.5835526032787248</v>
      </c>
      <c r="AH44" s="9" t="n">
        <v>0.5680273428</v>
      </c>
      <c r="AI44" s="9" t="n">
        <v>0.5527938822430909</v>
      </c>
      <c r="AJ44" s="9" t="n">
        <v>0.5362100657757982</v>
      </c>
      <c r="AK44" s="9" t="n">
        <v>0</v>
      </c>
      <c r="AL44" s="9" t="n">
        <v>0</v>
      </c>
      <c r="AM44" s="9" t="n">
        <v>0</v>
      </c>
      <c r="AN44" s="9" t="n">
        <v>0</v>
      </c>
      <c r="AO44" s="9" t="n">
        <v>0</v>
      </c>
      <c r="AP44" s="9" t="n">
        <v>34.38633228152975</v>
      </c>
      <c r="AQ44" s="9" t="n">
        <v>37.22945728000001</v>
      </c>
      <c r="AR44" s="9" t="n">
        <v>36.23103092567273</v>
      </c>
      <c r="AS44" s="9" t="n">
        <v>35.14409999790255</v>
      </c>
      <c r="AT44" s="9" t="n">
        <v>23.94337369630296</v>
      </c>
      <c r="AU44" s="9" t="n">
        <v>22.3395799356</v>
      </c>
      <c r="AV44" s="9" t="n">
        <v>23.54522154828681</v>
      </c>
      <c r="AW44" s="9" t="n">
        <v>25.77099730333603</v>
      </c>
      <c r="AX44" s="9" t="n">
        <v>15.71862883639154</v>
      </c>
      <c r="AY44" s="9" t="n">
        <v>14.9668219152</v>
      </c>
      <c r="AZ44" s="9" t="n">
        <v>15.45724521040553</v>
      </c>
      <c r="BA44" s="9" t="n">
        <v>16.9184487738808</v>
      </c>
      <c r="BB44" s="9" t="n">
        <v>40.38533981522259</v>
      </c>
      <c r="BC44" s="9" t="n">
        <v>41.20500050999998</v>
      </c>
      <c r="BD44" s="9" t="n">
        <v>41.46275555292111</v>
      </c>
      <c r="BE44" s="9" t="n">
        <v>38.89695859506941</v>
      </c>
      <c r="BF44" s="9" t="n">
        <v>0.0802339867360005</v>
      </c>
      <c r="BG44" s="9" t="n">
        <v>0.07684795199999971</v>
      </c>
      <c r="BH44" s="9" t="n">
        <v>0.0747870296509088</v>
      </c>
      <c r="BI44" s="9" t="n">
        <v>0.0725434187613815</v>
      </c>
      <c r="BJ44" s="9" t="n">
        <v>4.148803639023399</v>
      </c>
      <c r="BK44" s="9" t="n">
        <v>3.802512989999987</v>
      </c>
      <c r="BL44" s="9" t="n">
        <v>3.700536505268168</v>
      </c>
      <c r="BM44" s="9" t="n">
        <v>3.589520410110122</v>
      </c>
      <c r="BN44" s="9" t="n">
        <v>0</v>
      </c>
      <c r="BO44" s="9" t="n">
        <v>0</v>
      </c>
      <c r="BP44" s="9" t="n">
        <v>0</v>
      </c>
      <c r="BQ44" s="9" t="n">
        <v>0</v>
      </c>
      <c r="BR44" s="9" t="n">
        <v>0</v>
      </c>
      <c r="BS44" s="9" t="n">
        <v>0</v>
      </c>
      <c r="BT44" s="9" t="n">
        <v>0</v>
      </c>
      <c r="BU44" s="9" t="n">
        <v>0</v>
      </c>
      <c r="BV44" s="9" t="n">
        <v>0</v>
      </c>
      <c r="BW44" s="9" t="n">
        <v>19.47964256881133</v>
      </c>
      <c r="BX44" s="9" t="n">
        <v>19.87557128648933</v>
      </c>
      <c r="BY44" s="9" t="n">
        <v>19.35285370164754</v>
      </c>
      <c r="BZ44" s="9" t="n">
        <v>18.76224877060678</v>
      </c>
      <c r="CA44" s="9" t="n">
        <v>1.027510337800714</v>
      </c>
      <c r="CB44" s="9" t="n">
        <v>11.01722292574847</v>
      </c>
      <c r="CC44" s="9" t="n">
        <v>0.183</v>
      </c>
      <c r="CD44" s="9" t="n">
        <v>3.287592910234419</v>
      </c>
      <c r="CE44" s="9" t="n">
        <v>4.56</v>
      </c>
      <c r="CF44" s="9" t="n">
        <v>3.56</v>
      </c>
      <c r="CG44" s="9" t="n">
        <v>96.73</v>
      </c>
      <c r="CH44" s="9" t="n">
        <v>11.17</v>
      </c>
      <c r="CI44" s="9" t="n">
        <v>0</v>
      </c>
      <c r="CJ44" s="9" t="n">
        <v>0</v>
      </c>
      <c r="CK44" s="9" t="n">
        <v>0</v>
      </c>
      <c r="CL44" s="9" t="n">
        <v>0</v>
      </c>
      <c r="CM44" s="9" t="n">
        <v>0.09</v>
      </c>
      <c r="CN44" s="9" t="n">
        <v>11.66</v>
      </c>
      <c r="CO44" s="9" t="n">
        <v>1.55</v>
      </c>
      <c r="CP44" s="9" t="n">
        <v>16.028</v>
      </c>
      <c r="CQ44" s="9" t="n">
        <v>8.705</v>
      </c>
      <c r="CR44" s="9" t="n">
        <v>3</v>
      </c>
      <c r="CS44" s="9" t="n">
        <v>3</v>
      </c>
      <c r="CT44" s="9" t="n">
        <v>0.5</v>
      </c>
      <c r="CU44" s="9" t="n">
        <v>0.3</v>
      </c>
      <c r="CV44" s="9" t="n">
        <v>0.6</v>
      </c>
      <c r="CW44" s="9" t="n">
        <v>0.8</v>
      </c>
      <c r="CX44" s="9" t="n">
        <v>0.8</v>
      </c>
      <c r="CY44" s="9" t="n">
        <v>0.7</v>
      </c>
      <c r="CZ44" s="9" t="n">
        <v>0.5</v>
      </c>
      <c r="DA44" s="9" t="n">
        <v>0.5</v>
      </c>
      <c r="DB44" s="9" t="n">
        <v>1</v>
      </c>
      <c r="DC44" s="9" t="n">
        <v>0.3</v>
      </c>
      <c r="DD44" s="9" t="n">
        <v>0.8</v>
      </c>
      <c r="DE44" s="9" t="n">
        <v>0.5989881663766572</v>
      </c>
      <c r="DF44" s="9" t="n">
        <v>3</v>
      </c>
      <c r="DG44" s="9" t="n">
        <v>7.124</v>
      </c>
      <c r="DH44" s="9" t="n">
        <v>5.575</v>
      </c>
      <c r="DI44" s="9" t="n">
        <v>13.77809</v>
      </c>
      <c r="DJ44" s="9" t="n">
        <v>18.40379416219625</v>
      </c>
      <c r="DK44" s="9" t="n">
        <v>24.40778799041686</v>
      </c>
      <c r="DL44" s="9" t="n">
        <v>15.43804153200168</v>
      </c>
      <c r="DM44" s="9" t="n">
        <v>21.80999972205305</v>
      </c>
      <c r="DN44" s="9" t="n">
        <v>5.164</v>
      </c>
      <c r="DO44" s="9" t="n">
        <v>3.841</v>
      </c>
      <c r="DP44" s="9" t="n">
        <v>14.80978</v>
      </c>
      <c r="DQ44" s="9" t="n">
        <v>13.49474620847193</v>
      </c>
      <c r="DR44" s="9" t="n">
        <v>13.49474620847193</v>
      </c>
      <c r="DS44" s="9" t="n">
        <v>0.0679</v>
      </c>
    </row>
    <row r="45">
      <c r="A45" s="9" t="inlineStr">
        <is>
          <t>CYP</t>
        </is>
      </c>
      <c r="B45" s="9" t="inlineStr">
        <is>
          <t>Cyprus</t>
        </is>
      </c>
      <c r="C45" s="9" t="n">
        <v>0.005</v>
      </c>
      <c r="D45" s="9" t="n">
        <v>0.005</v>
      </c>
      <c r="E45" s="9" t="n">
        <v>0.01</v>
      </c>
      <c r="F45" s="9" t="n">
        <v>0.005</v>
      </c>
      <c r="G45" s="9" t="n">
        <v>0.005</v>
      </c>
      <c r="H45" s="9" t="n">
        <v>0.01</v>
      </c>
      <c r="I45" s="9" t="n">
        <v>0.005</v>
      </c>
      <c r="J45" s="9" t="n">
        <v>0.005</v>
      </c>
      <c r="K45" s="9" t="n">
        <v>0.01</v>
      </c>
      <c r="L45" s="9" t="n">
        <v>0.01</v>
      </c>
      <c r="M45" s="9" t="n">
        <v>0.005</v>
      </c>
      <c r="N45" s="9" t="n">
        <v>0.128854</v>
      </c>
      <c r="O45" s="9" t="n">
        <v>0.896289</v>
      </c>
      <c r="P45" s="9" t="n">
        <v>76.83866</v>
      </c>
      <c r="Q45" s="9" t="n">
        <v>3.813038625088114</v>
      </c>
      <c r="R45" s="9" t="n">
        <v>0.369090533701423</v>
      </c>
      <c r="S45" s="9" t="n">
        <v>2.744191037085176</v>
      </c>
      <c r="T45" s="9" t="n">
        <v>2.658914977986587</v>
      </c>
      <c r="U45" s="9" t="n">
        <v>0.021518</v>
      </c>
      <c r="V45" s="9" t="n">
        <v>0.049861</v>
      </c>
      <c r="W45" s="9" t="n">
        <v>0.182603</v>
      </c>
      <c r="X45" s="9" t="n">
        <v>1.010618144427434</v>
      </c>
      <c r="Y45" s="9" t="n">
        <v>1.010618144427434</v>
      </c>
      <c r="Z45" s="9" t="n">
        <v>0.3164064463460168</v>
      </c>
      <c r="AA45" s="9" t="n">
        <v>1.85</v>
      </c>
      <c r="AB45" s="9" t="n">
        <v>0.86</v>
      </c>
      <c r="AC45" s="9" t="n">
        <v>0.17</v>
      </c>
      <c r="AD45" s="9" t="n">
        <v>0</v>
      </c>
      <c r="AE45" s="9" t="n">
        <v>0</v>
      </c>
      <c r="AF45" s="9" t="n">
        <v>7.125</v>
      </c>
      <c r="AG45" s="9" t="n">
        <v>2.087066348534586</v>
      </c>
      <c r="AH45" s="9" t="n">
        <v>1.6790993928</v>
      </c>
      <c r="AI45" s="9" t="n">
        <v>1.7193977782272</v>
      </c>
      <c r="AJ45" s="9" t="n">
        <v>1.77441850713047</v>
      </c>
      <c r="AK45" s="9" t="n">
        <v>0</v>
      </c>
      <c r="AL45" s="9" t="n">
        <v>0</v>
      </c>
      <c r="AM45" s="9" t="n">
        <v>0</v>
      </c>
      <c r="AN45" s="9" t="n">
        <v>0</v>
      </c>
      <c r="AO45" s="9" t="n">
        <v>0</v>
      </c>
      <c r="AP45" s="9" t="n">
        <v>14.15709628943773</v>
      </c>
      <c r="AQ45" s="9" t="n">
        <v>13.06087945</v>
      </c>
      <c r="AR45" s="9" t="n">
        <v>13.3743405568</v>
      </c>
      <c r="AS45" s="9" t="n">
        <v>13.8023194546176</v>
      </c>
      <c r="AT45" s="9" t="n">
        <v>9.516079438104882</v>
      </c>
      <c r="AU45" s="9" t="n">
        <v>10.1957288544</v>
      </c>
      <c r="AV45" s="9" t="n">
        <v>10.15014288864352</v>
      </c>
      <c r="AW45" s="9" t="n">
        <v>10.09919154184453</v>
      </c>
      <c r="AX45" s="9" t="n">
        <v>6.184036333154646</v>
      </c>
      <c r="AY45" s="9" t="n">
        <v>6.542670492</v>
      </c>
      <c r="AZ45" s="9" t="n">
        <v>6.596083273405619</v>
      </c>
      <c r="BA45" s="9" t="n">
        <v>6.562972475846863</v>
      </c>
      <c r="BB45" s="9" t="n">
        <v>14.54846390201616</v>
      </c>
      <c r="BC45" s="9" t="n">
        <v>13.55802137261842</v>
      </c>
      <c r="BD45" s="9" t="n">
        <v>13.65614856</v>
      </c>
      <c r="BE45" s="9" t="n">
        <v>14.20993034330112</v>
      </c>
      <c r="BF45" s="9" t="n">
        <v>0.6261191930783521</v>
      </c>
      <c r="BG45" s="9" t="n">
        <v>0.5739285915619153</v>
      </c>
      <c r="BH45" s="9" t="n">
        <v>0.5877028777594014</v>
      </c>
      <c r="BI45" s="9" t="n">
        <v>0.606509369847702</v>
      </c>
      <c r="BJ45" s="9" t="n">
        <v>1.752380011069545</v>
      </c>
      <c r="BK45" s="9" t="n">
        <v>1.584008549999998</v>
      </c>
      <c r="BL45" s="9" t="n">
        <v>1.622024755199997</v>
      </c>
      <c r="BM45" s="9" t="n">
        <v>1.673929547366397</v>
      </c>
      <c r="BN45" s="9" t="n">
        <v>0</v>
      </c>
      <c r="BO45" s="9" t="n">
        <v>0</v>
      </c>
      <c r="BP45" s="9" t="n">
        <v>0</v>
      </c>
      <c r="BQ45" s="9" t="n">
        <v>0</v>
      </c>
      <c r="BR45" s="9" t="n">
        <v>0</v>
      </c>
      <c r="BS45" s="9" t="n">
        <v>0</v>
      </c>
      <c r="BT45" s="9" t="n">
        <v>0</v>
      </c>
      <c r="BU45" s="9" t="n">
        <v>0</v>
      </c>
      <c r="BV45" s="9" t="n">
        <v>0</v>
      </c>
      <c r="BW45" s="9" t="n">
        <v>42.54577542966825</v>
      </c>
      <c r="BX45" s="9" t="n">
        <v>46.07667908095777</v>
      </c>
      <c r="BY45" s="9" t="n">
        <v>45.17270106052185</v>
      </c>
      <c r="BZ45" s="9" t="n">
        <v>44.36870034810247</v>
      </c>
      <c r="CA45" s="9" t="n">
        <v>1.363328680752854</v>
      </c>
      <c r="CB45" s="9" t="n">
        <v>4.361143269794313</v>
      </c>
      <c r="CC45" s="9" t="n">
        <v>0</v>
      </c>
      <c r="CD45" s="9" t="n">
        <v>3.673179655113997</v>
      </c>
      <c r="CE45" s="9" t="n">
        <v>3.767</v>
      </c>
      <c r="CF45" s="9" t="n">
        <v>2.953</v>
      </c>
      <c r="CG45" s="9" t="n">
        <v>37.623</v>
      </c>
      <c r="CH45" s="9" t="n">
        <v>0.06</v>
      </c>
      <c r="CI45" s="9" t="n">
        <v>0</v>
      </c>
      <c r="CJ45" s="9" t="n">
        <v>4.27</v>
      </c>
      <c r="CK45" s="9" t="n">
        <v>0</v>
      </c>
      <c r="CL45" s="9" t="n">
        <v>4.27</v>
      </c>
      <c r="CM45" s="9" t="n">
        <v>1.37</v>
      </c>
      <c r="CN45" s="9" t="n">
        <v>5.91</v>
      </c>
      <c r="CO45" s="9" t="n">
        <v>0.21</v>
      </c>
      <c r="CP45" s="9" t="n">
        <v>8.849</v>
      </c>
      <c r="CQ45" s="9" t="n">
        <v>8.609</v>
      </c>
      <c r="CR45" s="9" t="n">
        <v>1</v>
      </c>
      <c r="CS45" s="9" t="n">
        <v>4</v>
      </c>
      <c r="CT45" s="9" t="n">
        <v>0.5</v>
      </c>
      <c r="CU45" s="9" t="n">
        <v>0.3</v>
      </c>
      <c r="CV45" s="9" t="n">
        <v>0.6</v>
      </c>
      <c r="CW45" s="9" t="n">
        <v>0.8</v>
      </c>
      <c r="CX45" s="9" t="n">
        <v>0.8</v>
      </c>
      <c r="CY45" s="9" t="n">
        <v>0.7</v>
      </c>
      <c r="CZ45" s="9" t="n">
        <v>0.5</v>
      </c>
      <c r="DA45" s="9" t="n">
        <v>0.5</v>
      </c>
      <c r="DB45" s="9" t="n">
        <v>1</v>
      </c>
      <c r="DC45" s="9" t="n">
        <v>0.3</v>
      </c>
      <c r="DD45" s="9" t="n">
        <v>0.8</v>
      </c>
      <c r="DE45" s="9" t="n">
        <v>0.6304438896057107</v>
      </c>
      <c r="DF45" s="9" t="n">
        <v>1</v>
      </c>
      <c r="DG45" s="9" t="n">
        <v>5.149</v>
      </c>
      <c r="DH45" s="9" t="n">
        <v>3.922</v>
      </c>
      <c r="DI45" s="9" t="n">
        <v>10.46843</v>
      </c>
      <c r="DJ45" s="9" t="n">
        <v>21.44995105266926</v>
      </c>
      <c r="DK45" s="9" t="n">
        <v>24.63730070626776</v>
      </c>
      <c r="DL45" s="9" t="n">
        <v>18.18167626044916</v>
      </c>
      <c r="DM45" s="9" t="n">
        <v>22.21578429861066</v>
      </c>
      <c r="DN45" s="9" t="n">
        <v>12.815</v>
      </c>
      <c r="DO45" s="9" t="n">
        <v>11.492</v>
      </c>
      <c r="DP45" s="9" t="n">
        <v>24.70083</v>
      </c>
      <c r="DQ45" s="9" t="n">
        <v>13.49474620847193</v>
      </c>
      <c r="DR45" s="9" t="n">
        <v>13.49474620847193</v>
      </c>
      <c r="DS45" s="9" t="n">
        <v>0.051</v>
      </c>
    </row>
    <row r="46">
      <c r="A46" s="9" t="inlineStr">
        <is>
          <t>CZE</t>
        </is>
      </c>
      <c r="B46" s="9" t="inlineStr">
        <is>
          <t>Czechia</t>
        </is>
      </c>
      <c r="C46" s="9" t="n">
        <v>0.005</v>
      </c>
      <c r="D46" s="9" t="n">
        <v>0.005</v>
      </c>
      <c r="E46" s="9" t="n">
        <v>0.01</v>
      </c>
      <c r="F46" s="9" t="n">
        <v>0.005</v>
      </c>
      <c r="G46" s="9" t="n">
        <v>0.005</v>
      </c>
      <c r="H46" s="9" t="n">
        <v>0.01</v>
      </c>
      <c r="I46" s="9" t="n">
        <v>0.005</v>
      </c>
      <c r="J46" s="9" t="n">
        <v>0.005</v>
      </c>
      <c r="K46" s="9" t="n">
        <v>0.01</v>
      </c>
      <c r="L46" s="9" t="n">
        <v>0.01</v>
      </c>
      <c r="M46" s="9" t="n">
        <v>0.005</v>
      </c>
      <c r="N46" s="9" t="n">
        <v>7.582593</v>
      </c>
      <c r="O46" s="9" t="n">
        <v>2.333934</v>
      </c>
      <c r="P46" s="9" t="n">
        <v>48.413914</v>
      </c>
      <c r="Q46" s="9" t="n">
        <v>7.1878437943338</v>
      </c>
      <c r="R46" s="9" t="n">
        <v>1.746424194174735</v>
      </c>
      <c r="S46" s="9" t="n">
        <v>20.18648013626313</v>
      </c>
      <c r="T46" s="9" t="n">
        <v>21.29905483701178</v>
      </c>
      <c r="U46" s="9" t="n">
        <v>0.632917</v>
      </c>
      <c r="V46" s="9" t="n">
        <v>0.101864</v>
      </c>
      <c r="W46" s="9" t="n">
        <v>0.154893</v>
      </c>
      <c r="X46" s="9" t="n">
        <v>5.553184576408349</v>
      </c>
      <c r="Y46" s="9" t="n">
        <v>5.553184576408349</v>
      </c>
      <c r="Z46" s="9" t="n">
        <v>2.91894050493354</v>
      </c>
      <c r="AA46" s="9" t="n">
        <v>8.76</v>
      </c>
      <c r="AB46" s="9" t="n">
        <v>4.54</v>
      </c>
      <c r="AC46" s="9" t="n">
        <v>0.37</v>
      </c>
      <c r="AD46" s="9" t="n">
        <v>0</v>
      </c>
      <c r="AE46" s="9" t="n">
        <v>0</v>
      </c>
      <c r="AF46" s="9" t="n">
        <v>88.264</v>
      </c>
      <c r="AG46" s="9" t="n">
        <v>87.06596540351552</v>
      </c>
      <c r="AH46" s="9" t="n">
        <v>62.72877286799999</v>
      </c>
      <c r="AI46" s="9" t="n">
        <v>70.49671185057454</v>
      </c>
      <c r="AJ46" s="9" t="n">
        <v>72.61161320609179</v>
      </c>
      <c r="AK46" s="9" t="n">
        <v>179.2587003213693</v>
      </c>
      <c r="AL46" s="9" t="n">
        <v>35.91009073555828</v>
      </c>
      <c r="AM46" s="9" t="n">
        <v>29.6657849268</v>
      </c>
      <c r="AN46" s="9" t="n">
        <v>33.33941022896366</v>
      </c>
      <c r="AO46" s="9" t="n">
        <v>34.33959253583257</v>
      </c>
      <c r="AP46" s="9" t="n">
        <v>230.8018698647687</v>
      </c>
      <c r="AQ46" s="9" t="n">
        <v>195.238373927064</v>
      </c>
      <c r="AR46" s="9" t="n">
        <v>219.4154733087764</v>
      </c>
      <c r="AS46" s="9" t="n">
        <v>225.9979375080397</v>
      </c>
      <c r="AT46" s="9" t="n">
        <v>158.1479686624759</v>
      </c>
      <c r="AU46" s="9" t="n">
        <v>153.8014616064</v>
      </c>
      <c r="AV46" s="9" t="n">
        <v>174.3247755163939</v>
      </c>
      <c r="AW46" s="9" t="n">
        <v>183.1202692168796</v>
      </c>
      <c r="AX46" s="9" t="n">
        <v>63.72884415763703</v>
      </c>
      <c r="AY46" s="9" t="n">
        <v>62.1358424388</v>
      </c>
      <c r="AZ46" s="9" t="n">
        <v>70.30087701801833</v>
      </c>
      <c r="BA46" s="9" t="n">
        <v>73.87822056425318</v>
      </c>
      <c r="BB46" s="9" t="n">
        <v>80.29542554454081</v>
      </c>
      <c r="BC46" s="9" t="n">
        <v>66.36626136776643</v>
      </c>
      <c r="BD46" s="9" t="n">
        <v>69.19924904694737</v>
      </c>
      <c r="BE46" s="9" t="n">
        <v>76.82218350598339</v>
      </c>
      <c r="BF46" s="9" t="n">
        <v>0</v>
      </c>
      <c r="BG46" s="9" t="n">
        <v>0</v>
      </c>
      <c r="BH46" s="9" t="n">
        <v>0</v>
      </c>
      <c r="BI46" s="9" t="n">
        <v>0</v>
      </c>
      <c r="BJ46" s="9" t="n">
        <v>2.327736528076155</v>
      </c>
      <c r="BK46" s="9" t="n">
        <v>2.025044534716306</v>
      </c>
      <c r="BL46" s="9" t="n">
        <v>2.275813387086076</v>
      </c>
      <c r="BM46" s="9" t="n">
        <v>2.344087788698658</v>
      </c>
      <c r="BN46" s="9" t="n">
        <v>156.8119110228274</v>
      </c>
      <c r="BO46" s="9" t="n">
        <v>117.1006761888</v>
      </c>
      <c r="BP46" s="9" t="n">
        <v>131.6016916855794</v>
      </c>
      <c r="BQ46" s="9" t="n">
        <v>135.5497424361467</v>
      </c>
      <c r="BR46" s="9" t="n">
        <v>48.67525849497385</v>
      </c>
      <c r="BS46" s="9" t="n">
        <v>186.461434247175</v>
      </c>
      <c r="BT46" s="9" t="n">
        <v>143.6754513456</v>
      </c>
      <c r="BU46" s="9" t="n">
        <v>161.4673208230247</v>
      </c>
      <c r="BV46" s="9" t="n">
        <v>166.3113404477155</v>
      </c>
      <c r="BW46" s="9" t="n">
        <v>48.16075926247469</v>
      </c>
      <c r="BX46" s="9" t="n">
        <v>38.64423053059822</v>
      </c>
      <c r="BY46" s="9" t="n">
        <v>43.71387208264343</v>
      </c>
      <c r="BZ46" s="9" t="n">
        <v>44.85375342370461</v>
      </c>
      <c r="CA46" s="9" t="n">
        <v>1.110724075953073</v>
      </c>
      <c r="CB46" s="9" t="n">
        <v>61.63244800558693</v>
      </c>
      <c r="CC46" s="9" t="n">
        <v>0</v>
      </c>
      <c r="CD46" s="9" t="n">
        <v>3.062572288532579</v>
      </c>
      <c r="CE46" s="9" t="n">
        <v>2.548</v>
      </c>
      <c r="CF46" s="9" t="n">
        <v>2.234</v>
      </c>
      <c r="CG46" s="9" t="n">
        <v>347.083</v>
      </c>
      <c r="CH46" s="9" t="n">
        <v>39.7</v>
      </c>
      <c r="CI46" s="9" t="n">
        <v>26.6</v>
      </c>
      <c r="CJ46" s="9" t="n">
        <v>30.84</v>
      </c>
      <c r="CK46" s="9" t="n">
        <v>4.08</v>
      </c>
      <c r="CL46" s="9" t="n">
        <v>0.16</v>
      </c>
      <c r="CM46" s="9" t="n">
        <v>4.39</v>
      </c>
      <c r="CN46" s="9" t="n">
        <v>75.40000000000001</v>
      </c>
      <c r="CO46" s="9" t="n">
        <v>0.57</v>
      </c>
      <c r="CP46" s="9" t="n">
        <v>110.852</v>
      </c>
      <c r="CQ46" s="9" t="n">
        <v>118.786</v>
      </c>
      <c r="CR46" s="9" t="n">
        <v>1</v>
      </c>
      <c r="CS46" s="9" t="n">
        <v>4</v>
      </c>
      <c r="CT46" s="9" t="n">
        <v>0.5</v>
      </c>
      <c r="CU46" s="9" t="n">
        <v>0.3</v>
      </c>
      <c r="CV46" s="9" t="n">
        <v>0.6</v>
      </c>
      <c r="CW46" s="9" t="n">
        <v>0.8</v>
      </c>
      <c r="CX46" s="9" t="n">
        <v>0.8</v>
      </c>
      <c r="CY46" s="9" t="n">
        <v>0.7</v>
      </c>
      <c r="CZ46" s="9" t="n">
        <v>0.5</v>
      </c>
      <c r="DA46" s="9" t="n">
        <v>0.5</v>
      </c>
      <c r="DB46" s="9" t="n">
        <v>1</v>
      </c>
      <c r="DC46" s="9" t="n">
        <v>0.3</v>
      </c>
      <c r="DD46" s="9" t="n">
        <v>0.8</v>
      </c>
      <c r="DE46" s="9" t="n">
        <v>0.55719159114807</v>
      </c>
      <c r="DF46" s="9" t="n">
        <v>3</v>
      </c>
      <c r="DG46" s="9" t="n">
        <v>3.58</v>
      </c>
      <c r="DH46" s="9" t="n">
        <v>3.674</v>
      </c>
      <c r="DI46" s="9" t="n">
        <v>11.38368</v>
      </c>
      <c r="DJ46" s="9" t="n">
        <v>22.48925397618299</v>
      </c>
      <c r="DK46" s="9" t="n">
        <v>25.05137298704537</v>
      </c>
      <c r="DL46" s="9" t="n">
        <v>15.65611451797798</v>
      </c>
      <c r="DM46" s="9" t="n">
        <v>20.94982641308021</v>
      </c>
      <c r="DN46" s="9" t="n">
        <v>18.851</v>
      </c>
      <c r="DO46" s="9" t="n">
        <v>18.851</v>
      </c>
      <c r="DP46" s="9" t="n">
        <v>31.73346</v>
      </c>
      <c r="DQ46" s="9" t="n">
        <v>13.49474620847193</v>
      </c>
      <c r="DR46" s="9" t="n">
        <v>13.49474620847193</v>
      </c>
      <c r="DS46" s="9" t="n">
        <v>0.0575</v>
      </c>
    </row>
    <row r="47">
      <c r="A47" s="9" t="inlineStr">
        <is>
          <t>DEU</t>
        </is>
      </c>
      <c r="B47" s="9" t="inlineStr">
        <is>
          <t>Germany</t>
        </is>
      </c>
      <c r="C47" s="9" t="n">
        <v>0.005</v>
      </c>
      <c r="D47" s="9" t="n">
        <v>0.005</v>
      </c>
      <c r="E47" s="9" t="n">
        <v>0.01</v>
      </c>
      <c r="F47" s="9" t="n">
        <v>0.005</v>
      </c>
      <c r="G47" s="9" t="n">
        <v>0.005</v>
      </c>
      <c r="H47" s="9" t="n">
        <v>0.01</v>
      </c>
      <c r="I47" s="9" t="n">
        <v>0.005</v>
      </c>
      <c r="J47" s="9" t="n">
        <v>0.005</v>
      </c>
      <c r="K47" s="9" t="n">
        <v>0.01</v>
      </c>
      <c r="L47" s="9" t="n">
        <v>0.01</v>
      </c>
      <c r="M47" s="9" t="n">
        <v>0.005</v>
      </c>
      <c r="N47" s="9" t="n">
        <v>2.016983</v>
      </c>
      <c r="O47" s="9" t="n">
        <v>1.654682</v>
      </c>
      <c r="P47" s="9" t="n">
        <v>97.84783</v>
      </c>
      <c r="Q47" s="9" t="n">
        <v>19.43054855063079</v>
      </c>
      <c r="R47" s="9" t="n">
        <v>3.291560074510134</v>
      </c>
      <c r="S47" s="9" t="n">
        <v>5.479984462829914</v>
      </c>
      <c r="T47" s="9" t="n">
        <v>8.299828744125932</v>
      </c>
      <c r="U47" s="9" t="n">
        <v>0.664054</v>
      </c>
      <c r="V47" s="9" t="n">
        <v>0.833046</v>
      </c>
      <c r="W47" s="9" t="n">
        <v>0.182518</v>
      </c>
      <c r="X47" s="9" t="n">
        <v>2.492923453519222</v>
      </c>
      <c r="Y47" s="9" t="n">
        <v>2.492923453519222</v>
      </c>
      <c r="Z47" s="9" t="n">
        <v>39.39359914568157</v>
      </c>
      <c r="AA47" s="9" t="n">
        <v>68.53999999999999</v>
      </c>
      <c r="AB47" s="9" t="n">
        <v>106.27</v>
      </c>
      <c r="AC47" s="9" t="n">
        <v>77.81</v>
      </c>
      <c r="AD47" s="9" t="n">
        <v>0</v>
      </c>
      <c r="AE47" s="9" t="n">
        <v>0</v>
      </c>
      <c r="AF47" s="9" t="n">
        <v>658.3680000000001</v>
      </c>
      <c r="AG47" s="9" t="n">
        <v>304.2314102138157</v>
      </c>
      <c r="AH47" s="9" t="n">
        <v>235.611876924</v>
      </c>
      <c r="AI47" s="9" t="n">
        <v>261.1925949900343</v>
      </c>
      <c r="AJ47" s="9" t="n">
        <v>260.5396135025592</v>
      </c>
      <c r="AK47" s="9" t="n">
        <v>603.4476371223087</v>
      </c>
      <c r="AL47" s="9" t="n">
        <v>23.08753465459806</v>
      </c>
      <c r="AM47" s="9" t="n">
        <v>21.8832815376</v>
      </c>
      <c r="AN47" s="9" t="n">
        <v>24.259180675968</v>
      </c>
      <c r="AO47" s="9" t="n">
        <v>24.19853272427808</v>
      </c>
      <c r="AP47" s="9" t="n">
        <v>1457.904413207092</v>
      </c>
      <c r="AQ47" s="9" t="n">
        <v>1285.132659362785</v>
      </c>
      <c r="AR47" s="9" t="n">
        <v>1424.661348093603</v>
      </c>
      <c r="AS47" s="9" t="n">
        <v>1421.099694723368</v>
      </c>
      <c r="AT47" s="9" t="n">
        <v>1413.296823498135</v>
      </c>
      <c r="AU47" s="9" t="n">
        <v>1325.6549996076</v>
      </c>
      <c r="AV47" s="9" t="n">
        <v>1444.669503631278</v>
      </c>
      <c r="AW47" s="9" t="n">
        <v>1518.440243585417</v>
      </c>
      <c r="AX47" s="9" t="n">
        <v>506.5344629770802</v>
      </c>
      <c r="AY47" s="9" t="n">
        <v>473.3999980596</v>
      </c>
      <c r="AZ47" s="9" t="n">
        <v>517.6836718177759</v>
      </c>
      <c r="BA47" s="9" t="n">
        <v>544.412200428936</v>
      </c>
      <c r="BB47" s="9" t="n">
        <v>753.3451737186296</v>
      </c>
      <c r="BC47" s="9" t="n">
        <v>787.046886569643</v>
      </c>
      <c r="BD47" s="9" t="n">
        <v>798.2426811062963</v>
      </c>
      <c r="BE47" s="9" t="n">
        <v>732.1656465725944</v>
      </c>
      <c r="BF47" s="9" t="n">
        <v>12.65428353573311</v>
      </c>
      <c r="BG47" s="9" t="n">
        <v>10.97738099999998</v>
      </c>
      <c r="BH47" s="9" t="n">
        <v>12.16921093714284</v>
      </c>
      <c r="BI47" s="9" t="n">
        <v>12.13878790979998</v>
      </c>
      <c r="BJ47" s="9" t="n">
        <v>39.6047419939799</v>
      </c>
      <c r="BK47" s="9" t="n">
        <v>34.74317370908636</v>
      </c>
      <c r="BL47" s="9" t="n">
        <v>38.51528971178719</v>
      </c>
      <c r="BM47" s="9" t="n">
        <v>38.41900148750771</v>
      </c>
      <c r="BN47" s="9" t="n">
        <v>1121.080687540443</v>
      </c>
      <c r="BO47" s="9" t="n">
        <v>893.2905359172</v>
      </c>
      <c r="BP47" s="9" t="n">
        <v>990.2763655310677</v>
      </c>
      <c r="BQ47" s="9" t="n">
        <v>987.80067461724</v>
      </c>
      <c r="BR47" s="9" t="n">
        <v>602.8230630707575</v>
      </c>
      <c r="BS47" s="9" t="n">
        <v>1928.126407349323</v>
      </c>
      <c r="BT47" s="9" t="n">
        <v>1639.0081911708</v>
      </c>
      <c r="BU47" s="9" t="n">
        <v>1816.957651926487</v>
      </c>
      <c r="BV47" s="9" t="n">
        <v>1812.415257796671</v>
      </c>
      <c r="BW47" s="9" t="n">
        <v>1421.476366900227</v>
      </c>
      <c r="BX47" s="9" t="n">
        <v>991.3007710108022</v>
      </c>
      <c r="BY47" s="9" t="n">
        <v>1324.876731995588</v>
      </c>
      <c r="BZ47" s="9" t="n">
        <v>1323.291883179986</v>
      </c>
      <c r="CA47" s="9" t="n">
        <v>1.180764826195408</v>
      </c>
      <c r="CB47" s="9" t="n">
        <v>533.2864684653376</v>
      </c>
      <c r="CC47" s="9" t="n">
        <v>0.016</v>
      </c>
      <c r="CD47" s="9" t="n">
        <v>2.84976471990081</v>
      </c>
      <c r="CE47" s="9" t="n">
        <v>0.24</v>
      </c>
      <c r="CF47" s="9" t="n">
        <v>0.791</v>
      </c>
      <c r="CG47" s="9" t="n">
        <v>4684.182</v>
      </c>
      <c r="CH47" s="9" t="n">
        <v>70.09</v>
      </c>
      <c r="CI47" s="9" t="n">
        <v>103.15</v>
      </c>
      <c r="CJ47" s="9" t="n">
        <v>204.73</v>
      </c>
      <c r="CK47" s="9" t="n">
        <v>82.67</v>
      </c>
      <c r="CL47" s="9" t="n">
        <v>18.91</v>
      </c>
      <c r="CM47" s="9" t="n">
        <v>89.62</v>
      </c>
      <c r="CN47" s="9" t="n">
        <v>499.89</v>
      </c>
      <c r="CO47" s="9" t="n">
        <v>136.03</v>
      </c>
      <c r="CP47" s="9" t="n">
        <v>742.151</v>
      </c>
      <c r="CQ47" s="9" t="n">
        <v>744.658</v>
      </c>
      <c r="CR47" s="9" t="n">
        <v>1</v>
      </c>
      <c r="CS47" s="9" t="n">
        <v>4</v>
      </c>
      <c r="CT47" s="9" t="n">
        <v>0.5</v>
      </c>
      <c r="CU47" s="9" t="n">
        <v>0.3</v>
      </c>
      <c r="CV47" s="9" t="n">
        <v>0.6</v>
      </c>
      <c r="CW47" s="9" t="n">
        <v>0.8</v>
      </c>
      <c r="CX47" s="9" t="n">
        <v>0.8</v>
      </c>
      <c r="CY47" s="9" t="n">
        <v>0.7</v>
      </c>
      <c r="CZ47" s="9" t="n">
        <v>0.5</v>
      </c>
      <c r="DA47" s="9" t="n">
        <v>0.5</v>
      </c>
      <c r="DB47" s="9" t="n">
        <v>1</v>
      </c>
      <c r="DC47" s="9" t="n">
        <v>0.3</v>
      </c>
      <c r="DD47" s="9" t="n">
        <v>0.8</v>
      </c>
      <c r="DE47" s="9" t="n">
        <v>0.7811922759029224</v>
      </c>
      <c r="DF47" s="9" t="n">
        <v>3</v>
      </c>
      <c r="DG47" s="9" t="n">
        <v>6.908</v>
      </c>
      <c r="DH47" s="9" t="n">
        <v>7.042</v>
      </c>
      <c r="DI47" s="9" t="n">
        <v>12.20107</v>
      </c>
      <c r="DJ47" s="9" t="n">
        <v>22.2831416061964</v>
      </c>
      <c r="DK47" s="9" t="n">
        <v>24.48082256259269</v>
      </c>
      <c r="DL47" s="9" t="n">
        <v>18.6307762763938</v>
      </c>
      <c r="DM47" s="9" t="n">
        <v>21.69401693991872</v>
      </c>
      <c r="DN47" s="9" t="n">
        <v>17.078</v>
      </c>
      <c r="DO47" s="9" t="n">
        <v>17.078</v>
      </c>
      <c r="DP47" s="9" t="n">
        <v>30.69843</v>
      </c>
      <c r="DQ47" s="9" t="n">
        <v>13.49474620847193</v>
      </c>
      <c r="DR47" s="9" t="n">
        <v>13.49474620847193</v>
      </c>
      <c r="DS47" s="9" t="n">
        <v>0.0232</v>
      </c>
    </row>
    <row r="48">
      <c r="A48" s="9" t="inlineStr">
        <is>
          <t>DJI</t>
        </is>
      </c>
      <c r="B48" s="9" t="inlineStr">
        <is>
          <t>Djibouti</t>
        </is>
      </c>
      <c r="C48" s="9" t="n">
        <v>0.005</v>
      </c>
      <c r="D48" s="9" t="n">
        <v>0.005</v>
      </c>
      <c r="E48" s="9" t="n">
        <v>0.01</v>
      </c>
      <c r="F48" s="9" t="n">
        <v>0.005</v>
      </c>
      <c r="G48" s="9" t="n">
        <v>0.005</v>
      </c>
      <c r="H48" s="9" t="n">
        <v>0.01</v>
      </c>
      <c r="I48" s="9" t="n">
        <v>0.005</v>
      </c>
      <c r="J48" s="9" t="n">
        <v>0.005</v>
      </c>
      <c r="K48" s="9" t="n">
        <v>0.01</v>
      </c>
      <c r="L48" s="9" t="n">
        <v>0.01</v>
      </c>
      <c r="M48" s="9" t="n">
        <v>0.005</v>
      </c>
      <c r="N48" s="9" t="n">
        <v>0.419418</v>
      </c>
      <c r="O48" s="9" t="n">
        <v>0.297268</v>
      </c>
      <c r="P48" s="9" t="n">
        <v>3.015311</v>
      </c>
      <c r="Q48" s="9" t="n">
        <v>0.2357408555902249</v>
      </c>
      <c r="R48" s="9" t="n">
        <v>0.0562486309592236</v>
      </c>
      <c r="S48" s="9" t="n">
        <v>0.2113707914364574</v>
      </c>
      <c r="T48" s="9" t="n">
        <v>0.1619492024785399</v>
      </c>
      <c r="U48" s="9" t="n">
        <v>0.025426</v>
      </c>
      <c r="V48" s="9" t="n">
        <v>0.000842</v>
      </c>
      <c r="W48" s="9" t="n">
        <v>0.007247</v>
      </c>
      <c r="X48" s="9" t="n">
        <v>-4.458398124290847</v>
      </c>
      <c r="Y48" s="9" t="n">
        <v>-4.458398124290847</v>
      </c>
      <c r="Z48" s="9" t="n">
        <v>0.01585637284004306</v>
      </c>
      <c r="AA48" s="9" t="n">
        <v>0.12</v>
      </c>
      <c r="AB48" s="9" t="n">
        <v>0</v>
      </c>
      <c r="AC48" s="9" t="n">
        <v>0.08</v>
      </c>
      <c r="AD48" s="9" t="n">
        <v>0</v>
      </c>
      <c r="AE48" s="9" t="n">
        <v>0</v>
      </c>
      <c r="AF48" s="9" t="n">
        <v>0.776</v>
      </c>
      <c r="AG48" s="9" t="n">
        <v>0</v>
      </c>
      <c r="AH48" s="9" t="n">
        <v>0</v>
      </c>
      <c r="AI48" s="9" t="n">
        <v>0</v>
      </c>
      <c r="AJ48" s="9" t="n">
        <v>0</v>
      </c>
      <c r="AK48" s="9" t="n">
        <v>0</v>
      </c>
      <c r="AL48" s="9" t="n">
        <v>0</v>
      </c>
      <c r="AM48" s="9" t="n">
        <v>0</v>
      </c>
      <c r="AN48" s="9" t="n">
        <v>0</v>
      </c>
      <c r="AO48" s="9" t="n">
        <v>0</v>
      </c>
      <c r="AP48" s="9" t="n">
        <v>1.390822497987951</v>
      </c>
      <c r="AQ48" s="9" t="n">
        <v>1.31245884</v>
      </c>
      <c r="AR48" s="9" t="n">
        <v>1.34691088455</v>
      </c>
      <c r="AS48" s="9" t="n">
        <v>1.30842771642</v>
      </c>
      <c r="AT48" s="9" t="n">
        <v>0.96255061743546</v>
      </c>
      <c r="AU48" s="9" t="n">
        <v>0.8756775936</v>
      </c>
      <c r="AV48" s="9" t="n">
        <v>0.8785339169514899</v>
      </c>
      <c r="AW48" s="9" t="n">
        <v>0.9028727111602888</v>
      </c>
      <c r="AX48" s="9" t="n">
        <v>1.459322567329815</v>
      </c>
      <c r="AY48" s="9" t="n">
        <v>1.3131563256</v>
      </c>
      <c r="AZ48" s="9" t="n">
        <v>1.331944884714523</v>
      </c>
      <c r="BA48" s="9" t="n">
        <v>1.3688449198993</v>
      </c>
      <c r="BB48" s="9" t="n">
        <v>0.8289352743262626</v>
      </c>
      <c r="BC48" s="9" t="n">
        <v>0.8996856157383812</v>
      </c>
      <c r="BD48" s="9" t="n">
        <v>0.7048104133605938</v>
      </c>
      <c r="BE48" s="9" t="n">
        <v>0.7836443419575001</v>
      </c>
      <c r="BF48" s="9" t="n">
        <v>0.3292096756216005</v>
      </c>
      <c r="BG48" s="9" t="n">
        <v>0.3186370469055167</v>
      </c>
      <c r="BH48" s="9" t="n">
        <v>0.3270012693867866</v>
      </c>
      <c r="BI48" s="9" t="n">
        <v>0.3176583759757356</v>
      </c>
      <c r="BJ48" s="9" t="n">
        <v>0.4210496369518054</v>
      </c>
      <c r="BK48" s="9" t="n">
        <v>0.3839296999999992</v>
      </c>
      <c r="BL48" s="9" t="n">
        <v>0.3940078546249992</v>
      </c>
      <c r="BM48" s="9" t="n">
        <v>0.3827504873499991</v>
      </c>
      <c r="BN48" s="9" t="n">
        <v>0</v>
      </c>
      <c r="BO48" s="9" t="n">
        <v>0</v>
      </c>
      <c r="BP48" s="9" t="n">
        <v>0</v>
      </c>
      <c r="BQ48" s="9" t="n">
        <v>0</v>
      </c>
      <c r="BR48" s="9" t="n">
        <v>0</v>
      </c>
      <c r="BS48" s="9" t="n">
        <v>0</v>
      </c>
      <c r="BT48" s="9" t="n">
        <v>0</v>
      </c>
      <c r="BU48" s="9" t="n">
        <v>0</v>
      </c>
      <c r="BV48" s="9" t="n">
        <v>0</v>
      </c>
      <c r="BW48" s="9" t="n">
        <v>2.543056993513157</v>
      </c>
      <c r="BX48" s="9" t="n">
        <v>2.538022225534849</v>
      </c>
      <c r="BY48" s="9" t="n">
        <v>2.538728645224106</v>
      </c>
      <c r="BZ48" s="9" t="n">
        <v>2.466391453651459</v>
      </c>
      <c r="CA48" s="9" t="n">
        <v>1.000000284204812</v>
      </c>
      <c r="CB48" s="9" t="n">
        <v>0.6727425513236875</v>
      </c>
      <c r="CC48" s="9" t="n">
        <v>0</v>
      </c>
      <c r="CD48" s="9" t="n">
        <v>0</v>
      </c>
      <c r="CE48" s="9" t="n">
        <v>6</v>
      </c>
      <c r="CF48" s="9" t="n">
        <v>6</v>
      </c>
      <c r="CG48" s="9" t="n">
        <v>4.152</v>
      </c>
      <c r="CH48" s="9" t="n">
        <v>0</v>
      </c>
      <c r="CI48" s="9" t="n">
        <v>0</v>
      </c>
      <c r="CJ48" s="9" t="n">
        <v>0.13</v>
      </c>
      <c r="CK48" s="9" t="n">
        <v>0</v>
      </c>
      <c r="CL48" s="9" t="n">
        <v>0.13</v>
      </c>
      <c r="CM48" s="9" t="n">
        <v>0</v>
      </c>
      <c r="CN48" s="9" t="n">
        <v>0.2</v>
      </c>
      <c r="CO48" s="9" t="n">
        <v>0.07000000000000001</v>
      </c>
      <c r="CP48" s="9" t="n">
        <v>2.266</v>
      </c>
      <c r="CQ48" s="9" t="n">
        <v>2.266</v>
      </c>
      <c r="CR48" s="9" t="n">
        <v>3</v>
      </c>
      <c r="CS48" s="9" t="n">
        <v>2</v>
      </c>
      <c r="CT48" s="9" t="n">
        <v>0.5</v>
      </c>
      <c r="CU48" s="9" t="n">
        <v>0.3</v>
      </c>
      <c r="CV48" s="9" t="n">
        <v>0.6</v>
      </c>
      <c r="CW48" s="9" t="n">
        <v>0.8</v>
      </c>
      <c r="CX48" s="9" t="n">
        <v>0.8</v>
      </c>
      <c r="CY48" s="9" t="n">
        <v>0.7</v>
      </c>
      <c r="CZ48" s="9" t="n">
        <v>0.5</v>
      </c>
      <c r="DA48" s="9" t="n">
        <v>0.5</v>
      </c>
      <c r="DB48" s="9" t="n">
        <v>1</v>
      </c>
      <c r="DC48" s="9" t="n">
        <v>0.3</v>
      </c>
      <c r="DD48" s="9" t="n">
        <v>0.8</v>
      </c>
      <c r="DE48" s="9" t="n">
        <v>0.4542172628815228</v>
      </c>
      <c r="DF48" s="9" t="n">
        <v>2</v>
      </c>
      <c r="DG48" s="9" t="n">
        <v>7.124</v>
      </c>
      <c r="DH48" s="9" t="n">
        <v>5.575</v>
      </c>
      <c r="DI48" s="9" t="n">
        <v>13.4123</v>
      </c>
      <c r="DJ48" s="9" t="n">
        <v>20.16656839662166</v>
      </c>
      <c r="DK48" s="9" t="n">
        <v>22.64815237402394</v>
      </c>
      <c r="DL48" s="9" t="n">
        <v>18.99926452164773</v>
      </c>
      <c r="DM48" s="9" t="n">
        <v>20.84893302969179</v>
      </c>
      <c r="DN48" s="9" t="n">
        <v>7.059</v>
      </c>
      <c r="DO48" s="9" t="n">
        <v>5.735</v>
      </c>
      <c r="DP48" s="9" t="n">
        <v>16.5</v>
      </c>
      <c r="DQ48" s="9" t="n">
        <v>14.11516997483154</v>
      </c>
      <c r="DR48" s="9" t="n">
        <v>14.11516997483154</v>
      </c>
      <c r="DS48" s="9" t="n">
        <v>0.105</v>
      </c>
    </row>
    <row r="49">
      <c r="A49" s="9" t="inlineStr">
        <is>
          <t>DMA</t>
        </is>
      </c>
      <c r="B49" s="9" t="inlineStr">
        <is>
          <t>Dominica</t>
        </is>
      </c>
      <c r="C49" s="9" t="n">
        <v>0.005</v>
      </c>
      <c r="D49" s="9" t="n">
        <v>0.005</v>
      </c>
      <c r="E49" s="9" t="n">
        <v>0.01</v>
      </c>
      <c r="F49" s="9" t="n">
        <v>0.005</v>
      </c>
      <c r="G49" s="9" t="n">
        <v>0.005</v>
      </c>
      <c r="H49" s="9" t="n">
        <v>0.01</v>
      </c>
      <c r="I49" s="9" t="n">
        <v>0.005</v>
      </c>
      <c r="J49" s="9" t="n">
        <v>0.005</v>
      </c>
      <c r="K49" s="9" t="n">
        <v>0.01</v>
      </c>
      <c r="L49" s="9" t="n">
        <v>0.01</v>
      </c>
      <c r="M49" s="9" t="n">
        <v>0.005</v>
      </c>
      <c r="N49" s="9" t="n">
        <v>0</v>
      </c>
      <c r="O49" s="9" t="n">
        <v>0</v>
      </c>
      <c r="P49" s="9" t="n">
        <v>0</v>
      </c>
      <c r="Q49" s="9" t="n">
        <v>0</v>
      </c>
      <c r="R49" s="9" t="n">
        <v>0</v>
      </c>
      <c r="S49" s="9" t="n">
        <v>0</v>
      </c>
      <c r="T49" s="9" t="n">
        <v>0</v>
      </c>
      <c r="U49" s="9" t="n">
        <v>0</v>
      </c>
      <c r="V49" s="9" t="n">
        <v>0</v>
      </c>
      <c r="W49" s="9" t="n">
        <v>0</v>
      </c>
      <c r="X49" s="9" t="n">
        <v>0</v>
      </c>
      <c r="Y49" s="9" t="n">
        <v>0</v>
      </c>
      <c r="Z49" s="9" t="n">
        <v>0.002631271889881904</v>
      </c>
      <c r="AA49" s="9" t="n">
        <v>0.02</v>
      </c>
      <c r="AB49" s="9" t="n">
        <v>0</v>
      </c>
      <c r="AC49" s="9" t="n">
        <v>0</v>
      </c>
      <c r="AD49" s="9" t="n">
        <v>0</v>
      </c>
      <c r="AE49" s="9" t="n">
        <v>0</v>
      </c>
      <c r="AF49" s="9" t="n">
        <v>0.07000000000000001</v>
      </c>
      <c r="AG49" s="9" t="n">
        <v>0</v>
      </c>
      <c r="AH49" s="9" t="n">
        <v>0</v>
      </c>
      <c r="AI49" s="9" t="n">
        <v>0</v>
      </c>
      <c r="AJ49" s="9" t="n">
        <v>0</v>
      </c>
      <c r="AK49" s="9" t="n">
        <v>0</v>
      </c>
      <c r="AL49" s="9" t="n">
        <v>0</v>
      </c>
      <c r="AM49" s="9" t="n">
        <v>0</v>
      </c>
      <c r="AN49" s="9" t="n">
        <v>0</v>
      </c>
      <c r="AO49" s="9" t="n">
        <v>0</v>
      </c>
      <c r="AP49" s="9" t="n">
        <v>0.2455646838288191</v>
      </c>
      <c r="AQ49" s="9" t="n">
        <v>0.220275842</v>
      </c>
      <c r="AR49" s="9" t="n">
        <v>0.2396277351211605</v>
      </c>
      <c r="AS49" s="9" t="n">
        <v>0.235793691359222</v>
      </c>
      <c r="AT49" s="9" t="n">
        <v>0.3707955642451082</v>
      </c>
      <c r="AU49" s="9" t="n">
        <v>0.3168570242994633</v>
      </c>
      <c r="AV49" s="9" t="n">
        <v>0.3590755311024276</v>
      </c>
      <c r="AW49" s="9" t="n">
        <v>0.3625976793944441</v>
      </c>
      <c r="AX49" s="9" t="n">
        <v>0.1920870258814858</v>
      </c>
      <c r="AY49" s="9" t="n">
        <v>0.165629808</v>
      </c>
      <c r="AZ49" s="9" t="n">
        <v>0.1860155770112889</v>
      </c>
      <c r="BA49" s="9" t="n">
        <v>0.1878401915842932</v>
      </c>
      <c r="BB49" s="9" t="n">
        <v>0.4503500694002691</v>
      </c>
      <c r="BC49" s="9" t="n">
        <v>0.3919555120133637</v>
      </c>
      <c r="BD49" s="9" t="n">
        <v>0.4359653100000001</v>
      </c>
      <c r="BE49" s="9" t="n">
        <v>0.4242526462032651</v>
      </c>
      <c r="BF49" s="9" t="n">
        <v>0.0070245476122</v>
      </c>
      <c r="BG49" s="9" t="n">
        <v>0.0064546949999999</v>
      </c>
      <c r="BH49" s="9" t="n">
        <v>0.00702175930735</v>
      </c>
      <c r="BI49" s="9" t="n">
        <v>0.0069094111584324</v>
      </c>
      <c r="BJ49" s="9" t="n">
        <v>0.117713648571519</v>
      </c>
      <c r="BK49" s="9" t="n">
        <v>0.1064678999999996</v>
      </c>
      <c r="BL49" s="9" t="n">
        <v>0.1158214242127655</v>
      </c>
      <c r="BM49" s="9" t="n">
        <v>0.1139682814253612</v>
      </c>
      <c r="BN49" s="9" t="n">
        <v>0</v>
      </c>
      <c r="BO49" s="9" t="n">
        <v>0</v>
      </c>
      <c r="BP49" s="9" t="n">
        <v>0</v>
      </c>
      <c r="BQ49" s="9" t="n">
        <v>0</v>
      </c>
      <c r="BR49" s="9" t="n">
        <v>0</v>
      </c>
      <c r="BS49" s="9" t="n">
        <v>0</v>
      </c>
      <c r="BT49" s="9" t="n">
        <v>0</v>
      </c>
      <c r="BU49" s="9" t="n">
        <v>0</v>
      </c>
      <c r="BV49" s="9" t="n">
        <v>0</v>
      </c>
      <c r="BW49" s="9" t="n">
        <v>1.419721325532549</v>
      </c>
      <c r="BX49" s="9" t="n">
        <v>1.415247002272816</v>
      </c>
      <c r="BY49" s="9" t="n">
        <v>1.476287905780397</v>
      </c>
      <c r="BZ49" s="9" t="n">
        <v>1.438498318906956</v>
      </c>
      <c r="CA49" s="9" t="n">
        <v>1.038708949226419</v>
      </c>
      <c r="CB49" s="9" t="n">
        <v>0.156356275035165</v>
      </c>
      <c r="CC49" s="9" t="n">
        <v>0.225</v>
      </c>
      <c r="CD49" s="9" t="n">
        <v>-0.3174603174603237</v>
      </c>
      <c r="CE49" s="9" t="n">
        <v>4.542</v>
      </c>
      <c r="CF49" s="9" t="n">
        <v>3.137</v>
      </c>
      <c r="CG49" s="9" t="n">
        <v>0.6889999999999999</v>
      </c>
      <c r="CH49" s="9" t="n">
        <v>0.02</v>
      </c>
      <c r="CI49" s="9" t="n">
        <v>0</v>
      </c>
      <c r="CJ49" s="9" t="n">
        <v>0.13</v>
      </c>
      <c r="CK49" s="9" t="n">
        <v>0</v>
      </c>
      <c r="CL49" s="9" t="n">
        <v>0.13</v>
      </c>
      <c r="CM49" s="9" t="n">
        <v>0</v>
      </c>
      <c r="CN49" s="9" t="n">
        <v>0.15</v>
      </c>
      <c r="CO49" s="9" t="n">
        <v>0</v>
      </c>
      <c r="CP49" s="9" t="n">
        <v>0.147</v>
      </c>
      <c r="CQ49" s="9" t="n">
        <v>0.133</v>
      </c>
      <c r="CR49" s="9" t="n">
        <v>3</v>
      </c>
      <c r="CS49" s="9" t="n">
        <v>3</v>
      </c>
      <c r="CT49" s="9" t="n">
        <v>0.5</v>
      </c>
      <c r="CU49" s="9" t="n">
        <v>0.3</v>
      </c>
      <c r="CV49" s="9" t="n">
        <v>0.6</v>
      </c>
      <c r="CW49" s="9" t="n">
        <v>0.8</v>
      </c>
      <c r="CX49" s="9" t="n">
        <v>0.8</v>
      </c>
      <c r="CY49" s="9" t="n">
        <v>0.7</v>
      </c>
      <c r="CZ49" s="9" t="n">
        <v>0.5</v>
      </c>
      <c r="DA49" s="9" t="n">
        <v>0.5</v>
      </c>
      <c r="DB49" s="9" t="n">
        <v>1</v>
      </c>
      <c r="DC49" s="9" t="n">
        <v>0.3</v>
      </c>
      <c r="DD49" s="9" t="n">
        <v>0.8</v>
      </c>
      <c r="DE49" s="9" t="n">
        <v>0.5043923865300146</v>
      </c>
      <c r="DF49" s="9" t="n">
        <v>1</v>
      </c>
      <c r="DG49" s="9" t="n">
        <v>7.124</v>
      </c>
      <c r="DH49" s="9" t="n">
        <v>5.575</v>
      </c>
      <c r="DI49" s="9" t="n">
        <v>14.02195</v>
      </c>
      <c r="DJ49" s="9" t="n">
        <v>17.71067529083509</v>
      </c>
      <c r="DK49" s="9" t="n">
        <v>24.86149453784901</v>
      </c>
      <c r="DL49" s="9" t="n">
        <v>17.30384772105451</v>
      </c>
      <c r="DM49" s="9" t="n">
        <v>23.57351986391697</v>
      </c>
      <c r="DN49" s="9" t="n">
        <v>8.176</v>
      </c>
      <c r="DO49" s="9" t="n">
        <v>6.853</v>
      </c>
      <c r="DP49" s="9" t="n">
        <v>18.5357</v>
      </c>
      <c r="DQ49" s="9" t="n">
        <v>13.50354651021614</v>
      </c>
      <c r="DR49" s="9" t="n">
        <v>13.50354651021614</v>
      </c>
      <c r="DS49" s="9" t="n">
        <v>0.105</v>
      </c>
    </row>
    <row r="50">
      <c r="A50" s="9" t="inlineStr">
        <is>
          <t>DNK</t>
        </is>
      </c>
      <c r="B50" s="9" t="inlineStr">
        <is>
          <t>Denmark</t>
        </is>
      </c>
      <c r="C50" s="9" t="n">
        <v>0.005</v>
      </c>
      <c r="D50" s="9" t="n">
        <v>0.005</v>
      </c>
      <c r="E50" s="9" t="n">
        <v>0.01</v>
      </c>
      <c r="F50" s="9" t="n">
        <v>0.005</v>
      </c>
      <c r="G50" s="9" t="n">
        <v>0.005</v>
      </c>
      <c r="H50" s="9" t="n">
        <v>0.01</v>
      </c>
      <c r="I50" s="9" t="n">
        <v>0.005</v>
      </c>
      <c r="J50" s="9" t="n">
        <v>0.005</v>
      </c>
      <c r="K50" s="9" t="n">
        <v>0.01</v>
      </c>
      <c r="L50" s="9" t="n">
        <v>0.01</v>
      </c>
      <c r="M50" s="9" t="n">
        <v>0.005</v>
      </c>
      <c r="N50" s="9" t="n">
        <v>4.174218</v>
      </c>
      <c r="O50" s="9" t="n">
        <v>1.222986</v>
      </c>
      <c r="P50" s="9" t="n">
        <v>62.278962</v>
      </c>
      <c r="Q50" s="9" t="n">
        <v>3.730454248925934</v>
      </c>
      <c r="R50" s="9" t="n">
        <v>0.7676922962538468</v>
      </c>
      <c r="S50" s="9" t="n">
        <v>5.17896850806209</v>
      </c>
      <c r="T50" s="9" t="n">
        <v>3.797718495678798</v>
      </c>
      <c r="U50" s="9" t="n">
        <v>0.776794</v>
      </c>
      <c r="V50" s="9" t="n">
        <v>0.058575</v>
      </c>
      <c r="W50" s="9" t="n">
        <v>0.216825</v>
      </c>
      <c r="X50" s="9" t="n">
        <v>0.3289606833942878</v>
      </c>
      <c r="Y50" s="9" t="n">
        <v>0.3289606833942878</v>
      </c>
      <c r="Z50" s="9" t="n">
        <v>3.570221583474013</v>
      </c>
      <c r="AA50" s="9" t="n">
        <v>2.14</v>
      </c>
      <c r="AB50" s="9" t="n">
        <v>5.05</v>
      </c>
      <c r="AC50" s="9" t="n">
        <v>7.55</v>
      </c>
      <c r="AD50" s="9" t="n">
        <v>0</v>
      </c>
      <c r="AE50" s="9" t="n">
        <v>0</v>
      </c>
      <c r="AF50" s="9" t="n">
        <v>32.152</v>
      </c>
      <c r="AG50" s="9" t="n">
        <v>5.029990802325813</v>
      </c>
      <c r="AH50" s="9" t="n">
        <v>4.385170584000001</v>
      </c>
      <c r="AI50" s="9" t="n">
        <v>4.634131070888634</v>
      </c>
      <c r="AJ50" s="9" t="n">
        <v>4.674293540169668</v>
      </c>
      <c r="AK50" s="9" t="n">
        <v>18.99289866594881</v>
      </c>
      <c r="AL50" s="9" t="n">
        <v>1.702315090720489</v>
      </c>
      <c r="AM50" s="9" t="n">
        <v>1.4840866224</v>
      </c>
      <c r="AN50" s="9" t="n">
        <v>1.568343077427249</v>
      </c>
      <c r="AO50" s="9" t="n">
        <v>1.581935384098285</v>
      </c>
      <c r="AP50" s="9" t="n">
        <v>114.6603990359085</v>
      </c>
      <c r="AQ50" s="9" t="n">
        <v>105.346740644786</v>
      </c>
      <c r="AR50" s="9" t="n">
        <v>111.3276199151959</v>
      </c>
      <c r="AS50" s="9" t="n">
        <v>112.2924592877942</v>
      </c>
      <c r="AT50" s="9" t="n">
        <v>81.06944203280052</v>
      </c>
      <c r="AU50" s="9" t="n">
        <v>76.5674489628</v>
      </c>
      <c r="AV50" s="9" t="n">
        <v>77.87058204159685</v>
      </c>
      <c r="AW50" s="9" t="n">
        <v>70.7857809650083</v>
      </c>
      <c r="AX50" s="9" t="n">
        <v>41.73643163410502</v>
      </c>
      <c r="AY50" s="9" t="n">
        <v>39.017563758</v>
      </c>
      <c r="AZ50" s="9" t="n">
        <v>40.08550501324587</v>
      </c>
      <c r="BA50" s="9" t="n">
        <v>36.408654700267</v>
      </c>
      <c r="BB50" s="9" t="n">
        <v>54.74259293235019</v>
      </c>
      <c r="BC50" s="9" t="n">
        <v>50.76953871034216</v>
      </c>
      <c r="BD50" s="9" t="n">
        <v>50.34513377298818</v>
      </c>
      <c r="BE50" s="9" t="n">
        <v>54.1168790560279</v>
      </c>
      <c r="BF50" s="9" t="n">
        <v>0.3611274938331658</v>
      </c>
      <c r="BG50" s="9" t="n">
        <v>0.3221595909872237</v>
      </c>
      <c r="BH50" s="9" t="n">
        <v>0.3404496454085188</v>
      </c>
      <c r="BI50" s="9" t="n">
        <v>0.3434002090020591</v>
      </c>
      <c r="BJ50" s="9" t="n">
        <v>0.952994306184397</v>
      </c>
      <c r="BK50" s="9" t="n">
        <v>0.8656917099999991</v>
      </c>
      <c r="BL50" s="9" t="n">
        <v>0.9148398618195478</v>
      </c>
      <c r="BM50" s="9" t="n">
        <v>0.9227684739553172</v>
      </c>
      <c r="BN50" s="9" t="n">
        <v>49.65308214729561</v>
      </c>
      <c r="BO50" s="9" t="n">
        <v>40.875602796</v>
      </c>
      <c r="BP50" s="9" t="n">
        <v>43.19624455417671</v>
      </c>
      <c r="BQ50" s="9" t="n">
        <v>43.57061200697957</v>
      </c>
      <c r="BR50" s="9" t="n">
        <v>15.27004303392974</v>
      </c>
      <c r="BS50" s="9" t="n">
        <v>61.85872437096623</v>
      </c>
      <c r="BT50" s="9" t="n">
        <v>51.0141525228</v>
      </c>
      <c r="BU50" s="9" t="n">
        <v>53.91039293283722</v>
      </c>
      <c r="BV50" s="9" t="n">
        <v>54.37761633825512</v>
      </c>
      <c r="BW50" s="9" t="n">
        <v>72.09464213136401</v>
      </c>
      <c r="BX50" s="9" t="n">
        <v>65.90269439357796</v>
      </c>
      <c r="BY50" s="9" t="n">
        <v>68.2878214882786</v>
      </c>
      <c r="BZ50" s="9" t="n">
        <v>67.90801127851559</v>
      </c>
      <c r="CA50" s="9" t="n">
        <v>1.382668149324239</v>
      </c>
      <c r="CB50" s="9" t="n">
        <v>34.11274268525154</v>
      </c>
      <c r="CC50" s="9" t="n">
        <v>0.102</v>
      </c>
      <c r="CD50" s="9" t="n">
        <v>4.459321616757056</v>
      </c>
      <c r="CE50" s="9" t="n">
        <v>2.879</v>
      </c>
      <c r="CF50" s="9" t="n">
        <v>2</v>
      </c>
      <c r="CG50" s="9" t="n">
        <v>424.525</v>
      </c>
      <c r="CH50" s="9" t="n">
        <v>7.649999999999999</v>
      </c>
      <c r="CI50" s="9" t="n">
        <v>0.15</v>
      </c>
      <c r="CJ50" s="9" t="n">
        <v>1.99</v>
      </c>
      <c r="CK50" s="9" t="n">
        <v>0.13</v>
      </c>
      <c r="CL50" s="9" t="n">
        <v>1.71</v>
      </c>
      <c r="CM50" s="9" t="n">
        <v>4.61</v>
      </c>
      <c r="CN50" s="9" t="n">
        <v>34.53</v>
      </c>
      <c r="CO50" s="9" t="n">
        <v>20.28</v>
      </c>
      <c r="CP50" s="9" t="n">
        <v>46.771</v>
      </c>
      <c r="CQ50" s="9" t="n">
        <v>49.102</v>
      </c>
      <c r="CR50" s="9" t="n">
        <v>1</v>
      </c>
      <c r="CS50" s="9" t="n">
        <v>4</v>
      </c>
      <c r="CT50" s="9" t="n">
        <v>0.5</v>
      </c>
      <c r="CU50" s="9" t="n">
        <v>0.3</v>
      </c>
      <c r="CV50" s="9" t="n">
        <v>0.6</v>
      </c>
      <c r="CW50" s="9" t="n">
        <v>0.8</v>
      </c>
      <c r="CX50" s="9" t="n">
        <v>0.8</v>
      </c>
      <c r="CY50" s="9" t="n">
        <v>0.7</v>
      </c>
      <c r="CZ50" s="9" t="n">
        <v>0.5</v>
      </c>
      <c r="DA50" s="9" t="n">
        <v>0.5</v>
      </c>
      <c r="DB50" s="9" t="n">
        <v>1</v>
      </c>
      <c r="DC50" s="9" t="n">
        <v>0.3</v>
      </c>
      <c r="DD50" s="9" t="n">
        <v>0.8</v>
      </c>
      <c r="DE50" s="9" t="n">
        <v>0.8705223031289794</v>
      </c>
      <c r="DF50" s="9" t="n">
        <v>3</v>
      </c>
      <c r="DG50" s="9" t="n">
        <v>7.124</v>
      </c>
      <c r="DH50" s="9" t="n">
        <v>5.717</v>
      </c>
      <c r="DI50" s="9" t="n">
        <v>15.41875</v>
      </c>
      <c r="DJ50" s="9" t="n">
        <v>22.8223532310735</v>
      </c>
      <c r="DK50" s="9" t="n">
        <v>25.80496738036943</v>
      </c>
      <c r="DL50" s="9" t="n">
        <v>17.27446932680673</v>
      </c>
      <c r="DM50" s="9" t="n">
        <v>21.39001792199673</v>
      </c>
      <c r="DN50" s="9" t="n">
        <v>14.533</v>
      </c>
      <c r="DO50" s="9" t="n">
        <v>14.533</v>
      </c>
      <c r="DP50" s="9" t="n">
        <v>24.9625</v>
      </c>
      <c r="DQ50" s="9" t="n">
        <v>13.49756758790707</v>
      </c>
      <c r="DR50" s="9" t="n">
        <v>13.49756758790707</v>
      </c>
      <c r="DS50" s="9" t="n">
        <v>0.0375</v>
      </c>
    </row>
    <row r="51">
      <c r="A51" s="9" t="inlineStr">
        <is>
          <t>DOM</t>
        </is>
      </c>
      <c r="B51" s="9" t="inlineStr">
        <is>
          <t>Dominican Republic</t>
        </is>
      </c>
      <c r="C51" s="9" t="n">
        <v>0.005</v>
      </c>
      <c r="D51" s="9" t="n">
        <v>0.005</v>
      </c>
      <c r="E51" s="9" t="n">
        <v>0.01</v>
      </c>
      <c r="F51" s="9" t="n">
        <v>0.005</v>
      </c>
      <c r="G51" s="9" t="n">
        <v>0.005</v>
      </c>
      <c r="H51" s="9" t="n">
        <v>0.01</v>
      </c>
      <c r="I51" s="9" t="n">
        <v>0.005</v>
      </c>
      <c r="J51" s="9" t="n">
        <v>0.005</v>
      </c>
      <c r="K51" s="9" t="n">
        <v>0.01</v>
      </c>
      <c r="L51" s="9" t="n">
        <v>0.01</v>
      </c>
      <c r="M51" s="9" t="n">
        <v>0.005</v>
      </c>
      <c r="N51" s="9" t="n">
        <v>7.104669</v>
      </c>
      <c r="O51" s="9" t="n">
        <v>1.820806</v>
      </c>
      <c r="P51" s="9" t="n">
        <v>43.926925</v>
      </c>
      <c r="Q51" s="9" t="n">
        <v>19.99174692500561</v>
      </c>
      <c r="R51" s="9" t="n">
        <v>2.979661844783518</v>
      </c>
      <c r="S51" s="9" t="n">
        <v>2.595736103483233</v>
      </c>
      <c r="T51" s="9" t="n">
        <v>1.894282000919048</v>
      </c>
      <c r="U51" s="9" t="n">
        <v>0.432417</v>
      </c>
      <c r="V51" s="9" t="n">
        <v>0.065293</v>
      </c>
      <c r="W51" s="9" t="n">
        <v>0.126562</v>
      </c>
      <c r="X51" s="9" t="n">
        <v>11.50170688774398</v>
      </c>
      <c r="Y51" s="9" t="n">
        <v>11.50170688774398</v>
      </c>
      <c r="Z51" s="9" t="n">
        <v>0.4758935907312827</v>
      </c>
      <c r="AA51" s="9" t="n">
        <v>5.75</v>
      </c>
      <c r="AB51" s="9" t="n">
        <v>2.08</v>
      </c>
      <c r="AC51" s="9" t="n">
        <v>0.48</v>
      </c>
      <c r="AD51" s="9" t="n">
        <v>0</v>
      </c>
      <c r="AE51" s="9" t="n">
        <v>0</v>
      </c>
      <c r="AF51" s="9" t="n">
        <v>27.041</v>
      </c>
      <c r="AG51" s="9" t="n">
        <v>3.13981633100245</v>
      </c>
      <c r="AH51" s="9" t="n">
        <v>2.6711532792</v>
      </c>
      <c r="AI51" s="9" t="n">
        <v>2.818608411969264</v>
      </c>
      <c r="AJ51" s="9" t="n">
        <v>2.860887538148804</v>
      </c>
      <c r="AK51" s="9" t="n">
        <v>92.5595890792751</v>
      </c>
      <c r="AL51" s="9" t="n">
        <v>0.680682164028627</v>
      </c>
      <c r="AM51" s="9" t="n">
        <v>0.5790804947999999</v>
      </c>
      <c r="AN51" s="9" t="n">
        <v>0.6110473579185399</v>
      </c>
      <c r="AO51" s="9" t="n">
        <v>0.6202130682873178</v>
      </c>
      <c r="AP51" s="9" t="n">
        <v>46.16894037583538</v>
      </c>
      <c r="AQ51" s="9" t="n">
        <v>40.47237482000001</v>
      </c>
      <c r="AR51" s="9" t="n">
        <v>42.70656311950405</v>
      </c>
      <c r="AS51" s="9" t="n">
        <v>43.34716156629664</v>
      </c>
      <c r="AT51" s="9" t="n">
        <v>57.16821960230209</v>
      </c>
      <c r="AU51" s="9" t="n">
        <v>46.268787348</v>
      </c>
      <c r="AV51" s="9" t="n">
        <v>51.68156411891353</v>
      </c>
      <c r="AW51" s="9" t="n">
        <v>53.9674421742797</v>
      </c>
      <c r="AX51" s="9" t="n">
        <v>26.04404395900158</v>
      </c>
      <c r="AY51" s="9" t="n">
        <v>21.281148522</v>
      </c>
      <c r="AZ51" s="9" t="n">
        <v>23.54535266693026</v>
      </c>
      <c r="BA51" s="9" t="n">
        <v>24.58670931920039</v>
      </c>
      <c r="BB51" s="9" t="n">
        <v>60.05619623837039</v>
      </c>
      <c r="BC51" s="9" t="n">
        <v>43.87573291548117</v>
      </c>
      <c r="BD51" s="9" t="n">
        <v>63.54868969745918</v>
      </c>
      <c r="BE51" s="9" t="n">
        <v>55.0553466382019</v>
      </c>
      <c r="BF51" s="9" t="n">
        <v>1.669461535499249</v>
      </c>
      <c r="BG51" s="9" t="n">
        <v>1.247656299999995</v>
      </c>
      <c r="BH51" s="9" t="n">
        <v>1.316530417707687</v>
      </c>
      <c r="BI51" s="9" t="n">
        <v>1.336278373973302</v>
      </c>
      <c r="BJ51" s="9" t="n">
        <v>24.63261555506996</v>
      </c>
      <c r="BK51" s="9" t="n">
        <v>20.95755875999993</v>
      </c>
      <c r="BL51" s="9" t="n">
        <v>22.11447462609391</v>
      </c>
      <c r="BM51" s="9" t="n">
        <v>22.44619174548532</v>
      </c>
      <c r="BN51" s="9" t="n">
        <v>3.054984124182515</v>
      </c>
      <c r="BO51" s="9" t="n">
        <v>2.6479290996</v>
      </c>
      <c r="BP51" s="9" t="n">
        <v>2.794102192692605</v>
      </c>
      <c r="BQ51" s="9" t="n">
        <v>2.836013725582994</v>
      </c>
      <c r="BR51" s="9" t="n">
        <v>10.44794028871326</v>
      </c>
      <c r="BS51" s="9" t="n">
        <v>1.291876253500323</v>
      </c>
      <c r="BT51" s="9" t="n">
        <v>1.11389814</v>
      </c>
      <c r="BU51" s="9" t="n">
        <v>1.175388433126993</v>
      </c>
      <c r="BV51" s="9" t="n">
        <v>1.193019259623898</v>
      </c>
      <c r="BW51" s="9" t="n">
        <v>152.7317189092</v>
      </c>
      <c r="BX51" s="9" t="n">
        <v>111.6838186170441</v>
      </c>
      <c r="BY51" s="9" t="n">
        <v>147.8069701334163</v>
      </c>
      <c r="BZ51" s="9" t="n">
        <v>144.4895340623546</v>
      </c>
      <c r="CA51" s="9" t="n">
        <v>0.593366426911948</v>
      </c>
      <c r="CB51" s="9" t="n">
        <v>23.11451765591769</v>
      </c>
      <c r="CC51" s="9" t="n">
        <v>1.089</v>
      </c>
      <c r="CD51" s="9" t="n">
        <v>1.798249685792023</v>
      </c>
      <c r="CE51" s="9" t="n">
        <v>2.117</v>
      </c>
      <c r="CF51" s="9" t="n">
        <v>3.72</v>
      </c>
      <c r="CG51" s="9" t="n">
        <v>124.613</v>
      </c>
      <c r="CH51" s="9" t="n">
        <v>1.74</v>
      </c>
      <c r="CI51" s="9" t="n">
        <v>6.59</v>
      </c>
      <c r="CJ51" s="9" t="n">
        <v>17.28</v>
      </c>
      <c r="CK51" s="9" t="n">
        <v>6.07</v>
      </c>
      <c r="CL51" s="9" t="n">
        <v>4.62</v>
      </c>
      <c r="CM51" s="9" t="n">
        <v>2.25</v>
      </c>
      <c r="CN51" s="9" t="n">
        <v>22.69</v>
      </c>
      <c r="CO51" s="9" t="n">
        <v>1.42</v>
      </c>
      <c r="CP51" s="9" t="n">
        <v>45.849</v>
      </c>
      <c r="CQ51" s="9" t="n">
        <v>44.292</v>
      </c>
      <c r="CR51" s="9" t="n">
        <v>3</v>
      </c>
      <c r="CS51" s="9" t="n">
        <v>3</v>
      </c>
      <c r="CT51" s="9" t="n">
        <v>0.5</v>
      </c>
      <c r="CU51" s="9" t="n">
        <v>0.3</v>
      </c>
      <c r="CV51" s="9" t="n">
        <v>0.6</v>
      </c>
      <c r="CW51" s="9" t="n">
        <v>0.8</v>
      </c>
      <c r="CX51" s="9" t="n">
        <v>0.8</v>
      </c>
      <c r="CY51" s="9" t="n">
        <v>0.7</v>
      </c>
      <c r="CZ51" s="9" t="n">
        <v>0.5</v>
      </c>
      <c r="DA51" s="9" t="n">
        <v>0.5</v>
      </c>
      <c r="DB51" s="9" t="n">
        <v>1</v>
      </c>
      <c r="DC51" s="9" t="n">
        <v>0.3</v>
      </c>
      <c r="DD51" s="9" t="n">
        <v>0.8</v>
      </c>
      <c r="DE51" s="9" t="n">
        <v>0.3953571009324505</v>
      </c>
      <c r="DF51" s="9" t="n">
        <v>3</v>
      </c>
      <c r="DG51" s="9" t="n">
        <v>7.124</v>
      </c>
      <c r="DH51" s="9" t="n">
        <v>5.575</v>
      </c>
      <c r="DI51" s="9" t="n">
        <v>14.38774</v>
      </c>
      <c r="DJ51" s="9" t="n">
        <v>18.57636333264424</v>
      </c>
      <c r="DK51" s="9" t="n">
        <v>25.3637001590518</v>
      </c>
      <c r="DL51" s="9" t="n">
        <v>17.75525244421246</v>
      </c>
      <c r="DM51" s="9" t="n">
        <v>22.34096036481383</v>
      </c>
      <c r="DN51" s="9" t="n">
        <v>12.771</v>
      </c>
      <c r="DO51" s="9" t="n">
        <v>11.447</v>
      </c>
      <c r="DP51" s="9" t="n">
        <v>24.44016</v>
      </c>
      <c r="DQ51" s="9" t="n">
        <v>13.49474620847193</v>
      </c>
      <c r="DR51" s="9" t="n">
        <v>13.49474620847193</v>
      </c>
      <c r="DS51" s="9" t="n">
        <v>0.07712000000000011</v>
      </c>
    </row>
    <row r="52">
      <c r="A52" s="9" t="inlineStr">
        <is>
          <t>DZA</t>
        </is>
      </c>
      <c r="B52" s="9" t="inlineStr">
        <is>
          <t>Algeria</t>
        </is>
      </c>
      <c r="C52" s="9" t="n">
        <v>0.005</v>
      </c>
      <c r="D52" s="9" t="n">
        <v>0.005</v>
      </c>
      <c r="E52" s="9" t="n">
        <v>0.01</v>
      </c>
      <c r="F52" s="9" t="n">
        <v>0.005</v>
      </c>
      <c r="G52" s="9" t="n">
        <v>0.005</v>
      </c>
      <c r="H52" s="9" t="n">
        <v>0.01</v>
      </c>
      <c r="I52" s="9" t="n">
        <v>0.005</v>
      </c>
      <c r="J52" s="9" t="n">
        <v>0.005</v>
      </c>
      <c r="K52" s="9" t="n">
        <v>0.01</v>
      </c>
      <c r="L52" s="9" t="n">
        <v>0.01</v>
      </c>
      <c r="M52" s="9" t="n">
        <v>0.005</v>
      </c>
      <c r="N52" s="9" t="n">
        <v>0.510304</v>
      </c>
      <c r="O52" s="9" t="n">
        <v>1.323586</v>
      </c>
      <c r="P52" s="9" t="n">
        <v>72.799407</v>
      </c>
      <c r="Q52" s="9" t="n">
        <v>10.69835010895507</v>
      </c>
      <c r="R52" s="9" t="n">
        <v>2.227783220578706</v>
      </c>
      <c r="S52" s="9" t="n">
        <v>8.150292414651739</v>
      </c>
      <c r="T52" s="9" t="n">
        <v>2.749955643427817</v>
      </c>
      <c r="U52" s="9" t="n">
        <v>0.212522</v>
      </c>
      <c r="V52" s="9" t="n">
        <v>0.07237499999999999</v>
      </c>
      <c r="W52" s="9" t="n">
        <v>0.253686</v>
      </c>
      <c r="X52" s="9" t="n">
        <v>13.6399861041422</v>
      </c>
      <c r="Y52" s="9" t="n">
        <v>13.6399861041422</v>
      </c>
      <c r="Z52" s="9" t="n">
        <v>1.027838195127454</v>
      </c>
      <c r="AA52" s="9" t="n">
        <v>27.39</v>
      </c>
      <c r="AB52" s="9" t="n">
        <v>0.46</v>
      </c>
      <c r="AC52" s="9" t="n">
        <v>0.01</v>
      </c>
      <c r="AD52" s="9" t="n">
        <v>2.9</v>
      </c>
      <c r="AE52" s="9" t="n">
        <v>0.2117605659291283</v>
      </c>
      <c r="AF52" s="9" t="n">
        <v>174.501</v>
      </c>
      <c r="AG52" s="9" t="n">
        <v>4.092208491338029</v>
      </c>
      <c r="AH52" s="9" t="n">
        <v>3.960943074</v>
      </c>
      <c r="AI52" s="9" t="n">
        <v>3.908130499680001</v>
      </c>
      <c r="AJ52" s="9" t="n">
        <v>3.718307018266972</v>
      </c>
      <c r="AK52" s="9" t="n">
        <v>0</v>
      </c>
      <c r="AL52" s="9" t="n">
        <v>0</v>
      </c>
      <c r="AM52" s="9" t="n">
        <v>0</v>
      </c>
      <c r="AN52" s="9" t="n">
        <v>0</v>
      </c>
      <c r="AO52" s="9" t="n">
        <v>0</v>
      </c>
      <c r="AP52" s="9" t="n">
        <v>348.528506725053</v>
      </c>
      <c r="AQ52" s="9" t="n">
        <v>361.7678095400002</v>
      </c>
      <c r="AR52" s="9" t="n">
        <v>356.9442387461332</v>
      </c>
      <c r="AS52" s="9" t="n">
        <v>339.6069471498925</v>
      </c>
      <c r="AT52" s="9" t="n">
        <v>142.0568194469681</v>
      </c>
      <c r="AU52" s="9" t="n">
        <v>139.433356278</v>
      </c>
      <c r="AV52" s="9" t="n">
        <v>132.2178537567203</v>
      </c>
      <c r="AW52" s="9" t="n">
        <v>137.2590468378405</v>
      </c>
      <c r="AX52" s="9" t="n">
        <v>91.61500860327476</v>
      </c>
      <c r="AY52" s="9" t="n">
        <v>89.8354809648</v>
      </c>
      <c r="AZ52" s="9" t="n">
        <v>85.31941009143412</v>
      </c>
      <c r="BA52" s="9" t="n">
        <v>88.56083569589941</v>
      </c>
      <c r="BB52" s="9" t="n">
        <v>147.2252032670418</v>
      </c>
      <c r="BC52" s="9" t="n">
        <v>153.0972505253438</v>
      </c>
      <c r="BD52" s="9" t="n">
        <v>148.2225342157044</v>
      </c>
      <c r="BE52" s="9" t="n">
        <v>142.3646714233028</v>
      </c>
      <c r="BF52" s="9" t="n">
        <v>0</v>
      </c>
      <c r="BG52" s="9" t="n">
        <v>0</v>
      </c>
      <c r="BH52" s="9" t="n">
        <v>0</v>
      </c>
      <c r="BI52" s="9" t="n">
        <v>0</v>
      </c>
      <c r="BJ52" s="9" t="n">
        <v>60.09703369306487</v>
      </c>
      <c r="BK52" s="9" t="n">
        <v>62.32702514999988</v>
      </c>
      <c r="BL52" s="9" t="n">
        <v>61.49599814799986</v>
      </c>
      <c r="BM52" s="9" t="n">
        <v>58.50904966652562</v>
      </c>
      <c r="BN52" s="9" t="n">
        <v>394.0064486962161</v>
      </c>
      <c r="BO52" s="9" t="n">
        <v>401.9180708376</v>
      </c>
      <c r="BP52" s="9" t="n">
        <v>396.559163226432</v>
      </c>
      <c r="BQ52" s="9" t="n">
        <v>377.2977181554338</v>
      </c>
      <c r="BR52" s="9" t="n">
        <v>768.9749778557813</v>
      </c>
      <c r="BS52" s="9" t="n">
        <v>411.3818236657071</v>
      </c>
      <c r="BT52" s="9" t="n">
        <v>429.9414746076</v>
      </c>
      <c r="BU52" s="9" t="n">
        <v>424.208921612832</v>
      </c>
      <c r="BV52" s="9" t="n">
        <v>403.6044882773516</v>
      </c>
      <c r="BW52" s="9" t="n">
        <v>167.9897156810553</v>
      </c>
      <c r="BX52" s="9" t="n">
        <v>182.0333062404485</v>
      </c>
      <c r="BY52" s="9" t="n">
        <v>171.1875394356929</v>
      </c>
      <c r="BZ52" s="9" t="n">
        <v>162.8905005831752</v>
      </c>
      <c r="CA52" s="9" t="n">
        <v>0.2330336983210151</v>
      </c>
      <c r="CB52" s="9" t="n">
        <v>64.90884112506745</v>
      </c>
      <c r="CC52" s="9" t="n">
        <v>9.347</v>
      </c>
      <c r="CD52" s="9" t="n">
        <v>0.0408821928153687</v>
      </c>
      <c r="CE52" s="9" t="n">
        <v>3.822</v>
      </c>
      <c r="CF52" s="9" t="n">
        <v>3.777</v>
      </c>
      <c r="CG52" s="9" t="n">
        <v>269.14</v>
      </c>
      <c r="CH52" s="9" t="n">
        <v>0.02</v>
      </c>
      <c r="CI52" s="9" t="n">
        <v>0</v>
      </c>
      <c r="CJ52" s="9" t="n">
        <v>95.33</v>
      </c>
      <c r="CK52" s="9" t="n">
        <v>95</v>
      </c>
      <c r="CL52" s="9" t="n">
        <v>0.33</v>
      </c>
      <c r="CM52" s="9" t="n">
        <v>0.99</v>
      </c>
      <c r="CN52" s="9" t="n">
        <v>96.36</v>
      </c>
      <c r="CO52" s="9" t="n">
        <v>0.02</v>
      </c>
      <c r="CP52" s="9" t="n">
        <v>286.588</v>
      </c>
      <c r="CQ52" s="9" t="n">
        <v>287.012</v>
      </c>
      <c r="CR52" s="9" t="n">
        <v>3</v>
      </c>
      <c r="CS52" s="9" t="n">
        <v>3</v>
      </c>
      <c r="CT52" s="9" t="n">
        <v>0.5</v>
      </c>
      <c r="CU52" s="9" t="n">
        <v>0.3</v>
      </c>
      <c r="CV52" s="9" t="n">
        <v>0.6</v>
      </c>
      <c r="CW52" s="9" t="n">
        <v>0.8</v>
      </c>
      <c r="CX52" s="9" t="n">
        <v>0.8</v>
      </c>
      <c r="CY52" s="9" t="n">
        <v>0.7</v>
      </c>
      <c r="CZ52" s="9" t="n">
        <v>0.5</v>
      </c>
      <c r="DA52" s="9" t="n">
        <v>0.5</v>
      </c>
      <c r="DB52" s="9" t="n">
        <v>1</v>
      </c>
      <c r="DC52" s="9" t="n">
        <v>0.3</v>
      </c>
      <c r="DD52" s="9" t="n">
        <v>0.8</v>
      </c>
      <c r="DE52" s="9" t="n">
        <v>0.3257959084856555</v>
      </c>
      <c r="DF52" s="9" t="n">
        <v>2</v>
      </c>
      <c r="DG52" s="9" t="n">
        <v>7.124</v>
      </c>
      <c r="DH52" s="9" t="n">
        <v>5.575</v>
      </c>
      <c r="DI52" s="9" t="n">
        <v>14.50967</v>
      </c>
      <c r="DJ52" s="9" t="n">
        <v>21.60530620704708</v>
      </c>
      <c r="DK52" s="9" t="n">
        <v>24.45631566033948</v>
      </c>
      <c r="DL52" s="9" t="n">
        <v>17.27205865604339</v>
      </c>
      <c r="DM52" s="9" t="n">
        <v>21.55076462740297</v>
      </c>
      <c r="DN52" s="9" t="n">
        <v>5.06</v>
      </c>
      <c r="DO52" s="9" t="n">
        <v>4.398</v>
      </c>
      <c r="DP52" s="9" t="n">
        <v>10.74689</v>
      </c>
      <c r="DQ52" s="9" t="n">
        <v>14.11516989415954</v>
      </c>
      <c r="DR52" s="9" t="n">
        <v>14.11516989415954</v>
      </c>
      <c r="DS52" s="9" t="n">
        <v>0.1322</v>
      </c>
    </row>
    <row r="53">
      <c r="A53" s="9" t="inlineStr">
        <is>
          <t>ECU</t>
        </is>
      </c>
      <c r="B53" s="9" t="inlineStr">
        <is>
          <t>Ecuador</t>
        </is>
      </c>
      <c r="C53" s="9" t="n">
        <v>0.005</v>
      </c>
      <c r="D53" s="9" t="n">
        <v>0.005</v>
      </c>
      <c r="E53" s="9" t="n">
        <v>0.01</v>
      </c>
      <c r="F53" s="9" t="n">
        <v>0.005</v>
      </c>
      <c r="G53" s="9" t="n">
        <v>0.005</v>
      </c>
      <c r="H53" s="9" t="n">
        <v>0.01</v>
      </c>
      <c r="I53" s="9" t="n">
        <v>0.005</v>
      </c>
      <c r="J53" s="9" t="n">
        <v>0.005</v>
      </c>
      <c r="K53" s="9" t="n">
        <v>0.01</v>
      </c>
      <c r="L53" s="9" t="n">
        <v>0.01</v>
      </c>
      <c r="M53" s="9" t="n">
        <v>0.005</v>
      </c>
      <c r="N53" s="9" t="n">
        <v>6.074372</v>
      </c>
      <c r="O53" s="9" t="n">
        <v>1.105364</v>
      </c>
      <c r="P53" s="9" t="n">
        <v>20.266712</v>
      </c>
      <c r="Q53" s="9" t="n">
        <v>5.640781022968378</v>
      </c>
      <c r="R53" s="9" t="n">
        <v>2.20779451033951</v>
      </c>
      <c r="S53" s="9" t="n">
        <v>0.7685801193064217</v>
      </c>
      <c r="T53" s="9" t="n">
        <v>0.2533777702011552</v>
      </c>
      <c r="U53" s="9" t="n">
        <v>0.025771</v>
      </c>
      <c r="V53" s="9" t="n">
        <v>0.022272</v>
      </c>
      <c r="W53" s="9" t="n">
        <v>0.027597</v>
      </c>
      <c r="X53" s="9" t="n">
        <v>3.852477152038687</v>
      </c>
      <c r="Y53" s="9" t="n">
        <v>3.852477152038687</v>
      </c>
      <c r="Z53" s="9" t="n">
        <v>0.4727964042251953</v>
      </c>
      <c r="AA53" s="9" t="n">
        <v>4.32</v>
      </c>
      <c r="AB53" s="9" t="n">
        <v>0.13</v>
      </c>
      <c r="AC53" s="9" t="n">
        <v>0.07000000000000001</v>
      </c>
      <c r="AD53" s="9" t="n">
        <v>0</v>
      </c>
      <c r="AE53" s="9" t="n">
        <v>0</v>
      </c>
      <c r="AF53" s="9" t="n">
        <v>45.44</v>
      </c>
      <c r="AG53" s="9" t="n">
        <v>0</v>
      </c>
      <c r="AH53" s="9" t="n">
        <v>0</v>
      </c>
      <c r="AI53" s="9" t="n">
        <v>0</v>
      </c>
      <c r="AJ53" s="9" t="n">
        <v>0</v>
      </c>
      <c r="AK53" s="9" t="n">
        <v>0</v>
      </c>
      <c r="AL53" s="9" t="n">
        <v>0</v>
      </c>
      <c r="AM53" s="9" t="n">
        <v>0</v>
      </c>
      <c r="AN53" s="9" t="n">
        <v>0</v>
      </c>
      <c r="AO53" s="9" t="n">
        <v>0</v>
      </c>
      <c r="AP53" s="9" t="n">
        <v>145.6295422482355</v>
      </c>
      <c r="AQ53" s="9" t="n">
        <v>136.9304989</v>
      </c>
      <c r="AR53" s="9" t="n">
        <v>146.3634888242222</v>
      </c>
      <c r="AS53" s="9" t="n">
        <v>142.7044016036166</v>
      </c>
      <c r="AT53" s="9" t="n">
        <v>80.22811493035928</v>
      </c>
      <c r="AU53" s="9" t="n">
        <v>68.4622647108</v>
      </c>
      <c r="AV53" s="9" t="n">
        <v>77.79827846130198</v>
      </c>
      <c r="AW53" s="9" t="n">
        <v>79.0830902294871</v>
      </c>
      <c r="AX53" s="9" t="n">
        <v>33.27324574888499</v>
      </c>
      <c r="AY53" s="9" t="n">
        <v>28.6528179744</v>
      </c>
      <c r="AZ53" s="9" t="n">
        <v>32.26535916347495</v>
      </c>
      <c r="BA53" s="9" t="n">
        <v>32.79823505482059</v>
      </c>
      <c r="BB53" s="9" t="n">
        <v>132.6737536400282</v>
      </c>
      <c r="BC53" s="9" t="n">
        <v>130.2724844390685</v>
      </c>
      <c r="BD53" s="9" t="n">
        <v>131.5595318197525</v>
      </c>
      <c r="BE53" s="9" t="n">
        <v>132.2703896598933</v>
      </c>
      <c r="BF53" s="9" t="n">
        <v>0</v>
      </c>
      <c r="BG53" s="9" t="n">
        <v>0</v>
      </c>
      <c r="BH53" s="9" t="n">
        <v>0</v>
      </c>
      <c r="BI53" s="9" t="n">
        <v>0</v>
      </c>
      <c r="BJ53" s="9" t="n">
        <v>44.66818872981059</v>
      </c>
      <c r="BK53" s="9" t="n">
        <v>41.44851882533749</v>
      </c>
      <c r="BL53" s="9" t="n">
        <v>44.30386123330518</v>
      </c>
      <c r="BM53" s="9" t="n">
        <v>43.19626470247254</v>
      </c>
      <c r="BN53" s="9" t="n">
        <v>1.644795885420127</v>
      </c>
      <c r="BO53" s="9" t="n">
        <v>1.5777076572</v>
      </c>
      <c r="BP53" s="9" t="n">
        <v>1.686394184696</v>
      </c>
      <c r="BQ53" s="9" t="n">
        <v>1.6442343300786</v>
      </c>
      <c r="BR53" s="9" t="n">
        <v>19.28583465048116</v>
      </c>
      <c r="BS53" s="9" t="n">
        <v>0.0219960130064319</v>
      </c>
      <c r="BT53" s="9" t="n">
        <v>0.0211559004</v>
      </c>
      <c r="BU53" s="9" t="n">
        <v>0.022613306872</v>
      </c>
      <c r="BV53" s="9" t="n">
        <v>0.0220479742002</v>
      </c>
      <c r="BW53" s="9" t="n">
        <v>178.9456927064391</v>
      </c>
      <c r="BX53" s="9" t="n">
        <v>171.602211659152</v>
      </c>
      <c r="BY53" s="9" t="n">
        <v>181.7459909337794</v>
      </c>
      <c r="BZ53" s="9" t="n">
        <v>179.3436609276235</v>
      </c>
      <c r="CA53" s="9" t="n">
        <v>0.9228699519442009</v>
      </c>
      <c r="CB53" s="9" t="n">
        <v>31.52815574423452</v>
      </c>
      <c r="CC53" s="9" t="n">
        <v>4.171</v>
      </c>
      <c r="CD53" s="9" t="n">
        <v>1.128532656306302</v>
      </c>
      <c r="CE53" s="9" t="n">
        <v>3.726</v>
      </c>
      <c r="CF53" s="9" t="n">
        <v>2.51</v>
      </c>
      <c r="CG53" s="9" t="n">
        <v>123.802</v>
      </c>
      <c r="CH53" s="9" t="n">
        <v>28.83</v>
      </c>
      <c r="CI53" s="9" t="n">
        <v>0</v>
      </c>
      <c r="CJ53" s="9" t="n">
        <v>7.539999999999999</v>
      </c>
      <c r="CK53" s="9" t="n">
        <v>0.98</v>
      </c>
      <c r="CL53" s="9" t="n">
        <v>6.56</v>
      </c>
      <c r="CM53" s="9" t="n">
        <v>0.04</v>
      </c>
      <c r="CN53" s="9" t="n">
        <v>36.6</v>
      </c>
      <c r="CO53" s="9" t="n">
        <v>0.19</v>
      </c>
      <c r="CP53" s="9" t="n">
        <v>76.876</v>
      </c>
      <c r="CQ53" s="9" t="n">
        <v>101.698</v>
      </c>
      <c r="CR53" s="9" t="n">
        <v>3</v>
      </c>
      <c r="CS53" s="9" t="n">
        <v>3</v>
      </c>
      <c r="CT53" s="9" t="n">
        <v>0.5</v>
      </c>
      <c r="CU53" s="9" t="n">
        <v>0.3</v>
      </c>
      <c r="CV53" s="9" t="n">
        <v>0.6</v>
      </c>
      <c r="CW53" s="9" t="n">
        <v>0.8</v>
      </c>
      <c r="CX53" s="9" t="n">
        <v>0.8</v>
      </c>
      <c r="CY53" s="9" t="n">
        <v>0.7</v>
      </c>
      <c r="CZ53" s="9" t="n">
        <v>0.5</v>
      </c>
      <c r="DA53" s="9" t="n">
        <v>0.5</v>
      </c>
      <c r="DB53" s="9" t="n">
        <v>1</v>
      </c>
      <c r="DC53" s="9" t="n">
        <v>0.3</v>
      </c>
      <c r="DD53" s="9" t="n">
        <v>0.8</v>
      </c>
      <c r="DE53" s="9" t="n">
        <v>0.4307400049405568</v>
      </c>
      <c r="DF53" s="9" t="n">
        <v>3</v>
      </c>
      <c r="DG53" s="9" t="n">
        <v>7.124</v>
      </c>
      <c r="DH53" s="9" t="n">
        <v>5.575</v>
      </c>
      <c r="DI53" s="9" t="n">
        <v>13.65616</v>
      </c>
      <c r="DJ53" s="9" t="n">
        <v>23.79073548090249</v>
      </c>
      <c r="DK53" s="9" t="n">
        <v>20.03698054375011</v>
      </c>
      <c r="DL53" s="9" t="n">
        <v>15.04682410526479</v>
      </c>
      <c r="DM53" s="9" t="n">
        <v>29.73558034509804</v>
      </c>
      <c r="DN53" s="9" t="n">
        <v>11.447</v>
      </c>
      <c r="DO53" s="9" t="n">
        <v>10.785</v>
      </c>
      <c r="DP53" s="9" t="n">
        <v>17.26816</v>
      </c>
      <c r="DQ53" s="9" t="n">
        <v>17.91222167398797</v>
      </c>
      <c r="DR53" s="9" t="n">
        <v>17.91222167398797</v>
      </c>
      <c r="DS53" s="9" t="n">
        <v>0.14444</v>
      </c>
    </row>
    <row r="54">
      <c r="A54" s="9" t="inlineStr">
        <is>
          <t>EGY</t>
        </is>
      </c>
      <c r="B54" s="9" t="inlineStr">
        <is>
          <t>Egypt, Arab Rep.</t>
        </is>
      </c>
      <c r="C54" s="9" t="n">
        <v>0.005</v>
      </c>
      <c r="D54" s="9" t="n">
        <v>0.005</v>
      </c>
      <c r="E54" s="9" t="n">
        <v>0.01</v>
      </c>
      <c r="F54" s="9" t="n">
        <v>0.005</v>
      </c>
      <c r="G54" s="9" t="n">
        <v>0.005</v>
      </c>
      <c r="H54" s="9" t="n">
        <v>0.01</v>
      </c>
      <c r="I54" s="9" t="n">
        <v>0.005</v>
      </c>
      <c r="J54" s="9" t="n">
        <v>0.005</v>
      </c>
      <c r="K54" s="9" t="n">
        <v>0.01</v>
      </c>
      <c r="L54" s="9" t="n">
        <v>0.01</v>
      </c>
      <c r="M54" s="9" t="n">
        <v>0.005</v>
      </c>
      <c r="N54" s="9" t="n">
        <v>44.595684</v>
      </c>
      <c r="O54" s="9" t="n">
        <v>3.341697</v>
      </c>
      <c r="P54" s="9" t="n">
        <v>80.14434900000001</v>
      </c>
      <c r="Q54" s="9" t="n">
        <v>23.78084144362852</v>
      </c>
      <c r="R54" s="9" t="n">
        <v>4.702751578936532</v>
      </c>
      <c r="S54" s="9" t="n">
        <v>8.127377796956221</v>
      </c>
      <c r="T54" s="9" t="n">
        <v>8.216623704768695</v>
      </c>
      <c r="U54" s="9" t="n">
        <v>0.763911</v>
      </c>
      <c r="V54" s="9" t="n">
        <v>0.314868</v>
      </c>
      <c r="W54" s="9" t="n">
        <v>0.124454</v>
      </c>
      <c r="X54" s="9" t="n">
        <v>25.73325925759928</v>
      </c>
      <c r="Y54" s="9" t="n">
        <v>25.73325925759928</v>
      </c>
      <c r="Z54" s="9" t="n">
        <v>1.463067369191883</v>
      </c>
      <c r="AA54" s="9" t="n">
        <v>54.22</v>
      </c>
      <c r="AB54" s="9" t="n">
        <v>3.27</v>
      </c>
      <c r="AC54" s="9" t="n">
        <v>3.03</v>
      </c>
      <c r="AD54" s="9" t="n">
        <v>3</v>
      </c>
      <c r="AE54" s="9" t="n">
        <v>22.399779785</v>
      </c>
      <c r="AF54" s="9" t="n">
        <v>282.871</v>
      </c>
      <c r="AG54" s="9" t="n">
        <v>80.86270161835562</v>
      </c>
      <c r="AH54" s="9" t="n">
        <v>72.61897417920001</v>
      </c>
      <c r="AI54" s="9" t="n">
        <v>79.22815517037991</v>
      </c>
      <c r="AJ54" s="9" t="n">
        <v>73.92500393216993</v>
      </c>
      <c r="AK54" s="9" t="n">
        <v>0</v>
      </c>
      <c r="AL54" s="9" t="n">
        <v>0</v>
      </c>
      <c r="AM54" s="9" t="n">
        <v>0</v>
      </c>
      <c r="AN54" s="9" t="n">
        <v>0</v>
      </c>
      <c r="AO54" s="9" t="n">
        <v>0</v>
      </c>
      <c r="AP54" s="9" t="n">
        <v>473.6505963415734</v>
      </c>
      <c r="AQ54" s="9" t="n">
        <v>432.2534979400001</v>
      </c>
      <c r="AR54" s="9" t="n">
        <v>471.5936515878097</v>
      </c>
      <c r="AS54" s="9" t="n">
        <v>440.0274431866222</v>
      </c>
      <c r="AT54" s="9" t="n">
        <v>519.8464591408342</v>
      </c>
      <c r="AU54" s="9" t="n">
        <v>348.34783086</v>
      </c>
      <c r="AV54" s="9" t="n">
        <v>414.4916651368036</v>
      </c>
      <c r="AW54" s="9" t="n">
        <v>475.0275430067013</v>
      </c>
      <c r="AX54" s="9" t="n">
        <v>341.1149818063522</v>
      </c>
      <c r="AY54" s="9" t="n">
        <v>231.9217109532</v>
      </c>
      <c r="AZ54" s="9" t="n">
        <v>271.9469385663</v>
      </c>
      <c r="BA54" s="9" t="n">
        <v>311.6984540134762</v>
      </c>
      <c r="BB54" s="9" t="n">
        <v>396.8790307295136</v>
      </c>
      <c r="BC54" s="9" t="n">
        <v>398.9503553687857</v>
      </c>
      <c r="BD54" s="9" t="n">
        <v>310.24075241</v>
      </c>
      <c r="BE54" s="9" t="n">
        <v>342.8746523872837</v>
      </c>
      <c r="BF54" s="9" t="n">
        <v>11.91514731103382</v>
      </c>
      <c r="BG54" s="9" t="n">
        <v>11.06893128934536</v>
      </c>
      <c r="BH54" s="9" t="n">
        <v>12.07633425939684</v>
      </c>
      <c r="BI54" s="9" t="n">
        <v>11.26800258938591</v>
      </c>
      <c r="BJ54" s="9" t="n">
        <v>169.5925848179466</v>
      </c>
      <c r="BK54" s="9" t="n">
        <v>144.8514173599998</v>
      </c>
      <c r="BL54" s="9" t="n">
        <v>158.0346004740816</v>
      </c>
      <c r="BM54" s="9" t="n">
        <v>147.4565252256822</v>
      </c>
      <c r="BN54" s="9" t="n">
        <v>517.3792357402386</v>
      </c>
      <c r="BO54" s="9" t="n">
        <v>495.721955754</v>
      </c>
      <c r="BP54" s="9" t="n">
        <v>540.8384857506229</v>
      </c>
      <c r="BQ54" s="9" t="n">
        <v>504.6373615516297</v>
      </c>
      <c r="BR54" s="9" t="n">
        <v>1554.898384341371</v>
      </c>
      <c r="BS54" s="9" t="n">
        <v>105.1092357324081</v>
      </c>
      <c r="BT54" s="9" t="n">
        <v>82.29877623</v>
      </c>
      <c r="BU54" s="9" t="n">
        <v>89.78893308782683</v>
      </c>
      <c r="BV54" s="9" t="n">
        <v>83.77889422401294</v>
      </c>
      <c r="BW54" s="9" t="n">
        <v>639.850049520485</v>
      </c>
      <c r="BX54" s="9" t="n">
        <v>576.5994456591686</v>
      </c>
      <c r="BY54" s="9" t="n">
        <v>561.9120922975303</v>
      </c>
      <c r="BZ54" s="9" t="n">
        <v>562.0223401893384</v>
      </c>
      <c r="CA54" s="9" t="n">
        <v>0.4486495206296893</v>
      </c>
      <c r="CB54" s="9" t="n">
        <v>239.1559558186629</v>
      </c>
      <c r="CC54" s="9" t="n">
        <v>12.535</v>
      </c>
      <c r="CD54" s="9" t="n">
        <v>0.3994173711050153</v>
      </c>
      <c r="CE54" s="9" t="n">
        <v>4.392</v>
      </c>
      <c r="CF54" s="9" t="n">
        <v>4.24</v>
      </c>
      <c r="CG54" s="9" t="n">
        <v>383.105</v>
      </c>
      <c r="CH54" s="9" t="n">
        <v>15.07</v>
      </c>
      <c r="CI54" s="9" t="n">
        <v>0</v>
      </c>
      <c r="CJ54" s="9" t="n">
        <v>213.73</v>
      </c>
      <c r="CK54" s="9" t="n">
        <v>195.65</v>
      </c>
      <c r="CL54" s="9" t="n">
        <v>18.08</v>
      </c>
      <c r="CM54" s="9" t="n">
        <v>7.61</v>
      </c>
      <c r="CN54" s="9" t="n">
        <v>245.71</v>
      </c>
      <c r="CO54" s="9" t="n">
        <v>9.300000000000001</v>
      </c>
      <c r="CP54" s="9" t="n">
        <v>402.065</v>
      </c>
      <c r="CQ54" s="9" t="n">
        <v>402.239</v>
      </c>
      <c r="CR54" s="9" t="n">
        <v>3</v>
      </c>
      <c r="CS54" s="9" t="n">
        <v>2</v>
      </c>
      <c r="CT54" s="9" t="n">
        <v>0.5</v>
      </c>
      <c r="CU54" s="9" t="n">
        <v>0.3</v>
      </c>
      <c r="CV54" s="9" t="n">
        <v>0.6</v>
      </c>
      <c r="CW54" s="9" t="n">
        <v>0.8</v>
      </c>
      <c r="CX54" s="9" t="n">
        <v>0.8</v>
      </c>
      <c r="CY54" s="9" t="n">
        <v>0.7</v>
      </c>
      <c r="CZ54" s="9" t="n">
        <v>0.5</v>
      </c>
      <c r="DA54" s="9" t="n">
        <v>0.5</v>
      </c>
      <c r="DB54" s="9" t="n">
        <v>1</v>
      </c>
      <c r="DC54" s="9" t="n">
        <v>0.3</v>
      </c>
      <c r="DD54" s="9" t="n">
        <v>0.8</v>
      </c>
      <c r="DE54" s="9" t="n">
        <v>0.1718153800339769</v>
      </c>
      <c r="DF54" s="9" t="n">
        <v>2</v>
      </c>
      <c r="DG54" s="9" t="n">
        <v>7.124</v>
      </c>
      <c r="DH54" s="9" t="n">
        <v>5.575</v>
      </c>
      <c r="DI54" s="9" t="n">
        <v>13.90002</v>
      </c>
      <c r="DJ54" s="9" t="n">
        <v>20.22148164414768</v>
      </c>
      <c r="DK54" s="9" t="n">
        <v>23.47172155126118</v>
      </c>
      <c r="DL54" s="9" t="n">
        <v>18.19725290230461</v>
      </c>
      <c r="DM54" s="9" t="n">
        <v>21.3478529440101</v>
      </c>
      <c r="DN54" s="9" t="n">
        <v>9.112</v>
      </c>
      <c r="DO54" s="9" t="n">
        <v>8.355</v>
      </c>
      <c r="DP54" s="9" t="n">
        <v>15.56442</v>
      </c>
      <c r="DQ54" s="9" t="n">
        <v>14.11516989415954</v>
      </c>
      <c r="DR54" s="9" t="n">
        <v>14.11516989415954</v>
      </c>
      <c r="DS54" s="9" t="n">
        <v>0.10343</v>
      </c>
    </row>
    <row r="55">
      <c r="A55" s="9" t="inlineStr">
        <is>
          <t>ESP</t>
        </is>
      </c>
      <c r="B55" s="9" t="inlineStr">
        <is>
          <t>Spain</t>
        </is>
      </c>
      <c r="C55" s="9" t="n">
        <v>0.005</v>
      </c>
      <c r="D55" s="9" t="n">
        <v>0.005</v>
      </c>
      <c r="E55" s="9" t="n">
        <v>0.01</v>
      </c>
      <c r="F55" s="9" t="n">
        <v>0.005</v>
      </c>
      <c r="G55" s="9" t="n">
        <v>0.005</v>
      </c>
      <c r="H55" s="9" t="n">
        <v>0.01</v>
      </c>
      <c r="I55" s="9" t="n">
        <v>0.005</v>
      </c>
      <c r="J55" s="9" t="n">
        <v>0.005</v>
      </c>
      <c r="K55" s="9" t="n">
        <v>0.01</v>
      </c>
      <c r="L55" s="9" t="n">
        <v>0.01</v>
      </c>
      <c r="M55" s="9" t="n">
        <v>0.005</v>
      </c>
      <c r="N55" s="9" t="n">
        <v>16.005288</v>
      </c>
      <c r="O55" s="9" t="n">
        <v>1.14944</v>
      </c>
      <c r="P55" s="9" t="n">
        <v>117.158444</v>
      </c>
      <c r="Q55" s="9" t="n">
        <v>4.190004126537497</v>
      </c>
      <c r="R55" s="9" t="n">
        <v>0.642126592877156</v>
      </c>
      <c r="S55" s="9" t="n">
        <v>8.204757679370797</v>
      </c>
      <c r="T55" s="9" t="n">
        <v>7.40210649431495</v>
      </c>
      <c r="U55" s="9" t="n">
        <v>0.56982</v>
      </c>
      <c r="V55" s="9" t="n">
        <v>1.123725</v>
      </c>
      <c r="W55" s="9" t="n">
        <v>0.331563</v>
      </c>
      <c r="X55" s="9" t="n">
        <v>4.581758788698155</v>
      </c>
      <c r="Y55" s="9" t="n">
        <v>4.581758788698155</v>
      </c>
      <c r="Z55" s="9" t="n">
        <v>14.50839150856454</v>
      </c>
      <c r="AA55" s="9" t="n">
        <v>32</v>
      </c>
      <c r="AB55" s="9" t="n">
        <v>47.21</v>
      </c>
      <c r="AC55" s="9" t="n">
        <v>33.3</v>
      </c>
      <c r="AD55" s="9" t="n">
        <v>0</v>
      </c>
      <c r="AE55" s="9" t="n">
        <v>0</v>
      </c>
      <c r="AF55" s="9" t="n">
        <v>279.606</v>
      </c>
      <c r="AG55" s="9" t="n">
        <v>46.37996062023423</v>
      </c>
      <c r="AH55" s="9" t="n">
        <v>36.4510469844</v>
      </c>
      <c r="AI55" s="9" t="n">
        <v>41.14704375154029</v>
      </c>
      <c r="AJ55" s="9" t="n">
        <v>40.90701932965632</v>
      </c>
      <c r="AK55" s="9" t="n">
        <v>254.2471107531288</v>
      </c>
      <c r="AL55" s="9" t="n">
        <v>3.371391277729197</v>
      </c>
      <c r="AM55" s="9" t="n">
        <v>2.7532061856</v>
      </c>
      <c r="AN55" s="9" t="n">
        <v>3.107902371758427</v>
      </c>
      <c r="AO55" s="9" t="n">
        <v>3.089772941256503</v>
      </c>
      <c r="AP55" s="9" t="n">
        <v>1008.609900908685</v>
      </c>
      <c r="AQ55" s="9" t="n">
        <v>865.99151288</v>
      </c>
      <c r="AR55" s="9" t="n">
        <v>977.5573986718636</v>
      </c>
      <c r="AS55" s="9" t="n">
        <v>971.8549805129444</v>
      </c>
      <c r="AT55" s="9" t="n">
        <v>679.3697367078612</v>
      </c>
      <c r="AU55" s="9" t="n">
        <v>557.0315960148</v>
      </c>
      <c r="AV55" s="9" t="n">
        <v>611.3218458916267</v>
      </c>
      <c r="AW55" s="9" t="n">
        <v>606.2704862978047</v>
      </c>
      <c r="AX55" s="9" t="n">
        <v>324.2733723396852</v>
      </c>
      <c r="AY55" s="9" t="n">
        <v>263.3364017892</v>
      </c>
      <c r="AZ55" s="9" t="n">
        <v>291.6652173049077</v>
      </c>
      <c r="BA55" s="9" t="n">
        <v>289.2264136105744</v>
      </c>
      <c r="BB55" s="9" t="n">
        <v>255.9760799844385</v>
      </c>
      <c r="BC55" s="9" t="n">
        <v>219.5124392680684</v>
      </c>
      <c r="BD55" s="9" t="n">
        <v>242.2350838188308</v>
      </c>
      <c r="BE55" s="9" t="n">
        <v>246.3800357288974</v>
      </c>
      <c r="BF55" s="9" t="n">
        <v>17.22982459043919</v>
      </c>
      <c r="BG55" s="9" t="n">
        <v>14.36481546748644</v>
      </c>
      <c r="BH55" s="9" t="n">
        <v>16.21543794822762</v>
      </c>
      <c r="BI55" s="9" t="n">
        <v>16.12084789352962</v>
      </c>
      <c r="BJ55" s="9" t="n">
        <v>41.98694297252904</v>
      </c>
      <c r="BK55" s="9" t="n">
        <v>36.49790699203186</v>
      </c>
      <c r="BL55" s="9" t="n">
        <v>41.1999407447337</v>
      </c>
      <c r="BM55" s="9" t="n">
        <v>40.95960775705607</v>
      </c>
      <c r="BN55" s="9" t="n">
        <v>648.5794693148116</v>
      </c>
      <c r="BO55" s="9" t="n">
        <v>458.6113077372</v>
      </c>
      <c r="BP55" s="9" t="n">
        <v>517.6943079986075</v>
      </c>
      <c r="BQ55" s="9" t="n">
        <v>514.6744245352822</v>
      </c>
      <c r="BR55" s="9" t="n">
        <v>246.8497606553158</v>
      </c>
      <c r="BS55" s="9" t="n">
        <v>401.2511598706679</v>
      </c>
      <c r="BT55" s="9" t="n">
        <v>289.71180153</v>
      </c>
      <c r="BU55" s="9" t="n">
        <v>327.0354395579974</v>
      </c>
      <c r="BV55" s="9" t="n">
        <v>325.1277328272424</v>
      </c>
      <c r="BW55" s="9" t="n">
        <v>745.1425679552989</v>
      </c>
      <c r="BX55" s="9" t="n">
        <v>645.1890015776991</v>
      </c>
      <c r="BY55" s="9" t="n">
        <v>691.9041887370905</v>
      </c>
      <c r="BZ55" s="9" t="n">
        <v>684.893086365024</v>
      </c>
      <c r="CA55" s="9" t="n">
        <v>1.166365186432316</v>
      </c>
      <c r="CB55" s="9" t="n">
        <v>278.7897525132074</v>
      </c>
      <c r="CC55" s="9" t="n">
        <v>0.014</v>
      </c>
      <c r="CD55" s="9" t="n">
        <v>3.81162627948306</v>
      </c>
      <c r="CE55" s="9" t="n">
        <v>2.766</v>
      </c>
      <c r="CF55" s="9" t="n">
        <v>2.09</v>
      </c>
      <c r="CG55" s="9" t="n">
        <v>1725.152</v>
      </c>
      <c r="CH55" s="9" t="n">
        <v>93.28</v>
      </c>
      <c r="CI55" s="9" t="n">
        <v>0.92</v>
      </c>
      <c r="CJ55" s="9" t="n">
        <v>73.01000000000001</v>
      </c>
      <c r="CK55" s="9" t="n">
        <v>62.06</v>
      </c>
      <c r="CL55" s="9" t="n">
        <v>10.03</v>
      </c>
      <c r="CM55" s="9" t="n">
        <v>62.92</v>
      </c>
      <c r="CN55" s="9" t="n">
        <v>287.92</v>
      </c>
      <c r="CO55" s="9" t="n">
        <v>58.76</v>
      </c>
      <c r="CP55" s="9" t="n">
        <v>339.165</v>
      </c>
      <c r="CQ55" s="9" t="n">
        <v>294.259</v>
      </c>
      <c r="CR55" s="9" t="n">
        <v>1</v>
      </c>
      <c r="CS55" s="9" t="n">
        <v>4</v>
      </c>
      <c r="CT55" s="9" t="n">
        <v>0.5</v>
      </c>
      <c r="CU55" s="9" t="n">
        <v>0.3</v>
      </c>
      <c r="CV55" s="9" t="n">
        <v>0.6</v>
      </c>
      <c r="CW55" s="9" t="n">
        <v>0.8</v>
      </c>
      <c r="CX55" s="9" t="n">
        <v>0.8</v>
      </c>
      <c r="CY55" s="9" t="n">
        <v>0.7</v>
      </c>
      <c r="CZ55" s="9" t="n">
        <v>0.5</v>
      </c>
      <c r="DA55" s="9" t="n">
        <v>0.5</v>
      </c>
      <c r="DB55" s="9" t="n">
        <v>1</v>
      </c>
      <c r="DC55" s="9" t="n">
        <v>0.3</v>
      </c>
      <c r="DD55" s="9" t="n">
        <v>0.8</v>
      </c>
      <c r="DE55" s="9" t="n">
        <v>0.64291578545275</v>
      </c>
      <c r="DF55" s="9" t="n">
        <v>3</v>
      </c>
      <c r="DG55" s="9" t="n">
        <v>10.26</v>
      </c>
      <c r="DH55" s="9" t="n">
        <v>7.095</v>
      </c>
      <c r="DI55" s="9" t="n">
        <v>16.59273</v>
      </c>
      <c r="DJ55" s="9" t="n">
        <v>22.69271184836436</v>
      </c>
      <c r="DK55" s="9" t="n">
        <v>24.98134101082822</v>
      </c>
      <c r="DL55" s="9" t="n">
        <v>16.34506302943154</v>
      </c>
      <c r="DM55" s="9" t="n">
        <v>22.82525636312391</v>
      </c>
      <c r="DN55" s="9" t="n">
        <v>13.578</v>
      </c>
      <c r="DO55" s="9" t="n">
        <v>13.578</v>
      </c>
      <c r="DP55" s="9" t="n">
        <v>24.7929</v>
      </c>
      <c r="DQ55" s="9" t="n">
        <v>13.49592507781582</v>
      </c>
      <c r="DR55" s="9" t="n">
        <v>13.49592507781582</v>
      </c>
      <c r="DS55" s="9" t="n">
        <v>0.05125</v>
      </c>
    </row>
    <row r="56">
      <c r="A56" s="9" t="inlineStr">
        <is>
          <t>EST</t>
        </is>
      </c>
      <c r="B56" s="9" t="inlineStr">
        <is>
          <t>Estonia</t>
        </is>
      </c>
      <c r="C56" s="9" t="n">
        <v>0.005</v>
      </c>
      <c r="D56" s="9" t="n">
        <v>0.005</v>
      </c>
      <c r="E56" s="9" t="n">
        <v>0.01</v>
      </c>
      <c r="F56" s="9" t="n">
        <v>0.005</v>
      </c>
      <c r="G56" s="9" t="n">
        <v>0.005</v>
      </c>
      <c r="H56" s="9" t="n">
        <v>0.01</v>
      </c>
      <c r="I56" s="9" t="n">
        <v>0.005</v>
      </c>
      <c r="J56" s="9" t="n">
        <v>0.005</v>
      </c>
      <c r="K56" s="9" t="n">
        <v>0.01</v>
      </c>
      <c r="L56" s="9" t="n">
        <v>0.01</v>
      </c>
      <c r="M56" s="9" t="n">
        <v>0.005</v>
      </c>
      <c r="N56" s="9" t="n">
        <v>0.121718</v>
      </c>
      <c r="O56" s="9" t="n">
        <v>0.436291</v>
      </c>
      <c r="P56" s="9" t="n">
        <v>22.591729</v>
      </c>
      <c r="Q56" s="9" t="n">
        <v>1.960681793014059</v>
      </c>
      <c r="R56" s="9" t="n">
        <v>0.1864469109578738</v>
      </c>
      <c r="S56" s="9" t="n">
        <v>2.0283277839222</v>
      </c>
      <c r="T56" s="9" t="n">
        <v>2.046262114765974</v>
      </c>
      <c r="U56" s="9" t="n">
        <v>0.248984</v>
      </c>
      <c r="V56" s="9" t="n">
        <v>0.012683</v>
      </c>
      <c r="W56" s="9" t="n">
        <v>0.06976300000000001</v>
      </c>
      <c r="X56" s="9" t="n">
        <v>4.506274142367232</v>
      </c>
      <c r="Y56" s="9" t="n">
        <v>4.506274142367232</v>
      </c>
      <c r="Z56" s="9" t="n">
        <v>0.3626105506499005</v>
      </c>
      <c r="AA56" s="9" t="n">
        <v>0.96</v>
      </c>
      <c r="AB56" s="9" t="n">
        <v>0.98</v>
      </c>
      <c r="AC56" s="9" t="n">
        <v>0.71</v>
      </c>
      <c r="AD56" s="9" t="n">
        <v>0</v>
      </c>
      <c r="AE56" s="9" t="n">
        <v>0</v>
      </c>
      <c r="AF56" s="9" t="n">
        <v>9.022</v>
      </c>
      <c r="AG56" s="9" t="n">
        <v>1.067445424182683</v>
      </c>
      <c r="AH56" s="9" t="n">
        <v>0.9163565424</v>
      </c>
      <c r="AI56" s="9" t="n">
        <v>0.9887646441911748</v>
      </c>
      <c r="AJ56" s="9" t="n">
        <v>0.909983728143102</v>
      </c>
      <c r="AK56" s="9" t="n">
        <v>33.25299861359539</v>
      </c>
      <c r="AL56" s="9" t="n">
        <v>0.0915817229468973</v>
      </c>
      <c r="AM56" s="9" t="n">
        <v>0.0798087816</v>
      </c>
      <c r="AN56" s="9" t="n">
        <v>0.0861150631776786</v>
      </c>
      <c r="AO56" s="9" t="n">
        <v>0.0792537503237742</v>
      </c>
      <c r="AP56" s="9" t="n">
        <v>23.73136354762178</v>
      </c>
      <c r="AQ56" s="9" t="n">
        <v>23.29933719</v>
      </c>
      <c r="AR56" s="9" t="n">
        <v>25.14038999080383</v>
      </c>
      <c r="AS56" s="9" t="n">
        <v>23.13730162703909</v>
      </c>
      <c r="AT56" s="9" t="n">
        <v>16.54533338299574</v>
      </c>
      <c r="AU56" s="9" t="n">
        <v>20.3565021156</v>
      </c>
      <c r="AV56" s="9" t="n">
        <v>19.20511472405559</v>
      </c>
      <c r="AW56" s="9" t="n">
        <v>16.29429255871458</v>
      </c>
      <c r="AX56" s="9" t="n">
        <v>6.782313922234175</v>
      </c>
      <c r="AY56" s="9" t="n">
        <v>8.024399946000001</v>
      </c>
      <c r="AZ56" s="9" t="n">
        <v>7.872288352342445</v>
      </c>
      <c r="BA56" s="9" t="n">
        <v>6.679029993861646</v>
      </c>
      <c r="BB56" s="9" t="n">
        <v>8.486391548912719</v>
      </c>
      <c r="BC56" s="9" t="n">
        <v>8.366386711938793</v>
      </c>
      <c r="BD56" s="9" t="n">
        <v>8.848218755846801</v>
      </c>
      <c r="BE56" s="9" t="n">
        <v>8.308206698830517</v>
      </c>
      <c r="BF56" s="9" t="n">
        <v>0</v>
      </c>
      <c r="BG56" s="9" t="n">
        <v>0</v>
      </c>
      <c r="BH56" s="9" t="n">
        <v>0</v>
      </c>
      <c r="BI56" s="9" t="n">
        <v>0</v>
      </c>
      <c r="BJ56" s="9" t="n">
        <v>0.1575694505333005</v>
      </c>
      <c r="BK56" s="9" t="n">
        <v>0.1565174499999998</v>
      </c>
      <c r="BL56" s="9" t="n">
        <v>0.1688850503032757</v>
      </c>
      <c r="BM56" s="9" t="n">
        <v>0.1554289472277046</v>
      </c>
      <c r="BN56" s="9" t="n">
        <v>10.67077592860781</v>
      </c>
      <c r="BO56" s="9" t="n">
        <v>8.889677528400002</v>
      </c>
      <c r="BP56" s="9" t="n">
        <v>9.592116639797895</v>
      </c>
      <c r="BQ56" s="9" t="n">
        <v>8.827854142991701</v>
      </c>
      <c r="BR56" s="9" t="n">
        <v>0.3881997053987864</v>
      </c>
      <c r="BS56" s="9" t="n">
        <v>9.336234055235696</v>
      </c>
      <c r="BT56" s="9" t="n">
        <v>7.509486347999999</v>
      </c>
      <c r="BU56" s="9" t="n">
        <v>8.102866355372795</v>
      </c>
      <c r="BV56" s="9" t="n">
        <v>7.457261521258246</v>
      </c>
      <c r="BW56" s="9" t="n">
        <v>6.582366167198204</v>
      </c>
      <c r="BX56" s="9" t="n">
        <v>6.504639351778192</v>
      </c>
      <c r="BY56" s="9" t="n">
        <v>6.850477531243195</v>
      </c>
      <c r="BZ56" s="9" t="n">
        <v>6.143016676264312</v>
      </c>
      <c r="CA56" s="9" t="n">
        <v>1.114604329978944</v>
      </c>
      <c r="CB56" s="9" t="n">
        <v>6.479902029230531</v>
      </c>
      <c r="CC56" s="9" t="n">
        <v>0.045</v>
      </c>
      <c r="CD56" s="9" t="n">
        <v>9.422476655836372</v>
      </c>
      <c r="CE56" s="9" t="n">
        <v>0.584</v>
      </c>
      <c r="CF56" s="9" t="n">
        <v>1.429</v>
      </c>
      <c r="CG56" s="9" t="n">
        <v>43.117</v>
      </c>
      <c r="CH56" s="9" t="n">
        <v>1.36</v>
      </c>
      <c r="CI56" s="9" t="n">
        <v>0</v>
      </c>
      <c r="CJ56" s="9" t="n">
        <v>2.46</v>
      </c>
      <c r="CK56" s="9" t="n">
        <v>0.08</v>
      </c>
      <c r="CL56" s="9" t="n">
        <v>2.38</v>
      </c>
      <c r="CM56" s="9" t="n">
        <v>1.22</v>
      </c>
      <c r="CN56" s="9" t="n">
        <v>6.19</v>
      </c>
      <c r="CO56" s="9" t="n">
        <v>1.15</v>
      </c>
      <c r="CP56" s="9" t="n">
        <v>11.265</v>
      </c>
      <c r="CQ56" s="9" t="n">
        <v>13.753</v>
      </c>
      <c r="CR56" s="9" t="n">
        <v>1</v>
      </c>
      <c r="CS56" s="9" t="n">
        <v>4</v>
      </c>
      <c r="CT56" s="9" t="n">
        <v>0.5</v>
      </c>
      <c r="CU56" s="9" t="n">
        <v>0.3</v>
      </c>
      <c r="CV56" s="9" t="n">
        <v>0.6</v>
      </c>
      <c r="CW56" s="9" t="n">
        <v>0.8</v>
      </c>
      <c r="CX56" s="9" t="n">
        <v>0.8</v>
      </c>
      <c r="CY56" s="9" t="n">
        <v>0.7</v>
      </c>
      <c r="CZ56" s="9" t="n">
        <v>0.5</v>
      </c>
      <c r="DA56" s="9" t="n">
        <v>0.5</v>
      </c>
      <c r="DB56" s="9" t="n">
        <v>1</v>
      </c>
      <c r="DC56" s="9" t="n">
        <v>0.3</v>
      </c>
      <c r="DD56" s="9" t="n">
        <v>0.8</v>
      </c>
      <c r="DE56" s="9" t="n">
        <v>0.6580738705738706</v>
      </c>
      <c r="DF56" s="9" t="n">
        <v>3</v>
      </c>
      <c r="DG56" s="9" t="n">
        <v>3.374</v>
      </c>
      <c r="DH56" s="9" t="n">
        <v>2.051</v>
      </c>
      <c r="DI56" s="9" t="n">
        <v>6.4332</v>
      </c>
      <c r="DJ56" s="9" t="n">
        <v>21.93979974361305</v>
      </c>
      <c r="DK56" s="9" t="n">
        <v>24.82266096345012</v>
      </c>
      <c r="DL56" s="9" t="n">
        <v>15.65611451797798</v>
      </c>
      <c r="DM56" s="9" t="n">
        <v>20.60416669013739</v>
      </c>
      <c r="DN56" s="9" t="n">
        <v>15.644</v>
      </c>
      <c r="DO56" s="9" t="n">
        <v>15.644</v>
      </c>
      <c r="DP56" s="9" t="n">
        <v>24.2856</v>
      </c>
      <c r="DQ56" s="9" t="n">
        <v>13.49474620847193</v>
      </c>
      <c r="DR56" s="9" t="n">
        <v>13.49474620847193</v>
      </c>
      <c r="DS56" s="9" t="n">
        <v>0.07635</v>
      </c>
    </row>
    <row r="57">
      <c r="A57" s="9" t="inlineStr">
        <is>
          <t>ETH</t>
        </is>
      </c>
      <c r="B57" s="9" t="inlineStr">
        <is>
          <t>Ethiopia</t>
        </is>
      </c>
      <c r="C57" s="9" t="n">
        <v>0.005</v>
      </c>
      <c r="D57" s="9" t="n">
        <v>0.005</v>
      </c>
      <c r="E57" s="9" t="n">
        <v>0.01</v>
      </c>
      <c r="F57" s="9" t="n">
        <v>0.005</v>
      </c>
      <c r="G57" s="9" t="n">
        <v>0.005</v>
      </c>
      <c r="H57" s="9" t="n">
        <v>0.01</v>
      </c>
      <c r="I57" s="9" t="n">
        <v>0.005</v>
      </c>
      <c r="J57" s="9" t="n">
        <v>0.005</v>
      </c>
      <c r="K57" s="9" t="n">
        <v>0.01</v>
      </c>
      <c r="L57" s="9" t="n">
        <v>0.01</v>
      </c>
      <c r="M57" s="9" t="n">
        <v>0.005</v>
      </c>
      <c r="N57" s="9" t="n">
        <v>0.009554</v>
      </c>
      <c r="O57" s="9" t="n">
        <v>0.027366</v>
      </c>
      <c r="P57" s="9" t="n">
        <v>0.5316</v>
      </c>
      <c r="Q57" s="9" t="n">
        <v>0.0697677099915565</v>
      </c>
      <c r="R57" s="9" t="n">
        <v>0.0134401914340798</v>
      </c>
      <c r="S57" s="9" t="n">
        <v>0.0240802167459255</v>
      </c>
      <c r="T57" s="9" t="n">
        <v>0.008262318593515901</v>
      </c>
      <c r="U57" s="9" t="n">
        <v>0.000418</v>
      </c>
      <c r="V57" s="9" t="n">
        <v>0.000297</v>
      </c>
      <c r="W57" s="9" t="n">
        <v>0.002196</v>
      </c>
      <c r="X57" s="9" t="n">
        <v>0.0110307225014883</v>
      </c>
      <c r="Y57" s="9" t="n">
        <v>0.0110307225014883</v>
      </c>
      <c r="Z57" s="9" t="n">
        <v>0.5425728464603655</v>
      </c>
      <c r="AA57" s="9" t="n">
        <v>0.1</v>
      </c>
      <c r="AB57" s="9" t="n">
        <v>0.02</v>
      </c>
      <c r="AC57" s="9" t="n">
        <v>0.5</v>
      </c>
      <c r="AD57" s="9" t="n">
        <v>0</v>
      </c>
      <c r="AE57" s="9" t="n">
        <v>0</v>
      </c>
      <c r="AF57" s="9" t="n">
        <v>26.885</v>
      </c>
      <c r="AG57" s="9" t="n">
        <v>29.08133262134018</v>
      </c>
      <c r="AH57" s="9" t="n">
        <v>26.4383817732</v>
      </c>
      <c r="AI57" s="9" t="n">
        <v>27.363725135262</v>
      </c>
      <c r="AJ57" s="9" t="n">
        <v>26.62490455660993</v>
      </c>
      <c r="AK57" s="9" t="n">
        <v>0</v>
      </c>
      <c r="AL57" s="9" t="n">
        <v>0</v>
      </c>
      <c r="AM57" s="9" t="n">
        <v>0</v>
      </c>
      <c r="AN57" s="9" t="n">
        <v>0</v>
      </c>
      <c r="AO57" s="9" t="n">
        <v>0</v>
      </c>
      <c r="AP57" s="9" t="n">
        <v>86.55450313691988</v>
      </c>
      <c r="AQ57" s="9" t="n">
        <v>71.38455653000001</v>
      </c>
      <c r="AR57" s="9" t="n">
        <v>73.88301600855</v>
      </c>
      <c r="AS57" s="9" t="n">
        <v>71.88817457631916</v>
      </c>
      <c r="AT57" s="9" t="n">
        <v>26.77713046062517</v>
      </c>
      <c r="AU57" s="9" t="n">
        <v>18.70714575</v>
      </c>
      <c r="AV57" s="9" t="n">
        <v>21.50091846791757</v>
      </c>
      <c r="AW57" s="9" t="n">
        <v>24.50558815642839</v>
      </c>
      <c r="AX57" s="9" t="n">
        <v>25.44022416351099</v>
      </c>
      <c r="AY57" s="9" t="n">
        <v>18.1260346572</v>
      </c>
      <c r="AZ57" s="9" t="n">
        <v>20.43327000218972</v>
      </c>
      <c r="BA57" s="9" t="n">
        <v>23.28670992445224</v>
      </c>
      <c r="BB57" s="9" t="n">
        <v>39.35166516222612</v>
      </c>
      <c r="BC57" s="9" t="n">
        <v>32.22369235839979</v>
      </c>
      <c r="BD57" s="9" t="n">
        <v>32.11790449</v>
      </c>
      <c r="BE57" s="9" t="n">
        <v>31.84522103549114</v>
      </c>
      <c r="BF57" s="9" t="n">
        <v>1.82036353167236</v>
      </c>
      <c r="BG57" s="9" t="n">
        <v>1.460721989999997</v>
      </c>
      <c r="BH57" s="9" t="n">
        <v>1.511847259649997</v>
      </c>
      <c r="BI57" s="9" t="n">
        <v>1.471027383639447</v>
      </c>
      <c r="BJ57" s="9" t="n">
        <v>0.4440793066513081</v>
      </c>
      <c r="BK57" s="9" t="n">
        <v>0.4118225299999995</v>
      </c>
      <c r="BL57" s="9" t="n">
        <v>0.4262363185499994</v>
      </c>
      <c r="BM57" s="9" t="n">
        <v>0.4147279379491495</v>
      </c>
      <c r="BN57" s="9" t="n">
        <v>0</v>
      </c>
      <c r="BO57" s="9" t="n">
        <v>0</v>
      </c>
      <c r="BP57" s="9" t="n">
        <v>0</v>
      </c>
      <c r="BQ57" s="9" t="n">
        <v>0</v>
      </c>
      <c r="BR57" s="9" t="n">
        <v>0</v>
      </c>
      <c r="BS57" s="9" t="n">
        <v>0</v>
      </c>
      <c r="BT57" s="9" t="n">
        <v>0</v>
      </c>
      <c r="BU57" s="9" t="n">
        <v>0</v>
      </c>
      <c r="BV57" s="9" t="n">
        <v>0</v>
      </c>
      <c r="BW57" s="9" t="n">
        <v>104.954435609365</v>
      </c>
      <c r="BX57" s="9" t="n">
        <v>62.44753068562059</v>
      </c>
      <c r="BY57" s="9" t="n">
        <v>71.99018025275052</v>
      </c>
      <c r="BZ57" s="9" t="n">
        <v>80.23622245986088</v>
      </c>
      <c r="CA57" s="9" t="n">
        <v>0.1814221618656129</v>
      </c>
      <c r="CB57" s="9" t="n">
        <v>14.50482072892671</v>
      </c>
      <c r="CC57" s="9" t="n">
        <v>0.105</v>
      </c>
      <c r="CD57" s="9" t="n">
        <v>0</v>
      </c>
      <c r="CE57" s="9" t="n">
        <v>9.151</v>
      </c>
      <c r="CF57" s="9" t="n">
        <v>9.204000000000001</v>
      </c>
      <c r="CG57" s="9" t="n">
        <v>142.073</v>
      </c>
      <c r="CH57" s="9" t="n">
        <v>32.23</v>
      </c>
      <c r="CI57" s="9" t="n">
        <v>0</v>
      </c>
      <c r="CJ57" s="9" t="n">
        <v>0</v>
      </c>
      <c r="CK57" s="9" t="n">
        <v>0</v>
      </c>
      <c r="CL57" s="9" t="n">
        <v>0</v>
      </c>
      <c r="CM57" s="9" t="n">
        <v>0.04</v>
      </c>
      <c r="CN57" s="9" t="n">
        <v>33.37</v>
      </c>
      <c r="CO57" s="9" t="n">
        <v>1.1</v>
      </c>
      <c r="CP57" s="9" t="n">
        <v>203.358</v>
      </c>
      <c r="CQ57" s="9" t="n">
        <v>234.697</v>
      </c>
      <c r="CR57" s="9" t="n">
        <v>3</v>
      </c>
      <c r="CS57" s="9" t="n">
        <v>1</v>
      </c>
      <c r="CT57" s="9" t="n">
        <v>0.5</v>
      </c>
      <c r="CU57" s="9" t="n">
        <v>0.3</v>
      </c>
      <c r="CV57" s="9" t="n">
        <v>0.6</v>
      </c>
      <c r="CW57" s="9" t="n">
        <v>0.8</v>
      </c>
      <c r="CX57" s="9" t="n">
        <v>0.8</v>
      </c>
      <c r="CY57" s="9" t="n">
        <v>0.7</v>
      </c>
      <c r="CZ57" s="9" t="n">
        <v>0.5</v>
      </c>
      <c r="DA57" s="9" t="n">
        <v>0.5</v>
      </c>
      <c r="DB57" s="9" t="n">
        <v>1</v>
      </c>
      <c r="DC57" s="9" t="n">
        <v>0.3</v>
      </c>
      <c r="DD57" s="9" t="n">
        <v>0.8</v>
      </c>
      <c r="DE57" s="9" t="n">
        <v>0.3205249395940449</v>
      </c>
      <c r="DF57" s="9" t="n">
        <v>2</v>
      </c>
      <c r="DG57" s="9" t="n">
        <v>5.599</v>
      </c>
      <c r="DH57" s="9" t="n">
        <v>4.142</v>
      </c>
      <c r="DI57" s="9" t="n">
        <v>10.82725</v>
      </c>
      <c r="DJ57" s="9" t="n">
        <v>20.42598522758565</v>
      </c>
      <c r="DK57" s="9" t="n">
        <v>23.80915614471255</v>
      </c>
      <c r="DL57" s="9" t="n">
        <v>18.00453169567468</v>
      </c>
      <c r="DM57" s="9" t="n">
        <v>22.88429509035081</v>
      </c>
      <c r="DN57" s="9" t="n">
        <v>8.185</v>
      </c>
      <c r="DO57" s="9" t="n">
        <v>6.861</v>
      </c>
      <c r="DP57" s="9" t="n">
        <v>18.54605</v>
      </c>
      <c r="DQ57" s="9" t="n">
        <v>13.49474620847193</v>
      </c>
      <c r="DR57" s="9" t="n">
        <v>13.49474620847193</v>
      </c>
      <c r="DS57" s="9" t="n">
        <v>0.10568</v>
      </c>
    </row>
    <row r="58">
      <c r="A58" s="9" t="inlineStr">
        <is>
          <t>FIN</t>
        </is>
      </c>
      <c r="B58" s="9" t="inlineStr">
        <is>
          <t>Finland</t>
        </is>
      </c>
      <c r="C58" s="9" t="n">
        <v>0.005</v>
      </c>
      <c r="D58" s="9" t="n">
        <v>0.005</v>
      </c>
      <c r="E58" s="9" t="n">
        <v>0.01</v>
      </c>
      <c r="F58" s="9" t="n">
        <v>0.005</v>
      </c>
      <c r="G58" s="9" t="n">
        <v>0.005</v>
      </c>
      <c r="H58" s="9" t="n">
        <v>0.01</v>
      </c>
      <c r="I58" s="9" t="n">
        <v>0.005</v>
      </c>
      <c r="J58" s="9" t="n">
        <v>0.005</v>
      </c>
      <c r="K58" s="9" t="n">
        <v>0.01</v>
      </c>
      <c r="L58" s="9" t="n">
        <v>0.01</v>
      </c>
      <c r="M58" s="9" t="n">
        <v>0.005</v>
      </c>
      <c r="N58" s="9" t="n">
        <v>0.726846</v>
      </c>
      <c r="O58" s="9" t="n">
        <v>0.769747</v>
      </c>
      <c r="P58" s="9" t="n">
        <v>43.294809</v>
      </c>
      <c r="Q58" s="9" t="n">
        <v>0.9178663522025228</v>
      </c>
      <c r="R58" s="9" t="n">
        <v>0.279756154892773</v>
      </c>
      <c r="S58" s="9" t="n">
        <v>2.173047502385336</v>
      </c>
      <c r="T58" s="9" t="n">
        <v>2.123958941727534</v>
      </c>
      <c r="U58" s="9" t="n">
        <v>0.040448</v>
      </c>
      <c r="V58" s="9" t="n">
        <v>0.026391</v>
      </c>
      <c r="W58" s="9" t="n">
        <v>0.050675</v>
      </c>
      <c r="X58" s="9" t="n">
        <v>1.049040754038116</v>
      </c>
      <c r="Y58" s="9" t="n">
        <v>1.049040754038116</v>
      </c>
      <c r="Z58" s="9" t="n">
        <v>2.511530306735989</v>
      </c>
      <c r="AA58" s="9" t="n">
        <v>3.8</v>
      </c>
      <c r="AB58" s="9" t="n">
        <v>1.57</v>
      </c>
      <c r="AC58" s="9" t="n">
        <v>9.380000000000001</v>
      </c>
      <c r="AD58" s="9" t="n">
        <v>0</v>
      </c>
      <c r="AE58" s="9" t="n">
        <v>0</v>
      </c>
      <c r="AF58" s="9" t="n">
        <v>37.015</v>
      </c>
      <c r="AG58" s="9" t="n">
        <v>47.73153645617229</v>
      </c>
      <c r="AH58" s="9" t="n">
        <v>38.9202164712</v>
      </c>
      <c r="AI58" s="9" t="n">
        <v>43.28902445511909</v>
      </c>
      <c r="AJ58" s="9" t="n">
        <v>43.52711408962225</v>
      </c>
      <c r="AK58" s="9" t="n">
        <v>7.280262757321115</v>
      </c>
      <c r="AL58" s="9" t="n">
        <v>2.213830500676764</v>
      </c>
      <c r="AM58" s="9" t="n">
        <v>1.8171214416</v>
      </c>
      <c r="AN58" s="9" t="n">
        <v>2.02109396235119</v>
      </c>
      <c r="AO58" s="9" t="n">
        <v>2.032209979144122</v>
      </c>
      <c r="AP58" s="9" t="n">
        <v>99.12517349548304</v>
      </c>
      <c r="AQ58" s="9" t="n">
        <v>84.60431240000001</v>
      </c>
      <c r="AR58" s="9" t="n">
        <v>94.10117621525178</v>
      </c>
      <c r="AS58" s="9" t="n">
        <v>94.61873268443566</v>
      </c>
      <c r="AT58" s="9" t="n">
        <v>220.818760802987</v>
      </c>
      <c r="AU58" s="9" t="n">
        <v>208.1987955504</v>
      </c>
      <c r="AV58" s="9" t="n">
        <v>231.1125103414036</v>
      </c>
      <c r="AW58" s="9" t="n">
        <v>229.6544750240461</v>
      </c>
      <c r="AX58" s="9" t="n">
        <v>92.63426562051085</v>
      </c>
      <c r="AY58" s="9" t="n">
        <v>87.339599694</v>
      </c>
      <c r="AZ58" s="9" t="n">
        <v>96.95212797714134</v>
      </c>
      <c r="BA58" s="9" t="n">
        <v>96.34912302725748</v>
      </c>
      <c r="BB58" s="9" t="n">
        <v>58.85078379886802</v>
      </c>
      <c r="BC58" s="9" t="n">
        <v>50.02220208020061</v>
      </c>
      <c r="BD58" s="9" t="n">
        <v>46.38346353305055</v>
      </c>
      <c r="BE58" s="9" t="n">
        <v>55.9432209684491</v>
      </c>
      <c r="BF58" s="9" t="n">
        <v>0</v>
      </c>
      <c r="BG58" s="9" t="n">
        <v>0</v>
      </c>
      <c r="BH58" s="9" t="n">
        <v>0</v>
      </c>
      <c r="BI58" s="9" t="n">
        <v>0</v>
      </c>
      <c r="BJ58" s="9" t="n">
        <v>0.2790162224168315</v>
      </c>
      <c r="BK58" s="9" t="n">
        <v>0.232196752192982</v>
      </c>
      <c r="BL58" s="9" t="n">
        <v>0.2582609192710719</v>
      </c>
      <c r="BM58" s="9" t="n">
        <v>0.2596813543270628</v>
      </c>
      <c r="BN58" s="9" t="n">
        <v>59.8441935909382</v>
      </c>
      <c r="BO58" s="9" t="n">
        <v>45.1386067428</v>
      </c>
      <c r="BP58" s="9" t="n">
        <v>50.20543122120066</v>
      </c>
      <c r="BQ58" s="9" t="n">
        <v>50.48156109291727</v>
      </c>
      <c r="BR58" s="9" t="n">
        <v>14.53702903539628</v>
      </c>
      <c r="BS58" s="9" t="n">
        <v>4.513956727817177</v>
      </c>
      <c r="BT58" s="9" t="n">
        <v>3.4668043776</v>
      </c>
      <c r="BU58" s="9" t="n">
        <v>3.855954387974481</v>
      </c>
      <c r="BV58" s="9" t="n">
        <v>3.877162137108341</v>
      </c>
      <c r="BW58" s="9" t="n">
        <v>134.0421144209758</v>
      </c>
      <c r="BX58" s="9" t="n">
        <v>109.9672730397166</v>
      </c>
      <c r="BY58" s="9" t="n">
        <v>124.8926646236186</v>
      </c>
      <c r="BZ58" s="9" t="n">
        <v>122.5123158902457</v>
      </c>
      <c r="CA58" s="9" t="n">
        <v>1.118943087422752</v>
      </c>
      <c r="CB58" s="9" t="n">
        <v>87.07028511763828</v>
      </c>
      <c r="CC58" s="9" t="n">
        <v>0</v>
      </c>
      <c r="CD58" s="9" t="n">
        <v>2.554380708480882</v>
      </c>
      <c r="CE58" s="9" t="n">
        <v>0.173</v>
      </c>
      <c r="CF58" s="9" t="n">
        <v>1.047</v>
      </c>
      <c r="CG58" s="9" t="n">
        <v>298.639</v>
      </c>
      <c r="CH58" s="9" t="n">
        <v>55.73</v>
      </c>
      <c r="CI58" s="9" t="n">
        <v>0.16</v>
      </c>
      <c r="CJ58" s="9" t="n">
        <v>3.01</v>
      </c>
      <c r="CK58" s="9" t="n">
        <v>0.95</v>
      </c>
      <c r="CL58" s="9" t="n">
        <v>1.9</v>
      </c>
      <c r="CM58" s="9" t="n">
        <v>0.98</v>
      </c>
      <c r="CN58" s="9" t="n">
        <v>82.3</v>
      </c>
      <c r="CO58" s="9" t="n">
        <v>22.58</v>
      </c>
      <c r="CP58" s="9" t="n">
        <v>47.19</v>
      </c>
      <c r="CQ58" s="9" t="n">
        <v>45.832</v>
      </c>
      <c r="CR58" s="9" t="n">
        <v>1</v>
      </c>
      <c r="CS58" s="9" t="n">
        <v>4</v>
      </c>
      <c r="CT58" s="9" t="n">
        <v>0.5</v>
      </c>
      <c r="CU58" s="9" t="n">
        <v>0.3</v>
      </c>
      <c r="CV58" s="9" t="n">
        <v>0.6</v>
      </c>
      <c r="CW58" s="9" t="n">
        <v>0.8</v>
      </c>
      <c r="CX58" s="9" t="n">
        <v>0.8</v>
      </c>
      <c r="CY58" s="9" t="n">
        <v>0.7</v>
      </c>
      <c r="CZ58" s="9" t="n">
        <v>0.5</v>
      </c>
      <c r="DA58" s="9" t="n">
        <v>0.5</v>
      </c>
      <c r="DB58" s="9" t="n">
        <v>1</v>
      </c>
      <c r="DC58" s="9" t="n">
        <v>0.3</v>
      </c>
      <c r="DD58" s="9" t="n">
        <v>0.8</v>
      </c>
      <c r="DE58" s="9" t="n">
        <v>0.8269112557109235</v>
      </c>
      <c r="DF58" s="9" t="n">
        <v>3</v>
      </c>
      <c r="DG58" s="9" t="n">
        <v>25.12</v>
      </c>
      <c r="DH58" s="9" t="n">
        <v>8.827999999999999</v>
      </c>
      <c r="DI58" s="9" t="n">
        <v>13.6586</v>
      </c>
      <c r="DJ58" s="9" t="n">
        <v>21.86458897246535</v>
      </c>
      <c r="DK58" s="9" t="n">
        <v>25.25703651213878</v>
      </c>
      <c r="DL58" s="9" t="n">
        <v>15.65611451797798</v>
      </c>
      <c r="DM58" s="9" t="n">
        <v>19.97518314087044</v>
      </c>
      <c r="DN58" s="9" t="n">
        <v>20.216</v>
      </c>
      <c r="DO58" s="9" t="n">
        <v>20.216</v>
      </c>
      <c r="DP58" s="9" t="n">
        <v>30.06628</v>
      </c>
      <c r="DQ58" s="9" t="n">
        <v>13.49856756811634</v>
      </c>
      <c r="DR58" s="9" t="n">
        <v>13.49856756811634</v>
      </c>
      <c r="DS58" s="9" t="n">
        <v>0.0369</v>
      </c>
    </row>
    <row r="59">
      <c r="A59" s="9" t="inlineStr">
        <is>
          <t>FJI</t>
        </is>
      </c>
      <c r="B59" s="9" t="inlineStr">
        <is>
          <t>Fiji</t>
        </is>
      </c>
      <c r="C59" s="9" t="n">
        <v>0.005</v>
      </c>
      <c r="D59" s="9" t="n">
        <v>0.005</v>
      </c>
      <c r="E59" s="9" t="n">
        <v>0.01</v>
      </c>
      <c r="F59" s="9" t="n">
        <v>0.005</v>
      </c>
      <c r="G59" s="9" t="n">
        <v>0.005</v>
      </c>
      <c r="H59" s="9" t="n">
        <v>0.01</v>
      </c>
      <c r="I59" s="9" t="n">
        <v>0.005</v>
      </c>
      <c r="J59" s="9" t="n">
        <v>0.005</v>
      </c>
      <c r="K59" s="9" t="n">
        <v>0.01</v>
      </c>
      <c r="L59" s="9" t="n">
        <v>0.01</v>
      </c>
      <c r="M59" s="9" t="n">
        <v>0.005</v>
      </c>
      <c r="N59" s="9" t="n">
        <v>0.150077</v>
      </c>
      <c r="O59" s="9" t="n">
        <v>0.061957</v>
      </c>
      <c r="P59" s="9" t="n">
        <v>3.81433</v>
      </c>
      <c r="Q59" s="9" t="n">
        <v>1.063863731489235</v>
      </c>
      <c r="R59" s="9" t="n">
        <v>0.3289129401591204</v>
      </c>
      <c r="S59" s="9" t="n">
        <v>0.68057739100063</v>
      </c>
      <c r="T59" s="9" t="n">
        <v>0.1957354911872366</v>
      </c>
      <c r="U59" s="9" t="n">
        <v>0.008211</v>
      </c>
      <c r="V59" s="9" t="n">
        <v>0.007959000000000001</v>
      </c>
      <c r="W59" s="9" t="n">
        <v>0.008207000000000001</v>
      </c>
      <c r="X59" s="9" t="n">
        <v>1.743099586275819</v>
      </c>
      <c r="Y59" s="9" t="n">
        <v>1.743099586275819</v>
      </c>
      <c r="Z59" s="9" t="n">
        <v>0.02279162647142991</v>
      </c>
      <c r="AA59" s="9" t="n">
        <v>0.24</v>
      </c>
      <c r="AB59" s="9" t="n">
        <v>0.01</v>
      </c>
      <c r="AC59" s="9" t="n">
        <v>0.01</v>
      </c>
      <c r="AD59" s="9" t="n">
        <v>0</v>
      </c>
      <c r="AE59" s="9" t="n">
        <v>0</v>
      </c>
      <c r="AF59" s="9" t="n">
        <v>1.809</v>
      </c>
      <c r="AG59" s="9" t="n">
        <v>0</v>
      </c>
      <c r="AH59" s="9" t="n">
        <v>0</v>
      </c>
      <c r="AI59" s="9" t="n">
        <v>0</v>
      </c>
      <c r="AJ59" s="9" t="n">
        <v>0</v>
      </c>
      <c r="AK59" s="9" t="n">
        <v>0</v>
      </c>
      <c r="AL59" s="9" t="n">
        <v>0</v>
      </c>
      <c r="AM59" s="9" t="n">
        <v>0</v>
      </c>
      <c r="AN59" s="9" t="n">
        <v>0</v>
      </c>
      <c r="AO59" s="9" t="n">
        <v>0</v>
      </c>
      <c r="AP59" s="9" t="n">
        <v>3.925513645526058</v>
      </c>
      <c r="AQ59" s="9" t="n">
        <v>3.611392425000001</v>
      </c>
      <c r="AR59" s="9" t="n">
        <v>3.611392425000001</v>
      </c>
      <c r="AS59" s="9" t="n">
        <v>3.647506349250001</v>
      </c>
      <c r="AT59" s="9" t="n">
        <v>2.43462285361799</v>
      </c>
      <c r="AU59" s="9" t="n">
        <v>1.8716168304</v>
      </c>
      <c r="AV59" s="9" t="n">
        <v>2.254537780449177</v>
      </c>
      <c r="AW59" s="9" t="n">
        <v>2.398685716482287</v>
      </c>
      <c r="AX59" s="9" t="n">
        <v>1.39118796955025</v>
      </c>
      <c r="AY59" s="9" t="n">
        <v>1.1140404912</v>
      </c>
      <c r="AZ59" s="9" t="n">
        <v>1.28828406929493</v>
      </c>
      <c r="BA59" s="9" t="n">
        <v>1.370652832960625</v>
      </c>
      <c r="BB59" s="9" t="n">
        <v>3.733536907225429</v>
      </c>
      <c r="BC59" s="9" t="n">
        <v>2.853438164623714</v>
      </c>
      <c r="BD59" s="9" t="n">
        <v>4.518626308999999</v>
      </c>
      <c r="BE59" s="9" t="n">
        <v>3.626676514259997</v>
      </c>
      <c r="BF59" s="9" t="n">
        <v>0.6717277494798101</v>
      </c>
      <c r="BG59" s="9" t="n">
        <v>0.6109412830003706</v>
      </c>
      <c r="BH59" s="9" t="n">
        <v>0.6109412830003706</v>
      </c>
      <c r="BI59" s="9" t="n">
        <v>0.6170506958303743</v>
      </c>
      <c r="BJ59" s="9" t="n">
        <v>1.137228049379391</v>
      </c>
      <c r="BK59" s="9" t="n">
        <v>1.13089840255591</v>
      </c>
      <c r="BL59" s="9" t="n">
        <v>1.13089840255591</v>
      </c>
      <c r="BM59" s="9" t="n">
        <v>1.142207386581469</v>
      </c>
      <c r="BN59" s="9" t="n">
        <v>0</v>
      </c>
      <c r="BO59" s="9" t="n">
        <v>0</v>
      </c>
      <c r="BP59" s="9" t="n">
        <v>0</v>
      </c>
      <c r="BQ59" s="9" t="n">
        <v>0</v>
      </c>
      <c r="BR59" s="9" t="n">
        <v>0</v>
      </c>
      <c r="BS59" s="9" t="n">
        <v>0</v>
      </c>
      <c r="BT59" s="9" t="n">
        <v>0</v>
      </c>
      <c r="BU59" s="9" t="n">
        <v>0</v>
      </c>
      <c r="BV59" s="9" t="n">
        <v>0</v>
      </c>
      <c r="BW59" s="9" t="n">
        <v>6.757582596555917</v>
      </c>
      <c r="BX59" s="9" t="n">
        <v>5.986828412313381</v>
      </c>
      <c r="BY59" s="9" t="n">
        <v>6.554865045741923</v>
      </c>
      <c r="BZ59" s="9" t="n">
        <v>6.486794307998274</v>
      </c>
      <c r="CA59" s="9" t="n">
        <v>1.06067749716392</v>
      </c>
      <c r="CB59" s="9" t="n">
        <v>1.062725228657844</v>
      </c>
      <c r="CC59" s="9" t="n">
        <v>0.042</v>
      </c>
      <c r="CD59" s="9" t="n">
        <v>0.4047033087229978</v>
      </c>
      <c r="CE59" s="9" t="n">
        <v>3.191</v>
      </c>
      <c r="CF59" s="9" t="n">
        <v>2.43</v>
      </c>
      <c r="CG59" s="9" t="n">
        <v>5.968</v>
      </c>
      <c r="CH59" s="9" t="n">
        <v>0.72</v>
      </c>
      <c r="CI59" s="9" t="n">
        <v>0</v>
      </c>
      <c r="CJ59" s="9" t="n">
        <v>0.42</v>
      </c>
      <c r="CK59" s="9" t="n">
        <v>0</v>
      </c>
      <c r="CL59" s="9" t="n">
        <v>0.42</v>
      </c>
      <c r="CM59" s="9" t="n">
        <v>0.01</v>
      </c>
      <c r="CN59" s="9" t="n">
        <v>1.15</v>
      </c>
      <c r="CO59" s="9" t="n">
        <v>0</v>
      </c>
      <c r="CP59" s="9" t="n">
        <v>3.104</v>
      </c>
      <c r="CQ59" s="9" t="n">
        <v>0.531</v>
      </c>
      <c r="CR59" s="9" t="n">
        <v>3</v>
      </c>
      <c r="CS59" s="9" t="n">
        <v>3</v>
      </c>
      <c r="CT59" s="9" t="n">
        <v>0.5</v>
      </c>
      <c r="CU59" s="9" t="n">
        <v>0.3</v>
      </c>
      <c r="CV59" s="9" t="n">
        <v>0.6</v>
      </c>
      <c r="CW59" s="9" t="n">
        <v>0.8</v>
      </c>
      <c r="CX59" s="9" t="n">
        <v>0.8</v>
      </c>
      <c r="CY59" s="9" t="n">
        <v>0.7</v>
      </c>
      <c r="CZ59" s="9" t="n">
        <v>0.5</v>
      </c>
      <c r="DA59" s="9" t="n">
        <v>0.5</v>
      </c>
      <c r="DB59" s="9" t="n">
        <v>1</v>
      </c>
      <c r="DC59" s="9" t="n">
        <v>0.3</v>
      </c>
      <c r="DD59" s="9" t="n">
        <v>0.8</v>
      </c>
      <c r="DE59" s="9" t="n">
        <v>0.4152229875460934</v>
      </c>
      <c r="DF59" s="9" t="n">
        <v>1</v>
      </c>
      <c r="DG59" s="9" t="n">
        <v>7.124</v>
      </c>
      <c r="DH59" s="9" t="n">
        <v>4.833</v>
      </c>
      <c r="DI59" s="9" t="n">
        <v>12.48159</v>
      </c>
      <c r="DJ59" s="9" t="n">
        <v>20.00008580194926</v>
      </c>
      <c r="DK59" s="9" t="n">
        <v>22.44226007971464</v>
      </c>
      <c r="DL59" s="9" t="n">
        <v>18.82654393508729</v>
      </c>
      <c r="DM59" s="9" t="n">
        <v>21.41709350123745</v>
      </c>
      <c r="DN59" s="9" t="n">
        <v>8.176</v>
      </c>
      <c r="DO59" s="9" t="n">
        <v>6.853</v>
      </c>
      <c r="DP59" s="9" t="n">
        <v>17.56862</v>
      </c>
      <c r="DQ59" s="9" t="n">
        <v>14.11516990770765</v>
      </c>
      <c r="DR59" s="9" t="n">
        <v>14.11516990770765</v>
      </c>
      <c r="DS59" s="9" t="n">
        <v>0.105</v>
      </c>
    </row>
    <row r="60">
      <c r="A60" s="9" t="inlineStr">
        <is>
          <t>FRA</t>
        </is>
      </c>
      <c r="B60" s="9" t="inlineStr">
        <is>
          <t>France</t>
        </is>
      </c>
      <c r="C60" s="9" t="n">
        <v>0.005</v>
      </c>
      <c r="D60" s="9" t="n">
        <v>0.005</v>
      </c>
      <c r="E60" s="9" t="n">
        <v>0.01</v>
      </c>
      <c r="F60" s="9" t="n">
        <v>0.005</v>
      </c>
      <c r="G60" s="9" t="n">
        <v>0.005</v>
      </c>
      <c r="H60" s="9" t="n">
        <v>0.01</v>
      </c>
      <c r="I60" s="9" t="n">
        <v>0.005</v>
      </c>
      <c r="J60" s="9" t="n">
        <v>0.005</v>
      </c>
      <c r="K60" s="9" t="n">
        <v>0.01</v>
      </c>
      <c r="L60" s="9" t="n">
        <v>0.01</v>
      </c>
      <c r="M60" s="9" t="n">
        <v>0.005</v>
      </c>
      <c r="N60" s="9" t="n">
        <v>6.548112</v>
      </c>
      <c r="O60" s="9" t="n">
        <v>2.240789</v>
      </c>
      <c r="P60" s="9" t="n">
        <v>50.5134</v>
      </c>
      <c r="Q60" s="9" t="n">
        <v>3.636045291631441</v>
      </c>
      <c r="R60" s="9" t="n">
        <v>0.6989471468761277</v>
      </c>
      <c r="S60" s="9" t="n">
        <v>6.560335837232922</v>
      </c>
      <c r="T60" s="9" t="n">
        <v>13.82821205843528</v>
      </c>
      <c r="U60" s="9" t="n">
        <v>1.323752</v>
      </c>
      <c r="V60" s="9" t="n">
        <v>0.120672</v>
      </c>
      <c r="W60" s="9" t="n">
        <v>0.217198</v>
      </c>
      <c r="X60" s="9" t="n">
        <v>5.102558480139344</v>
      </c>
      <c r="Y60" s="9" t="n">
        <v>5.102558480139344</v>
      </c>
      <c r="Z60" s="9" t="n">
        <v>26.58411253675958</v>
      </c>
      <c r="AA60" s="9" t="n">
        <v>22.59</v>
      </c>
      <c r="AB60" s="9" t="n">
        <v>31.23</v>
      </c>
      <c r="AC60" s="9" t="n">
        <v>25.65</v>
      </c>
      <c r="AD60" s="9" t="n">
        <v>0</v>
      </c>
      <c r="AE60" s="9" t="n">
        <v>0</v>
      </c>
      <c r="AF60" s="9" t="n">
        <v>322.969</v>
      </c>
      <c r="AG60" s="9" t="n">
        <v>170.8546431199361</v>
      </c>
      <c r="AH60" s="9" t="n">
        <v>157.2199628724</v>
      </c>
      <c r="AI60" s="9" t="n">
        <v>157.744029415308</v>
      </c>
      <c r="AJ60" s="9" t="n">
        <v>155.3475335838062</v>
      </c>
      <c r="AK60" s="9" t="n">
        <v>79.53525711573118</v>
      </c>
      <c r="AL60" s="9" t="n">
        <v>14.26362838234157</v>
      </c>
      <c r="AM60" s="9" t="n">
        <v>13.1423317056</v>
      </c>
      <c r="AN60" s="9" t="n">
        <v>13.186139477952</v>
      </c>
      <c r="AO60" s="9" t="n">
        <v>12.98581158972927</v>
      </c>
      <c r="AP60" s="9" t="n">
        <v>1268.129154036331</v>
      </c>
      <c r="AQ60" s="9" t="n">
        <v>1243.044279728994</v>
      </c>
      <c r="AR60" s="9" t="n">
        <v>1247.187760661424</v>
      </c>
      <c r="AS60" s="9" t="n">
        <v>1228.240100451376</v>
      </c>
      <c r="AT60" s="9" t="n">
        <v>937.3938956152653</v>
      </c>
      <c r="AU60" s="9" t="n">
        <v>947.8638661860005</v>
      </c>
      <c r="AV60" s="9" t="n">
        <v>951.8482475911744</v>
      </c>
      <c r="AW60" s="9" t="n">
        <v>977.174493924806</v>
      </c>
      <c r="AX60" s="9" t="n">
        <v>604.491579135451</v>
      </c>
      <c r="AY60" s="9" t="n">
        <v>611.1942305112</v>
      </c>
      <c r="AZ60" s="9" t="n">
        <v>613.7294989718596</v>
      </c>
      <c r="BA60" s="9" t="n">
        <v>630.288933599727</v>
      </c>
      <c r="BB60" s="9" t="n">
        <v>362.9295541013015</v>
      </c>
      <c r="BC60" s="9" t="n">
        <v>356.136065669404</v>
      </c>
      <c r="BD60" s="9" t="n">
        <v>398.8198688497575</v>
      </c>
      <c r="BE60" s="9" t="n">
        <v>351.8946221026912</v>
      </c>
      <c r="BF60" s="9" t="n">
        <v>64.02124130836624</v>
      </c>
      <c r="BG60" s="9" t="n">
        <v>61.48169455454536</v>
      </c>
      <c r="BH60" s="9" t="n">
        <v>61.68663353639384</v>
      </c>
      <c r="BI60" s="9" t="n">
        <v>60.7494712192063</v>
      </c>
      <c r="BJ60" s="9" t="n">
        <v>37.32119328460566</v>
      </c>
      <c r="BK60" s="9" t="n">
        <v>37.36484874999996</v>
      </c>
      <c r="BL60" s="9" t="n">
        <v>37.48939824583328</v>
      </c>
      <c r="BM60" s="9" t="n">
        <v>36.91984777248312</v>
      </c>
      <c r="BN60" s="9" t="n">
        <v>454.0580057112188</v>
      </c>
      <c r="BO60" s="9" t="n">
        <v>396.1567702691999</v>
      </c>
      <c r="BP60" s="9" t="n">
        <v>397.477292836764</v>
      </c>
      <c r="BQ60" s="9" t="n">
        <v>391.4386955032825</v>
      </c>
      <c r="BR60" s="9" t="n">
        <v>101.7391230743483</v>
      </c>
      <c r="BS60" s="9" t="n">
        <v>910.6535149403484</v>
      </c>
      <c r="BT60" s="9" t="n">
        <v>869.4911444256001</v>
      </c>
      <c r="BU60" s="9" t="n">
        <v>872.3894482403522</v>
      </c>
      <c r="BV60" s="9" t="n">
        <v>859.135839315162</v>
      </c>
      <c r="BW60" s="9" t="n">
        <v>549.3411693469469</v>
      </c>
      <c r="BX60" s="9" t="n">
        <v>561.2299316297286</v>
      </c>
      <c r="BY60" s="9" t="n">
        <v>529.1802054032634</v>
      </c>
      <c r="BZ60" s="9" t="n">
        <v>521.6252589015505</v>
      </c>
      <c r="CA60" s="9" t="n">
        <v>1.123586760770389</v>
      </c>
      <c r="CB60" s="9" t="n">
        <v>428.3015207640878</v>
      </c>
      <c r="CC60" s="9" t="n">
        <v>0.002</v>
      </c>
      <c r="CD60" s="9" t="n">
        <v>2.579084592294258</v>
      </c>
      <c r="CE60" s="9" t="n">
        <v>0.928</v>
      </c>
      <c r="CF60" s="9" t="n">
        <v>0.858</v>
      </c>
      <c r="CG60" s="9" t="n">
        <v>3161.042</v>
      </c>
      <c r="CH60" s="9" t="n">
        <v>462.32</v>
      </c>
      <c r="CI60" s="9" t="n">
        <v>1.74</v>
      </c>
      <c r="CJ60" s="9" t="n">
        <v>29.35</v>
      </c>
      <c r="CK60" s="9" t="n">
        <v>17.25</v>
      </c>
      <c r="CL60" s="9" t="n">
        <v>10.36</v>
      </c>
      <c r="CM60" s="9" t="n">
        <v>32.01</v>
      </c>
      <c r="CN60" s="9" t="n">
        <v>570.14</v>
      </c>
      <c r="CO60" s="9" t="n">
        <v>46.46</v>
      </c>
      <c r="CP60" s="9" t="n">
        <v>423.894</v>
      </c>
      <c r="CQ60" s="9" t="n">
        <v>405.322</v>
      </c>
      <c r="CR60" s="9" t="n">
        <v>1</v>
      </c>
      <c r="CS60" s="9" t="n">
        <v>4</v>
      </c>
      <c r="CT60" s="9" t="n">
        <v>0.5</v>
      </c>
      <c r="CU60" s="9" t="n">
        <v>0.3</v>
      </c>
      <c r="CV60" s="9" t="n">
        <v>0.6</v>
      </c>
      <c r="CW60" s="9" t="n">
        <v>0.8</v>
      </c>
      <c r="CX60" s="9" t="n">
        <v>0.8</v>
      </c>
      <c r="CY60" s="9" t="n">
        <v>0.7</v>
      </c>
      <c r="CZ60" s="9" t="n">
        <v>0.5</v>
      </c>
      <c r="DA60" s="9" t="n">
        <v>0.5</v>
      </c>
      <c r="DB60" s="9" t="n">
        <v>1</v>
      </c>
      <c r="DC60" s="9" t="n">
        <v>0.3</v>
      </c>
      <c r="DD60" s="9" t="n">
        <v>0.8</v>
      </c>
      <c r="DE60" s="9" t="n">
        <v>0.7189827109814336</v>
      </c>
      <c r="DF60" s="9" t="n">
        <v>3</v>
      </c>
      <c r="DG60" s="9" t="n">
        <v>15.063</v>
      </c>
      <c r="DH60" s="9" t="n">
        <v>18.133</v>
      </c>
      <c r="DI60" s="9" t="n">
        <v>18.8268</v>
      </c>
      <c r="DJ60" s="9" t="n">
        <v>22.40661597380252</v>
      </c>
      <c r="DK60" s="9" t="n">
        <v>24.66177901236897</v>
      </c>
      <c r="DL60" s="9" t="n">
        <v>18.78733742157358</v>
      </c>
      <c r="DM60" s="9" t="n">
        <v>21.69219379919621</v>
      </c>
      <c r="DN60" s="9" t="n">
        <v>17.329</v>
      </c>
      <c r="DO60" s="9" t="n">
        <v>17.329</v>
      </c>
      <c r="DP60" s="9" t="n">
        <v>30.9912</v>
      </c>
      <c r="DQ60" s="9" t="n">
        <v>13.49474620847193</v>
      </c>
      <c r="DR60" s="9" t="n">
        <v>13.49474620847193</v>
      </c>
      <c r="DS60" s="9" t="n">
        <v>0.03297</v>
      </c>
    </row>
    <row r="61">
      <c r="A61" s="9" t="inlineStr">
        <is>
          <t>GAB</t>
        </is>
      </c>
      <c r="B61" s="9" t="inlineStr">
        <is>
          <t>Gabon</t>
        </is>
      </c>
      <c r="C61" s="9" t="n">
        <v>0.005</v>
      </c>
      <c r="D61" s="9" t="n">
        <v>0.005</v>
      </c>
      <c r="E61" s="9" t="n">
        <v>0.01</v>
      </c>
      <c r="F61" s="9" t="n">
        <v>0.005</v>
      </c>
      <c r="G61" s="9" t="n">
        <v>0.005</v>
      </c>
      <c r="H61" s="9" t="n">
        <v>0.01</v>
      </c>
      <c r="I61" s="9" t="n">
        <v>0.005</v>
      </c>
      <c r="J61" s="9" t="n">
        <v>0.005</v>
      </c>
      <c r="K61" s="9" t="n">
        <v>0.01</v>
      </c>
      <c r="L61" s="9" t="n">
        <v>0.01</v>
      </c>
      <c r="M61" s="9" t="n">
        <v>0.005</v>
      </c>
      <c r="N61" s="9" t="n">
        <v>0.595523</v>
      </c>
      <c r="O61" s="9" t="n">
        <v>1.757932</v>
      </c>
      <c r="P61" s="9" t="n">
        <v>4.118344</v>
      </c>
      <c r="Q61" s="9" t="n">
        <v>2.9928524294956</v>
      </c>
      <c r="R61" s="9" t="n">
        <v>0.6985182045963167</v>
      </c>
      <c r="S61" s="9" t="n">
        <v>0.9345985113270104</v>
      </c>
      <c r="T61" s="9" t="n">
        <v>0.2930601735869149</v>
      </c>
      <c r="U61" s="9" t="n">
        <v>0.008855</v>
      </c>
      <c r="V61" s="9" t="n">
        <v>0.004293</v>
      </c>
      <c r="W61" s="9" t="n">
        <v>0.007716</v>
      </c>
      <c r="X61" s="9" t="n">
        <v>1.094399234592544</v>
      </c>
      <c r="Y61" s="9" t="n">
        <v>1.094399234592544</v>
      </c>
      <c r="Z61" s="9" t="n">
        <v>0.07981652031717243</v>
      </c>
      <c r="AA61" s="9" t="n">
        <v>0.6899999999999999</v>
      </c>
      <c r="AB61" s="9" t="n">
        <v>0.01</v>
      </c>
      <c r="AC61" s="9" t="n">
        <v>0</v>
      </c>
      <c r="AD61" s="9" t="n">
        <v>0</v>
      </c>
      <c r="AE61" s="9" t="n">
        <v>0</v>
      </c>
      <c r="AF61" s="9" t="n">
        <v>5.318</v>
      </c>
      <c r="AG61" s="9" t="n">
        <v>0</v>
      </c>
      <c r="AH61" s="9" t="n">
        <v>0</v>
      </c>
      <c r="AI61" s="9" t="n">
        <v>0</v>
      </c>
      <c r="AJ61" s="9" t="n">
        <v>0</v>
      </c>
      <c r="AK61" s="9" t="n">
        <v>0</v>
      </c>
      <c r="AL61" s="9" t="n">
        <v>0</v>
      </c>
      <c r="AM61" s="9" t="n">
        <v>0</v>
      </c>
      <c r="AN61" s="9" t="n">
        <v>0</v>
      </c>
      <c r="AO61" s="9" t="n">
        <v>0</v>
      </c>
      <c r="AP61" s="9" t="n">
        <v>0.5219245871009244</v>
      </c>
      <c r="AQ61" s="9" t="n">
        <v>0.53494568</v>
      </c>
      <c r="AR61" s="9" t="n">
        <v>0.5250109745142856</v>
      </c>
      <c r="AS61" s="9" t="n">
        <v>0.5062605825673471</v>
      </c>
      <c r="AT61" s="9" t="n">
        <v>4.150616403154873</v>
      </c>
      <c r="AU61" s="9" t="n">
        <v>3.7977583572</v>
      </c>
      <c r="AV61" s="9" t="n">
        <v>3.820947744321258</v>
      </c>
      <c r="AW61" s="9" t="n">
        <v>4.064489148589929</v>
      </c>
      <c r="AX61" s="9" t="n">
        <v>4.929847050949556</v>
      </c>
      <c r="AY61" s="9" t="n">
        <v>4.52614014</v>
      </c>
      <c r="AZ61" s="9" t="n">
        <v>4.53791658242907</v>
      </c>
      <c r="BA61" s="9" t="n">
        <v>4.827877725420771</v>
      </c>
      <c r="BB61" s="9" t="n">
        <v>1.864254846400208</v>
      </c>
      <c r="BC61" s="9" t="n">
        <v>1.730887740504128</v>
      </c>
      <c r="BD61" s="9" t="n">
        <v>2.074471855262729</v>
      </c>
      <c r="BE61" s="9" t="n">
        <v>1.80064872707602</v>
      </c>
      <c r="BF61" s="9" t="n">
        <v>0.3138987152390896</v>
      </c>
      <c r="BG61" s="9" t="n">
        <v>0.3202025283720925</v>
      </c>
      <c r="BH61" s="9" t="n">
        <v>0.3142559099880392</v>
      </c>
      <c r="BI61" s="9" t="n">
        <v>0.3030324846313237</v>
      </c>
      <c r="BJ61" s="9" t="n">
        <v>0.914588750026766</v>
      </c>
      <c r="BK61" s="9" t="n">
        <v>0.8292345199999991</v>
      </c>
      <c r="BL61" s="9" t="n">
        <v>0.8138344503428565</v>
      </c>
      <c r="BM61" s="9" t="n">
        <v>0.7847689342591827</v>
      </c>
      <c r="BN61" s="9" t="n">
        <v>4.518037527967699</v>
      </c>
      <c r="BO61" s="9" t="n">
        <v>4.6870723584</v>
      </c>
      <c r="BP61" s="9" t="n">
        <v>4.600026728886857</v>
      </c>
      <c r="BQ61" s="9" t="n">
        <v>4.435740059998041</v>
      </c>
      <c r="BR61" s="9" t="n">
        <v>16.151444330747</v>
      </c>
      <c r="BS61" s="9" t="n">
        <v>0.102804112192289</v>
      </c>
      <c r="BT61" s="9" t="n">
        <v>0.1066503564</v>
      </c>
      <c r="BU61" s="9" t="n">
        <v>0.1046697069239999</v>
      </c>
      <c r="BV61" s="9" t="n">
        <v>0.1009315031052857</v>
      </c>
      <c r="BW61" s="9" t="n">
        <v>12.90860129530867</v>
      </c>
      <c r="BX61" s="9" t="n">
        <v>18.08668656769977</v>
      </c>
      <c r="BY61" s="9" t="n">
        <v>12.56499035666865</v>
      </c>
      <c r="BZ61" s="9" t="n">
        <v>12.09206628428071</v>
      </c>
      <c r="CA61" s="9" t="n">
        <v>0.9271560609584558</v>
      </c>
      <c r="CB61" s="9" t="n">
        <v>2.522350959473453</v>
      </c>
      <c r="CC61" s="9" t="n">
        <v>0.223</v>
      </c>
      <c r="CD61" s="9" t="n">
        <v>-3.745668745668744</v>
      </c>
      <c r="CE61" s="9" t="n">
        <v>2.512</v>
      </c>
      <c r="CF61" s="9" t="n">
        <v>2.665</v>
      </c>
      <c r="CG61" s="9" t="n">
        <v>20.9</v>
      </c>
      <c r="CH61" s="9" t="n">
        <v>0.92</v>
      </c>
      <c r="CI61" s="9" t="n">
        <v>0</v>
      </c>
      <c r="CJ61" s="9" t="n">
        <v>1.68</v>
      </c>
      <c r="CK61" s="9" t="n">
        <v>1.15</v>
      </c>
      <c r="CL61" s="9" t="n">
        <v>0.53</v>
      </c>
      <c r="CM61" s="9" t="n">
        <v>0</v>
      </c>
      <c r="CN61" s="9" t="n">
        <v>2.6</v>
      </c>
      <c r="CO61" s="9" t="n">
        <v>0</v>
      </c>
      <c r="CP61" s="9" t="n">
        <v>19.77</v>
      </c>
      <c r="CQ61" s="9" t="n">
        <v>25.777</v>
      </c>
      <c r="CR61" s="9" t="n">
        <v>3</v>
      </c>
      <c r="CS61" s="9" t="n">
        <v>3</v>
      </c>
      <c r="CT61" s="9" t="n">
        <v>0.5</v>
      </c>
      <c r="CU61" s="9" t="n">
        <v>0.3</v>
      </c>
      <c r="CV61" s="9" t="n">
        <v>0.6</v>
      </c>
      <c r="CW61" s="9" t="n">
        <v>0.8</v>
      </c>
      <c r="CX61" s="9" t="n">
        <v>0.8</v>
      </c>
      <c r="CY61" s="9" t="n">
        <v>0.7</v>
      </c>
      <c r="CZ61" s="9" t="n">
        <v>0.5</v>
      </c>
      <c r="DA61" s="9" t="n">
        <v>0.5</v>
      </c>
      <c r="DB61" s="9" t="n">
        <v>1</v>
      </c>
      <c r="DC61" s="9" t="n">
        <v>0.3</v>
      </c>
      <c r="DD61" s="9" t="n">
        <v>0.8</v>
      </c>
      <c r="DE61" s="9" t="n">
        <v>0.3821329969100251</v>
      </c>
      <c r="DF61" s="9" t="n">
        <v>2</v>
      </c>
      <c r="DG61" s="9" t="n">
        <v>7.124</v>
      </c>
      <c r="DH61" s="9" t="n">
        <v>5.575</v>
      </c>
      <c r="DI61" s="9" t="n">
        <v>14.38774</v>
      </c>
      <c r="DJ61" s="9" t="n">
        <v>20.25837648232923</v>
      </c>
      <c r="DK61" s="9" t="n">
        <v>23.17028951316195</v>
      </c>
      <c r="DL61" s="9" t="n">
        <v>16.79209675615045</v>
      </c>
      <c r="DM61" s="9" t="n">
        <v>21.1973080686043</v>
      </c>
      <c r="DN61" s="9" t="n">
        <v>6.853</v>
      </c>
      <c r="DO61" s="9" t="n">
        <v>6.191</v>
      </c>
      <c r="DP61" s="9" t="n">
        <v>12.77114</v>
      </c>
      <c r="DQ61" s="9" t="n">
        <v>13.49474620847193</v>
      </c>
      <c r="DR61" s="9" t="n">
        <v>13.49474620847193</v>
      </c>
      <c r="DS61" s="9" t="n">
        <v>0.105</v>
      </c>
    </row>
    <row r="62">
      <c r="A62" s="9" t="inlineStr">
        <is>
          <t>GBR</t>
        </is>
      </c>
      <c r="B62" s="9" t="inlineStr">
        <is>
          <t>United Kingdom</t>
        </is>
      </c>
      <c r="C62" s="9" t="n">
        <v>0.005</v>
      </c>
      <c r="D62" s="9" t="n">
        <v>0.005</v>
      </c>
      <c r="E62" s="9" t="n">
        <v>0.01</v>
      </c>
      <c r="F62" s="9" t="n">
        <v>0.005</v>
      </c>
      <c r="G62" s="9" t="n">
        <v>0.005</v>
      </c>
      <c r="H62" s="9" t="n">
        <v>0.01</v>
      </c>
      <c r="I62" s="9" t="n">
        <v>0.005</v>
      </c>
      <c r="J62" s="9" t="n">
        <v>0.005</v>
      </c>
      <c r="K62" s="9" t="n">
        <v>0.01</v>
      </c>
      <c r="L62" s="9" t="n">
        <v>0.01</v>
      </c>
      <c r="M62" s="9" t="n">
        <v>0.005</v>
      </c>
      <c r="N62" s="9" t="n">
        <v>5.365869</v>
      </c>
      <c r="O62" s="9" t="n">
        <v>1.867267</v>
      </c>
      <c r="P62" s="9" t="n">
        <v>84.841876</v>
      </c>
      <c r="Q62" s="9" t="n">
        <v>3.219181883776434</v>
      </c>
      <c r="R62" s="9" t="n">
        <v>1.080305429780147</v>
      </c>
      <c r="S62" s="9" t="n">
        <v>14.48076682096674</v>
      </c>
      <c r="T62" s="9" t="n">
        <v>31.38994478498002</v>
      </c>
      <c r="U62" s="9" t="n">
        <v>0.497922</v>
      </c>
      <c r="V62" s="9" t="n">
        <v>0.95413</v>
      </c>
      <c r="W62" s="9" t="n">
        <v>0.255161</v>
      </c>
      <c r="X62" s="9" t="n">
        <v>6.421983512250804</v>
      </c>
      <c r="Y62" s="9" t="n">
        <v>6.421983512250804</v>
      </c>
      <c r="Z62" s="9" t="n">
        <v>31.07764249360724</v>
      </c>
      <c r="AA62" s="9" t="n">
        <v>40.6</v>
      </c>
      <c r="AB62" s="9" t="n">
        <v>21.66</v>
      </c>
      <c r="AC62" s="9" t="n">
        <v>33.4</v>
      </c>
      <c r="AD62" s="9" t="n">
        <v>3</v>
      </c>
      <c r="AE62" s="9" t="n">
        <v>0.07177723679999999</v>
      </c>
      <c r="AF62" s="9" t="n">
        <v>370.094</v>
      </c>
      <c r="AG62" s="9" t="n">
        <v>77.29740234994142</v>
      </c>
      <c r="AH62" s="9" t="n">
        <v>66.1940155692</v>
      </c>
      <c r="AI62" s="9" t="n">
        <v>69.209520722908</v>
      </c>
      <c r="AJ62" s="9" t="n">
        <v>69.4402191253177</v>
      </c>
      <c r="AK62" s="9" t="n">
        <v>45.7180566430589</v>
      </c>
      <c r="AL62" s="9" t="n">
        <v>22.42274162139956</v>
      </c>
      <c r="AM62" s="9" t="n">
        <v>21.0674919312</v>
      </c>
      <c r="AN62" s="9" t="n">
        <v>22.027233230288</v>
      </c>
      <c r="AO62" s="9" t="n">
        <v>22.10065734105563</v>
      </c>
      <c r="AP62" s="9" t="n">
        <v>1056.189745625289</v>
      </c>
      <c r="AQ62" s="9" t="n">
        <v>983.5064053995264</v>
      </c>
      <c r="AR62" s="9" t="n">
        <v>1028.310586089949</v>
      </c>
      <c r="AS62" s="9" t="n">
        <v>1031.738288043582</v>
      </c>
      <c r="AT62" s="9" t="n">
        <v>595.2085988190673</v>
      </c>
      <c r="AU62" s="9" t="n">
        <v>647.3308236948001</v>
      </c>
      <c r="AV62" s="9" t="n">
        <v>659.0662002886522</v>
      </c>
      <c r="AW62" s="9" t="n">
        <v>596.7597165823136</v>
      </c>
      <c r="AX62" s="9" t="n">
        <v>356.3919406076813</v>
      </c>
      <c r="AY62" s="9" t="n">
        <v>384.820259832</v>
      </c>
      <c r="AZ62" s="9" t="n">
        <v>394.8835620767645</v>
      </c>
      <c r="BA62" s="9" t="n">
        <v>357.2811135847478</v>
      </c>
      <c r="BB62" s="9" t="n">
        <v>506.1905306451016</v>
      </c>
      <c r="BC62" s="9" t="n">
        <v>472.7958800975607</v>
      </c>
      <c r="BD62" s="9" t="n">
        <v>509.1898556016261</v>
      </c>
      <c r="BE62" s="9" t="n">
        <v>495.9821402767158</v>
      </c>
      <c r="BF62" s="9" t="n">
        <v>93.14550469132431</v>
      </c>
      <c r="BG62" s="9" t="n">
        <v>83.53193531548106</v>
      </c>
      <c r="BH62" s="9" t="n">
        <v>87.33727903540853</v>
      </c>
      <c r="BI62" s="9" t="n">
        <v>87.62840329885992</v>
      </c>
      <c r="BJ62" s="9" t="n">
        <v>10.99771156541831</v>
      </c>
      <c r="BK62" s="9" t="n">
        <v>11.30029002017936</v>
      </c>
      <c r="BL62" s="9" t="n">
        <v>11.81508100998753</v>
      </c>
      <c r="BM62" s="9" t="n">
        <v>11.85446461335416</v>
      </c>
      <c r="BN62" s="9" t="n">
        <v>809.0946631529623</v>
      </c>
      <c r="BO62" s="9" t="n">
        <v>695.1474082008</v>
      </c>
      <c r="BP62" s="9" t="n">
        <v>726.815234574392</v>
      </c>
      <c r="BQ62" s="9" t="n">
        <v>729.2379520229732</v>
      </c>
      <c r="BR62" s="9" t="n">
        <v>578.0137021604734</v>
      </c>
      <c r="BS62" s="9" t="n">
        <v>1544.851000906821</v>
      </c>
      <c r="BT62" s="9" t="n">
        <v>1223.2071060264</v>
      </c>
      <c r="BU62" s="9" t="n">
        <v>1278.930985300936</v>
      </c>
      <c r="BV62" s="9" t="n">
        <v>1283.194088585273</v>
      </c>
      <c r="BW62" s="9" t="n">
        <v>477.3292713955714</v>
      </c>
      <c r="BX62" s="9" t="n">
        <v>420.0554449918567</v>
      </c>
      <c r="BY62" s="9" t="n">
        <v>442.8001787124175</v>
      </c>
      <c r="BZ62" s="9" t="n">
        <v>446.4192492886779</v>
      </c>
      <c r="CA62" s="9" t="n">
        <v>1.095039266644831</v>
      </c>
      <c r="CB62" s="9" t="n">
        <v>264.3334831740968</v>
      </c>
      <c r="CC62" s="9" t="n">
        <v>0.373</v>
      </c>
      <c r="CD62" s="9" t="n">
        <v>2.738632188671669</v>
      </c>
      <c r="CE62" s="9" t="n">
        <v>1.323</v>
      </c>
      <c r="CF62" s="9" t="n">
        <v>0.797</v>
      </c>
      <c r="CG62" s="9" t="n">
        <v>3695.355</v>
      </c>
      <c r="CH62" s="9" t="n">
        <v>83.14</v>
      </c>
      <c r="CI62" s="9" t="n">
        <v>0.33</v>
      </c>
      <c r="CJ62" s="9" t="n">
        <v>104.01</v>
      </c>
      <c r="CK62" s="9" t="n">
        <v>90.91</v>
      </c>
      <c r="CL62" s="9" t="n">
        <v>12.77</v>
      </c>
      <c r="CM62" s="9" t="n">
        <v>19.32</v>
      </c>
      <c r="CN62" s="9" t="n">
        <v>292.41</v>
      </c>
      <c r="CO62" s="9" t="n">
        <v>85.94</v>
      </c>
      <c r="CP62" s="9" t="n">
        <v>454.233</v>
      </c>
      <c r="CQ62" s="9" t="n">
        <v>450.982</v>
      </c>
      <c r="CR62" s="9" t="n">
        <v>1</v>
      </c>
      <c r="CS62" s="9" t="n">
        <v>4</v>
      </c>
      <c r="CT62" s="9" t="n">
        <v>0.5</v>
      </c>
      <c r="CU62" s="9" t="n">
        <v>0.3</v>
      </c>
      <c r="CV62" s="9" t="n">
        <v>0.6</v>
      </c>
      <c r="CW62" s="9" t="n">
        <v>0.8</v>
      </c>
      <c r="CX62" s="9" t="n">
        <v>0.8</v>
      </c>
      <c r="CY62" s="9" t="n">
        <v>0.7</v>
      </c>
      <c r="CZ62" s="9" t="n">
        <v>0.5</v>
      </c>
      <c r="DA62" s="9" t="n">
        <v>0.5</v>
      </c>
      <c r="DB62" s="9" t="n">
        <v>1</v>
      </c>
      <c r="DC62" s="9" t="n">
        <v>0.3</v>
      </c>
      <c r="DD62" s="9" t="n">
        <v>0.8</v>
      </c>
      <c r="DE62" s="9" t="n">
        <v>0.8456809194265941</v>
      </c>
      <c r="DF62" s="9" t="n">
        <v>3</v>
      </c>
      <c r="DG62" s="9" t="n">
        <v>14.313</v>
      </c>
      <c r="DH62" s="9" t="n">
        <v>13.133</v>
      </c>
      <c r="DI62" s="9" t="n">
        <v>37.428</v>
      </c>
      <c r="DJ62" s="9" t="n">
        <v>22.64013134133383</v>
      </c>
      <c r="DK62" s="9" t="n">
        <v>24.84433684665657</v>
      </c>
      <c r="DL62" s="9" t="n">
        <v>17.34032567315478</v>
      </c>
      <c r="DM62" s="9" t="n">
        <v>20.75195745934535</v>
      </c>
      <c r="DN62" s="9" t="n">
        <v>19.634</v>
      </c>
      <c r="DO62" s="9" t="n">
        <v>32.277</v>
      </c>
      <c r="DP62" s="9" t="n">
        <v>32.5296</v>
      </c>
      <c r="DQ62" s="9" t="n">
        <v>13.49474620847193</v>
      </c>
      <c r="DR62" s="9" t="n">
        <v>13.49474620847193</v>
      </c>
      <c r="DS62" s="9" t="n">
        <v>0.03587</v>
      </c>
    </row>
    <row r="63">
      <c r="A63" s="9" t="inlineStr">
        <is>
          <t>GEO</t>
        </is>
      </c>
      <c r="B63" s="9" t="inlineStr">
        <is>
          <t>Georgia</t>
        </is>
      </c>
      <c r="C63" s="9" t="n">
        <v>0.005</v>
      </c>
      <c r="D63" s="9" t="n">
        <v>0.005</v>
      </c>
      <c r="E63" s="9" t="n">
        <v>0.01</v>
      </c>
      <c r="F63" s="9" t="n">
        <v>0.005</v>
      </c>
      <c r="G63" s="9" t="n">
        <v>0.005</v>
      </c>
      <c r="H63" s="9" t="n">
        <v>0.01</v>
      </c>
      <c r="I63" s="9" t="n">
        <v>0.005</v>
      </c>
      <c r="J63" s="9" t="n">
        <v>0.005</v>
      </c>
      <c r="K63" s="9" t="n">
        <v>0.01</v>
      </c>
      <c r="L63" s="9" t="n">
        <v>0.01</v>
      </c>
      <c r="M63" s="9" t="n">
        <v>0.005</v>
      </c>
      <c r="N63" s="9" t="n">
        <v>0</v>
      </c>
      <c r="O63" s="9" t="n">
        <v>0</v>
      </c>
      <c r="P63" s="9" t="n">
        <v>68.228067</v>
      </c>
      <c r="Q63" s="9" t="n">
        <v>21.54312660694315</v>
      </c>
      <c r="R63" s="9" t="n">
        <v>6.307624820773618</v>
      </c>
      <c r="S63" s="9" t="n">
        <v>0</v>
      </c>
      <c r="T63" s="9" t="n">
        <v>0</v>
      </c>
      <c r="U63" s="9" t="n">
        <v>0</v>
      </c>
      <c r="V63" s="9" t="n">
        <v>0</v>
      </c>
      <c r="W63" s="9" t="n">
        <v>0.104414</v>
      </c>
      <c r="X63" s="9" t="n">
        <v>0</v>
      </c>
      <c r="Y63" s="9" t="n">
        <v>0</v>
      </c>
      <c r="Z63" s="9" t="n">
        <v>0.1305744806777245</v>
      </c>
      <c r="AA63" s="9" t="n">
        <v>2.04</v>
      </c>
      <c r="AB63" s="9" t="n">
        <v>0.32</v>
      </c>
      <c r="AC63" s="9" t="n">
        <v>0.02</v>
      </c>
      <c r="AD63" s="9" t="n">
        <v>5.1</v>
      </c>
      <c r="AE63" s="9" t="n">
        <v>0</v>
      </c>
      <c r="AF63" s="9" t="n">
        <v>12.73</v>
      </c>
      <c r="AG63" s="9" t="n">
        <v>10.18080206472914</v>
      </c>
      <c r="AH63" s="9" t="n">
        <v>9.312226131599999</v>
      </c>
      <c r="AI63" s="9" t="n">
        <v>9.564986555171998</v>
      </c>
      <c r="AJ63" s="9" t="n">
        <v>9.343687548054612</v>
      </c>
      <c r="AK63" s="9" t="n">
        <v>0</v>
      </c>
      <c r="AL63" s="9" t="n">
        <v>0.0910748146095251</v>
      </c>
      <c r="AM63" s="9" t="n">
        <v>0.0833047596</v>
      </c>
      <c r="AN63" s="9" t="n">
        <v>0.0855658887891428</v>
      </c>
      <c r="AO63" s="9" t="n">
        <v>0.08358620527124851</v>
      </c>
      <c r="AP63" s="9" t="n">
        <v>21.74700613595323</v>
      </c>
      <c r="AQ63" s="9" t="n">
        <v>20.12785077000001</v>
      </c>
      <c r="AR63" s="9" t="n">
        <v>20.67417814804286</v>
      </c>
      <c r="AS63" s="9" t="n">
        <v>20.19585284452678</v>
      </c>
      <c r="AT63" s="9" t="n">
        <v>42.81760647918667</v>
      </c>
      <c r="AU63" s="9" t="n">
        <v>37.7193501216</v>
      </c>
      <c r="AV63" s="9" t="n">
        <v>41.67783359566579</v>
      </c>
      <c r="AW63" s="9" t="n">
        <v>41.34367871258284</v>
      </c>
      <c r="AX63" s="9" t="n">
        <v>10.6873932989496</v>
      </c>
      <c r="AY63" s="9" t="n">
        <v>9.5075989668</v>
      </c>
      <c r="AZ63" s="9" t="n">
        <v>10.41256641613188</v>
      </c>
      <c r="BA63" s="9" t="n">
        <v>10.32295821793969</v>
      </c>
      <c r="BB63" s="9" t="n">
        <v>26.70468136149598</v>
      </c>
      <c r="BC63" s="9" t="n">
        <v>26.20177114</v>
      </c>
      <c r="BD63" s="9" t="n">
        <v>26.88822212688431</v>
      </c>
      <c r="BE63" s="9" t="n">
        <v>26.29029399393787</v>
      </c>
      <c r="BF63" s="9" t="n">
        <v>0</v>
      </c>
      <c r="BG63" s="9" t="n">
        <v>0</v>
      </c>
      <c r="BH63" s="9" t="n">
        <v>0</v>
      </c>
      <c r="BI63" s="9" t="n">
        <v>0</v>
      </c>
      <c r="BJ63" s="9" t="n">
        <v>0.3716403435494065</v>
      </c>
      <c r="BK63" s="9" t="n">
        <v>0.3413970099999994</v>
      </c>
      <c r="BL63" s="9" t="n">
        <v>0.3506635002714279</v>
      </c>
      <c r="BM63" s="9" t="n">
        <v>0.342550422015148</v>
      </c>
      <c r="BN63" s="9" t="n">
        <v>21.95736230440821</v>
      </c>
      <c r="BO63" s="9" t="n">
        <v>19.9947877164</v>
      </c>
      <c r="BP63" s="9" t="n">
        <v>20.537503382988</v>
      </c>
      <c r="BQ63" s="9" t="n">
        <v>20.06234023653615</v>
      </c>
      <c r="BR63" s="9" t="n">
        <v>18.97910856472197</v>
      </c>
      <c r="BS63" s="9" t="n">
        <v>58.15785646274644</v>
      </c>
      <c r="BT63" s="9" t="n">
        <v>54.39348208800001</v>
      </c>
      <c r="BU63" s="9" t="n">
        <v>55.86987660181714</v>
      </c>
      <c r="BV63" s="9" t="n">
        <v>54.57725082043875</v>
      </c>
      <c r="BW63" s="9" t="n">
        <v>6.978299497278027</v>
      </c>
      <c r="BX63" s="9" t="n">
        <v>6.191538326912692</v>
      </c>
      <c r="BY63" s="9" t="n">
        <v>6.359566095958873</v>
      </c>
      <c r="BZ63" s="9" t="n">
        <v>6.212456479354961</v>
      </c>
      <c r="CA63" s="9" t="n">
        <v>1.012872974900952</v>
      </c>
      <c r="CB63" s="9" t="n">
        <v>14.86249993837118</v>
      </c>
      <c r="CC63" s="9" t="n">
        <v>2.054</v>
      </c>
      <c r="CD63" s="9" t="n">
        <v>1.139701104613386</v>
      </c>
      <c r="CE63" s="9" t="n">
        <v>7.462</v>
      </c>
      <c r="CF63" s="9" t="n">
        <v>5.306</v>
      </c>
      <c r="CG63" s="9" t="n">
        <v>34.191</v>
      </c>
      <c r="CH63" s="9" t="n">
        <v>10.64</v>
      </c>
      <c r="CI63" s="9" t="n">
        <v>0</v>
      </c>
      <c r="CJ63" s="9" t="n">
        <v>2.75</v>
      </c>
      <c r="CK63" s="9" t="n">
        <v>2.75</v>
      </c>
      <c r="CL63" s="9" t="n">
        <v>0</v>
      </c>
      <c r="CM63" s="9" t="n">
        <v>0.03</v>
      </c>
      <c r="CN63" s="9" t="n">
        <v>13.5</v>
      </c>
      <c r="CO63" s="9" t="n">
        <v>0.08</v>
      </c>
      <c r="CP63" s="9" t="n">
        <v>18.976</v>
      </c>
      <c r="CQ63" s="9" t="n">
        <v>18.98</v>
      </c>
      <c r="CR63" s="9" t="n">
        <v>3</v>
      </c>
      <c r="CS63" s="9" t="n">
        <v>2</v>
      </c>
      <c r="CT63" s="9" t="n">
        <v>0.5</v>
      </c>
      <c r="CU63" s="9" t="n">
        <v>0.3</v>
      </c>
      <c r="CV63" s="9" t="n">
        <v>0.6</v>
      </c>
      <c r="CW63" s="9" t="n">
        <v>0.8</v>
      </c>
      <c r="CX63" s="9" t="n">
        <v>0.8</v>
      </c>
      <c r="CY63" s="9" t="n">
        <v>0.7</v>
      </c>
      <c r="CZ63" s="9" t="n">
        <v>0.5</v>
      </c>
      <c r="DA63" s="9" t="n">
        <v>0.5</v>
      </c>
      <c r="DB63" s="9" t="n">
        <v>1</v>
      </c>
      <c r="DC63" s="9" t="n">
        <v>0.3</v>
      </c>
      <c r="DD63" s="9" t="n">
        <v>0.8</v>
      </c>
      <c r="DE63" s="9" t="n">
        <v>0.3262655661052531</v>
      </c>
      <c r="DF63" s="9" t="n">
        <v>3</v>
      </c>
      <c r="DG63" s="9" t="n">
        <v>5.933</v>
      </c>
      <c r="DH63" s="9" t="n">
        <v>3.62</v>
      </c>
      <c r="DI63" s="9" t="n">
        <v>10.84184</v>
      </c>
      <c r="DJ63" s="9" t="n">
        <v>21.4705971467098</v>
      </c>
      <c r="DK63" s="9" t="n">
        <v>24.42600373923284</v>
      </c>
      <c r="DL63" s="9" t="n">
        <v>15.65611451797798</v>
      </c>
      <c r="DM63" s="9" t="n">
        <v>20.63783660816167</v>
      </c>
      <c r="DN63" s="9" t="n">
        <v>6.272</v>
      </c>
      <c r="DO63" s="9" t="n">
        <v>4.952</v>
      </c>
      <c r="DP63" s="9" t="n">
        <v>16.74774</v>
      </c>
      <c r="DQ63" s="9" t="n">
        <v>13.49474620847193</v>
      </c>
      <c r="DR63" s="9" t="n">
        <v>13.49474620847193</v>
      </c>
      <c r="DS63" s="9" t="n">
        <v>0.105</v>
      </c>
    </row>
    <row r="64">
      <c r="A64" s="9" t="inlineStr">
        <is>
          <t>GHA</t>
        </is>
      </c>
      <c r="B64" s="9" t="inlineStr">
        <is>
          <t>Ghana</t>
        </is>
      </c>
      <c r="C64" s="9" t="n">
        <v>0.005</v>
      </c>
      <c r="D64" s="9" t="n">
        <v>0.005</v>
      </c>
      <c r="E64" s="9" t="n">
        <v>0.01</v>
      </c>
      <c r="F64" s="9" t="n">
        <v>0.005</v>
      </c>
      <c r="G64" s="9" t="n">
        <v>0.005</v>
      </c>
      <c r="H64" s="9" t="n">
        <v>0.01</v>
      </c>
      <c r="I64" s="9" t="n">
        <v>0.005</v>
      </c>
      <c r="J64" s="9" t="n">
        <v>0.005</v>
      </c>
      <c r="K64" s="9" t="n">
        <v>0.01</v>
      </c>
      <c r="L64" s="9" t="n">
        <v>0.01</v>
      </c>
      <c r="M64" s="9" t="n">
        <v>0.005</v>
      </c>
      <c r="N64" s="9" t="n">
        <v>1.114267</v>
      </c>
      <c r="O64" s="9" t="n">
        <v>0.354975</v>
      </c>
      <c r="P64" s="9" t="n">
        <v>5.077248</v>
      </c>
      <c r="Q64" s="9" t="n">
        <v>2.771751531497762</v>
      </c>
      <c r="R64" s="9" t="n">
        <v>0.6910832050795918</v>
      </c>
      <c r="S64" s="9" t="n">
        <v>0.8694309280542087</v>
      </c>
      <c r="T64" s="9" t="n">
        <v>0.2656354822929441</v>
      </c>
      <c r="U64" s="9" t="n">
        <v>0.007913</v>
      </c>
      <c r="V64" s="9" t="n">
        <v>0.007877</v>
      </c>
      <c r="W64" s="9" t="n">
        <v>0.006891</v>
      </c>
      <c r="X64" s="9" t="n">
        <v>2.536284531650932</v>
      </c>
      <c r="Y64" s="9" t="n">
        <v>2.536284531650932</v>
      </c>
      <c r="Z64" s="9" t="n">
        <v>0.3180783808945921</v>
      </c>
      <c r="AA64" s="9" t="n">
        <v>3.43</v>
      </c>
      <c r="AB64" s="9" t="n">
        <v>0.19</v>
      </c>
      <c r="AC64" s="9" t="n">
        <v>0</v>
      </c>
      <c r="AD64" s="9" t="n">
        <v>4.9</v>
      </c>
      <c r="AE64" s="9" t="n">
        <v>0</v>
      </c>
      <c r="AF64" s="9" t="n">
        <v>22.034</v>
      </c>
      <c r="AG64" s="9" t="n">
        <v>0</v>
      </c>
      <c r="AH64" s="9" t="n">
        <v>0</v>
      </c>
      <c r="AI64" s="9" t="n">
        <v>0</v>
      </c>
      <c r="AJ64" s="9" t="n">
        <v>0</v>
      </c>
      <c r="AK64" s="9" t="n">
        <v>0</v>
      </c>
      <c r="AL64" s="9" t="n">
        <v>0</v>
      </c>
      <c r="AM64" s="9" t="n">
        <v>0</v>
      </c>
      <c r="AN64" s="9" t="n">
        <v>0</v>
      </c>
      <c r="AO64" s="9" t="n">
        <v>0</v>
      </c>
      <c r="AP64" s="9" t="n">
        <v>70.79698125146317</v>
      </c>
      <c r="AQ64" s="9" t="n">
        <v>69.32272038000001</v>
      </c>
      <c r="AR64" s="9" t="n">
        <v>74.7424967006182</v>
      </c>
      <c r="AS64" s="9" t="n">
        <v>69.76260157846613</v>
      </c>
      <c r="AT64" s="9" t="n">
        <v>28.35790464540389</v>
      </c>
      <c r="AU64" s="9" t="n">
        <v>35.80509492</v>
      </c>
      <c r="AV64" s="9" t="n">
        <v>29.86648277714869</v>
      </c>
      <c r="AW64" s="9" t="n">
        <v>31.69960152033637</v>
      </c>
      <c r="AX64" s="9" t="n">
        <v>20.57024567273009</v>
      </c>
      <c r="AY64" s="9" t="n">
        <v>25.06720896</v>
      </c>
      <c r="AZ64" s="9" t="n">
        <v>21.66453748217547</v>
      </c>
      <c r="BA64" s="9" t="n">
        <v>22.99424443218343</v>
      </c>
      <c r="BB64" s="9" t="n">
        <v>73.97713427643821</v>
      </c>
      <c r="BC64" s="9" t="n">
        <v>89.44258078728453</v>
      </c>
      <c r="BD64" s="9" t="n">
        <v>68.35172149766478</v>
      </c>
      <c r="BE64" s="9" t="n">
        <v>75.77884095201441</v>
      </c>
      <c r="BF64" s="9" t="n">
        <v>0.8321624752389717</v>
      </c>
      <c r="BG64" s="9" t="n">
        <v>0.7588299499999988</v>
      </c>
      <c r="BH64" s="9" t="n">
        <v>0.8181566551818168</v>
      </c>
      <c r="BI64" s="9" t="n">
        <v>0.7636450384155756</v>
      </c>
      <c r="BJ64" s="9" t="n">
        <v>10.91474250946532</v>
      </c>
      <c r="BK64" s="9" t="n">
        <v>10.34844523999999</v>
      </c>
      <c r="BL64" s="9" t="n">
        <v>11.15750550421817</v>
      </c>
      <c r="BM64" s="9" t="n">
        <v>10.41411038512816</v>
      </c>
      <c r="BN64" s="9" t="n">
        <v>6.371708971987125</v>
      </c>
      <c r="BO64" s="9" t="n">
        <v>6.153716772</v>
      </c>
      <c r="BP64" s="9" t="n">
        <v>6.63482553781091</v>
      </c>
      <c r="BQ64" s="9" t="n">
        <v>6.19276463818082</v>
      </c>
      <c r="BR64" s="9" t="n">
        <v>77.12767831756533</v>
      </c>
      <c r="BS64" s="9" t="n">
        <v>0</v>
      </c>
      <c r="BT64" s="9" t="n">
        <v>0</v>
      </c>
      <c r="BU64" s="9" t="n">
        <v>0</v>
      </c>
      <c r="BV64" s="9" t="n">
        <v>0</v>
      </c>
      <c r="BW64" s="9" t="n">
        <v>38.13078523394085</v>
      </c>
      <c r="BX64" s="9" t="n">
        <v>41.60351072167418</v>
      </c>
      <c r="BY64" s="9" t="n">
        <v>41.56168549509313</v>
      </c>
      <c r="BZ64" s="9" t="n">
        <v>38.76855853410977</v>
      </c>
      <c r="CA64" s="9" t="n">
        <v>0.7393145812822254</v>
      </c>
      <c r="CB64" s="9" t="n">
        <v>13.59115286614833</v>
      </c>
      <c r="CC64" s="9" t="n">
        <v>0.487</v>
      </c>
      <c r="CD64" s="9" t="n">
        <v>0.4783146127801396</v>
      </c>
      <c r="CE64" s="9" t="n">
        <v>5.954</v>
      </c>
      <c r="CF64" s="9" t="n">
        <v>4.75</v>
      </c>
      <c r="CG64" s="9" t="n">
        <v>83.289</v>
      </c>
      <c r="CH64" s="9" t="n">
        <v>8.619999999999999</v>
      </c>
      <c r="CI64" s="9" t="n">
        <v>0</v>
      </c>
      <c r="CJ64" s="9" t="n">
        <v>15.48</v>
      </c>
      <c r="CK64" s="9" t="n">
        <v>14.91</v>
      </c>
      <c r="CL64" s="9" t="n">
        <v>0.57</v>
      </c>
      <c r="CM64" s="9" t="n">
        <v>0.17</v>
      </c>
      <c r="CN64" s="9" t="n">
        <v>24.27</v>
      </c>
      <c r="CO64" s="9" t="n">
        <v>0</v>
      </c>
      <c r="CP64" s="9" t="n">
        <v>52.092</v>
      </c>
      <c r="CQ64" s="9" t="n">
        <v>27.791</v>
      </c>
      <c r="CR64" s="9" t="n">
        <v>3</v>
      </c>
      <c r="CS64" s="9" t="n">
        <v>2</v>
      </c>
      <c r="CT64" s="9" t="n">
        <v>0.5</v>
      </c>
      <c r="CU64" s="9" t="n">
        <v>0.3</v>
      </c>
      <c r="CV64" s="9" t="n">
        <v>0.6</v>
      </c>
      <c r="CW64" s="9" t="n">
        <v>0.8</v>
      </c>
      <c r="CX64" s="9" t="n">
        <v>0.8</v>
      </c>
      <c r="CY64" s="9" t="n">
        <v>0.7</v>
      </c>
      <c r="CZ64" s="9" t="n">
        <v>0.5</v>
      </c>
      <c r="DA64" s="9" t="n">
        <v>0.5</v>
      </c>
      <c r="DB64" s="9" t="n">
        <v>1</v>
      </c>
      <c r="DC64" s="9" t="n">
        <v>0.3</v>
      </c>
      <c r="DD64" s="9" t="n">
        <v>0.8</v>
      </c>
      <c r="DE64" s="9" t="n">
        <v>0.3004848799705608</v>
      </c>
      <c r="DF64" s="9" t="n">
        <v>2</v>
      </c>
      <c r="DG64" s="9" t="n">
        <v>7.124</v>
      </c>
      <c r="DH64" s="9" t="n">
        <v>5.575</v>
      </c>
      <c r="DI64" s="9" t="n">
        <v>14.448705</v>
      </c>
      <c r="DJ64" s="9" t="n">
        <v>21.37146908220604</v>
      </c>
      <c r="DK64" s="9" t="n">
        <v>24.36563726238743</v>
      </c>
      <c r="DL64" s="9" t="n">
        <v>18.55249570380391</v>
      </c>
      <c r="DM64" s="9" t="n">
        <v>22.33622795698093</v>
      </c>
      <c r="DN64" s="9" t="n">
        <v>4.676</v>
      </c>
      <c r="DO64" s="9" t="n">
        <v>3.902</v>
      </c>
      <c r="DP64" s="9" t="n">
        <v>11.04657</v>
      </c>
      <c r="DQ64" s="9" t="n">
        <v>13.49474620847193</v>
      </c>
      <c r="DR64" s="9" t="n">
        <v>13.49474620847193</v>
      </c>
      <c r="DS64" s="9" t="n">
        <v>0.1169</v>
      </c>
    </row>
    <row r="65">
      <c r="A65" s="9" t="inlineStr">
        <is>
          <t>GIN</t>
        </is>
      </c>
      <c r="B65" s="9" t="inlineStr">
        <is>
          <t>Guinea</t>
        </is>
      </c>
      <c r="C65" s="9" t="n">
        <v>0.005</v>
      </c>
      <c r="D65" s="9" t="n">
        <v>0.005</v>
      </c>
      <c r="E65" s="9" t="n">
        <v>0.01</v>
      </c>
      <c r="F65" s="9" t="n">
        <v>0.005</v>
      </c>
      <c r="G65" s="9" t="n">
        <v>0.005</v>
      </c>
      <c r="H65" s="9" t="n">
        <v>0.01</v>
      </c>
      <c r="I65" s="9" t="n">
        <v>0.005</v>
      </c>
      <c r="J65" s="9" t="n">
        <v>0.005</v>
      </c>
      <c r="K65" s="9" t="n">
        <v>0.01</v>
      </c>
      <c r="L65" s="9" t="n">
        <v>0.01</v>
      </c>
      <c r="M65" s="9" t="n">
        <v>0.005</v>
      </c>
      <c r="N65" s="9" t="n">
        <v>0.012297</v>
      </c>
      <c r="O65" s="9" t="n">
        <v>0.053928</v>
      </c>
      <c r="P65" s="9" t="n">
        <v>0.415617</v>
      </c>
      <c r="Q65" s="9" t="n">
        <v>0.09459664905849779</v>
      </c>
      <c r="R65" s="9" t="n">
        <v>0.0181871526639889</v>
      </c>
      <c r="S65" s="9" t="n">
        <v>0.0277094683346953</v>
      </c>
      <c r="T65" s="9" t="n">
        <v>0.0087278013311788</v>
      </c>
      <c r="U65" s="9" t="n">
        <v>0.000546</v>
      </c>
      <c r="V65" s="9" t="n">
        <v>0.0002</v>
      </c>
      <c r="W65" s="9" t="n">
        <v>0.000795</v>
      </c>
      <c r="X65" s="9" t="n">
        <v>0.0165030558190924</v>
      </c>
      <c r="Y65" s="9" t="n">
        <v>0.0165030558190924</v>
      </c>
      <c r="Z65" s="9" t="n">
        <v>0.09254515487301625</v>
      </c>
      <c r="AA65" s="9" t="n">
        <v>0.43</v>
      </c>
      <c r="AB65" s="9" t="n">
        <v>0.02</v>
      </c>
      <c r="AC65" s="9" t="n">
        <v>0</v>
      </c>
      <c r="AD65" s="9" t="n">
        <v>0</v>
      </c>
      <c r="AE65" s="9" t="n">
        <v>0</v>
      </c>
      <c r="AF65" s="9" t="n">
        <v>3.897</v>
      </c>
      <c r="AG65" s="9" t="n">
        <v>0</v>
      </c>
      <c r="AH65" s="9" t="n">
        <v>0</v>
      </c>
      <c r="AI65" s="9" t="n">
        <v>0</v>
      </c>
      <c r="AJ65" s="9" t="n">
        <v>0</v>
      </c>
      <c r="AK65" s="9" t="n">
        <v>0</v>
      </c>
      <c r="AL65" s="9" t="n">
        <v>0</v>
      </c>
      <c r="AM65" s="9" t="n">
        <v>0</v>
      </c>
      <c r="AN65" s="9" t="n">
        <v>0</v>
      </c>
      <c r="AO65" s="9" t="n">
        <v>0</v>
      </c>
      <c r="AP65" s="9" t="n">
        <v>12.23613782652385</v>
      </c>
      <c r="AQ65" s="9" t="n">
        <v>11.42861886</v>
      </c>
      <c r="AR65" s="9" t="n">
        <v>12.0508436646</v>
      </c>
      <c r="AS65" s="9" t="n">
        <v>11.71609800725</v>
      </c>
      <c r="AT65" s="9" t="n">
        <v>6.413921705270463</v>
      </c>
      <c r="AU65" s="9" t="n">
        <v>6.334620026400001</v>
      </c>
      <c r="AV65" s="9" t="n">
        <v>6.175002146225717</v>
      </c>
      <c r="AW65" s="9" t="n">
        <v>6.162806402971444</v>
      </c>
      <c r="AX65" s="9" t="n">
        <v>2.867232162331059</v>
      </c>
      <c r="AY65" s="9" t="n">
        <v>2.7930226536</v>
      </c>
      <c r="AZ65" s="9" t="n">
        <v>2.760427328193447</v>
      </c>
      <c r="BA65" s="9" t="n">
        <v>2.754975433251629</v>
      </c>
      <c r="BB65" s="9" t="n">
        <v>23.53117067367027</v>
      </c>
      <c r="BC65" s="9" t="n">
        <v>22.89302942185454</v>
      </c>
      <c r="BD65" s="9" t="n">
        <v>21.9744131</v>
      </c>
      <c r="BE65" s="9" t="n">
        <v>22.39173068567901</v>
      </c>
      <c r="BF65" s="9" t="n">
        <v>0.2200625174309564</v>
      </c>
      <c r="BG65" s="9" t="n">
        <v>0.2083050119999996</v>
      </c>
      <c r="BH65" s="9" t="n">
        <v>0.2196460626533329</v>
      </c>
      <c r="BI65" s="9" t="n">
        <v>0.2135447831351848</v>
      </c>
      <c r="BJ65" s="9" t="n">
        <v>0</v>
      </c>
      <c r="BK65" s="9" t="n">
        <v>0</v>
      </c>
      <c r="BL65" s="9" t="n">
        <v>0</v>
      </c>
      <c r="BM65" s="9" t="n">
        <v>0</v>
      </c>
      <c r="BN65" s="9" t="n">
        <v>0</v>
      </c>
      <c r="BO65" s="9" t="n">
        <v>0</v>
      </c>
      <c r="BP65" s="9" t="n">
        <v>0</v>
      </c>
      <c r="BQ65" s="9" t="n">
        <v>0</v>
      </c>
      <c r="BR65" s="9" t="n">
        <v>0</v>
      </c>
      <c r="BS65" s="9" t="n">
        <v>0</v>
      </c>
      <c r="BT65" s="9" t="n">
        <v>0</v>
      </c>
      <c r="BU65" s="9" t="n">
        <v>0</v>
      </c>
      <c r="BV65" s="9" t="n">
        <v>0</v>
      </c>
      <c r="BW65" s="9" t="n">
        <v>25.49890163550702</v>
      </c>
      <c r="BX65" s="9" t="n">
        <v>23.94540280165383</v>
      </c>
      <c r="BY65" s="9" t="n">
        <v>24.31235556563598</v>
      </c>
      <c r="BZ65" s="9" t="n">
        <v>23.67502606092021</v>
      </c>
      <c r="CA65" s="9" t="n">
        <v>0.9923909213116482</v>
      </c>
      <c r="CB65" s="9" t="n">
        <v>2.578098296555978</v>
      </c>
      <c r="CC65" s="9" t="n">
        <v>0.062</v>
      </c>
      <c r="CD65" s="9" t="n">
        <v>0.7030603804797354</v>
      </c>
      <c r="CE65" s="9" t="n">
        <v>6.687</v>
      </c>
      <c r="CF65" s="9" t="n">
        <v>8.677</v>
      </c>
      <c r="CG65" s="9" t="n">
        <v>24.233</v>
      </c>
      <c r="CH65" s="9" t="n">
        <v>3</v>
      </c>
      <c r="CI65" s="9" t="n">
        <v>0</v>
      </c>
      <c r="CJ65" s="9" t="n">
        <v>1</v>
      </c>
      <c r="CK65" s="9" t="n">
        <v>0</v>
      </c>
      <c r="CL65" s="9" t="n">
        <v>1</v>
      </c>
      <c r="CM65" s="9" t="n">
        <v>0.03</v>
      </c>
      <c r="CN65" s="9" t="n">
        <v>4.03</v>
      </c>
      <c r="CO65" s="9" t="n">
        <v>0</v>
      </c>
      <c r="CP65" s="9" t="n">
        <v>29.826</v>
      </c>
      <c r="CQ65" s="9" t="n">
        <v>41.256</v>
      </c>
      <c r="CR65" s="9" t="n">
        <v>3</v>
      </c>
      <c r="CS65" s="9" t="n">
        <v>1</v>
      </c>
      <c r="CT65" s="9" t="n">
        <v>0.5</v>
      </c>
      <c r="CU65" s="9" t="n">
        <v>0.3</v>
      </c>
      <c r="CV65" s="9" t="n">
        <v>0.6</v>
      </c>
      <c r="CW65" s="9" t="n">
        <v>0.8</v>
      </c>
      <c r="CX65" s="9" t="n">
        <v>0.8</v>
      </c>
      <c r="CY65" s="9" t="n">
        <v>0.7</v>
      </c>
      <c r="CZ65" s="9" t="n">
        <v>0.5</v>
      </c>
      <c r="DA65" s="9" t="n">
        <v>0.5</v>
      </c>
      <c r="DB65" s="9" t="n">
        <v>1</v>
      </c>
      <c r="DC65" s="9" t="n">
        <v>0.3</v>
      </c>
      <c r="DD65" s="9" t="n">
        <v>0.8</v>
      </c>
      <c r="DE65" s="9" t="n">
        <v>0.3544338974126457</v>
      </c>
      <c r="DF65" s="9" t="n">
        <v>2</v>
      </c>
      <c r="DG65" s="9" t="n">
        <v>7.124</v>
      </c>
      <c r="DH65" s="9" t="n">
        <v>5.575</v>
      </c>
      <c r="DI65" s="9" t="n">
        <v>14.38774</v>
      </c>
      <c r="DJ65" s="9" t="n">
        <v>20.57141953158035</v>
      </c>
      <c r="DK65" s="9" t="n">
        <v>24.43026456587896</v>
      </c>
      <c r="DL65" s="9" t="n">
        <v>18.47421513121402</v>
      </c>
      <c r="DM65" s="9" t="n">
        <v>19.89938703508767</v>
      </c>
      <c r="DN65" s="9" t="n">
        <v>11.182</v>
      </c>
      <c r="DO65" s="9" t="n">
        <v>9.858000000000001</v>
      </c>
      <c r="DP65" s="9" t="n">
        <v>22.56514</v>
      </c>
      <c r="DQ65" s="9" t="n">
        <v>13.49474620847193</v>
      </c>
      <c r="DR65" s="9" t="n">
        <v>13.49474620847193</v>
      </c>
      <c r="DS65" s="9" t="n">
        <v>0.105</v>
      </c>
    </row>
    <row r="66">
      <c r="A66" s="9" t="inlineStr">
        <is>
          <t>GMB</t>
        </is>
      </c>
      <c r="B66" s="9" t="inlineStr">
        <is>
          <t>Gambia, The</t>
        </is>
      </c>
      <c r="C66" s="9" t="n">
        <v>0.005</v>
      </c>
      <c r="D66" s="9" t="n">
        <v>0.005</v>
      </c>
      <c r="E66" s="9" t="n">
        <v>0.01</v>
      </c>
      <c r="F66" s="9" t="n">
        <v>0.005</v>
      </c>
      <c r="G66" s="9" t="n">
        <v>0.005</v>
      </c>
      <c r="H66" s="9" t="n">
        <v>0.01</v>
      </c>
      <c r="I66" s="9" t="n">
        <v>0.005</v>
      </c>
      <c r="J66" s="9" t="n">
        <v>0.005</v>
      </c>
      <c r="K66" s="9" t="n">
        <v>0.01</v>
      </c>
      <c r="L66" s="9" t="n">
        <v>0.01</v>
      </c>
      <c r="M66" s="9" t="n">
        <v>0.005</v>
      </c>
      <c r="N66" s="9" t="n">
        <v>0.030095</v>
      </c>
      <c r="O66" s="9" t="n">
        <v>0.051751</v>
      </c>
      <c r="P66" s="9" t="n">
        <v>0.295859</v>
      </c>
      <c r="Q66" s="9" t="n">
        <v>0.0344012190311941</v>
      </c>
      <c r="R66" s="9" t="n">
        <v>0.0066629034130651</v>
      </c>
      <c r="S66" s="9" t="n">
        <v>0.0195237840943312</v>
      </c>
      <c r="T66" s="9" t="n">
        <v>0.0059736951333401</v>
      </c>
      <c r="U66" s="9" t="n">
        <v>0.000514</v>
      </c>
      <c r="V66" s="9" t="n">
        <v>0.000394</v>
      </c>
      <c r="W66" s="9" t="n">
        <v>0.001268</v>
      </c>
      <c r="X66" s="9" t="n">
        <v>0.08752052910122909</v>
      </c>
      <c r="Y66" s="9" t="n">
        <v>0.08752052910122909</v>
      </c>
      <c r="Z66" s="9" t="n">
        <v>0.009176990350342839</v>
      </c>
      <c r="AA66" s="9" t="n">
        <v>0.16</v>
      </c>
      <c r="AB66" s="9" t="n">
        <v>0.02</v>
      </c>
      <c r="AC66" s="9" t="n">
        <v>0</v>
      </c>
      <c r="AD66" s="9" t="n">
        <v>0</v>
      </c>
      <c r="AE66" s="9" t="n">
        <v>0</v>
      </c>
      <c r="AF66" s="9" t="n">
        <v>0.595</v>
      </c>
      <c r="AG66" s="9" t="n">
        <v>0</v>
      </c>
      <c r="AH66" s="9" t="n">
        <v>0</v>
      </c>
      <c r="AI66" s="9" t="n">
        <v>0</v>
      </c>
      <c r="AJ66" s="9" t="n">
        <v>0</v>
      </c>
      <c r="AK66" s="9" t="n">
        <v>0</v>
      </c>
      <c r="AL66" s="9" t="n">
        <v>0</v>
      </c>
      <c r="AM66" s="9" t="n">
        <v>0</v>
      </c>
      <c r="AN66" s="9" t="n">
        <v>0</v>
      </c>
      <c r="AO66" s="9" t="n">
        <v>0</v>
      </c>
      <c r="AP66" s="9" t="n">
        <v>0</v>
      </c>
      <c r="AQ66" s="9" t="n">
        <v>0</v>
      </c>
      <c r="AR66" s="9" t="n">
        <v>0</v>
      </c>
      <c r="AS66" s="9" t="n">
        <v>0</v>
      </c>
      <c r="AT66" s="9" t="n">
        <v>0.265110131207157</v>
      </c>
      <c r="AU66" s="9" t="n">
        <v>0.23404212</v>
      </c>
      <c r="AV66" s="9" t="n">
        <v>0.2430098199860488</v>
      </c>
      <c r="AW66" s="9" t="n">
        <v>0.2468298390942931</v>
      </c>
      <c r="AX66" s="9" t="n">
        <v>1.113906930663872</v>
      </c>
      <c r="AY66" s="9" t="n">
        <v>0.98336920716</v>
      </c>
      <c r="AZ66" s="9" t="n">
        <v>1.0210485788275</v>
      </c>
      <c r="BA66" s="9" t="n">
        <v>1.037099062226856</v>
      </c>
      <c r="BB66" s="9" t="n">
        <v>1.212566724531212</v>
      </c>
      <c r="BC66" s="9" t="n">
        <v>1.112617134548153</v>
      </c>
      <c r="BD66" s="9" t="n">
        <v>1.1163354516983</v>
      </c>
      <c r="BE66" s="9" t="n">
        <v>1.123588926835063</v>
      </c>
      <c r="BF66" s="9" t="n">
        <v>0</v>
      </c>
      <c r="BG66" s="9" t="n">
        <v>0</v>
      </c>
      <c r="BH66" s="9" t="n">
        <v>0</v>
      </c>
      <c r="BI66" s="9" t="n">
        <v>0</v>
      </c>
      <c r="BJ66" s="9" t="n">
        <v>0</v>
      </c>
      <c r="BK66" s="9" t="n">
        <v>0</v>
      </c>
      <c r="BL66" s="9" t="n">
        <v>0</v>
      </c>
      <c r="BM66" s="9" t="n">
        <v>0</v>
      </c>
      <c r="BN66" s="9" t="n">
        <v>0</v>
      </c>
      <c r="BO66" s="9" t="n">
        <v>0</v>
      </c>
      <c r="BP66" s="9" t="n">
        <v>0</v>
      </c>
      <c r="BQ66" s="9" t="n">
        <v>0</v>
      </c>
      <c r="BR66" s="9" t="n">
        <v>0</v>
      </c>
      <c r="BS66" s="9" t="n">
        <v>0</v>
      </c>
      <c r="BT66" s="9" t="n">
        <v>0</v>
      </c>
      <c r="BU66" s="9" t="n">
        <v>0</v>
      </c>
      <c r="BV66" s="9" t="n">
        <v>0</v>
      </c>
      <c r="BW66" s="9" t="n">
        <v>9.419450922359731</v>
      </c>
      <c r="BX66" s="9" t="n">
        <v>9.541604452966164</v>
      </c>
      <c r="BY66" s="9" t="n">
        <v>9.605072582815405</v>
      </c>
      <c r="BZ66" s="9" t="n">
        <v>9.348302875882542</v>
      </c>
      <c r="CA66" s="9" t="n">
        <v>0.9999999174642088</v>
      </c>
      <c r="CB66" s="9" t="n">
        <v>0.3830602949641747</v>
      </c>
      <c r="CC66" s="9" t="n">
        <v>0</v>
      </c>
      <c r="CD66" s="9" t="n">
        <v>0</v>
      </c>
      <c r="CE66" s="9" t="n">
        <v>6.004</v>
      </c>
      <c r="CF66" s="9" t="n">
        <v>5.112</v>
      </c>
      <c r="CG66" s="9" t="n">
        <v>2.403</v>
      </c>
      <c r="CH66" s="9" t="n">
        <v>0</v>
      </c>
      <c r="CI66" s="9" t="n">
        <v>0</v>
      </c>
      <c r="CJ66" s="9" t="n">
        <v>0.51</v>
      </c>
      <c r="CK66" s="9" t="n">
        <v>0</v>
      </c>
      <c r="CL66" s="9" t="n">
        <v>0.51</v>
      </c>
      <c r="CM66" s="9" t="n">
        <v>0</v>
      </c>
      <c r="CN66" s="9" t="n">
        <v>0.51</v>
      </c>
      <c r="CO66" s="9" t="n">
        <v>0</v>
      </c>
      <c r="CP66" s="9" t="n">
        <v>2.403</v>
      </c>
      <c r="CQ66" s="9" t="n">
        <v>2.904</v>
      </c>
      <c r="CR66" s="9" t="n">
        <v>3</v>
      </c>
      <c r="CS66" s="9" t="n">
        <v>1</v>
      </c>
      <c r="CT66" s="9" t="n">
        <v>0.5</v>
      </c>
      <c r="CU66" s="9" t="n">
        <v>0.3</v>
      </c>
      <c r="CV66" s="9" t="n">
        <v>0.6</v>
      </c>
      <c r="CW66" s="9" t="n">
        <v>0.8</v>
      </c>
      <c r="CX66" s="9" t="n">
        <v>0.8</v>
      </c>
      <c r="CY66" s="9" t="n">
        <v>0.7</v>
      </c>
      <c r="CZ66" s="9" t="n">
        <v>0.5</v>
      </c>
      <c r="DA66" s="9" t="n">
        <v>0.5</v>
      </c>
      <c r="DB66" s="9" t="n">
        <v>1</v>
      </c>
      <c r="DC66" s="9" t="n">
        <v>0.3</v>
      </c>
      <c r="DD66" s="9" t="n">
        <v>0.8</v>
      </c>
      <c r="DE66" s="9" t="n">
        <v>0.2501301134589362</v>
      </c>
      <c r="DF66" s="9" t="n">
        <v>2</v>
      </c>
      <c r="DG66" s="9" t="n">
        <v>7.124</v>
      </c>
      <c r="DH66" s="9" t="n">
        <v>5.575</v>
      </c>
      <c r="DI66" s="9" t="n">
        <v>14.02195</v>
      </c>
      <c r="DJ66" s="9" t="n">
        <v>20.87113646558712</v>
      </c>
      <c r="DK66" s="9" t="n">
        <v>23.80915614471255</v>
      </c>
      <c r="DL66" s="9" t="n">
        <v>15.65611451797798</v>
      </c>
      <c r="DM66" s="9" t="n">
        <v>19.89938703508767</v>
      </c>
      <c r="DN66" s="9" t="n">
        <v>12.339</v>
      </c>
      <c r="DO66" s="9" t="n">
        <v>11.016</v>
      </c>
      <c r="DP66" s="9" t="n">
        <v>23.32315</v>
      </c>
      <c r="DQ66" s="9" t="n">
        <v>13.5585466101189</v>
      </c>
      <c r="DR66" s="9" t="n">
        <v>13.5585466101189</v>
      </c>
      <c r="DS66" s="9" t="n">
        <v>0.105</v>
      </c>
    </row>
    <row r="67">
      <c r="A67" s="9" t="inlineStr">
        <is>
          <t>GNB</t>
        </is>
      </c>
      <c r="B67" s="9" t="inlineStr">
        <is>
          <t>Guinea-Bissau</t>
        </is>
      </c>
      <c r="C67" s="9" t="n">
        <v>0.005</v>
      </c>
      <c r="D67" s="9" t="n">
        <v>0.005</v>
      </c>
      <c r="E67" s="9" t="n">
        <v>0.01</v>
      </c>
      <c r="F67" s="9" t="n">
        <v>0.005</v>
      </c>
      <c r="G67" s="9" t="n">
        <v>0.005</v>
      </c>
      <c r="H67" s="9" t="n">
        <v>0.01</v>
      </c>
      <c r="I67" s="9" t="n">
        <v>0.005</v>
      </c>
      <c r="J67" s="9" t="n">
        <v>0.005</v>
      </c>
      <c r="K67" s="9" t="n">
        <v>0.01</v>
      </c>
      <c r="L67" s="9" t="n">
        <v>0.01</v>
      </c>
      <c r="M67" s="9" t="n">
        <v>0.005</v>
      </c>
      <c r="N67" s="9" t="n">
        <v>0.007187</v>
      </c>
      <c r="O67" s="9" t="n">
        <v>0.043088</v>
      </c>
      <c r="P67" s="9" t="n">
        <v>0.241579</v>
      </c>
      <c r="Q67" s="9" t="n">
        <v>0.0553154441631749</v>
      </c>
      <c r="R67" s="9" t="n">
        <v>0.0106377685393142</v>
      </c>
      <c r="S67" s="9" t="n">
        <v>0.0171660951060063</v>
      </c>
      <c r="T67" s="9" t="n">
        <v>0.0052754710268458</v>
      </c>
      <c r="U67" s="9" t="n">
        <v>0.000319</v>
      </c>
      <c r="V67" s="9" t="n">
        <v>0.000159</v>
      </c>
      <c r="W67" s="9" t="n">
        <v>0.000463</v>
      </c>
      <c r="X67" s="9" t="n">
        <v>0.0056589914460364</v>
      </c>
      <c r="Y67" s="9" t="n">
        <v>0.0056589914460364</v>
      </c>
      <c r="Z67" s="9" t="n">
        <v>0.008348273369059279</v>
      </c>
      <c r="AA67" s="9" t="n">
        <v>0.03</v>
      </c>
      <c r="AB67" s="9" t="n">
        <v>0</v>
      </c>
      <c r="AC67" s="9" t="n">
        <v>0</v>
      </c>
      <c r="AD67" s="9" t="n">
        <v>0</v>
      </c>
      <c r="AE67" s="9" t="n">
        <v>0</v>
      </c>
      <c r="AF67" s="9" t="n">
        <v>0.338</v>
      </c>
      <c r="AG67" s="9" t="n">
        <v>0</v>
      </c>
      <c r="AH67" s="9" t="n">
        <v>0</v>
      </c>
      <c r="AI67" s="9" t="n">
        <v>0</v>
      </c>
      <c r="AJ67" s="9" t="n">
        <v>0</v>
      </c>
      <c r="AK67" s="9" t="n">
        <v>0</v>
      </c>
      <c r="AL67" s="9" t="n">
        <v>0</v>
      </c>
      <c r="AM67" s="9" t="n">
        <v>0</v>
      </c>
      <c r="AN67" s="9" t="n">
        <v>0</v>
      </c>
      <c r="AO67" s="9" t="n">
        <v>0</v>
      </c>
      <c r="AP67" s="9" t="n">
        <v>0.4464682564066327</v>
      </c>
      <c r="AQ67" s="9" t="n">
        <v>0.426123</v>
      </c>
      <c r="AR67" s="9" t="n">
        <v>0.4485505263157894</v>
      </c>
      <c r="AS67" s="9" t="n">
        <v>0.4362153868421053</v>
      </c>
      <c r="AT67" s="9" t="n">
        <v>0.3183772841396992</v>
      </c>
      <c r="AU67" s="9" t="n">
        <v>0.2801304145277707</v>
      </c>
      <c r="AV67" s="9" t="n">
        <v>0.3062807939298174</v>
      </c>
      <c r="AW67" s="9" t="n">
        <v>0.3072082561922004</v>
      </c>
      <c r="AX67" s="9" t="n">
        <v>0.4150428858206985</v>
      </c>
      <c r="AY67" s="9" t="n">
        <v>0.367266096</v>
      </c>
      <c r="AZ67" s="9" t="n">
        <v>0.3992736634071793</v>
      </c>
      <c r="BA67" s="9" t="n">
        <v>0.4004827214431798</v>
      </c>
      <c r="BB67" s="9" t="n">
        <v>0.7643736640946676</v>
      </c>
      <c r="BC67" s="9" t="n">
        <v>0.7648514210526316</v>
      </c>
      <c r="BD67" s="9" t="n">
        <v>0.72660885</v>
      </c>
      <c r="BE67" s="9" t="n">
        <v>0.7438180069736843</v>
      </c>
      <c r="BF67" s="9" t="n">
        <v>0.0045028660393287</v>
      </c>
      <c r="BG67" s="9" t="n">
        <v>0.0043031299999999</v>
      </c>
      <c r="BH67" s="9" t="n">
        <v>0.0045296105263157</v>
      </c>
      <c r="BI67" s="9" t="n">
        <v>0.0044050462368421</v>
      </c>
      <c r="BJ67" s="9" t="n">
        <v>0</v>
      </c>
      <c r="BK67" s="9" t="n">
        <v>0</v>
      </c>
      <c r="BL67" s="9" t="n">
        <v>0</v>
      </c>
      <c r="BM67" s="9" t="n">
        <v>0</v>
      </c>
      <c r="BN67" s="9" t="n">
        <v>0</v>
      </c>
      <c r="BO67" s="9" t="n">
        <v>0</v>
      </c>
      <c r="BP67" s="9" t="n">
        <v>0</v>
      </c>
      <c r="BQ67" s="9" t="n">
        <v>0</v>
      </c>
      <c r="BR67" s="9" t="n">
        <v>0</v>
      </c>
      <c r="BS67" s="9" t="n">
        <v>0</v>
      </c>
      <c r="BT67" s="9" t="n">
        <v>0</v>
      </c>
      <c r="BU67" s="9" t="n">
        <v>0</v>
      </c>
      <c r="BV67" s="9" t="n">
        <v>0</v>
      </c>
      <c r="BW67" s="9" t="n">
        <v>3.724202195001087</v>
      </c>
      <c r="BX67" s="9" t="n">
        <v>3.832493223995066</v>
      </c>
      <c r="BY67" s="9" t="n">
        <v>3.875945168702752</v>
      </c>
      <c r="BZ67" s="9" t="n">
        <v>3.766646098712784</v>
      </c>
      <c r="CA67" s="9" t="n">
        <v>0.8165693722775779</v>
      </c>
      <c r="CB67" s="9" t="n">
        <v>0.2037278249889994</v>
      </c>
      <c r="CC67" s="9" t="n">
        <v>0.6899999999999999</v>
      </c>
      <c r="CD67" s="9" t="n">
        <v>0</v>
      </c>
      <c r="CE67" s="9" t="n">
        <v>5.5</v>
      </c>
      <c r="CF67" s="9" t="n">
        <v>4.9</v>
      </c>
      <c r="CG67" s="9" t="n">
        <v>2.186</v>
      </c>
      <c r="CH67" s="9" t="n">
        <v>0</v>
      </c>
      <c r="CI67" s="9" t="n">
        <v>0</v>
      </c>
      <c r="CJ67" s="9" t="n">
        <v>0.08</v>
      </c>
      <c r="CK67" s="9" t="n">
        <v>0</v>
      </c>
      <c r="CL67" s="9" t="n">
        <v>0.08</v>
      </c>
      <c r="CM67" s="9" t="n">
        <v>0</v>
      </c>
      <c r="CN67" s="9" t="n">
        <v>0.08</v>
      </c>
      <c r="CO67" s="9" t="n">
        <v>0</v>
      </c>
      <c r="CP67" s="9" t="n">
        <v>3.329</v>
      </c>
      <c r="CQ67" s="9" t="n">
        <v>4.969</v>
      </c>
      <c r="CR67" s="9" t="n">
        <v>3</v>
      </c>
      <c r="CS67" s="9" t="n">
        <v>1</v>
      </c>
      <c r="CT67" s="9" t="n">
        <v>0.5</v>
      </c>
      <c r="CU67" s="9" t="n">
        <v>0.3</v>
      </c>
      <c r="CV67" s="9" t="n">
        <v>0.6</v>
      </c>
      <c r="CW67" s="9" t="n">
        <v>0.8</v>
      </c>
      <c r="CX67" s="9" t="n">
        <v>0.8</v>
      </c>
      <c r="CY67" s="9" t="n">
        <v>0.7</v>
      </c>
      <c r="CZ67" s="9" t="n">
        <v>0.5</v>
      </c>
      <c r="DA67" s="9" t="n">
        <v>0.5</v>
      </c>
      <c r="DB67" s="9" t="n">
        <v>1</v>
      </c>
      <c r="DC67" s="9" t="n">
        <v>0.3</v>
      </c>
      <c r="DD67" s="9" t="n">
        <v>0.8</v>
      </c>
      <c r="DE67" s="9" t="n">
        <v>0.3553893675825069</v>
      </c>
      <c r="DF67" s="9" t="n">
        <v>2</v>
      </c>
      <c r="DG67" s="9" t="n">
        <v>7.124</v>
      </c>
      <c r="DH67" s="9" t="n">
        <v>5.575</v>
      </c>
      <c r="DI67" s="9" t="n">
        <v>14.26581</v>
      </c>
      <c r="DJ67" s="9" t="n">
        <v>20.33286329953005</v>
      </c>
      <c r="DK67" s="9" t="n">
        <v>24.22322842549016</v>
      </c>
      <c r="DL67" s="9" t="n">
        <v>18.31765398603424</v>
      </c>
      <c r="DM67" s="9" t="n">
        <v>19.89938703508767</v>
      </c>
      <c r="DN67" s="9" t="n">
        <v>12.815</v>
      </c>
      <c r="DO67" s="9" t="n">
        <v>11.492</v>
      </c>
      <c r="DP67" s="9" t="n">
        <v>24.28569</v>
      </c>
      <c r="DQ67" s="9" t="n">
        <v>15.78885301484073</v>
      </c>
      <c r="DR67" s="9" t="n">
        <v>15.78885301484073</v>
      </c>
      <c r="DS67" s="9" t="n">
        <v>0.105</v>
      </c>
    </row>
    <row r="68">
      <c r="A68" s="9" t="inlineStr">
        <is>
          <t>GNQ</t>
        </is>
      </c>
      <c r="B68" s="9" t="inlineStr">
        <is>
          <t>Equatorial Guinea</t>
        </is>
      </c>
      <c r="C68" s="9" t="n">
        <v>0.005</v>
      </c>
      <c r="D68" s="9" t="n">
        <v>0.005</v>
      </c>
      <c r="E68" s="9" t="n">
        <v>0.01</v>
      </c>
      <c r="F68" s="9" t="n">
        <v>0.005</v>
      </c>
      <c r="G68" s="9" t="n">
        <v>0.005</v>
      </c>
      <c r="H68" s="9" t="n">
        <v>0.01</v>
      </c>
      <c r="I68" s="9" t="n">
        <v>0.005</v>
      </c>
      <c r="J68" s="9" t="n">
        <v>0.005</v>
      </c>
      <c r="K68" s="9" t="n">
        <v>0.01</v>
      </c>
      <c r="L68" s="9" t="n">
        <v>0.01</v>
      </c>
      <c r="M68" s="9" t="n">
        <v>0.005</v>
      </c>
      <c r="N68" s="9" t="n">
        <v>1.843213</v>
      </c>
      <c r="O68" s="9" t="n">
        <v>1.246237</v>
      </c>
      <c r="P68" s="9" t="n">
        <v>10.174329</v>
      </c>
      <c r="Q68" s="9" t="n">
        <v>2.536627377417839</v>
      </c>
      <c r="R68" s="9" t="n">
        <v>0.6030070569583875</v>
      </c>
      <c r="S68" s="9" t="n">
        <v>1.894071966025224</v>
      </c>
      <c r="T68" s="9" t="n">
        <v>0.7049736061904157</v>
      </c>
      <c r="U68" s="9" t="n">
        <v>0.102971</v>
      </c>
      <c r="V68" s="9" t="n">
        <v>0.003082</v>
      </c>
      <c r="W68" s="9" t="n">
        <v>0.021576</v>
      </c>
      <c r="X68" s="9" t="n">
        <v>0.0362610466806518</v>
      </c>
      <c r="Y68" s="9" t="n">
        <v>0.0362610466806518</v>
      </c>
      <c r="Z68" s="9" t="n">
        <v>0.04876445683875477</v>
      </c>
      <c r="AA68" s="9" t="n">
        <v>0.28</v>
      </c>
      <c r="AB68" s="9" t="n">
        <v>0</v>
      </c>
      <c r="AC68" s="9" t="n">
        <v>0</v>
      </c>
      <c r="AD68" s="9" t="n">
        <v>0</v>
      </c>
      <c r="AE68" s="9" t="n">
        <v>0</v>
      </c>
      <c r="AF68" s="9" t="n">
        <v>4.959</v>
      </c>
      <c r="AG68" s="9" t="n">
        <v>0</v>
      </c>
      <c r="AH68" s="9" t="n">
        <v>0</v>
      </c>
      <c r="AI68" s="9" t="n">
        <v>0</v>
      </c>
      <c r="AJ68" s="9" t="n">
        <v>0</v>
      </c>
      <c r="AK68" s="9" t="n">
        <v>0</v>
      </c>
      <c r="AL68" s="9" t="n">
        <v>0</v>
      </c>
      <c r="AM68" s="9" t="n">
        <v>0</v>
      </c>
      <c r="AN68" s="9" t="n">
        <v>0</v>
      </c>
      <c r="AO68" s="9" t="n">
        <v>0</v>
      </c>
      <c r="AP68" s="9" t="n">
        <v>2.635382234564224</v>
      </c>
      <c r="AQ68" s="9" t="n">
        <v>2.897033040000001</v>
      </c>
      <c r="AR68" s="9" t="n">
        <v>2.634534255785142</v>
      </c>
      <c r="AS68" s="9" t="n">
        <v>2.608188913227293</v>
      </c>
      <c r="AT68" s="9" t="n">
        <v>2.041128034521477</v>
      </c>
      <c r="AU68" s="9" t="n">
        <v>2.325181248</v>
      </c>
      <c r="AV68" s="9" t="n">
        <v>2.164066843432502</v>
      </c>
      <c r="AW68" s="9" t="n">
        <v>2.042905059839548</v>
      </c>
      <c r="AX68" s="9" t="n">
        <v>1.647829159957177</v>
      </c>
      <c r="AY68" s="9" t="n">
        <v>1.8837166824</v>
      </c>
      <c r="AZ68" s="9" t="n">
        <v>1.747079256368441</v>
      </c>
      <c r="BA68" s="9" t="n">
        <v>1.649263775565593</v>
      </c>
      <c r="BB68" s="9" t="n">
        <v>2.736806815863156</v>
      </c>
      <c r="BC68" s="9" t="n">
        <v>2.544814422885729</v>
      </c>
      <c r="BD68" s="9" t="n">
        <v>3.20116419</v>
      </c>
      <c r="BE68" s="9" t="n">
        <v>2.694588358522972</v>
      </c>
      <c r="BF68" s="9" t="n">
        <v>0.6357228207951139</v>
      </c>
      <c r="BG68" s="9" t="n">
        <v>0.6955818999999988</v>
      </c>
      <c r="BH68" s="9" t="n">
        <v>0.6325555552704752</v>
      </c>
      <c r="BI68" s="9" t="n">
        <v>0.6262299997177706</v>
      </c>
      <c r="BJ68" s="9" t="n">
        <v>0.2895535972698602</v>
      </c>
      <c r="BK68" s="9" t="n">
        <v>0.3054132899999997</v>
      </c>
      <c r="BL68" s="9" t="n">
        <v>0.2777399372279996</v>
      </c>
      <c r="BM68" s="9" t="n">
        <v>0.2749625378557197</v>
      </c>
      <c r="BN68" s="9" t="n">
        <v>27.78787126865621</v>
      </c>
      <c r="BO68" s="9" t="n">
        <v>30.889959192</v>
      </c>
      <c r="BP68" s="9" t="n">
        <v>28.09103469911726</v>
      </c>
      <c r="BQ68" s="9" t="n">
        <v>27.81012435212609</v>
      </c>
      <c r="BR68" s="9" t="n">
        <v>8.569929139647297</v>
      </c>
      <c r="BS68" s="9" t="n">
        <v>0</v>
      </c>
      <c r="BT68" s="9" t="n">
        <v>0</v>
      </c>
      <c r="BU68" s="9" t="n">
        <v>0</v>
      </c>
      <c r="BV68" s="9" t="n">
        <v>0</v>
      </c>
      <c r="BW68" s="9" t="n">
        <v>2.02747574573849</v>
      </c>
      <c r="BX68" s="9" t="n">
        <v>2.259566265801483</v>
      </c>
      <c r="BY68" s="9" t="n">
        <v>1.96037034490839</v>
      </c>
      <c r="BZ68" s="9" t="n">
        <v>1.946032145031753</v>
      </c>
      <c r="CA68" s="9" t="n">
        <v>0.9462044986995116</v>
      </c>
      <c r="CB68" s="9" t="n">
        <v>1.024710331799626</v>
      </c>
      <c r="CC68" s="9" t="n">
        <v>0.161</v>
      </c>
      <c r="CD68" s="9" t="n">
        <v>-2.007165094413417</v>
      </c>
      <c r="CE68" s="9" t="n">
        <v>-6.358</v>
      </c>
      <c r="CF68" s="9" t="n">
        <v>-2.686</v>
      </c>
      <c r="CG68" s="9" t="n">
        <v>12.769</v>
      </c>
      <c r="CH68" s="9" t="n">
        <v>0.4</v>
      </c>
      <c r="CI68" s="9" t="n">
        <v>0</v>
      </c>
      <c r="CJ68" s="9" t="n">
        <v>1.09</v>
      </c>
      <c r="CK68" s="9" t="n">
        <v>1.08</v>
      </c>
      <c r="CL68" s="9" t="n">
        <v>0.01</v>
      </c>
      <c r="CM68" s="9" t="n">
        <v>0</v>
      </c>
      <c r="CN68" s="9" t="n">
        <v>1.49</v>
      </c>
      <c r="CO68" s="9" t="n">
        <v>0</v>
      </c>
      <c r="CP68" s="9" t="n">
        <v>12.491</v>
      </c>
      <c r="CQ68" s="9" t="n">
        <v>16.133</v>
      </c>
      <c r="CR68" s="9" t="n">
        <v>3</v>
      </c>
      <c r="CS68" s="9" t="n">
        <v>3</v>
      </c>
      <c r="CT68" s="9" t="n">
        <v>0.5</v>
      </c>
      <c r="CU68" s="9" t="n">
        <v>0.3</v>
      </c>
      <c r="CV68" s="9" t="n">
        <v>0.6</v>
      </c>
      <c r="CW68" s="9" t="n">
        <v>0.8</v>
      </c>
      <c r="CX68" s="9" t="n">
        <v>0.8</v>
      </c>
      <c r="CY68" s="9" t="n">
        <v>0.7</v>
      </c>
      <c r="CZ68" s="9" t="n">
        <v>0.5</v>
      </c>
      <c r="DA68" s="9" t="n">
        <v>0.5</v>
      </c>
      <c r="DB68" s="9" t="n">
        <v>1</v>
      </c>
      <c r="DC68" s="9" t="n">
        <v>0.3</v>
      </c>
      <c r="DD68" s="9" t="n">
        <v>0.8</v>
      </c>
      <c r="DE68" s="9" t="n">
        <v>0.3836262580742076</v>
      </c>
      <c r="DF68" s="9" t="n">
        <v>1</v>
      </c>
      <c r="DG68" s="9" t="n">
        <v>7.124</v>
      </c>
      <c r="DH68" s="9" t="n">
        <v>5.575</v>
      </c>
      <c r="DI68" s="9" t="n">
        <v>14.02195</v>
      </c>
      <c r="DJ68" s="9" t="n">
        <v>21.4339704396197</v>
      </c>
      <c r="DK68" s="9" t="n">
        <v>23.80915614471255</v>
      </c>
      <c r="DL68" s="9" t="n">
        <v>18.00453169567468</v>
      </c>
      <c r="DM68" s="9" t="n">
        <v>20.78884696630513</v>
      </c>
      <c r="DN68" s="9" t="n">
        <v>5.397</v>
      </c>
      <c r="DO68" s="9" t="n">
        <v>4.735</v>
      </c>
      <c r="DP68" s="9" t="n">
        <v>10.7732</v>
      </c>
      <c r="DQ68" s="9" t="n">
        <v>13.49474620847193</v>
      </c>
      <c r="DR68" s="9" t="n">
        <v>13.49474620847193</v>
      </c>
      <c r="DS68" s="9" t="n">
        <v>0.105</v>
      </c>
    </row>
    <row r="69">
      <c r="A69" s="9" t="inlineStr">
        <is>
          <t>GRC</t>
        </is>
      </c>
      <c r="B69" s="9" t="inlineStr">
        <is>
          <t>Greece</t>
        </is>
      </c>
      <c r="C69" s="9" t="n">
        <v>0.005</v>
      </c>
      <c r="D69" s="9" t="n">
        <v>0.005</v>
      </c>
      <c r="E69" s="9" t="n">
        <v>0.01</v>
      </c>
      <c r="F69" s="9" t="n">
        <v>0.005</v>
      </c>
      <c r="G69" s="9" t="n">
        <v>0.005</v>
      </c>
      <c r="H69" s="9" t="n">
        <v>0.01</v>
      </c>
      <c r="I69" s="9" t="n">
        <v>0.005</v>
      </c>
      <c r="J69" s="9" t="n">
        <v>0.005</v>
      </c>
      <c r="K69" s="9" t="n">
        <v>0.01</v>
      </c>
      <c r="L69" s="9" t="n">
        <v>0.01</v>
      </c>
      <c r="M69" s="9" t="n">
        <v>0.005</v>
      </c>
      <c r="N69" s="9" t="n">
        <v>33.224257</v>
      </c>
      <c r="O69" s="9" t="n">
        <v>1.372466</v>
      </c>
      <c r="P69" s="9" t="n">
        <v>109.576487</v>
      </c>
      <c r="Q69" s="9" t="n">
        <v>24.751181050425</v>
      </c>
      <c r="R69" s="9" t="n">
        <v>1.443991290755951</v>
      </c>
      <c r="S69" s="9" t="n">
        <v>8.890368338998186</v>
      </c>
      <c r="T69" s="9" t="n">
        <v>8.441568237744276</v>
      </c>
      <c r="U69" s="9" t="n">
        <v>2.94777</v>
      </c>
      <c r="V69" s="9" t="n">
        <v>0.019329</v>
      </c>
      <c r="W69" s="9" t="n">
        <v>0.768669</v>
      </c>
      <c r="X69" s="9" t="n">
        <v>7.978979655269463</v>
      </c>
      <c r="Y69" s="9" t="n">
        <v>7.978979655269463</v>
      </c>
      <c r="Z69" s="9" t="n">
        <v>2.15429369541084</v>
      </c>
      <c r="AA69" s="9" t="n">
        <v>10.06</v>
      </c>
      <c r="AB69" s="9" t="n">
        <v>11.08</v>
      </c>
      <c r="AC69" s="9" t="n">
        <v>5.71</v>
      </c>
      <c r="AD69" s="9" t="n">
        <v>0</v>
      </c>
      <c r="AE69" s="9" t="n">
        <v>0</v>
      </c>
      <c r="AF69" s="9" t="n">
        <v>71.996</v>
      </c>
      <c r="AG69" s="9" t="n">
        <v>11.06130164095725</v>
      </c>
      <c r="AH69" s="9" t="n">
        <v>7.5274602804</v>
      </c>
      <c r="AI69" s="9" t="n">
        <v>8.877247336159396</v>
      </c>
      <c r="AJ69" s="9" t="n">
        <v>9.381329626417337</v>
      </c>
      <c r="AK69" s="9" t="n">
        <v>158.6055250392861</v>
      </c>
      <c r="AL69" s="9" t="n">
        <v>0.2078037331058727</v>
      </c>
      <c r="AM69" s="9" t="n">
        <v>0.1615393044</v>
      </c>
      <c r="AN69" s="9" t="n">
        <v>0.1905057358328219</v>
      </c>
      <c r="AO69" s="9" t="n">
        <v>0.2013233422359605</v>
      </c>
      <c r="AP69" s="9" t="n">
        <v>141.3878992739063</v>
      </c>
      <c r="AQ69" s="9" t="n">
        <v>110.07646208</v>
      </c>
      <c r="AR69" s="9" t="n">
        <v>129.8148304173589</v>
      </c>
      <c r="AS69" s="9" t="n">
        <v>137.1861871621107</v>
      </c>
      <c r="AT69" s="9" t="n">
        <v>139.0650927805239</v>
      </c>
      <c r="AU69" s="9" t="n">
        <v>113.4845202816</v>
      </c>
      <c r="AV69" s="9" t="n">
        <v>131.641912326603</v>
      </c>
      <c r="AW69" s="9" t="n">
        <v>138.6888407764541</v>
      </c>
      <c r="AX69" s="9" t="n">
        <v>78.721625640159</v>
      </c>
      <c r="AY69" s="9" t="n">
        <v>63.78825516840001</v>
      </c>
      <c r="AZ69" s="9" t="n">
        <v>74.52160107020651</v>
      </c>
      <c r="BA69" s="9" t="n">
        <v>78.50943168479893</v>
      </c>
      <c r="BB69" s="9" t="n">
        <v>108.42036127991</v>
      </c>
      <c r="BC69" s="9" t="n">
        <v>84.25490869091882</v>
      </c>
      <c r="BD69" s="9" t="n">
        <v>90.26233150425456</v>
      </c>
      <c r="BE69" s="9" t="n">
        <v>105.0053417295637</v>
      </c>
      <c r="BF69" s="9" t="n">
        <v>8.248665355825944</v>
      </c>
      <c r="BG69" s="9" t="n">
        <v>6.296589347117075</v>
      </c>
      <c r="BH69" s="9" t="n">
        <v>7.425662697168616</v>
      </c>
      <c r="BI69" s="9" t="n">
        <v>7.847318748569243</v>
      </c>
      <c r="BJ69" s="9" t="n">
        <v>5.666955885576243</v>
      </c>
      <c r="BK69" s="9" t="n">
        <v>4.396382650397133</v>
      </c>
      <c r="BL69" s="9" t="n">
        <v>5.184720306475191</v>
      </c>
      <c r="BM69" s="9" t="n">
        <v>5.479127523877964</v>
      </c>
      <c r="BN69" s="9" t="n">
        <v>46.43233959371924</v>
      </c>
      <c r="BO69" s="9" t="n">
        <v>28.2228545484</v>
      </c>
      <c r="BP69" s="9" t="n">
        <v>33.28363764481858</v>
      </c>
      <c r="BQ69" s="9" t="n">
        <v>35.17360326780799</v>
      </c>
      <c r="BR69" s="9" t="n">
        <v>88.72126856725291</v>
      </c>
      <c r="BS69" s="9" t="n">
        <v>46.59379898384592</v>
      </c>
      <c r="BT69" s="9" t="n">
        <v>29.8478981664</v>
      </c>
      <c r="BU69" s="9" t="n">
        <v>35.2000760704846</v>
      </c>
      <c r="BV69" s="9" t="n">
        <v>37.19886401577352</v>
      </c>
      <c r="BW69" s="9" t="n">
        <v>214.3533340526975</v>
      </c>
      <c r="BX69" s="9" t="n">
        <v>200.9969096231394</v>
      </c>
      <c r="BY69" s="9" t="n">
        <v>199.1248739544225</v>
      </c>
      <c r="BZ69" s="9" t="n">
        <v>212.2681886740214</v>
      </c>
      <c r="CA69" s="9" t="n">
        <v>1.143992353991015</v>
      </c>
      <c r="CB69" s="9" t="n">
        <v>60.49631067241192</v>
      </c>
      <c r="CC69" s="9" t="n">
        <v>0</v>
      </c>
      <c r="CD69" s="9" t="n">
        <v>1.44132676701307</v>
      </c>
      <c r="CE69" s="9" t="n">
        <v>2.073</v>
      </c>
      <c r="CF69" s="9" t="n">
        <v>1.802</v>
      </c>
      <c r="CG69" s="9" t="n">
        <v>256.161</v>
      </c>
      <c r="CH69" s="9" t="n">
        <v>4.13</v>
      </c>
      <c r="CI69" s="9" t="n">
        <v>2.74</v>
      </c>
      <c r="CJ69" s="9" t="n">
        <v>30.25</v>
      </c>
      <c r="CK69" s="9" t="n">
        <v>23.33</v>
      </c>
      <c r="CL69" s="9" t="n">
        <v>4.18</v>
      </c>
      <c r="CM69" s="9" t="n">
        <v>11.46</v>
      </c>
      <c r="CN69" s="9" t="n">
        <v>57.92</v>
      </c>
      <c r="CO69" s="9" t="n">
        <v>12.08</v>
      </c>
      <c r="CP69" s="9" t="n">
        <v>91.748</v>
      </c>
      <c r="CQ69" s="9" t="n">
        <v>86.23399999999999</v>
      </c>
      <c r="CR69" s="9" t="n">
        <v>1</v>
      </c>
      <c r="CS69" s="9" t="n">
        <v>4</v>
      </c>
      <c r="CT69" s="9" t="n">
        <v>0.5</v>
      </c>
      <c r="CU69" s="9" t="n">
        <v>0.3</v>
      </c>
      <c r="CV69" s="9" t="n">
        <v>0.6</v>
      </c>
      <c r="CW69" s="9" t="n">
        <v>0.8</v>
      </c>
      <c r="CX69" s="9" t="n">
        <v>0.8</v>
      </c>
      <c r="CY69" s="9" t="n">
        <v>0.7</v>
      </c>
      <c r="CZ69" s="9" t="n">
        <v>0.5</v>
      </c>
      <c r="DA69" s="9" t="n">
        <v>0.5</v>
      </c>
      <c r="DB69" s="9" t="n">
        <v>1</v>
      </c>
      <c r="DC69" s="9" t="n">
        <v>0.3</v>
      </c>
      <c r="DD69" s="9" t="n">
        <v>0.8</v>
      </c>
      <c r="DE69" s="9" t="n">
        <v>0.5763200345574687</v>
      </c>
      <c r="DF69" s="9" t="n">
        <v>3</v>
      </c>
      <c r="DG69" s="9" t="n">
        <v>3.468</v>
      </c>
      <c r="DH69" s="9" t="n">
        <v>2.153</v>
      </c>
      <c r="DI69" s="9" t="n">
        <v>6.87704</v>
      </c>
      <c r="DJ69" s="9" t="n">
        <v>23.46254302498527</v>
      </c>
      <c r="DK69" s="9" t="n">
        <v>25.63373362226885</v>
      </c>
      <c r="DL69" s="9" t="n">
        <v>19.36624278631363</v>
      </c>
      <c r="DM69" s="9" t="n">
        <v>20.69582799922884</v>
      </c>
      <c r="DN69" s="9" t="n">
        <v>12.457</v>
      </c>
      <c r="DO69" s="9" t="n">
        <v>12.457</v>
      </c>
      <c r="DP69" s="9" t="n">
        <v>24.70204</v>
      </c>
      <c r="DQ69" s="9" t="n">
        <v>13.49477928472553</v>
      </c>
      <c r="DR69" s="9" t="n">
        <v>13.49477928472553</v>
      </c>
      <c r="DS69" s="9" t="n">
        <v>0.04315</v>
      </c>
    </row>
    <row r="70">
      <c r="A70" s="9" t="inlineStr">
        <is>
          <t>GRD</t>
        </is>
      </c>
      <c r="B70" s="9" t="inlineStr">
        <is>
          <t>Grenada</t>
        </is>
      </c>
      <c r="C70" s="9" t="n">
        <v>0.005</v>
      </c>
      <c r="D70" s="9" t="n">
        <v>0.005</v>
      </c>
      <c r="E70" s="9" t="n">
        <v>0.01</v>
      </c>
      <c r="F70" s="9" t="n">
        <v>0.005</v>
      </c>
      <c r="G70" s="9" t="n">
        <v>0.005</v>
      </c>
      <c r="H70" s="9" t="n">
        <v>0.01</v>
      </c>
      <c r="I70" s="9" t="n">
        <v>0.005</v>
      </c>
      <c r="J70" s="9" t="n">
        <v>0.005</v>
      </c>
      <c r="K70" s="9" t="n">
        <v>0.01</v>
      </c>
      <c r="L70" s="9" t="n">
        <v>0.01</v>
      </c>
      <c r="M70" s="9" t="n">
        <v>0.005</v>
      </c>
      <c r="N70" s="9" t="n">
        <v>0.056414</v>
      </c>
      <c r="O70" s="9" t="n">
        <v>0.193605</v>
      </c>
      <c r="P70" s="9" t="n">
        <v>2.051379</v>
      </c>
      <c r="Q70" s="9" t="n">
        <v>1.252386701877642</v>
      </c>
      <c r="R70" s="9" t="n">
        <v>0.1781540268815267</v>
      </c>
      <c r="S70" s="9" t="n">
        <v>0.1410904668743667</v>
      </c>
      <c r="T70" s="9" t="n">
        <v>0.1415843327057894</v>
      </c>
      <c r="U70" s="9" t="n">
        <v>0.007629</v>
      </c>
      <c r="V70" s="9" t="n">
        <v>0.003086</v>
      </c>
      <c r="W70" s="9" t="n">
        <v>0.007257</v>
      </c>
      <c r="X70" s="9" t="n">
        <v>0.2510437775943503</v>
      </c>
      <c r="Y70" s="9" t="n">
        <v>0.2510437775943503</v>
      </c>
      <c r="Z70" s="9" t="n">
        <v>0.005159431528636361</v>
      </c>
      <c r="AA70" s="9" t="n">
        <v>0.07000000000000001</v>
      </c>
      <c r="AB70" s="9" t="n">
        <v>0</v>
      </c>
      <c r="AC70" s="9" t="n">
        <v>0</v>
      </c>
      <c r="AD70" s="9" t="n">
        <v>0</v>
      </c>
      <c r="AE70" s="9" t="n">
        <v>0</v>
      </c>
      <c r="AF70" s="9" t="n">
        <v>0.12</v>
      </c>
      <c r="AG70" s="9" t="n">
        <v>0</v>
      </c>
      <c r="AH70" s="9" t="n">
        <v>0</v>
      </c>
      <c r="AI70" s="9" t="n">
        <v>0</v>
      </c>
      <c r="AJ70" s="9" t="n">
        <v>0</v>
      </c>
      <c r="AK70" s="9" t="n">
        <v>0</v>
      </c>
      <c r="AL70" s="9" t="n">
        <v>0</v>
      </c>
      <c r="AM70" s="9" t="n">
        <v>0</v>
      </c>
      <c r="AN70" s="9" t="n">
        <v>0</v>
      </c>
      <c r="AO70" s="9" t="n">
        <v>0</v>
      </c>
      <c r="AP70" s="9" t="n">
        <v>0.3963560165411387</v>
      </c>
      <c r="AQ70" s="9" t="n">
        <v>0.371579256</v>
      </c>
      <c r="AR70" s="9" t="n">
        <v>0.3859555292838622</v>
      </c>
      <c r="AS70" s="9" t="n">
        <v>0.3782364186981848</v>
      </c>
      <c r="AT70" s="9" t="n">
        <v>0.4488414615299697</v>
      </c>
      <c r="AU70" s="9" t="n">
        <v>0.4381628551199996</v>
      </c>
      <c r="AV70" s="9" t="n">
        <v>0.4671588147255731</v>
      </c>
      <c r="AW70" s="9" t="n">
        <v>0.4195195970810828</v>
      </c>
      <c r="AX70" s="9" t="n">
        <v>0.3120724489531187</v>
      </c>
      <c r="AY70" s="9" t="n">
        <v>0.30640090968</v>
      </c>
      <c r="AZ70" s="9" t="n">
        <v>0.3248082181724013</v>
      </c>
      <c r="BA70" s="9" t="n">
        <v>0.2916854151544941</v>
      </c>
      <c r="BB70" s="9" t="n">
        <v>1.074646986974246</v>
      </c>
      <c r="BC70" s="9" t="n">
        <v>0.9607499728103962</v>
      </c>
      <c r="BD70" s="9" t="n">
        <v>1.105326200485228</v>
      </c>
      <c r="BE70" s="9" t="n">
        <v>1.029246506453229</v>
      </c>
      <c r="BF70" s="9" t="n">
        <v>0.0028128257862204</v>
      </c>
      <c r="BG70" s="9" t="n">
        <v>0.0025387209999999</v>
      </c>
      <c r="BH70" s="9" t="n">
        <v>0.0026369432400689</v>
      </c>
      <c r="BI70" s="9" t="n">
        <v>0.0025842043752675</v>
      </c>
      <c r="BJ70" s="9" t="n">
        <v>0.1799444025046275</v>
      </c>
      <c r="BK70" s="9" t="n">
        <v>0.1709478099999993</v>
      </c>
      <c r="BL70" s="9" t="n">
        <v>0.1775617218213787</v>
      </c>
      <c r="BM70" s="9" t="n">
        <v>0.1740104873849511</v>
      </c>
      <c r="BN70" s="9" t="n">
        <v>0</v>
      </c>
      <c r="BO70" s="9" t="n">
        <v>0</v>
      </c>
      <c r="BP70" s="9" t="n">
        <v>0</v>
      </c>
      <c r="BQ70" s="9" t="n">
        <v>0</v>
      </c>
      <c r="BR70" s="9" t="n">
        <v>0</v>
      </c>
      <c r="BS70" s="9" t="n">
        <v>0</v>
      </c>
      <c r="BT70" s="9" t="n">
        <v>0</v>
      </c>
      <c r="BU70" s="9" t="n">
        <v>0</v>
      </c>
      <c r="BV70" s="9" t="n">
        <v>0</v>
      </c>
      <c r="BW70" s="9" t="n">
        <v>2.589607501439058</v>
      </c>
      <c r="BX70" s="9" t="n">
        <v>2.697005865950251</v>
      </c>
      <c r="BY70" s="9" t="n">
        <v>2.663156772087786</v>
      </c>
      <c r="BZ70" s="9" t="n">
        <v>2.431982766280281</v>
      </c>
      <c r="CA70" s="9" t="n">
        <v>0.9731971473941708</v>
      </c>
      <c r="CB70" s="9" t="n">
        <v>0.2113649751341912</v>
      </c>
      <c r="CC70" s="9" t="n">
        <v>0.131</v>
      </c>
      <c r="CD70" s="9" t="n">
        <v>0</v>
      </c>
      <c r="CE70" s="9" t="n">
        <v>4.41</v>
      </c>
      <c r="CF70" s="9" t="n">
        <v>3.112</v>
      </c>
      <c r="CG70" s="9" t="n">
        <v>1.351</v>
      </c>
      <c r="CH70" s="9" t="n">
        <v>0</v>
      </c>
      <c r="CI70" s="9" t="n">
        <v>0</v>
      </c>
      <c r="CJ70" s="9" t="n">
        <v>0.24</v>
      </c>
      <c r="CK70" s="9" t="n">
        <v>0</v>
      </c>
      <c r="CL70" s="9" t="n">
        <v>0.24</v>
      </c>
      <c r="CM70" s="9" t="n">
        <v>0</v>
      </c>
      <c r="CN70" s="9" t="n">
        <v>0.24</v>
      </c>
      <c r="CO70" s="9" t="n">
        <v>0</v>
      </c>
      <c r="CP70" s="9" t="n">
        <v>0.19</v>
      </c>
      <c r="CQ70" s="9" t="n">
        <v>0.19</v>
      </c>
      <c r="CR70" s="9" t="n">
        <v>3</v>
      </c>
      <c r="CS70" s="9" t="n">
        <v>3</v>
      </c>
      <c r="CT70" s="9" t="n">
        <v>0.5</v>
      </c>
      <c r="CU70" s="9" t="n">
        <v>0.3</v>
      </c>
      <c r="CV70" s="9" t="n">
        <v>0.6</v>
      </c>
      <c r="CW70" s="9" t="n">
        <v>0.8</v>
      </c>
      <c r="CX70" s="9" t="n">
        <v>0.8</v>
      </c>
      <c r="CY70" s="9" t="n">
        <v>0.7</v>
      </c>
      <c r="CZ70" s="9" t="n">
        <v>0.5</v>
      </c>
      <c r="DA70" s="9" t="n">
        <v>0.5</v>
      </c>
      <c r="DB70" s="9" t="n">
        <v>1</v>
      </c>
      <c r="DC70" s="9" t="n">
        <v>0.3</v>
      </c>
      <c r="DD70" s="9" t="n">
        <v>0.8</v>
      </c>
      <c r="DE70" s="9" t="n">
        <v>0.579082726103729</v>
      </c>
      <c r="DF70" s="9" t="n">
        <v>1</v>
      </c>
      <c r="DG70" s="9" t="n">
        <v>7.124</v>
      </c>
      <c r="DH70" s="9" t="n">
        <v>5.575</v>
      </c>
      <c r="DI70" s="9" t="n">
        <v>14.02195</v>
      </c>
      <c r="DJ70" s="9" t="n">
        <v>23.43202970677988</v>
      </c>
      <c r="DK70" s="9" t="n">
        <v>30.32049995224443</v>
      </c>
      <c r="DL70" s="9" t="n">
        <v>17.30384772105451</v>
      </c>
      <c r="DM70" s="9" t="n">
        <v>23.10788196534155</v>
      </c>
      <c r="DN70" s="9" t="n">
        <v>12.771</v>
      </c>
      <c r="DO70" s="9" t="n">
        <v>11.447</v>
      </c>
      <c r="DP70" s="9" t="n">
        <v>23.8188</v>
      </c>
      <c r="DQ70" s="9" t="n">
        <v>15.51837679704737</v>
      </c>
      <c r="DR70" s="9" t="n">
        <v>15.51837679704737</v>
      </c>
      <c r="DS70" s="9" t="n">
        <v>0.105</v>
      </c>
    </row>
    <row r="71">
      <c r="A71" s="9" t="inlineStr">
        <is>
          <t>GTM</t>
        </is>
      </c>
      <c r="B71" s="9" t="inlineStr">
        <is>
          <t>Guatemala</t>
        </is>
      </c>
      <c r="C71" s="9" t="n">
        <v>0.005</v>
      </c>
      <c r="D71" s="9" t="n">
        <v>0.005</v>
      </c>
      <c r="E71" s="9" t="n">
        <v>0.01</v>
      </c>
      <c r="F71" s="9" t="n">
        <v>0.005</v>
      </c>
      <c r="G71" s="9" t="n">
        <v>0.005</v>
      </c>
      <c r="H71" s="9" t="n">
        <v>0.01</v>
      </c>
      <c r="I71" s="9" t="n">
        <v>0.005</v>
      </c>
      <c r="J71" s="9" t="n">
        <v>0.005</v>
      </c>
      <c r="K71" s="9" t="n">
        <v>0.01</v>
      </c>
      <c r="L71" s="9" t="n">
        <v>0.01</v>
      </c>
      <c r="M71" s="9" t="n">
        <v>0.005</v>
      </c>
      <c r="N71" s="9" t="n">
        <v>4.231093</v>
      </c>
      <c r="O71" s="9" t="n">
        <v>2.38233</v>
      </c>
      <c r="P71" s="9" t="n">
        <v>3.874821</v>
      </c>
      <c r="Q71" s="9" t="n">
        <v>2.830525866740457</v>
      </c>
      <c r="R71" s="9" t="n">
        <v>0.4905097950399403</v>
      </c>
      <c r="S71" s="9" t="n">
        <v>0.5165723064307456</v>
      </c>
      <c r="T71" s="9" t="n">
        <v>0.4772749670169954</v>
      </c>
      <c r="U71" s="9" t="n">
        <v>0.148554</v>
      </c>
      <c r="V71" s="9" t="n">
        <v>0.003475</v>
      </c>
      <c r="W71" s="9" t="n">
        <v>0.014684</v>
      </c>
      <c r="X71" s="9" t="n">
        <v>3.302718583651453</v>
      </c>
      <c r="Y71" s="9" t="n">
        <v>3.302718583651453</v>
      </c>
      <c r="Z71" s="9" t="n">
        <v>0.4322694705598444</v>
      </c>
      <c r="AA71" s="9" t="n">
        <v>1.07</v>
      </c>
      <c r="AB71" s="9" t="n">
        <v>0.1</v>
      </c>
      <c r="AC71" s="9" t="n">
        <v>0.11</v>
      </c>
      <c r="AD71" s="9" t="n">
        <v>0</v>
      </c>
      <c r="AE71" s="9" t="n">
        <v>0</v>
      </c>
      <c r="AF71" s="9" t="n">
        <v>24.298</v>
      </c>
      <c r="AG71" s="9" t="n">
        <v>0</v>
      </c>
      <c r="AH71" s="9" t="n">
        <v>0</v>
      </c>
      <c r="AI71" s="9" t="n">
        <v>0</v>
      </c>
      <c r="AJ71" s="9" t="n">
        <v>0</v>
      </c>
      <c r="AK71" s="9" t="n">
        <v>66.27677431065709</v>
      </c>
      <c r="AL71" s="9" t="n">
        <v>0</v>
      </c>
      <c r="AM71" s="9" t="n">
        <v>0</v>
      </c>
      <c r="AN71" s="9" t="n">
        <v>0</v>
      </c>
      <c r="AO71" s="9" t="n">
        <v>0</v>
      </c>
      <c r="AP71" s="9" t="n">
        <v>65.08137436746209</v>
      </c>
      <c r="AQ71" s="9" t="n">
        <v>59.70719832</v>
      </c>
      <c r="AR71" s="9" t="n">
        <v>61.16670761226669</v>
      </c>
      <c r="AS71" s="9" t="n">
        <v>60.55504053614401</v>
      </c>
      <c r="AT71" s="9" t="n">
        <v>41.98761067377582</v>
      </c>
      <c r="AU71" s="9" t="n">
        <v>26.99965162080001</v>
      </c>
      <c r="AV71" s="9" t="n">
        <v>28.75131893333726</v>
      </c>
      <c r="AW71" s="9" t="n">
        <v>37.81842797041075</v>
      </c>
      <c r="AX71" s="9" t="n">
        <v>23.70255000916974</v>
      </c>
      <c r="AY71" s="9" t="n">
        <v>15.3373034736</v>
      </c>
      <c r="AZ71" s="9" t="n">
        <v>16.23049189775989</v>
      </c>
      <c r="BA71" s="9" t="n">
        <v>21.34899237780882</v>
      </c>
      <c r="BB71" s="9" t="n">
        <v>91.87654201417492</v>
      </c>
      <c r="BC71" s="9" t="n">
        <v>87.4979545652612</v>
      </c>
      <c r="BD71" s="9" t="n">
        <v>82.58288139235609</v>
      </c>
      <c r="BE71" s="9" t="n">
        <v>85.177201380876</v>
      </c>
      <c r="BF71" s="9" t="n">
        <v>0</v>
      </c>
      <c r="BG71" s="9" t="n">
        <v>0</v>
      </c>
      <c r="BH71" s="9" t="n">
        <v>0</v>
      </c>
      <c r="BI71" s="9" t="n">
        <v>0</v>
      </c>
      <c r="BJ71" s="9" t="n">
        <v>20.67271266239007</v>
      </c>
      <c r="BK71" s="9" t="n">
        <v>18.41290890999993</v>
      </c>
      <c r="BL71" s="9" t="n">
        <v>18.86300223891104</v>
      </c>
      <c r="BM71" s="9" t="n">
        <v>18.67437221652193</v>
      </c>
      <c r="BN71" s="9" t="n">
        <v>0</v>
      </c>
      <c r="BO71" s="9" t="n">
        <v>0</v>
      </c>
      <c r="BP71" s="9" t="n">
        <v>0</v>
      </c>
      <c r="BQ71" s="9" t="n">
        <v>0</v>
      </c>
      <c r="BR71" s="9" t="n">
        <v>0</v>
      </c>
      <c r="BS71" s="9" t="n">
        <v>0</v>
      </c>
      <c r="BT71" s="9" t="n">
        <v>0</v>
      </c>
      <c r="BU71" s="9" t="n">
        <v>0</v>
      </c>
      <c r="BV71" s="9" t="n">
        <v>0</v>
      </c>
      <c r="BW71" s="9" t="n">
        <v>42.76283977546932</v>
      </c>
      <c r="BX71" s="9" t="n">
        <v>40.40063826936096</v>
      </c>
      <c r="BY71" s="9" t="n">
        <v>37.55766477856036</v>
      </c>
      <c r="BZ71" s="9" t="n">
        <v>39.26908394115072</v>
      </c>
      <c r="CA71" s="9" t="n">
        <v>0.9647088435914239</v>
      </c>
      <c r="CB71" s="9" t="n">
        <v>18.24726685637377</v>
      </c>
      <c r="CC71" s="9" t="n">
        <v>0.225</v>
      </c>
      <c r="CD71" s="9" t="n">
        <v>-1.720900763481699</v>
      </c>
      <c r="CE71" s="9" t="n">
        <v>4.118</v>
      </c>
      <c r="CF71" s="9" t="n">
        <v>3.94</v>
      </c>
      <c r="CG71" s="9" t="n">
        <v>113.19</v>
      </c>
      <c r="CH71" s="9" t="n">
        <v>10.14</v>
      </c>
      <c r="CI71" s="9" t="n">
        <v>2.5</v>
      </c>
      <c r="CJ71" s="9" t="n">
        <v>5</v>
      </c>
      <c r="CK71" s="9" t="n">
        <v>0</v>
      </c>
      <c r="CL71" s="9" t="n">
        <v>2.5</v>
      </c>
      <c r="CM71" s="9" t="n">
        <v>0.28</v>
      </c>
      <c r="CN71" s="9" t="n">
        <v>15.79</v>
      </c>
      <c r="CO71" s="9" t="n">
        <v>0.37</v>
      </c>
      <c r="CP71" s="9" t="n">
        <v>49.89</v>
      </c>
      <c r="CQ71" s="9" t="n">
        <v>53.762</v>
      </c>
      <c r="CR71" s="9" t="n">
        <v>3</v>
      </c>
      <c r="CS71" s="9" t="n">
        <v>3</v>
      </c>
      <c r="CT71" s="9" t="n">
        <v>0.5</v>
      </c>
      <c r="CU71" s="9" t="n">
        <v>0.3</v>
      </c>
      <c r="CV71" s="9" t="n">
        <v>0.6</v>
      </c>
      <c r="CW71" s="9" t="n">
        <v>0.8</v>
      </c>
      <c r="CX71" s="9" t="n">
        <v>0.8</v>
      </c>
      <c r="CY71" s="9" t="n">
        <v>0.7</v>
      </c>
      <c r="CZ71" s="9" t="n">
        <v>0.5</v>
      </c>
      <c r="DA71" s="9" t="n">
        <v>0.5</v>
      </c>
      <c r="DB71" s="9" t="n">
        <v>1</v>
      </c>
      <c r="DC71" s="9" t="n">
        <v>0.3</v>
      </c>
      <c r="DD71" s="9" t="n">
        <v>0.8</v>
      </c>
      <c r="DE71" s="9" t="n">
        <v>0.427359462959537</v>
      </c>
      <c r="DF71" s="9" t="n">
        <v>3</v>
      </c>
      <c r="DG71" s="9" t="n">
        <v>6.355</v>
      </c>
      <c r="DH71" s="9" t="n">
        <v>4.852</v>
      </c>
      <c r="DI71" s="9" t="n">
        <v>12.08704</v>
      </c>
      <c r="DJ71" s="9" t="n">
        <v>17.73928487829128</v>
      </c>
      <c r="DK71" s="9" t="n">
        <v>24.16106039106954</v>
      </c>
      <c r="DL71" s="9" t="n">
        <v>15.04682410526479</v>
      </c>
      <c r="DM71" s="9" t="n">
        <v>22.62793047258299</v>
      </c>
      <c r="DN71" s="9" t="n">
        <v>6.853</v>
      </c>
      <c r="DO71" s="9" t="n">
        <v>6.191</v>
      </c>
      <c r="DP71" s="9" t="n">
        <v>12.12176</v>
      </c>
      <c r="DQ71" s="9" t="n">
        <v>13.49474620847193</v>
      </c>
      <c r="DR71" s="9" t="n">
        <v>13.49474620847193</v>
      </c>
      <c r="DS71" s="9" t="n">
        <v>0.08500000000000001</v>
      </c>
    </row>
    <row r="72">
      <c r="A72" s="9" t="inlineStr">
        <is>
          <t>GUY</t>
        </is>
      </c>
      <c r="B72" s="9" t="inlineStr">
        <is>
          <t>Guyana</t>
        </is>
      </c>
      <c r="C72" s="9" t="n">
        <v>0.005</v>
      </c>
      <c r="D72" s="9" t="n">
        <v>0.005</v>
      </c>
      <c r="E72" s="9" t="n">
        <v>0.01</v>
      </c>
      <c r="F72" s="9" t="n">
        <v>0.005</v>
      </c>
      <c r="G72" s="9" t="n">
        <v>0.005</v>
      </c>
      <c r="H72" s="9" t="n">
        <v>0.01</v>
      </c>
      <c r="I72" s="9" t="n">
        <v>0.005</v>
      </c>
      <c r="J72" s="9" t="n">
        <v>0.005</v>
      </c>
      <c r="K72" s="9" t="n">
        <v>0.01</v>
      </c>
      <c r="L72" s="9" t="n">
        <v>0.01</v>
      </c>
      <c r="M72" s="9" t="n">
        <v>0.005</v>
      </c>
      <c r="N72" s="9" t="n">
        <v>0.772455</v>
      </c>
      <c r="O72" s="9" t="n">
        <v>0.343058</v>
      </c>
      <c r="P72" s="9" t="n">
        <v>27.067288</v>
      </c>
      <c r="Q72" s="9" t="n">
        <v>7.21980502043293</v>
      </c>
      <c r="R72" s="9" t="n">
        <v>1.162576559047908</v>
      </c>
      <c r="S72" s="9" t="n">
        <v>0.691306200441884</v>
      </c>
      <c r="T72" s="9" t="n">
        <v>0.4108273062156208</v>
      </c>
      <c r="U72" s="9" t="n">
        <v>0.036658</v>
      </c>
      <c r="V72" s="9" t="n">
        <v>0</v>
      </c>
      <c r="W72" s="9" t="n">
        <v>0.048645</v>
      </c>
      <c r="X72" s="9" t="n">
        <v>1.340230651856383</v>
      </c>
      <c r="Y72" s="9" t="n">
        <v>1.340230651856383</v>
      </c>
      <c r="Z72" s="9" t="n">
        <v>0.09417203705747153</v>
      </c>
      <c r="AA72" s="9" t="n">
        <v>0.32</v>
      </c>
      <c r="AB72" s="9" t="n">
        <v>0.02</v>
      </c>
      <c r="AC72" s="9" t="n">
        <v>0</v>
      </c>
      <c r="AD72" s="9" t="n">
        <v>0</v>
      </c>
      <c r="AE72" s="9" t="n">
        <v>0</v>
      </c>
      <c r="AF72" s="9" t="n">
        <v>4.054</v>
      </c>
      <c r="AG72" s="9" t="n">
        <v>0</v>
      </c>
      <c r="AH72" s="9" t="n">
        <v>0</v>
      </c>
      <c r="AI72" s="9" t="n">
        <v>0</v>
      </c>
      <c r="AJ72" s="9" t="n">
        <v>0</v>
      </c>
      <c r="AK72" s="9" t="n">
        <v>0</v>
      </c>
      <c r="AL72" s="9" t="n">
        <v>0</v>
      </c>
      <c r="AM72" s="9" t="n">
        <v>0</v>
      </c>
      <c r="AN72" s="9" t="n">
        <v>0</v>
      </c>
      <c r="AO72" s="9" t="n">
        <v>0</v>
      </c>
      <c r="AP72" s="9" t="n">
        <v>4.820347621698182</v>
      </c>
      <c r="AQ72" s="9" t="n">
        <v>4.780802570000001</v>
      </c>
      <c r="AR72" s="9" t="n">
        <v>4.441931431312441</v>
      </c>
      <c r="AS72" s="9" t="n">
        <v>4.295486504436359</v>
      </c>
      <c r="AT72" s="9" t="n">
        <v>2.893514419627965</v>
      </c>
      <c r="AU72" s="9" t="n">
        <v>1.8188798976</v>
      </c>
      <c r="AV72" s="9" t="n">
        <v>2.395225073330738</v>
      </c>
      <c r="AW72" s="9" t="n">
        <v>2.611909976776477</v>
      </c>
      <c r="AX72" s="9" t="n">
        <v>2.088121042533603</v>
      </c>
      <c r="AY72" s="9" t="n">
        <v>1.3604252976</v>
      </c>
      <c r="AZ72" s="9" t="n">
        <v>1.728527718161183</v>
      </c>
      <c r="BA72" s="9" t="n">
        <v>1.884899603994946</v>
      </c>
      <c r="BB72" s="9" t="n">
        <v>9.710986909804303</v>
      </c>
      <c r="BC72" s="9" t="n">
        <v>9.51234262212466</v>
      </c>
      <c r="BD72" s="9" t="n">
        <v>8.669096186607772</v>
      </c>
      <c r="BE72" s="9" t="n">
        <v>8.464604721064168</v>
      </c>
      <c r="BF72" s="9" t="n">
        <v>0.6457658112181784</v>
      </c>
      <c r="BG72" s="9" t="n">
        <v>0.6413674899999976</v>
      </c>
      <c r="BH72" s="9" t="n">
        <v>0.5959063088549496</v>
      </c>
      <c r="BI72" s="9" t="n">
        <v>0.5762600227348877</v>
      </c>
      <c r="BJ72" s="9" t="n">
        <v>0.8899995611859649</v>
      </c>
      <c r="BK72" s="9" t="n">
        <v>0.8368686999999969</v>
      </c>
      <c r="BL72" s="9" t="n">
        <v>0.7775500719770503</v>
      </c>
      <c r="BM72" s="9" t="n">
        <v>0.7519152180415568</v>
      </c>
      <c r="BN72" s="9" t="n">
        <v>0</v>
      </c>
      <c r="BO72" s="9" t="n">
        <v>0</v>
      </c>
      <c r="BP72" s="9" t="n">
        <v>0</v>
      </c>
      <c r="BQ72" s="9" t="n">
        <v>0</v>
      </c>
      <c r="BR72" s="9" t="n">
        <v>0</v>
      </c>
      <c r="BS72" s="9" t="n">
        <v>0</v>
      </c>
      <c r="BT72" s="9" t="n">
        <v>0</v>
      </c>
      <c r="BU72" s="9" t="n">
        <v>0</v>
      </c>
      <c r="BV72" s="9" t="n">
        <v>0</v>
      </c>
      <c r="BW72" s="9" t="n">
        <v>24.91585825899439</v>
      </c>
      <c r="BX72" s="9" t="n">
        <v>22.49696319852187</v>
      </c>
      <c r="BY72" s="9" t="n">
        <v>23.88269036921573</v>
      </c>
      <c r="BZ72" s="9" t="n">
        <v>23.48353174232668</v>
      </c>
      <c r="CA72" s="9" t="n">
        <v>0.8897198295520679</v>
      </c>
      <c r="CB72" s="9" t="n">
        <v>1.383787628378213</v>
      </c>
      <c r="CC72" s="9" t="n">
        <v>0.179</v>
      </c>
      <c r="CD72" s="9" t="n">
        <v>-0.203407068395626</v>
      </c>
      <c r="CE72" s="9" t="n">
        <v>19.309</v>
      </c>
      <c r="CF72" s="9" t="n">
        <v>16.168</v>
      </c>
      <c r="CG72" s="9" t="n">
        <v>24.659</v>
      </c>
      <c r="CH72" s="9" t="n">
        <v>0.02</v>
      </c>
      <c r="CI72" s="9" t="n">
        <v>0</v>
      </c>
      <c r="CJ72" s="9" t="n">
        <v>1.34</v>
      </c>
      <c r="CK72" s="9" t="n">
        <v>0.01</v>
      </c>
      <c r="CL72" s="9" t="n">
        <v>1.33</v>
      </c>
      <c r="CM72" s="9" t="n">
        <v>0.02</v>
      </c>
      <c r="CN72" s="9" t="n">
        <v>1.38</v>
      </c>
      <c r="CO72" s="9" t="n">
        <v>0</v>
      </c>
      <c r="CP72" s="9" t="n">
        <v>9.15</v>
      </c>
      <c r="CQ72" s="9" t="n">
        <v>21.371</v>
      </c>
      <c r="CR72" s="9" t="n">
        <v>3</v>
      </c>
      <c r="CS72" s="9" t="n">
        <v>3</v>
      </c>
      <c r="CT72" s="9" t="n">
        <v>0.5</v>
      </c>
      <c r="CU72" s="9" t="n">
        <v>0.3</v>
      </c>
      <c r="CV72" s="9" t="n">
        <v>0.6</v>
      </c>
      <c r="CW72" s="9" t="n">
        <v>0.8</v>
      </c>
      <c r="CX72" s="9" t="n">
        <v>0.8</v>
      </c>
      <c r="CY72" s="9" t="n">
        <v>0.7</v>
      </c>
      <c r="CZ72" s="9" t="n">
        <v>0.5</v>
      </c>
      <c r="DA72" s="9" t="n">
        <v>0.5</v>
      </c>
      <c r="DB72" s="9" t="n">
        <v>1</v>
      </c>
      <c r="DC72" s="9" t="n">
        <v>0.3</v>
      </c>
      <c r="DD72" s="9" t="n">
        <v>0.8</v>
      </c>
      <c r="DE72" s="9" t="n">
        <v>0.3698165839319725</v>
      </c>
      <c r="DF72" s="9" t="n">
        <v>2</v>
      </c>
      <c r="DG72" s="9" t="n">
        <v>7.124</v>
      </c>
      <c r="DH72" s="9" t="n">
        <v>5.575</v>
      </c>
      <c r="DI72" s="9" t="n">
        <v>14.14388</v>
      </c>
      <c r="DJ72" s="9" t="n">
        <v>28.24704740745389</v>
      </c>
      <c r="DK72" s="9" t="n">
        <v>27.40254860344973</v>
      </c>
      <c r="DL72" s="9" t="n">
        <v>17.45431596210716</v>
      </c>
      <c r="DM72" s="9" t="n">
        <v>22.92424902533354</v>
      </c>
      <c r="DN72" s="9" t="n">
        <v>12.667</v>
      </c>
      <c r="DO72" s="9" t="n">
        <v>11.344</v>
      </c>
      <c r="DP72" s="9" t="n">
        <v>23.90644</v>
      </c>
      <c r="DQ72" s="9" t="n">
        <v>13.49474620847193</v>
      </c>
      <c r="DR72" s="9" t="n">
        <v>13.49474620847193</v>
      </c>
      <c r="DS72" s="9" t="n">
        <v>0.105</v>
      </c>
    </row>
    <row r="73">
      <c r="A73" s="9" t="inlineStr">
        <is>
          <t>HKG</t>
        </is>
      </c>
      <c r="B73" s="9" t="inlineStr">
        <is>
          <t>Hong Kong SAR, China</t>
        </is>
      </c>
      <c r="C73" s="9" t="n">
        <v>0.005</v>
      </c>
      <c r="D73" s="9" t="n">
        <v>0.005</v>
      </c>
      <c r="E73" s="9" t="n">
        <v>0.01</v>
      </c>
      <c r="F73" s="9" t="n">
        <v>0.005</v>
      </c>
      <c r="G73" s="9" t="n">
        <v>0.005</v>
      </c>
      <c r="H73" s="9" t="n">
        <v>0.01</v>
      </c>
      <c r="I73" s="9" t="n">
        <v>0.005</v>
      </c>
      <c r="J73" s="9" t="n">
        <v>0.005</v>
      </c>
      <c r="K73" s="9" t="n">
        <v>0.01</v>
      </c>
      <c r="L73" s="9" t="n">
        <v>0.01</v>
      </c>
      <c r="M73" s="9" t="n">
        <v>0.005</v>
      </c>
      <c r="N73" s="9" t="n">
        <v>0</v>
      </c>
      <c r="O73" s="9" t="n">
        <v>0</v>
      </c>
      <c r="P73" s="9" t="n">
        <v>0</v>
      </c>
      <c r="Q73" s="9" t="n">
        <v>0</v>
      </c>
      <c r="R73" s="9" t="n">
        <v>0</v>
      </c>
      <c r="S73" s="9" t="n">
        <v>0</v>
      </c>
      <c r="T73" s="9" t="n">
        <v>0</v>
      </c>
      <c r="U73" s="9" t="n">
        <v>0</v>
      </c>
      <c r="V73" s="9" t="n">
        <v>0</v>
      </c>
      <c r="W73" s="9" t="n">
        <v>0</v>
      </c>
      <c r="X73" s="9" t="n">
        <v>0</v>
      </c>
      <c r="Y73" s="9" t="n">
        <v>0</v>
      </c>
      <c r="Z73" s="9" t="n">
        <v>3.434350904709262</v>
      </c>
      <c r="AA73" s="9" t="n">
        <v>10.21</v>
      </c>
      <c r="AB73" s="9" t="n">
        <v>0.41</v>
      </c>
      <c r="AC73" s="9" t="n">
        <v>0</v>
      </c>
      <c r="AD73" s="9" t="n">
        <v>0</v>
      </c>
      <c r="AE73" s="9" t="n">
        <v>0</v>
      </c>
      <c r="AF73" s="9" t="n">
        <v>36.233</v>
      </c>
      <c r="AG73" s="9" t="n">
        <v>0</v>
      </c>
      <c r="AH73" s="9" t="n">
        <v>0</v>
      </c>
      <c r="AI73" s="9" t="n">
        <v>0</v>
      </c>
      <c r="AJ73" s="9" t="n">
        <v>0</v>
      </c>
      <c r="AK73" s="9" t="n">
        <v>158.1093354785029</v>
      </c>
      <c r="AL73" s="9" t="n">
        <v>0</v>
      </c>
      <c r="AM73" s="9" t="n">
        <v>0</v>
      </c>
      <c r="AN73" s="9" t="n">
        <v>0</v>
      </c>
      <c r="AO73" s="9" t="n">
        <v>0</v>
      </c>
      <c r="AP73" s="9" t="n">
        <v>80.06970243594981</v>
      </c>
      <c r="AQ73" s="9" t="n">
        <v>76.04717596</v>
      </c>
      <c r="AR73" s="9" t="n">
        <v>77.21092819817579</v>
      </c>
      <c r="AS73" s="9" t="n">
        <v>82.7386702552669</v>
      </c>
      <c r="AT73" s="9" t="n">
        <v>121.3709763530158</v>
      </c>
      <c r="AU73" s="9" t="n">
        <v>117.4648356792</v>
      </c>
      <c r="AV73" s="9" t="n">
        <v>116.8751252249325</v>
      </c>
      <c r="AW73" s="9" t="n">
        <v>125.101951215453</v>
      </c>
      <c r="AX73" s="9" t="n">
        <v>49.14273748940143</v>
      </c>
      <c r="AY73" s="9" t="n">
        <v>47.4639973308</v>
      </c>
      <c r="AZ73" s="9" t="n">
        <v>47.34452172603805</v>
      </c>
      <c r="BA73" s="9" t="n">
        <v>50.66876168755301</v>
      </c>
      <c r="BB73" s="9" t="n">
        <v>26.15011812797081</v>
      </c>
      <c r="BC73" s="9" t="n">
        <v>27.35125747504016</v>
      </c>
      <c r="BD73" s="9" t="n">
        <v>22.1937890029265</v>
      </c>
      <c r="BE73" s="9" t="n">
        <v>26.60308364468713</v>
      </c>
      <c r="BF73" s="9" t="n">
        <v>0.0500410925400393</v>
      </c>
      <c r="BG73" s="9" t="n">
        <v>0.0449272817237844</v>
      </c>
      <c r="BH73" s="9" t="n">
        <v>0.0456148052774362</v>
      </c>
      <c r="BI73" s="9" t="n">
        <v>0.0488804942601011</v>
      </c>
      <c r="BJ73" s="9" t="n">
        <v>2.970639181704958</v>
      </c>
      <c r="BK73" s="9" t="n">
        <v>2.712999097389429</v>
      </c>
      <c r="BL73" s="9" t="n">
        <v>2.754516204788874</v>
      </c>
      <c r="BM73" s="9" t="n">
        <v>2.95171957259543</v>
      </c>
      <c r="BN73" s="9" t="n">
        <v>1.578062005268517</v>
      </c>
      <c r="BO73" s="9" t="n">
        <v>1.4363989704</v>
      </c>
      <c r="BP73" s="9" t="n">
        <v>1.458380227371273</v>
      </c>
      <c r="BQ73" s="9" t="n">
        <v>1.562789666633277</v>
      </c>
      <c r="BR73" s="9" t="n">
        <v>104.4758114910761</v>
      </c>
      <c r="BS73" s="9" t="n">
        <v>25.59747412373454</v>
      </c>
      <c r="BT73" s="9" t="n">
        <v>23.4729006408</v>
      </c>
      <c r="BU73" s="9" t="n">
        <v>23.83210715060618</v>
      </c>
      <c r="BV73" s="9" t="n">
        <v>25.53831304761833</v>
      </c>
      <c r="BW73" s="9" t="n">
        <v>65.33013964757502</v>
      </c>
      <c r="BX73" s="9" t="n">
        <v>20.37225423895304</v>
      </c>
      <c r="BY73" s="9" t="n">
        <v>81.53751192213822</v>
      </c>
      <c r="BZ73" s="9" t="n">
        <v>76.71347095179117</v>
      </c>
      <c r="CA73" s="9" t="n">
        <v>1</v>
      </c>
      <c r="CB73" s="9" t="n">
        <v>47.36492051178255</v>
      </c>
      <c r="CC73" s="9" t="n">
        <v>0.024</v>
      </c>
      <c r="CD73" s="9" t="n">
        <v>0.10794373887969</v>
      </c>
      <c r="CE73" s="9" t="n">
        <v>3.488</v>
      </c>
      <c r="CF73" s="9" t="n">
        <v>2.42</v>
      </c>
      <c r="CG73" s="9" t="n">
        <v>408.369</v>
      </c>
      <c r="CH73" s="9" t="n">
        <v>0.16</v>
      </c>
      <c r="CI73" s="9" t="n">
        <v>12.6</v>
      </c>
      <c r="CJ73" s="9" t="n">
        <v>37.05</v>
      </c>
      <c r="CK73" s="9" t="n">
        <v>24</v>
      </c>
      <c r="CL73" s="9" t="n">
        <v>0.45</v>
      </c>
      <c r="CM73" s="9" t="n">
        <v>0.23</v>
      </c>
      <c r="CN73" s="9" t="n">
        <v>37.44</v>
      </c>
      <c r="CO73" s="9" t="n">
        <v>0</v>
      </c>
      <c r="CP73" s="9" t="n">
        <v>42.703</v>
      </c>
      <c r="CQ73" s="9" t="n">
        <v>42.703</v>
      </c>
      <c r="CR73" s="9" t="n">
        <v>1</v>
      </c>
      <c r="CS73" s="9" t="n">
        <v>4</v>
      </c>
      <c r="CT73" s="9" t="n">
        <v>0.5</v>
      </c>
      <c r="CU73" s="9" t="n">
        <v>0.3</v>
      </c>
      <c r="CV73" s="9" t="n">
        <v>0.6</v>
      </c>
      <c r="CW73" s="9" t="n">
        <v>0.8</v>
      </c>
      <c r="CX73" s="9" t="n">
        <v>0.8</v>
      </c>
      <c r="CY73" s="9" t="n">
        <v>0.7</v>
      </c>
      <c r="CZ73" s="9" t="n">
        <v>0.5</v>
      </c>
      <c r="DA73" s="9" t="n">
        <v>0.5</v>
      </c>
      <c r="DB73" s="9" t="n">
        <v>1</v>
      </c>
      <c r="DC73" s="9" t="n">
        <v>0.3</v>
      </c>
      <c r="DD73" s="9" t="n">
        <v>0.8</v>
      </c>
      <c r="DE73" s="9" t="n">
        <v>0.7203825161674999</v>
      </c>
      <c r="DF73" s="9" t="n">
        <v>1</v>
      </c>
      <c r="DG73" s="9" t="n">
        <v>7.124</v>
      </c>
      <c r="DH73" s="9" t="n">
        <v>4.833</v>
      </c>
      <c r="DI73" s="9" t="n">
        <v>11.451</v>
      </c>
      <c r="DJ73" s="9" t="n">
        <v>19.68082211137683</v>
      </c>
      <c r="DK73" s="9" t="n">
        <v>20.58922943093086</v>
      </c>
      <c r="DL73" s="9" t="n">
        <v>17.27205865604339</v>
      </c>
      <c r="DM73" s="9" t="n">
        <v>19.78301635067195</v>
      </c>
      <c r="DN73" s="9" t="n">
        <v>39.742</v>
      </c>
      <c r="DO73" s="9" t="n">
        <v>39.742</v>
      </c>
      <c r="DP73" s="9" t="n">
        <v>44.582</v>
      </c>
      <c r="DQ73" s="9" t="n">
        <v>14.11516989415954</v>
      </c>
      <c r="DR73" s="9" t="n">
        <v>14.11516989415954</v>
      </c>
      <c r="DS73" s="9" t="n">
        <v>0.055</v>
      </c>
    </row>
    <row r="74">
      <c r="A74" s="9" t="inlineStr">
        <is>
          <t>HND</t>
        </is>
      </c>
      <c r="B74" s="9" t="inlineStr">
        <is>
          <t>Honduras</t>
        </is>
      </c>
      <c r="C74" s="9" t="n">
        <v>0.005</v>
      </c>
      <c r="D74" s="9" t="n">
        <v>0.005</v>
      </c>
      <c r="E74" s="9" t="n">
        <v>0.01</v>
      </c>
      <c r="F74" s="9" t="n">
        <v>0.005</v>
      </c>
      <c r="G74" s="9" t="n">
        <v>0.005</v>
      </c>
      <c r="H74" s="9" t="n">
        <v>0.01</v>
      </c>
      <c r="I74" s="9" t="n">
        <v>0.005</v>
      </c>
      <c r="J74" s="9" t="n">
        <v>0.005</v>
      </c>
      <c r="K74" s="9" t="n">
        <v>0.01</v>
      </c>
      <c r="L74" s="9" t="n">
        <v>0.01</v>
      </c>
      <c r="M74" s="9" t="n">
        <v>0.005</v>
      </c>
      <c r="N74" s="9" t="n">
        <v>2.741132</v>
      </c>
      <c r="O74" s="9" t="n">
        <v>0.000237</v>
      </c>
      <c r="P74" s="9" t="n">
        <v>4.622863</v>
      </c>
      <c r="Q74" s="9" t="n">
        <v>3.081925578070523</v>
      </c>
      <c r="R74" s="9" t="n">
        <v>0.4579959702302619</v>
      </c>
      <c r="S74" s="9" t="n">
        <v>0.2938104333653025</v>
      </c>
      <c r="T74" s="9" t="n">
        <v>0.2405769949154263</v>
      </c>
      <c r="U74" s="9" t="n">
        <v>0.055195</v>
      </c>
      <c r="V74" s="9" t="n">
        <v>0.003943</v>
      </c>
      <c r="W74" s="9" t="n">
        <v>0.011265</v>
      </c>
      <c r="X74" s="9" t="n">
        <v>2.075099469564765</v>
      </c>
      <c r="Y74" s="9" t="n">
        <v>2.075099469564765</v>
      </c>
      <c r="Z74" s="9" t="n">
        <v>0.141683870993641</v>
      </c>
      <c r="AA74" s="9" t="n">
        <v>1.05</v>
      </c>
      <c r="AB74" s="9" t="n">
        <v>0.55</v>
      </c>
      <c r="AC74" s="9" t="n">
        <v>0.24</v>
      </c>
      <c r="AD74" s="9" t="n">
        <v>0</v>
      </c>
      <c r="AE74" s="9" t="n">
        <v>0</v>
      </c>
      <c r="AF74" s="9" t="n">
        <v>12.467</v>
      </c>
      <c r="AG74" s="9" t="n">
        <v>0</v>
      </c>
      <c r="AH74" s="9" t="n">
        <v>0</v>
      </c>
      <c r="AI74" s="9" t="n">
        <v>0</v>
      </c>
      <c r="AJ74" s="9" t="n">
        <v>0</v>
      </c>
      <c r="AK74" s="9" t="n">
        <v>42.49629748118705</v>
      </c>
      <c r="AL74" s="9" t="n">
        <v>0</v>
      </c>
      <c r="AM74" s="9" t="n">
        <v>0</v>
      </c>
      <c r="AN74" s="9" t="n">
        <v>0</v>
      </c>
      <c r="AO74" s="9" t="n">
        <v>0</v>
      </c>
      <c r="AP74" s="9" t="n">
        <v>33.51140928227</v>
      </c>
      <c r="AQ74" s="9" t="n">
        <v>29.96305872000001</v>
      </c>
      <c r="AR74" s="9" t="n">
        <v>30.17945858853334</v>
      </c>
      <c r="AS74" s="9" t="n">
        <v>31.08520162545826</v>
      </c>
      <c r="AT74" s="9" t="n">
        <v>19.71771826979342</v>
      </c>
      <c r="AU74" s="9" t="n">
        <v>17.0226956268</v>
      </c>
      <c r="AV74" s="9" t="n">
        <v>18.09245876103376</v>
      </c>
      <c r="AW74" s="9" t="n">
        <v>19.97289091109554</v>
      </c>
      <c r="AX74" s="9" t="n">
        <v>12.50563823013813</v>
      </c>
      <c r="AY74" s="9" t="n">
        <v>10.9027872648</v>
      </c>
      <c r="AZ74" s="9" t="n">
        <v>11.47484414085564</v>
      </c>
      <c r="BA74" s="9" t="n">
        <v>12.66747727736915</v>
      </c>
      <c r="BB74" s="9" t="n">
        <v>36.90510575502831</v>
      </c>
      <c r="BC74" s="9" t="n">
        <v>32.6433592398218</v>
      </c>
      <c r="BD74" s="9" t="n">
        <v>33.65175112698905</v>
      </c>
      <c r="BE74" s="9" t="n">
        <v>34.26148243365378</v>
      </c>
      <c r="BF74" s="9" t="n">
        <v>1.118113491383645</v>
      </c>
      <c r="BG74" s="9" t="n">
        <v>0.9801062903496052</v>
      </c>
      <c r="BH74" s="9" t="n">
        <v>0.9871848357799078</v>
      </c>
      <c r="BI74" s="9" t="n">
        <v>1.016812133053731</v>
      </c>
      <c r="BJ74" s="9" t="n">
        <v>3.387717394686087</v>
      </c>
      <c r="BK74" s="9" t="n">
        <v>3.135644022872703</v>
      </c>
      <c r="BL74" s="9" t="n">
        <v>3.158290340815674</v>
      </c>
      <c r="BM74" s="9" t="n">
        <v>3.253076649734676</v>
      </c>
      <c r="BN74" s="9" t="n">
        <v>0</v>
      </c>
      <c r="BO74" s="9" t="n">
        <v>0</v>
      </c>
      <c r="BP74" s="9" t="n">
        <v>0</v>
      </c>
      <c r="BQ74" s="9" t="n">
        <v>0</v>
      </c>
      <c r="BR74" s="9" t="n">
        <v>0</v>
      </c>
      <c r="BS74" s="9" t="n">
        <v>0</v>
      </c>
      <c r="BT74" s="9" t="n">
        <v>0</v>
      </c>
      <c r="BU74" s="9" t="n">
        <v>0</v>
      </c>
      <c r="BV74" s="9" t="n">
        <v>0</v>
      </c>
      <c r="BW74" s="9" t="n">
        <v>31.64040741727529</v>
      </c>
      <c r="BX74" s="9" t="n">
        <v>58.28879514033333</v>
      </c>
      <c r="BY74" s="9" t="n">
        <v>27.9870321666515</v>
      </c>
      <c r="BZ74" s="9" t="n">
        <v>28.80301943979908</v>
      </c>
      <c r="CA74" s="9" t="n">
        <v>1.223326092115539</v>
      </c>
      <c r="CB74" s="9" t="n">
        <v>8.950932361092097</v>
      </c>
      <c r="CC74" s="9" t="n">
        <v>0.079</v>
      </c>
      <c r="CD74" s="9" t="n">
        <v>-1.990715120211521</v>
      </c>
      <c r="CE74" s="9" t="n">
        <v>3.7</v>
      </c>
      <c r="CF74" s="9" t="n">
        <v>3.3</v>
      </c>
      <c r="CG74" s="9" t="n">
        <v>37.1</v>
      </c>
      <c r="CH74" s="9" t="n">
        <v>4.989999999999999</v>
      </c>
      <c r="CI74" s="9" t="n">
        <v>0.06</v>
      </c>
      <c r="CJ74" s="9" t="n">
        <v>5.56</v>
      </c>
      <c r="CK74" s="9" t="n">
        <v>0</v>
      </c>
      <c r="CL74" s="9" t="n">
        <v>5.5</v>
      </c>
      <c r="CM74" s="9" t="n">
        <v>1.18</v>
      </c>
      <c r="CN74" s="9" t="n">
        <v>12.48</v>
      </c>
      <c r="CO74" s="9" t="n">
        <v>0.75</v>
      </c>
      <c r="CP74" s="9" t="n">
        <v>26.03</v>
      </c>
      <c r="CQ74" s="9" t="n">
        <v>33.489</v>
      </c>
      <c r="CR74" s="9" t="n">
        <v>3</v>
      </c>
      <c r="CS74" s="9" t="n">
        <v>2</v>
      </c>
      <c r="CT74" s="9" t="n">
        <v>0.5</v>
      </c>
      <c r="CU74" s="9" t="n">
        <v>0.3</v>
      </c>
      <c r="CV74" s="9" t="n">
        <v>0.6</v>
      </c>
      <c r="CW74" s="9" t="n">
        <v>0.8</v>
      </c>
      <c r="CX74" s="9" t="n">
        <v>0.8</v>
      </c>
      <c r="CY74" s="9" t="n">
        <v>0.7</v>
      </c>
      <c r="CZ74" s="9" t="n">
        <v>0.5</v>
      </c>
      <c r="DA74" s="9" t="n">
        <v>0.5</v>
      </c>
      <c r="DB74" s="9" t="n">
        <v>1</v>
      </c>
      <c r="DC74" s="9" t="n">
        <v>0.3</v>
      </c>
      <c r="DD74" s="9" t="n">
        <v>0.8</v>
      </c>
      <c r="DE74" s="9" t="n">
        <v>0.4571273672667233</v>
      </c>
      <c r="DF74" s="9" t="n">
        <v>2</v>
      </c>
      <c r="DG74" s="9" t="n">
        <v>7.124</v>
      </c>
      <c r="DH74" s="9" t="n">
        <v>5.575</v>
      </c>
      <c r="DI74" s="9" t="n">
        <v>14.02195</v>
      </c>
      <c r="DJ74" s="9" t="n">
        <v>17.685631846895</v>
      </c>
      <c r="DK74" s="9" t="n">
        <v>24.68505628008673</v>
      </c>
      <c r="DL74" s="9" t="n">
        <v>16.94500215885395</v>
      </c>
      <c r="DM74" s="9" t="n">
        <v>21.90003184156268</v>
      </c>
      <c r="DN74" s="9" t="n">
        <v>6.283</v>
      </c>
      <c r="DO74" s="9" t="n">
        <v>4.96</v>
      </c>
      <c r="DP74" s="9" t="n">
        <v>16.35875</v>
      </c>
      <c r="DQ74" s="9" t="n">
        <v>13.49474620847193</v>
      </c>
      <c r="DR74" s="9" t="n">
        <v>13.49474620847193</v>
      </c>
      <c r="DS74" s="9" t="n">
        <v>0.0669200000000001</v>
      </c>
    </row>
    <row r="75">
      <c r="A75" s="9" t="inlineStr">
        <is>
          <t>HRV</t>
        </is>
      </c>
      <c r="B75" s="9" t="inlineStr">
        <is>
          <t>Croatia</t>
        </is>
      </c>
      <c r="C75" s="9" t="n">
        <v>0.005</v>
      </c>
      <c r="D75" s="9" t="n">
        <v>0.005</v>
      </c>
      <c r="E75" s="9" t="n">
        <v>0.01</v>
      </c>
      <c r="F75" s="9" t="n">
        <v>0.005</v>
      </c>
      <c r="G75" s="9" t="n">
        <v>0.005</v>
      </c>
      <c r="H75" s="9" t="n">
        <v>0.01</v>
      </c>
      <c r="I75" s="9" t="n">
        <v>0.005</v>
      </c>
      <c r="J75" s="9" t="n">
        <v>0.005</v>
      </c>
      <c r="K75" s="9" t="n">
        <v>0.01</v>
      </c>
      <c r="L75" s="9" t="n">
        <v>0.01</v>
      </c>
      <c r="M75" s="9" t="n">
        <v>0.005</v>
      </c>
      <c r="N75" s="9" t="n">
        <v>9.531998</v>
      </c>
      <c r="O75" s="9" t="n">
        <v>0.622981</v>
      </c>
      <c r="P75" s="9" t="n">
        <v>120.699807</v>
      </c>
      <c r="Q75" s="9" t="n">
        <v>10.44000580235682</v>
      </c>
      <c r="R75" s="9" t="n">
        <v>1.033693702040679</v>
      </c>
      <c r="S75" s="9" t="n">
        <v>4.394334910925052</v>
      </c>
      <c r="T75" s="9" t="n">
        <v>4.019831342000264</v>
      </c>
      <c r="U75" s="9" t="n">
        <v>0.639284</v>
      </c>
      <c r="V75" s="9" t="n">
        <v>0.07924100000000001</v>
      </c>
      <c r="W75" s="9" t="n">
        <v>0.668917</v>
      </c>
      <c r="X75" s="9" t="n">
        <v>3.116726263807267</v>
      </c>
      <c r="Y75" s="9" t="n">
        <v>3.116726263807267</v>
      </c>
      <c r="Z75" s="9" t="n">
        <v>0.7817441782976901</v>
      </c>
      <c r="AA75" s="9" t="n">
        <v>1.95</v>
      </c>
      <c r="AB75" s="9" t="n">
        <v>1.32</v>
      </c>
      <c r="AC75" s="9" t="n">
        <v>1.38</v>
      </c>
      <c r="AD75" s="9" t="n">
        <v>0</v>
      </c>
      <c r="AE75" s="9" t="n">
        <v>0</v>
      </c>
      <c r="AF75" s="9" t="n">
        <v>18.755</v>
      </c>
      <c r="AG75" s="9" t="n">
        <v>5.734431362806317</v>
      </c>
      <c r="AH75" s="9" t="n">
        <v>4.428776106000001</v>
      </c>
      <c r="AI75" s="9" t="n">
        <v>4.6963479957375</v>
      </c>
      <c r="AJ75" s="9" t="n">
        <v>5.01509087359635</v>
      </c>
      <c r="AK75" s="9" t="n">
        <v>3.734224846352057</v>
      </c>
      <c r="AL75" s="9" t="n">
        <v>0.162663767418525</v>
      </c>
      <c r="AM75" s="9" t="n">
        <v>0.1294391088</v>
      </c>
      <c r="AN75" s="9" t="n">
        <v>0.1372593882899999</v>
      </c>
      <c r="AO75" s="9" t="n">
        <v>0.1465752338100528</v>
      </c>
      <c r="AP75" s="9" t="n">
        <v>67.75351852979162</v>
      </c>
      <c r="AQ75" s="9" t="n">
        <v>62.77612192</v>
      </c>
      <c r="AR75" s="9" t="n">
        <v>66.56884595266669</v>
      </c>
      <c r="AS75" s="9" t="n">
        <v>71.0868981826023</v>
      </c>
      <c r="AT75" s="9" t="n">
        <v>44.08994343798742</v>
      </c>
      <c r="AU75" s="9" t="n">
        <v>35.64360585720001</v>
      </c>
      <c r="AV75" s="9" t="n">
        <v>39.35005333299943</v>
      </c>
      <c r="AW75" s="9" t="n">
        <v>44.13084563283424</v>
      </c>
      <c r="AX75" s="9" t="n">
        <v>29.09081191965656</v>
      </c>
      <c r="AY75" s="9" t="n">
        <v>23.7398384484</v>
      </c>
      <c r="AZ75" s="9" t="n">
        <v>25.96304973688314</v>
      </c>
      <c r="BA75" s="9" t="n">
        <v>29.12180748796958</v>
      </c>
      <c r="BB75" s="9" t="n">
        <v>19.29114236997706</v>
      </c>
      <c r="BC75" s="9" t="n">
        <v>19.0428630577696</v>
      </c>
      <c r="BD75" s="9" t="n">
        <v>20.38101175782465</v>
      </c>
      <c r="BE75" s="9" t="n">
        <v>21.56391006831642</v>
      </c>
      <c r="BF75" s="9" t="n">
        <v>0</v>
      </c>
      <c r="BG75" s="9" t="n">
        <v>0</v>
      </c>
      <c r="BH75" s="9" t="n">
        <v>0</v>
      </c>
      <c r="BI75" s="9" t="n">
        <v>0</v>
      </c>
      <c r="BJ75" s="9" t="n">
        <v>2.387017005082196</v>
      </c>
      <c r="BK75" s="9" t="n">
        <v>1.923960009999998</v>
      </c>
      <c r="BL75" s="9" t="n">
        <v>2.040199260604165</v>
      </c>
      <c r="BM75" s="9" t="n">
        <v>2.178668340050725</v>
      </c>
      <c r="BN75" s="9" t="n">
        <v>29.2378970612912</v>
      </c>
      <c r="BO75" s="9" t="n">
        <v>21.1399947468</v>
      </c>
      <c r="BP75" s="9" t="n">
        <v>22.4172027627525</v>
      </c>
      <c r="BQ75" s="9" t="n">
        <v>23.9386666169282</v>
      </c>
      <c r="BR75" s="9" t="n">
        <v>26.86598088345145</v>
      </c>
      <c r="BS75" s="9" t="n">
        <v>46.33255633482789</v>
      </c>
      <c r="BT75" s="9" t="n">
        <v>36.361499706</v>
      </c>
      <c r="BU75" s="9" t="n">
        <v>38.55834031323749</v>
      </c>
      <c r="BV75" s="9" t="n">
        <v>41.17530915116371</v>
      </c>
      <c r="BW75" s="9" t="n">
        <v>35.05499231796522</v>
      </c>
      <c r="BX75" s="9" t="n">
        <v>30.402646731535</v>
      </c>
      <c r="BY75" s="9" t="n">
        <v>34.1582794813063</v>
      </c>
      <c r="BZ75" s="9" t="n">
        <v>35.65233843297975</v>
      </c>
      <c r="CA75" s="9" t="n">
        <v>1.05610716194195</v>
      </c>
      <c r="CB75" s="9" t="n">
        <v>20.32798759934555</v>
      </c>
      <c r="CC75" s="9" t="n">
        <v>0.779</v>
      </c>
      <c r="CD75" s="9" t="n">
        <v>4.295740171732984</v>
      </c>
      <c r="CE75" s="9" t="n">
        <v>3.154</v>
      </c>
      <c r="CF75" s="9" t="n">
        <v>2.638</v>
      </c>
      <c r="CG75" s="9" t="n">
        <v>92.955</v>
      </c>
      <c r="CH75" s="9" t="n">
        <v>6.78</v>
      </c>
      <c r="CI75" s="9" t="n">
        <v>0.73</v>
      </c>
      <c r="CJ75" s="9" t="n">
        <v>3.49</v>
      </c>
      <c r="CK75" s="9" t="n">
        <v>2.76</v>
      </c>
      <c r="CL75" s="9" t="n">
        <v>0</v>
      </c>
      <c r="CM75" s="9" t="n">
        <v>1.29</v>
      </c>
      <c r="CN75" s="9" t="n">
        <v>14.68</v>
      </c>
      <c r="CO75" s="9" t="n">
        <v>3.14</v>
      </c>
      <c r="CP75" s="9" t="n">
        <v>26.337</v>
      </c>
      <c r="CQ75" s="9" t="n">
        <v>20.588</v>
      </c>
      <c r="CR75" s="9" t="n">
        <v>1</v>
      </c>
      <c r="CS75" s="9" t="n">
        <v>4</v>
      </c>
      <c r="CT75" s="9" t="n">
        <v>0.5</v>
      </c>
      <c r="CU75" s="9" t="n">
        <v>0.3</v>
      </c>
      <c r="CV75" s="9" t="n">
        <v>0.6</v>
      </c>
      <c r="CW75" s="9" t="n">
        <v>0.8</v>
      </c>
      <c r="CX75" s="9" t="n">
        <v>0.8</v>
      </c>
      <c r="CY75" s="9" t="n">
        <v>0.7</v>
      </c>
      <c r="CZ75" s="9" t="n">
        <v>0.5</v>
      </c>
      <c r="DA75" s="9" t="n">
        <v>0.5</v>
      </c>
      <c r="DB75" s="9" t="n">
        <v>1</v>
      </c>
      <c r="DC75" s="9" t="n">
        <v>0.3</v>
      </c>
      <c r="DD75" s="9" t="n">
        <v>0.8</v>
      </c>
      <c r="DE75" s="9" t="n">
        <v>0.4933602955225782</v>
      </c>
      <c r="DF75" s="9" t="n">
        <v>3</v>
      </c>
      <c r="DG75" s="9" t="n">
        <v>10.112</v>
      </c>
      <c r="DH75" s="9" t="n">
        <v>6.577</v>
      </c>
      <c r="DI75" s="9" t="n">
        <v>11.3375</v>
      </c>
      <c r="DJ75" s="9" t="n">
        <v>22.41881593846285</v>
      </c>
      <c r="DK75" s="9" t="n">
        <v>25.74500124965184</v>
      </c>
      <c r="DL75" s="9" t="n">
        <v>15.65611451797798</v>
      </c>
      <c r="DM75" s="9" t="n">
        <v>21.57539642227097</v>
      </c>
      <c r="DN75" s="9" t="n">
        <v>15.604</v>
      </c>
      <c r="DO75" s="9" t="n">
        <v>15.604</v>
      </c>
      <c r="DP75" s="9" t="n">
        <v>22.80375</v>
      </c>
      <c r="DQ75" s="9" t="n">
        <v>13.49474620847193</v>
      </c>
      <c r="DR75" s="9" t="n">
        <v>13.49474620847193</v>
      </c>
      <c r="DS75" s="9" t="n">
        <v>0.06637999999999999</v>
      </c>
    </row>
    <row r="76">
      <c r="A76" s="9" t="inlineStr">
        <is>
          <t>HTI</t>
        </is>
      </c>
      <c r="B76" s="9" t="inlineStr">
        <is>
          <t>Haiti</t>
        </is>
      </c>
      <c r="C76" s="9" t="n">
        <v>0.005</v>
      </c>
      <c r="D76" s="9" t="n">
        <v>0.005</v>
      </c>
      <c r="E76" s="9" t="n">
        <v>0.01</v>
      </c>
      <c r="F76" s="9" t="n">
        <v>0.005</v>
      </c>
      <c r="G76" s="9" t="n">
        <v>0.005</v>
      </c>
      <c r="H76" s="9" t="n">
        <v>0.01</v>
      </c>
      <c r="I76" s="9" t="n">
        <v>0.005</v>
      </c>
      <c r="J76" s="9" t="n">
        <v>0.005</v>
      </c>
      <c r="K76" s="9" t="n">
        <v>0.01</v>
      </c>
      <c r="L76" s="9" t="n">
        <v>0.01</v>
      </c>
      <c r="M76" s="9" t="n">
        <v>0.005</v>
      </c>
      <c r="N76" s="9" t="n">
        <v>0.248131</v>
      </c>
      <c r="O76" s="9" t="n">
        <v>0.048638</v>
      </c>
      <c r="P76" s="9" t="n">
        <v>0.641022</v>
      </c>
      <c r="Q76" s="9" t="n">
        <v>0.7440637787339334</v>
      </c>
      <c r="R76" s="9" t="n">
        <v>0.1281679532075445</v>
      </c>
      <c r="S76" s="9" t="n">
        <v>0.08130053376594649</v>
      </c>
      <c r="T76" s="9" t="n">
        <v>0.0585344542611058</v>
      </c>
      <c r="U76" s="9" t="n">
        <v>0.009005000000000001</v>
      </c>
      <c r="V76" s="9" t="n">
        <v>0.000182</v>
      </c>
      <c r="W76" s="9" t="n">
        <v>0.001417</v>
      </c>
      <c r="X76" s="9" t="n">
        <v>0.6009999536091062</v>
      </c>
      <c r="Y76" s="9" t="n">
        <v>0.6009999536091062</v>
      </c>
      <c r="Z76" s="9" t="n">
        <v>0.09656271369472272</v>
      </c>
      <c r="AA76" s="9" t="n">
        <v>0.4</v>
      </c>
      <c r="AB76" s="9" t="n">
        <v>0</v>
      </c>
      <c r="AC76" s="9" t="n">
        <v>0</v>
      </c>
      <c r="AD76" s="9" t="n">
        <v>0</v>
      </c>
      <c r="AE76" s="9" t="n">
        <v>0</v>
      </c>
      <c r="AF76" s="9" t="n">
        <v>3.064</v>
      </c>
      <c r="AG76" s="9" t="n">
        <v>0</v>
      </c>
      <c r="AH76" s="9" t="n">
        <v>0</v>
      </c>
      <c r="AI76" s="9" t="n">
        <v>0</v>
      </c>
      <c r="AJ76" s="9" t="n">
        <v>0</v>
      </c>
      <c r="AK76" s="9" t="n">
        <v>0</v>
      </c>
      <c r="AL76" s="9" t="n">
        <v>0</v>
      </c>
      <c r="AM76" s="9" t="n">
        <v>0</v>
      </c>
      <c r="AN76" s="9" t="n">
        <v>0</v>
      </c>
      <c r="AO76" s="9" t="n">
        <v>0</v>
      </c>
      <c r="AP76" s="9" t="n">
        <v>10.07646758052656</v>
      </c>
      <c r="AQ76" s="9" t="n">
        <v>10.08335232</v>
      </c>
      <c r="AR76" s="9" t="n">
        <v>10.67394867017143</v>
      </c>
      <c r="AS76" s="9" t="n">
        <v>10.42997270056751</v>
      </c>
      <c r="AT76" s="9" t="n">
        <v>0.6276548494341054</v>
      </c>
      <c r="AU76" s="9" t="n">
        <v>0.7417837295999999</v>
      </c>
      <c r="AV76" s="9" t="n">
        <v>0.752235946679106</v>
      </c>
      <c r="AW76" s="9" t="n">
        <v>0.811313354472195</v>
      </c>
      <c r="AX76" s="9" t="n">
        <v>2.089528227255173</v>
      </c>
      <c r="AY76" s="9" t="n">
        <v>2.4624580464</v>
      </c>
      <c r="AZ76" s="9" t="n">
        <v>2.504271647959326</v>
      </c>
      <c r="BA76" s="9" t="n">
        <v>2.700946478541804</v>
      </c>
      <c r="BB76" s="9" t="n">
        <v>9.710240707019093</v>
      </c>
      <c r="BC76" s="9" t="n">
        <v>10.09218741453772</v>
      </c>
      <c r="BD76" s="9" t="n">
        <v>9.15622683</v>
      </c>
      <c r="BE76" s="9" t="n">
        <v>9.664270353886035</v>
      </c>
      <c r="BF76" s="9" t="n">
        <v>3.052986842372621</v>
      </c>
      <c r="BG76" s="9" t="n">
        <v>3.014558349999988</v>
      </c>
      <c r="BH76" s="9" t="n">
        <v>3.191125339071416</v>
      </c>
      <c r="BI76" s="9" t="n">
        <v>3.118185331321212</v>
      </c>
      <c r="BJ76" s="9" t="n">
        <v>0.684413159228092</v>
      </c>
      <c r="BK76" s="9" t="n">
        <v>0.6503508499999976</v>
      </c>
      <c r="BL76" s="9" t="n">
        <v>0.6884428283571404</v>
      </c>
      <c r="BM76" s="9" t="n">
        <v>0.6727069922804056</v>
      </c>
      <c r="BN76" s="9" t="n">
        <v>0</v>
      </c>
      <c r="BO76" s="9" t="n">
        <v>0</v>
      </c>
      <c r="BP76" s="9" t="n">
        <v>0</v>
      </c>
      <c r="BQ76" s="9" t="n">
        <v>0</v>
      </c>
      <c r="BR76" s="9" t="n">
        <v>0</v>
      </c>
      <c r="BS76" s="9" t="n">
        <v>0</v>
      </c>
      <c r="BT76" s="9" t="n">
        <v>0</v>
      </c>
      <c r="BU76" s="9" t="n">
        <v>0</v>
      </c>
      <c r="BV76" s="9" t="n">
        <v>0</v>
      </c>
      <c r="BW76" s="9" t="n">
        <v>15.12888839921672</v>
      </c>
      <c r="BX76" s="9" t="n">
        <v>18.60541749430991</v>
      </c>
      <c r="BY76" s="9" t="n">
        <v>18.77799363585641</v>
      </c>
      <c r="BZ76" s="9" t="n">
        <v>18.33800425601552</v>
      </c>
      <c r="CA76" s="9" t="n">
        <v>0.281446142306241</v>
      </c>
      <c r="CB76" s="9" t="n">
        <v>0.7547730768581329</v>
      </c>
      <c r="CC76" s="9" t="n">
        <v>0.669</v>
      </c>
      <c r="CD76" s="9" t="n">
        <v>1.994430646496574</v>
      </c>
      <c r="CE76" s="9" t="n">
        <v>-2.713</v>
      </c>
      <c r="CF76" s="9" t="n">
        <v>-1.7</v>
      </c>
      <c r="CG76" s="9" t="n">
        <v>25.285</v>
      </c>
      <c r="CH76" s="9" t="n">
        <v>0.16</v>
      </c>
      <c r="CI76" s="9" t="n">
        <v>0</v>
      </c>
      <c r="CJ76" s="9" t="n">
        <v>0.7</v>
      </c>
      <c r="CK76" s="9" t="n">
        <v>0</v>
      </c>
      <c r="CL76" s="9" t="n">
        <v>0.7</v>
      </c>
      <c r="CM76" s="9" t="n">
        <v>0</v>
      </c>
      <c r="CN76" s="9" t="n">
        <v>0.86</v>
      </c>
      <c r="CO76" s="9" t="n">
        <v>0</v>
      </c>
      <c r="CP76" s="9" t="n">
        <v>14.349</v>
      </c>
      <c r="CQ76" s="9" t="n">
        <v>14.952</v>
      </c>
      <c r="CR76" s="9" t="n">
        <v>3</v>
      </c>
      <c r="CS76" s="9" t="n">
        <v>1</v>
      </c>
      <c r="CT76" s="9" t="n">
        <v>0.5</v>
      </c>
      <c r="CU76" s="9" t="n">
        <v>0.3</v>
      </c>
      <c r="CV76" s="9" t="n">
        <v>0.6</v>
      </c>
      <c r="CW76" s="9" t="n">
        <v>0.8</v>
      </c>
      <c r="CX76" s="9" t="n">
        <v>0.8</v>
      </c>
      <c r="CY76" s="9" t="n">
        <v>0.7</v>
      </c>
      <c r="CZ76" s="9" t="n">
        <v>0.5</v>
      </c>
      <c r="DA76" s="9" t="n">
        <v>0.5</v>
      </c>
      <c r="DB76" s="9" t="n">
        <v>1</v>
      </c>
      <c r="DC76" s="9" t="n">
        <v>0.3</v>
      </c>
      <c r="DD76" s="9" t="n">
        <v>0.8</v>
      </c>
      <c r="DE76" s="9" t="n">
        <v>0.6716517027041385</v>
      </c>
      <c r="DF76" s="9" t="n">
        <v>2</v>
      </c>
      <c r="DG76" s="9" t="n">
        <v>7.124</v>
      </c>
      <c r="DH76" s="9" t="n">
        <v>5.575</v>
      </c>
      <c r="DI76" s="9" t="n">
        <v>12.193</v>
      </c>
      <c r="DJ76" s="9" t="n">
        <v>17.56258648903518</v>
      </c>
      <c r="DK76" s="9" t="n">
        <v>21.6186909024774</v>
      </c>
      <c r="DL76" s="9" t="n">
        <v>15.04682410526479</v>
      </c>
      <c r="DM76" s="9" t="n">
        <v>20.71398182599769</v>
      </c>
      <c r="DN76" s="9" t="n">
        <v>12.771</v>
      </c>
      <c r="DO76" s="9" t="n">
        <v>11.447</v>
      </c>
      <c r="DP76" s="9" t="n">
        <v>20.712</v>
      </c>
      <c r="DQ76" s="9" t="n">
        <v>13.49474620847193</v>
      </c>
      <c r="DR76" s="9" t="n">
        <v>13.49474620847193</v>
      </c>
      <c r="DS76" s="9" t="n">
        <v>0.105</v>
      </c>
    </row>
    <row r="77">
      <c r="A77" s="9" t="inlineStr">
        <is>
          <t>HUN</t>
        </is>
      </c>
      <c r="B77" s="9" t="inlineStr">
        <is>
          <t>Hungary</t>
        </is>
      </c>
      <c r="C77" s="9" t="n">
        <v>0.005</v>
      </c>
      <c r="D77" s="9" t="n">
        <v>0.005</v>
      </c>
      <c r="E77" s="9" t="n">
        <v>0.01</v>
      </c>
      <c r="F77" s="9" t="n">
        <v>0.005</v>
      </c>
      <c r="G77" s="9" t="n">
        <v>0.005</v>
      </c>
      <c r="H77" s="9" t="n">
        <v>0.01</v>
      </c>
      <c r="I77" s="9" t="n">
        <v>0.005</v>
      </c>
      <c r="J77" s="9" t="n">
        <v>0.005</v>
      </c>
      <c r="K77" s="9" t="n">
        <v>0.01</v>
      </c>
      <c r="L77" s="9" t="n">
        <v>0.01</v>
      </c>
      <c r="M77" s="9" t="n">
        <v>0.005</v>
      </c>
      <c r="N77" s="9" t="n">
        <v>7.632642</v>
      </c>
      <c r="O77" s="9" t="n">
        <v>1.108054</v>
      </c>
      <c r="P77" s="9" t="n">
        <v>133.74069</v>
      </c>
      <c r="Q77" s="9" t="n">
        <v>12.96475497242406</v>
      </c>
      <c r="R77" s="9" t="n">
        <v>2.932449597852314</v>
      </c>
      <c r="S77" s="9" t="n">
        <v>3.679504802374937</v>
      </c>
      <c r="T77" s="9" t="n">
        <v>3.398179145851501</v>
      </c>
      <c r="U77" s="9" t="n">
        <v>0.089394</v>
      </c>
      <c r="V77" s="9" t="n">
        <v>0.106909</v>
      </c>
      <c r="W77" s="9" t="n">
        <v>0.332495</v>
      </c>
      <c r="X77" s="9" t="n">
        <v>1.460216795856616</v>
      </c>
      <c r="Y77" s="9" t="n">
        <v>1.460216795856616</v>
      </c>
      <c r="Z77" s="9" t="n">
        <v>0.8511649002512324</v>
      </c>
      <c r="AA77" s="9" t="n">
        <v>5.64</v>
      </c>
      <c r="AB77" s="9" t="n">
        <v>8.18</v>
      </c>
      <c r="AC77" s="9" t="n">
        <v>0.32</v>
      </c>
      <c r="AD77" s="9" t="n">
        <v>0</v>
      </c>
      <c r="AE77" s="9" t="n">
        <v>0</v>
      </c>
      <c r="AF77" s="9" t="n">
        <v>49.102</v>
      </c>
      <c r="AG77" s="9" t="n">
        <v>11.74924035889248</v>
      </c>
      <c r="AH77" s="9" t="n">
        <v>10.8871746876</v>
      </c>
      <c r="AI77" s="9" t="n">
        <v>10.36152828471432</v>
      </c>
      <c r="AJ77" s="9" t="n">
        <v>10.34425907090645</v>
      </c>
      <c r="AK77" s="9" t="n">
        <v>6.959051767379654</v>
      </c>
      <c r="AL77" s="9" t="n">
        <v>2.041887906535009</v>
      </c>
      <c r="AM77" s="9" t="n">
        <v>2.0578833756</v>
      </c>
      <c r="AN77" s="9" t="n">
        <v>1.958526193871813</v>
      </c>
      <c r="AO77" s="9" t="n">
        <v>1.955261983548693</v>
      </c>
      <c r="AP77" s="9" t="n">
        <v>130.1099782874055</v>
      </c>
      <c r="AQ77" s="9" t="n">
        <v>133.9246571454023</v>
      </c>
      <c r="AR77" s="9" t="n">
        <v>127.4586072926008</v>
      </c>
      <c r="AS77" s="9" t="n">
        <v>127.2461762804465</v>
      </c>
      <c r="AT77" s="9" t="n">
        <v>106.0215738549828</v>
      </c>
      <c r="AU77" s="9" t="n">
        <v>105.2675987112</v>
      </c>
      <c r="AV77" s="9" t="n">
        <v>103.5657211208104</v>
      </c>
      <c r="AW77" s="9" t="n">
        <v>109.4239915619651</v>
      </c>
      <c r="AX77" s="9" t="n">
        <v>45.02537274296268</v>
      </c>
      <c r="AY77" s="9" t="n">
        <v>44.9099990892</v>
      </c>
      <c r="AZ77" s="9" t="n">
        <v>43.96215187539788</v>
      </c>
      <c r="BA77" s="9" t="n">
        <v>46.48934441911925</v>
      </c>
      <c r="BB77" s="9" t="n">
        <v>60.52959996120408</v>
      </c>
      <c r="BC77" s="9" t="n">
        <v>61.72975715346939</v>
      </c>
      <c r="BD77" s="9" t="n">
        <v>65.46811996081632</v>
      </c>
      <c r="BE77" s="9" t="n">
        <v>58.65145170371026</v>
      </c>
      <c r="BF77" s="9" t="n">
        <v>0</v>
      </c>
      <c r="BG77" s="9" t="n">
        <v>0</v>
      </c>
      <c r="BH77" s="9" t="n">
        <v>0</v>
      </c>
      <c r="BI77" s="9" t="n">
        <v>0</v>
      </c>
      <c r="BJ77" s="9" t="n">
        <v>2.966832356384439</v>
      </c>
      <c r="BK77" s="9" t="n">
        <v>3.084355369999995</v>
      </c>
      <c r="BL77" s="9" t="n">
        <v>2.935438837292184</v>
      </c>
      <c r="BM77" s="9" t="n">
        <v>2.930546439230032</v>
      </c>
      <c r="BN77" s="9" t="n">
        <v>103.3538951555796</v>
      </c>
      <c r="BO77" s="9" t="n">
        <v>79.14420246239999</v>
      </c>
      <c r="BP77" s="9" t="n">
        <v>75.32302143726226</v>
      </c>
      <c r="BQ77" s="9" t="n">
        <v>75.19748306820014</v>
      </c>
      <c r="BR77" s="9" t="n">
        <v>68.69329196934693</v>
      </c>
      <c r="BS77" s="9" t="n">
        <v>242.9844146045124</v>
      </c>
      <c r="BT77" s="9" t="n">
        <v>206.7363002556</v>
      </c>
      <c r="BU77" s="9" t="n">
        <v>196.7548132588843</v>
      </c>
      <c r="BV77" s="9" t="n">
        <v>196.4268885701195</v>
      </c>
      <c r="BW77" s="9" t="n">
        <v>64.06255524616519</v>
      </c>
      <c r="BX77" s="9" t="n">
        <v>64.11260341787755</v>
      </c>
      <c r="BY77" s="9" t="n">
        <v>60.81805855069379</v>
      </c>
      <c r="BZ77" s="9" t="n">
        <v>60.54487625507569</v>
      </c>
      <c r="CA77" s="9" t="n">
        <v>1.107654151782631</v>
      </c>
      <c r="CB77" s="9" t="n">
        <v>41.95748516609597</v>
      </c>
      <c r="CC77" s="9" t="n">
        <v>1.435</v>
      </c>
      <c r="CD77" s="9" t="n">
        <v>3.242585663585098</v>
      </c>
      <c r="CE77" s="9" t="n">
        <v>0.409</v>
      </c>
      <c r="CF77" s="9" t="n">
        <v>1.662</v>
      </c>
      <c r="CG77" s="9" t="n">
        <v>222.878</v>
      </c>
      <c r="CH77" s="9" t="n">
        <v>18.73</v>
      </c>
      <c r="CI77" s="9" t="n">
        <v>1.38</v>
      </c>
      <c r="CJ77" s="9" t="n">
        <v>9.930000000000001</v>
      </c>
      <c r="CK77" s="9" t="n">
        <v>8.15</v>
      </c>
      <c r="CL77" s="9" t="n">
        <v>0.4</v>
      </c>
      <c r="CM77" s="9" t="n">
        <v>10.98</v>
      </c>
      <c r="CN77" s="9" t="n">
        <v>40.24</v>
      </c>
      <c r="CO77" s="9" t="n">
        <v>0.6</v>
      </c>
      <c r="CP77" s="9" t="n">
        <v>65.467</v>
      </c>
      <c r="CQ77" s="9" t="n">
        <v>58.237</v>
      </c>
      <c r="CR77" s="9" t="n">
        <v>3</v>
      </c>
      <c r="CS77" s="9" t="n">
        <v>4</v>
      </c>
      <c r="CT77" s="9" t="n">
        <v>0.5</v>
      </c>
      <c r="CU77" s="9" t="n">
        <v>0.3</v>
      </c>
      <c r="CV77" s="9" t="n">
        <v>0.6</v>
      </c>
      <c r="CW77" s="9" t="n">
        <v>0.8</v>
      </c>
      <c r="CX77" s="9" t="n">
        <v>0.8</v>
      </c>
      <c r="CY77" s="9" t="n">
        <v>0.7</v>
      </c>
      <c r="CZ77" s="9" t="n">
        <v>0.5</v>
      </c>
      <c r="DA77" s="9" t="n">
        <v>0.5</v>
      </c>
      <c r="DB77" s="9" t="n">
        <v>1</v>
      </c>
      <c r="DC77" s="9" t="n">
        <v>0.3</v>
      </c>
      <c r="DD77" s="9" t="n">
        <v>0.8</v>
      </c>
      <c r="DE77" s="9" t="n">
        <v>0.4990427911538229</v>
      </c>
      <c r="DF77" s="9" t="n">
        <v>3</v>
      </c>
      <c r="DG77" s="9" t="n">
        <v>6.327</v>
      </c>
      <c r="DH77" s="9" t="n">
        <v>2.445</v>
      </c>
      <c r="DI77" s="9" t="n">
        <v>4.14274</v>
      </c>
      <c r="DJ77" s="9" t="n">
        <v>22.54620502000392</v>
      </c>
      <c r="DK77" s="9" t="n">
        <v>26.2935898293782</v>
      </c>
      <c r="DL77" s="9" t="n">
        <v>15.65611451797798</v>
      </c>
      <c r="DM77" s="9" t="n">
        <v>21.39308235001968</v>
      </c>
      <c r="DN77" s="9" t="n">
        <v>17.328</v>
      </c>
      <c r="DO77" s="9" t="n">
        <v>17.328</v>
      </c>
      <c r="DP77" s="9" t="n">
        <v>22.00656</v>
      </c>
      <c r="DQ77" s="9" t="n">
        <v>13.49474620847193</v>
      </c>
      <c r="DR77" s="9" t="n">
        <v>13.49474620847193</v>
      </c>
      <c r="DS77" s="9" t="n">
        <v>0.1843</v>
      </c>
    </row>
    <row r="78">
      <c r="A78" s="9" t="inlineStr">
        <is>
          <t>IDN</t>
        </is>
      </c>
      <c r="B78" s="9" t="inlineStr">
        <is>
          <t>Indonesia</t>
        </is>
      </c>
      <c r="C78" s="9" t="n">
        <v>0.005</v>
      </c>
      <c r="D78" s="9" t="n">
        <v>0.005</v>
      </c>
      <c r="E78" s="9" t="n">
        <v>0.01</v>
      </c>
      <c r="F78" s="9" t="n">
        <v>0.005</v>
      </c>
      <c r="G78" s="9" t="n">
        <v>0.005</v>
      </c>
      <c r="H78" s="9" t="n">
        <v>0.01</v>
      </c>
      <c r="I78" s="9" t="n">
        <v>0.005</v>
      </c>
      <c r="J78" s="9" t="n">
        <v>0.005</v>
      </c>
      <c r="K78" s="9" t="n">
        <v>0.01</v>
      </c>
      <c r="L78" s="9" t="n">
        <v>0.01</v>
      </c>
      <c r="M78" s="9" t="n">
        <v>0.005</v>
      </c>
      <c r="N78" s="9" t="n">
        <v>14.675859</v>
      </c>
      <c r="O78" s="9" t="n">
        <v>2.926068</v>
      </c>
      <c r="P78" s="9" t="n">
        <v>103.667154</v>
      </c>
      <c r="Q78" s="9" t="n">
        <v>15.28328452006814</v>
      </c>
      <c r="R78" s="9" t="n">
        <v>1.866156282545996</v>
      </c>
      <c r="S78" s="9" t="n">
        <v>3.857735493537299</v>
      </c>
      <c r="T78" s="9" t="n">
        <v>1.747267036273858</v>
      </c>
      <c r="U78" s="9" t="n">
        <v>0.293712</v>
      </c>
      <c r="V78" s="9" t="n">
        <v>0.555308</v>
      </c>
      <c r="W78" s="9" t="n">
        <v>0.34195</v>
      </c>
      <c r="X78" s="9" t="n">
        <v>4.518769458731279</v>
      </c>
      <c r="Y78" s="9" t="n">
        <v>4.518769458731279</v>
      </c>
      <c r="Z78" s="9" t="n">
        <v>5.332438610139162</v>
      </c>
      <c r="AA78" s="9" t="n">
        <v>86.11</v>
      </c>
      <c r="AB78" s="9" t="n">
        <v>0.9399999999999999</v>
      </c>
      <c r="AC78" s="9" t="n">
        <v>0.15</v>
      </c>
      <c r="AD78" s="9" t="n">
        <v>5.1</v>
      </c>
      <c r="AE78" s="9" t="n">
        <v>28.75230101861335</v>
      </c>
      <c r="AF78" s="9" t="n">
        <v>700.991</v>
      </c>
      <c r="AG78" s="9" t="n">
        <v>1068.889405013713</v>
      </c>
      <c r="AH78" s="9" t="n">
        <v>880.6932585827999</v>
      </c>
      <c r="AI78" s="9" t="n">
        <v>1042.419861287869</v>
      </c>
      <c r="AJ78" s="9" t="n">
        <v>1039.813811634649</v>
      </c>
      <c r="AK78" s="9" t="n">
        <v>1305.484748203467</v>
      </c>
      <c r="AL78" s="9" t="n">
        <v>0</v>
      </c>
      <c r="AM78" s="9" t="n">
        <v>0</v>
      </c>
      <c r="AN78" s="9" t="n">
        <v>0</v>
      </c>
      <c r="AO78" s="9" t="n">
        <v>0</v>
      </c>
      <c r="AP78" s="9" t="n">
        <v>859.3900208910127</v>
      </c>
      <c r="AQ78" s="9" t="n">
        <v>726.7974419000001</v>
      </c>
      <c r="AR78" s="9" t="n">
        <v>860.263299606654</v>
      </c>
      <c r="AS78" s="9" t="n">
        <v>858.1126413576377</v>
      </c>
      <c r="AT78" s="9" t="n">
        <v>826.000914678189</v>
      </c>
      <c r="AU78" s="9" t="n">
        <v>608.2012965312001</v>
      </c>
      <c r="AV78" s="9" t="n">
        <v>749.4355093627526</v>
      </c>
      <c r="AW78" s="9" t="n">
        <v>783.3741855141956</v>
      </c>
      <c r="AX78" s="9" t="n">
        <v>569.8441134866862</v>
      </c>
      <c r="AY78" s="9" t="n">
        <v>421.8878047428</v>
      </c>
      <c r="AZ78" s="9" t="n">
        <v>517.0450439057826</v>
      </c>
      <c r="BA78" s="9" t="n">
        <v>540.4473447494073</v>
      </c>
      <c r="BB78" s="9" t="n">
        <v>1424.792478852703</v>
      </c>
      <c r="BC78" s="9" t="n">
        <v>1187.070036568003</v>
      </c>
      <c r="BD78" s="9" t="n">
        <v>1183.40526037</v>
      </c>
      <c r="BE78" s="9" t="n">
        <v>1286.254260317747</v>
      </c>
      <c r="BF78" s="9" t="n">
        <v>80.77582063963332</v>
      </c>
      <c r="BG78" s="9" t="n">
        <v>69.52789751576258</v>
      </c>
      <c r="BH78" s="9" t="n">
        <v>82.29569214671615</v>
      </c>
      <c r="BI78" s="9" t="n">
        <v>82.08995291634935</v>
      </c>
      <c r="BJ78" s="9" t="n">
        <v>438.641248588431</v>
      </c>
      <c r="BK78" s="9" t="n">
        <v>382.4781343443248</v>
      </c>
      <c r="BL78" s="9" t="n">
        <v>452.7147220252841</v>
      </c>
      <c r="BM78" s="9" t="n">
        <v>451.5829352202209</v>
      </c>
      <c r="BN78" s="9" t="n">
        <v>922.234500306574</v>
      </c>
      <c r="BO78" s="9" t="n">
        <v>746.9308014876001</v>
      </c>
      <c r="BP78" s="9" t="n">
        <v>884.0938600248608</v>
      </c>
      <c r="BQ78" s="9" t="n">
        <v>881.8836253747988</v>
      </c>
      <c r="BR78" s="9" t="n">
        <v>1265.088810637447</v>
      </c>
      <c r="BS78" s="9" t="n">
        <v>7.104410169243714</v>
      </c>
      <c r="BT78" s="9" t="n">
        <v>5.8129698672</v>
      </c>
      <c r="BU78" s="9" t="n">
        <v>6.880437863675875</v>
      </c>
      <c r="BV78" s="9" t="n">
        <v>6.863236769016686</v>
      </c>
      <c r="BW78" s="9" t="n">
        <v>1142.037201591213</v>
      </c>
      <c r="BX78" s="9" t="n">
        <v>505.9434616298222</v>
      </c>
      <c r="BY78" s="9" t="n">
        <v>1114.675196051459</v>
      </c>
      <c r="BZ78" s="9" t="n">
        <v>1148.870945066662</v>
      </c>
      <c r="CA78" s="9" t="n">
        <v>0.9282049449319774</v>
      </c>
      <c r="CB78" s="9" t="n">
        <v>387.7347300457986</v>
      </c>
      <c r="CC78" s="9" t="n">
        <v>2.981</v>
      </c>
      <c r="CD78" s="9" t="n">
        <v>-0.0256547464689171</v>
      </c>
      <c r="CE78" s="9" t="n">
        <v>5.108</v>
      </c>
      <c r="CF78" s="9" t="n">
        <v>4.95</v>
      </c>
      <c r="CG78" s="9" t="n">
        <v>1396.302</v>
      </c>
      <c r="CH78" s="9" t="n">
        <v>65.39</v>
      </c>
      <c r="CI78" s="9" t="n">
        <v>228.43</v>
      </c>
      <c r="CJ78" s="9" t="n">
        <v>304.33</v>
      </c>
      <c r="CK78" s="9" t="n">
        <v>68.78</v>
      </c>
      <c r="CL78" s="9" t="n">
        <v>7.12</v>
      </c>
      <c r="CM78" s="9" t="n">
        <v>1.35</v>
      </c>
      <c r="CN78" s="9" t="n">
        <v>371.54</v>
      </c>
      <c r="CO78" s="9" t="n">
        <v>0.47</v>
      </c>
      <c r="CP78" s="9" t="n">
        <v>1240.011</v>
      </c>
      <c r="CQ78" s="9" t="n">
        <v>1416.823</v>
      </c>
      <c r="CR78" s="9" t="n">
        <v>3</v>
      </c>
      <c r="CS78" s="9" t="n">
        <v>2</v>
      </c>
      <c r="CT78" s="9" t="n">
        <v>0.5</v>
      </c>
      <c r="CU78" s="9" t="n">
        <v>0.3</v>
      </c>
      <c r="CV78" s="9" t="n">
        <v>0.6</v>
      </c>
      <c r="CW78" s="9" t="n">
        <v>0.8</v>
      </c>
      <c r="CX78" s="9" t="n">
        <v>0.8</v>
      </c>
      <c r="CY78" s="9" t="n">
        <v>0.7</v>
      </c>
      <c r="CZ78" s="9" t="n">
        <v>0.5</v>
      </c>
      <c r="DA78" s="9" t="n">
        <v>0.5</v>
      </c>
      <c r="DB78" s="9" t="n">
        <v>1</v>
      </c>
      <c r="DC78" s="9" t="n">
        <v>0.3</v>
      </c>
      <c r="DD78" s="9" t="n">
        <v>0.8</v>
      </c>
      <c r="DE78" s="9" t="n">
        <v>0.2990102673678611</v>
      </c>
      <c r="DF78" s="9" t="n">
        <v>2</v>
      </c>
      <c r="DG78" s="9" t="n">
        <v>2.98</v>
      </c>
      <c r="DH78" s="9" t="n">
        <v>2.672</v>
      </c>
      <c r="DI78" s="9" t="n">
        <v>3.29781</v>
      </c>
      <c r="DJ78" s="9" t="n">
        <v>20.20936211881479</v>
      </c>
      <c r="DK78" s="9" t="n">
        <v>22.85404466833325</v>
      </c>
      <c r="DL78" s="9" t="n">
        <v>18.89918194863771</v>
      </c>
      <c r="DM78" s="9" t="n">
        <v>21.8717925554778</v>
      </c>
      <c r="DN78" s="9" t="n">
        <v>5.433</v>
      </c>
      <c r="DO78" s="9" t="n">
        <v>4.771</v>
      </c>
      <c r="DP78" s="9" t="n">
        <v>10.43844</v>
      </c>
      <c r="DQ78" s="9" t="n">
        <v>14.11516989415954</v>
      </c>
      <c r="DR78" s="9" t="n">
        <v>14.11516989415954</v>
      </c>
      <c r="DS78" s="9" t="n">
        <v>0.0818500000000001</v>
      </c>
    </row>
    <row r="79">
      <c r="A79" s="9" t="inlineStr">
        <is>
          <t>IND</t>
        </is>
      </c>
      <c r="B79" s="9" t="inlineStr">
        <is>
          <t>India</t>
        </is>
      </c>
      <c r="C79" s="9" t="n">
        <v>0.005</v>
      </c>
      <c r="D79" s="9" t="n">
        <v>0.005</v>
      </c>
      <c r="E79" s="9" t="n">
        <v>0.01</v>
      </c>
      <c r="F79" s="9" t="n">
        <v>0.005</v>
      </c>
      <c r="G79" s="9" t="n">
        <v>0.005</v>
      </c>
      <c r="H79" s="9" t="n">
        <v>0.01</v>
      </c>
      <c r="I79" s="9" t="n">
        <v>0.005</v>
      </c>
      <c r="J79" s="9" t="n">
        <v>0.005</v>
      </c>
      <c r="K79" s="9" t="n">
        <v>0.01</v>
      </c>
      <c r="L79" s="9" t="n">
        <v>0.01</v>
      </c>
      <c r="M79" s="9" t="n">
        <v>0.005</v>
      </c>
      <c r="N79" s="9" t="n">
        <v>6.672427</v>
      </c>
      <c r="O79" s="9" t="n">
        <v>2.749538</v>
      </c>
      <c r="P79" s="9" t="n">
        <v>29.670631</v>
      </c>
      <c r="Q79" s="9" t="n">
        <v>15.45950027335965</v>
      </c>
      <c r="R79" s="9" t="n">
        <v>3.19433315775296</v>
      </c>
      <c r="S79" s="9" t="n">
        <v>19.27694200451989</v>
      </c>
      <c r="T79" s="9" t="n">
        <v>7.105477619739286</v>
      </c>
      <c r="U79" s="9" t="n">
        <v>0.393751</v>
      </c>
      <c r="V79" s="9" t="n">
        <v>0.386554</v>
      </c>
      <c r="W79" s="9" t="n">
        <v>0.193543</v>
      </c>
      <c r="X79" s="9" t="n">
        <v>13.06889509815516</v>
      </c>
      <c r="Y79" s="9" t="n">
        <v>13.06889509815516</v>
      </c>
      <c r="Z79" s="9" t="n">
        <v>14.36244435598596</v>
      </c>
      <c r="AA79" s="9" t="n">
        <v>296.59</v>
      </c>
      <c r="AB79" s="9" t="n">
        <v>135.5</v>
      </c>
      <c r="AC79" s="9" t="n">
        <v>54.51</v>
      </c>
      <c r="AD79" s="9" t="n">
        <v>6.5</v>
      </c>
      <c r="AE79" s="9" t="n">
        <v>200.8168345631376</v>
      </c>
      <c r="AF79" s="9" t="n">
        <v>2845.008</v>
      </c>
      <c r="AG79" s="9" t="n">
        <v>5318.827339357204</v>
      </c>
      <c r="AH79" s="9" t="n">
        <v>4258.271774232</v>
      </c>
      <c r="AI79" s="9" t="n">
        <v>4627.463230876857</v>
      </c>
      <c r="AJ79" s="9" t="n">
        <v>5072.102089148068</v>
      </c>
      <c r="AK79" s="9" t="n">
        <v>10533.00488073747</v>
      </c>
      <c r="AL79" s="9" t="n">
        <v>430.4842736603672</v>
      </c>
      <c r="AM79" s="9" t="n">
        <v>342.1679549616</v>
      </c>
      <c r="AN79" s="9" t="n">
        <v>371.8338599124996</v>
      </c>
      <c r="AO79" s="9" t="n">
        <v>407.5622438432224</v>
      </c>
      <c r="AP79" s="9" t="n">
        <v>3042.390971756524</v>
      </c>
      <c r="AQ79" s="9" t="n">
        <v>2375.95348203</v>
      </c>
      <c r="AR79" s="9" t="n">
        <v>2581.948254899865</v>
      </c>
      <c r="AS79" s="9" t="n">
        <v>2830.039804609808</v>
      </c>
      <c r="AT79" s="9" t="n">
        <v>4345.653686491164</v>
      </c>
      <c r="AU79" s="9" t="n">
        <v>3501.3898493064</v>
      </c>
      <c r="AV79" s="9" t="n">
        <v>4213.607230584529</v>
      </c>
      <c r="AW79" s="9" t="n">
        <v>4451.846426894755</v>
      </c>
      <c r="AX79" s="9" t="n">
        <v>1506.905761284575</v>
      </c>
      <c r="AY79" s="9" t="n">
        <v>1223.2080020016</v>
      </c>
      <c r="AZ79" s="9" t="n">
        <v>1464.305695041717</v>
      </c>
      <c r="BA79" s="9" t="n">
        <v>1545.288694295177</v>
      </c>
      <c r="BB79" s="9" t="n">
        <v>1800.588211340119</v>
      </c>
      <c r="BC79" s="9" t="n">
        <v>1324.030116763285</v>
      </c>
      <c r="BD79" s="9" t="n">
        <v>1570.05028568</v>
      </c>
      <c r="BE79" s="9" t="n">
        <v>1647.424510175239</v>
      </c>
      <c r="BF79" s="9" t="n">
        <v>259.2144276136427</v>
      </c>
      <c r="BG79" s="9" t="n">
        <v>191.4753342567648</v>
      </c>
      <c r="BH79" s="9" t="n">
        <v>208.0762139830395</v>
      </c>
      <c r="BI79" s="9" t="n">
        <v>228.0696241092359</v>
      </c>
      <c r="BJ79" s="9" t="n">
        <v>1626.288345629101</v>
      </c>
      <c r="BK79" s="9" t="n">
        <v>1267.800476712784</v>
      </c>
      <c r="BL79" s="9" t="n">
        <v>1377.718567794947</v>
      </c>
      <c r="BM79" s="9" t="n">
        <v>1510.099351917853</v>
      </c>
      <c r="BN79" s="9" t="n">
        <v>1369.898806219261</v>
      </c>
      <c r="BO79" s="9" t="n">
        <v>1025.303588874</v>
      </c>
      <c r="BP79" s="9" t="n">
        <v>1114.197239995613</v>
      </c>
      <c r="BQ79" s="9" t="n">
        <v>1221.257061751713</v>
      </c>
      <c r="BR79" s="9" t="n">
        <v>2465.198230059833</v>
      </c>
      <c r="BS79" s="9" t="n">
        <v>241.4857247890964</v>
      </c>
      <c r="BT79" s="9" t="n">
        <v>181.3973889096</v>
      </c>
      <c r="BU79" s="9" t="n">
        <v>197.1245124455766</v>
      </c>
      <c r="BV79" s="9" t="n">
        <v>216.0656069023037</v>
      </c>
      <c r="BW79" s="9" t="n">
        <v>3560.833226380072</v>
      </c>
      <c r="BX79" s="9" t="n">
        <v>2683.323887398411</v>
      </c>
      <c r="BY79" s="9" t="n">
        <v>2844.045559217187</v>
      </c>
      <c r="BZ79" s="9" t="n">
        <v>3118.783109986679</v>
      </c>
      <c r="CA79" s="9" t="n">
        <v>0.7965165657100168</v>
      </c>
      <c r="CB79" s="9" t="n">
        <v>1625.710957715483</v>
      </c>
      <c r="CC79" s="9" t="n">
        <v>0.967</v>
      </c>
      <c r="CD79" s="9" t="n">
        <v>1.301180532230806</v>
      </c>
      <c r="CE79" s="9" t="n">
        <v>7.618</v>
      </c>
      <c r="CF79" s="9" t="n">
        <v>6.478</v>
      </c>
      <c r="CG79" s="9" t="n">
        <v>3760.814</v>
      </c>
      <c r="CH79" s="9" t="n">
        <v>254.84</v>
      </c>
      <c r="CI79" s="9" t="n">
        <v>1474.15</v>
      </c>
      <c r="CJ79" s="9" t="n">
        <v>1526.79</v>
      </c>
      <c r="CK79" s="9" t="n">
        <v>48.54</v>
      </c>
      <c r="CL79" s="9" t="n">
        <v>4.1</v>
      </c>
      <c r="CM79" s="9" t="n">
        <v>195.99</v>
      </c>
      <c r="CN79" s="9" t="n">
        <v>2081.6</v>
      </c>
      <c r="CO79" s="9" t="n">
        <v>103.98</v>
      </c>
      <c r="CP79" s="9" t="n">
        <v>4131.845</v>
      </c>
      <c r="CQ79" s="9" t="n">
        <v>4096.604</v>
      </c>
      <c r="CR79" s="9" t="n">
        <v>3</v>
      </c>
      <c r="CS79" s="9" t="n">
        <v>2</v>
      </c>
      <c r="CT79" s="9" t="n">
        <v>0.5</v>
      </c>
      <c r="CU79" s="9" t="n">
        <v>0.3</v>
      </c>
      <c r="CV79" s="9" t="n">
        <v>0.6</v>
      </c>
      <c r="CW79" s="9" t="n">
        <v>0.8</v>
      </c>
      <c r="CX79" s="9" t="n">
        <v>0.8</v>
      </c>
      <c r="CY79" s="9" t="n">
        <v>0.7</v>
      </c>
      <c r="CZ79" s="9" t="n">
        <v>0.5</v>
      </c>
      <c r="DA79" s="9" t="n">
        <v>0.5</v>
      </c>
      <c r="DB79" s="9" t="n">
        <v>1</v>
      </c>
      <c r="DC79" s="9" t="n">
        <v>0.3</v>
      </c>
      <c r="DD79" s="9" t="n">
        <v>0.8</v>
      </c>
      <c r="DE79" s="9" t="n">
        <v>0.2411734550636554</v>
      </c>
      <c r="DF79" s="9" t="n">
        <v>3</v>
      </c>
      <c r="DG79" s="9" t="n">
        <v>4.396</v>
      </c>
      <c r="DH79" s="9" t="n">
        <v>2.629</v>
      </c>
      <c r="DI79" s="9" t="n">
        <v>8.015739999999999</v>
      </c>
      <c r="DJ79" s="9" t="n">
        <v>15.25901865629321</v>
      </c>
      <c r="DK79" s="9" t="n">
        <v>20.17858868839173</v>
      </c>
      <c r="DL79" s="9" t="n">
        <v>8.786418096411815</v>
      </c>
      <c r="DM79" s="9" t="n">
        <v>18.39099022369114</v>
      </c>
      <c r="DN79" s="9" t="n">
        <v>9.792</v>
      </c>
      <c r="DO79" s="9" t="n">
        <v>8.808999999999999</v>
      </c>
      <c r="DP79" s="9" t="n">
        <v>18.51656</v>
      </c>
      <c r="DQ79" s="9" t="n">
        <v>10.01958925635079</v>
      </c>
      <c r="DR79" s="9" t="n">
        <v>10.01958925635079</v>
      </c>
      <c r="DS79" s="9" t="n">
        <v>0.095</v>
      </c>
    </row>
    <row r="80">
      <c r="A80" s="9" t="inlineStr">
        <is>
          <t>IRL</t>
        </is>
      </c>
      <c r="B80" s="9" t="inlineStr">
        <is>
          <t>Ireland</t>
        </is>
      </c>
      <c r="C80" s="9" t="n">
        <v>0.005</v>
      </c>
      <c r="D80" s="9" t="n">
        <v>0.005</v>
      </c>
      <c r="E80" s="9" t="n">
        <v>0.01</v>
      </c>
      <c r="F80" s="9" t="n">
        <v>0.005</v>
      </c>
      <c r="G80" s="9" t="n">
        <v>0.005</v>
      </c>
      <c r="H80" s="9" t="n">
        <v>0.01</v>
      </c>
      <c r="I80" s="9" t="n">
        <v>0.005</v>
      </c>
      <c r="J80" s="9" t="n">
        <v>0.005</v>
      </c>
      <c r="K80" s="9" t="n">
        <v>0.01</v>
      </c>
      <c r="L80" s="9" t="n">
        <v>0.01</v>
      </c>
      <c r="M80" s="9" t="n">
        <v>0.005</v>
      </c>
      <c r="N80" s="9" t="n">
        <v>2.077332</v>
      </c>
      <c r="O80" s="9" t="n">
        <v>0.801606</v>
      </c>
      <c r="P80" s="9" t="n">
        <v>37.594672</v>
      </c>
      <c r="Q80" s="9" t="n">
        <v>1.885122451447492</v>
      </c>
      <c r="R80" s="9" t="n">
        <v>0.3526477463086657</v>
      </c>
      <c r="S80" s="9" t="n">
        <v>7.511650098578281</v>
      </c>
      <c r="T80" s="9" t="n">
        <v>7.883182903689525</v>
      </c>
      <c r="U80" s="9" t="n">
        <v>0.86455</v>
      </c>
      <c r="V80" s="9" t="n">
        <v>0.395868</v>
      </c>
      <c r="W80" s="9" t="n">
        <v>0.068068</v>
      </c>
      <c r="X80" s="9" t="n">
        <v>1.470528944141813</v>
      </c>
      <c r="Y80" s="9" t="n">
        <v>1.470528944141813</v>
      </c>
      <c r="Z80" s="9" t="n">
        <v>5.121423045932522</v>
      </c>
      <c r="AA80" s="9" t="n">
        <v>6.47</v>
      </c>
      <c r="AB80" s="9" t="n">
        <v>2.49</v>
      </c>
      <c r="AC80" s="9" t="n">
        <v>5.13</v>
      </c>
      <c r="AD80" s="9" t="n">
        <v>0</v>
      </c>
      <c r="AE80" s="9" t="n">
        <v>0</v>
      </c>
      <c r="AF80" s="9" t="n">
        <v>41.612</v>
      </c>
      <c r="AG80" s="9" t="n">
        <v>5.712796277972828</v>
      </c>
      <c r="AH80" s="9" t="n">
        <v>4.287902846399999</v>
      </c>
      <c r="AI80" s="9" t="n">
        <v>4.853553591753863</v>
      </c>
      <c r="AJ80" s="9" t="n">
        <v>4.972196012885624</v>
      </c>
      <c r="AK80" s="9" t="n">
        <v>31.65987454575644</v>
      </c>
      <c r="AL80" s="9" t="n">
        <v>17.77393485258616</v>
      </c>
      <c r="AM80" s="9" t="n">
        <v>14.0524666632</v>
      </c>
      <c r="AN80" s="9" t="n">
        <v>15.90623726548241</v>
      </c>
      <c r="AO80" s="9" t="n">
        <v>16.29505639863865</v>
      </c>
      <c r="AP80" s="9" t="n">
        <v>137.8277167928248</v>
      </c>
      <c r="AQ80" s="9" t="n">
        <v>118.98879739</v>
      </c>
      <c r="AR80" s="9" t="n">
        <v>134.6855387443246</v>
      </c>
      <c r="AS80" s="9" t="n">
        <v>137.9778519136304</v>
      </c>
      <c r="AT80" s="9" t="n">
        <v>88.7369412868161</v>
      </c>
      <c r="AU80" s="9" t="n">
        <v>76.285024182</v>
      </c>
      <c r="AV80" s="9" t="n">
        <v>86.80031182368539</v>
      </c>
      <c r="AW80" s="9" t="n">
        <v>93.34280039497897</v>
      </c>
      <c r="AX80" s="9" t="n">
        <v>37.11330294693048</v>
      </c>
      <c r="AY80" s="9" t="n">
        <v>31.77718398</v>
      </c>
      <c r="AZ80" s="9" t="n">
        <v>36.29932917083107</v>
      </c>
      <c r="BA80" s="9" t="n">
        <v>39.04279054604658</v>
      </c>
      <c r="BB80" s="9" t="n">
        <v>29.11962303935437</v>
      </c>
      <c r="BC80" s="9" t="n">
        <v>25.33461712</v>
      </c>
      <c r="BD80" s="9" t="n">
        <v>28.85277157000001</v>
      </c>
      <c r="BE80" s="9" t="n">
        <v>29.37769038722683</v>
      </c>
      <c r="BF80" s="9" t="n">
        <v>43.2074963333639</v>
      </c>
      <c r="BG80" s="9" t="n">
        <v>36.59489703830134</v>
      </c>
      <c r="BH80" s="9" t="n">
        <v>41.42241564760054</v>
      </c>
      <c r="BI80" s="9" t="n">
        <v>42.43496358565302</v>
      </c>
      <c r="BJ80" s="9" t="n">
        <v>2.329764012572652</v>
      </c>
      <c r="BK80" s="9" t="n">
        <v>1.947501223405533</v>
      </c>
      <c r="BL80" s="9" t="n">
        <v>2.20441131630136</v>
      </c>
      <c r="BM80" s="9" t="n">
        <v>2.258296926255393</v>
      </c>
      <c r="BN80" s="9" t="n">
        <v>37.41874550933819</v>
      </c>
      <c r="BO80" s="9" t="n">
        <v>28.58385719159999</v>
      </c>
      <c r="BP80" s="9" t="n">
        <v>32.35457698276586</v>
      </c>
      <c r="BQ80" s="9" t="n">
        <v>33.14546664234459</v>
      </c>
      <c r="BR80" s="9" t="n">
        <v>82.49750443926447</v>
      </c>
      <c r="BS80" s="9" t="n">
        <v>70.0146292103192</v>
      </c>
      <c r="BT80" s="9" t="n">
        <v>52.6323088548</v>
      </c>
      <c r="BU80" s="9" t="n">
        <v>59.57544768044006</v>
      </c>
      <c r="BV80" s="9" t="n">
        <v>61.03173640151749</v>
      </c>
      <c r="BW80" s="9" t="n">
        <v>69.06207907168594</v>
      </c>
      <c r="BX80" s="9" t="n">
        <v>65.31671933895771</v>
      </c>
      <c r="BY80" s="9" t="n">
        <v>66.0184657250867</v>
      </c>
      <c r="BZ80" s="9" t="n">
        <v>67.09541017329062</v>
      </c>
      <c r="CA80" s="9" t="n">
        <v>0.8595721751785709</v>
      </c>
      <c r="CB80" s="9" t="n">
        <v>34.95840117604072</v>
      </c>
      <c r="CC80" s="9" t="n">
        <v>0.124</v>
      </c>
      <c r="CD80" s="9" t="n">
        <v>2.977777172094336</v>
      </c>
      <c r="CE80" s="9" t="n">
        <v>12.338</v>
      </c>
      <c r="CF80" s="9" t="n">
        <v>2.516</v>
      </c>
      <c r="CG80" s="9" t="n">
        <v>608.974</v>
      </c>
      <c r="CH80" s="9" t="n">
        <v>1.67</v>
      </c>
      <c r="CI80" s="9" t="n">
        <v>0.159</v>
      </c>
      <c r="CJ80" s="9" t="n">
        <v>16.069</v>
      </c>
      <c r="CK80" s="9" t="n">
        <v>14.99</v>
      </c>
      <c r="CL80" s="9" t="n">
        <v>0.92</v>
      </c>
      <c r="CM80" s="9" t="n">
        <v>1.49</v>
      </c>
      <c r="CN80" s="9" t="n">
        <v>30.989</v>
      </c>
      <c r="CO80" s="9" t="n">
        <v>11.76</v>
      </c>
      <c r="CP80" s="9" t="n">
        <v>66.73099999999999</v>
      </c>
      <c r="CQ80" s="9" t="n">
        <v>73.70999999999999</v>
      </c>
      <c r="CR80" s="9" t="n">
        <v>1</v>
      </c>
      <c r="CS80" s="9" t="n">
        <v>4</v>
      </c>
      <c r="CT80" s="9" t="n">
        <v>0.5</v>
      </c>
      <c r="CU80" s="9" t="n">
        <v>0.3</v>
      </c>
      <c r="CV80" s="9" t="n">
        <v>0.6</v>
      </c>
      <c r="CW80" s="9" t="n">
        <v>0.8</v>
      </c>
      <c r="CX80" s="9" t="n">
        <v>0.8</v>
      </c>
      <c r="CY80" s="9" t="n">
        <v>0.7</v>
      </c>
      <c r="CZ80" s="9" t="n">
        <v>0.5</v>
      </c>
      <c r="DA80" s="9" t="n">
        <v>0.5</v>
      </c>
      <c r="DB80" s="9" t="n">
        <v>1</v>
      </c>
      <c r="DC80" s="9" t="n">
        <v>0.3</v>
      </c>
      <c r="DD80" s="9" t="n">
        <v>0.8</v>
      </c>
      <c r="DE80" s="9" t="n">
        <v>0.8385611383987894</v>
      </c>
      <c r="DF80" s="9" t="n">
        <v>3</v>
      </c>
      <c r="DG80" s="9" t="n">
        <v>5.452</v>
      </c>
      <c r="DH80" s="9" t="n">
        <v>5.075</v>
      </c>
      <c r="DI80" s="9" t="n">
        <v>29.29614</v>
      </c>
      <c r="DJ80" s="9" t="n">
        <v>23.14558526179918</v>
      </c>
      <c r="DK80" s="9" t="n">
        <v>25.45944007590563</v>
      </c>
      <c r="DL80" s="9" t="n">
        <v>19.06043198090663</v>
      </c>
      <c r="DM80" s="9" t="n">
        <v>21.12391695696612</v>
      </c>
      <c r="DN80" s="9" t="n">
        <v>17.553</v>
      </c>
      <c r="DO80" s="9" t="n">
        <v>17.553</v>
      </c>
      <c r="DP80" s="9" t="n">
        <v>35.87787</v>
      </c>
      <c r="DQ80" s="9" t="n">
        <v>13.64726832248658</v>
      </c>
      <c r="DR80" s="9" t="n">
        <v>13.64726832248658</v>
      </c>
      <c r="DS80" s="9" t="n">
        <v>0.06594999999999999</v>
      </c>
    </row>
    <row r="81">
      <c r="A81" s="9" t="inlineStr">
        <is>
          <t>IRN</t>
        </is>
      </c>
      <c r="B81" s="9" t="inlineStr">
        <is>
          <t>Iran, Islamic Rep.</t>
        </is>
      </c>
      <c r="C81" s="9" t="n">
        <v>0.005</v>
      </c>
      <c r="D81" s="9" t="n">
        <v>0.005</v>
      </c>
      <c r="E81" s="9" t="n">
        <v>0.01</v>
      </c>
      <c r="F81" s="9" t="n">
        <v>0.005</v>
      </c>
      <c r="G81" s="9" t="n">
        <v>0.005</v>
      </c>
      <c r="H81" s="9" t="n">
        <v>0.01</v>
      </c>
      <c r="I81" s="9" t="n">
        <v>0.005</v>
      </c>
      <c r="J81" s="9" t="n">
        <v>0.005</v>
      </c>
      <c r="K81" s="9" t="n">
        <v>0.01</v>
      </c>
      <c r="L81" s="9" t="n">
        <v>0.01</v>
      </c>
      <c r="M81" s="9" t="n">
        <v>0.005</v>
      </c>
      <c r="N81" s="9" t="n">
        <v>0.514619</v>
      </c>
      <c r="O81" s="9" t="n">
        <v>0.003589</v>
      </c>
      <c r="P81" s="9" t="n">
        <v>54.304069</v>
      </c>
      <c r="Q81" s="9" t="n">
        <v>12.46034676321531</v>
      </c>
      <c r="R81" s="9" t="n">
        <v>2.614403195448408</v>
      </c>
      <c r="S81" s="9" t="n">
        <v>3.201238319282595</v>
      </c>
      <c r="T81" s="9" t="n">
        <v>3.71668570909732</v>
      </c>
      <c r="U81" s="9" t="n">
        <v>0.589419</v>
      </c>
      <c r="V81" s="9" t="n">
        <v>0.602845</v>
      </c>
      <c r="W81" s="9" t="n">
        <v>0.209108</v>
      </c>
      <c r="X81" s="9" t="n">
        <v>7.886624442002718</v>
      </c>
      <c r="Y81" s="9" t="n">
        <v>7.886624442002718</v>
      </c>
      <c r="Z81" s="9" t="n">
        <v>1.59127408706594</v>
      </c>
      <c r="AA81" s="9" t="n">
        <v>0</v>
      </c>
      <c r="AB81" s="9" t="n">
        <v>1.78</v>
      </c>
      <c r="AC81" s="9" t="n">
        <v>0.38</v>
      </c>
      <c r="AD81" s="9" t="n">
        <v>0.5</v>
      </c>
      <c r="AE81" s="9" t="n">
        <v>34.29097994342474</v>
      </c>
      <c r="AF81" s="9" t="n">
        <v>743.218</v>
      </c>
      <c r="AG81" s="9" t="n">
        <v>38.91929267507664</v>
      </c>
      <c r="AH81" s="9" t="n">
        <v>34.880691348</v>
      </c>
      <c r="AI81" s="9" t="n">
        <v>36.0495820713952</v>
      </c>
      <c r="AJ81" s="9" t="n">
        <v>37.10333908578982</v>
      </c>
      <c r="AK81" s="9" t="n">
        <v>410.7940984821293</v>
      </c>
      <c r="AL81" s="9" t="n">
        <v>0.3930324802014417</v>
      </c>
      <c r="AM81" s="9" t="n">
        <v>0.3611994228</v>
      </c>
      <c r="AN81" s="9" t="n">
        <v>0.37330361679072</v>
      </c>
      <c r="AO81" s="9" t="n">
        <v>0.384215568666141</v>
      </c>
      <c r="AP81" s="9" t="n">
        <v>744.5504596142844</v>
      </c>
      <c r="AQ81" s="9" t="n">
        <v>679.0656448700001</v>
      </c>
      <c r="AR81" s="9" t="n">
        <v>701.8218891469767</v>
      </c>
      <c r="AS81" s="9" t="n">
        <v>722.3366828297346</v>
      </c>
      <c r="AT81" s="9" t="n">
        <v>884.9290529518737</v>
      </c>
      <c r="AU81" s="9" t="n">
        <v>738.0120131388001</v>
      </c>
      <c r="AV81" s="9" t="n">
        <v>754.8813328430231</v>
      </c>
      <c r="AW81" s="9" t="n">
        <v>846.9710869235439</v>
      </c>
      <c r="AX81" s="9" t="n">
        <v>425.936908927156</v>
      </c>
      <c r="AY81" s="9" t="n">
        <v>354.4692171624001</v>
      </c>
      <c r="AZ81" s="9" t="n">
        <v>363.3419204007703</v>
      </c>
      <c r="BA81" s="9" t="n">
        <v>407.6668581639473</v>
      </c>
      <c r="BB81" s="9" t="n">
        <v>1127.99585076619</v>
      </c>
      <c r="BC81" s="9" t="n">
        <v>1055.798708361845</v>
      </c>
      <c r="BD81" s="9" t="n">
        <v>1018.607072881839</v>
      </c>
      <c r="BE81" s="9" t="n">
        <v>1085.086207072619</v>
      </c>
      <c r="BF81" s="9" t="n">
        <v>86.59421480390577</v>
      </c>
      <c r="BG81" s="9" t="n">
        <v>79.44011434638014</v>
      </c>
      <c r="BH81" s="9" t="n">
        <v>82.10224084492107</v>
      </c>
      <c r="BI81" s="9" t="n">
        <v>84.50215250038798</v>
      </c>
      <c r="BJ81" s="9" t="n">
        <v>95.09284680022364</v>
      </c>
      <c r="BK81" s="9" t="n">
        <v>85.05568014999983</v>
      </c>
      <c r="BL81" s="9" t="n">
        <v>87.9059904981376</v>
      </c>
      <c r="BM81" s="9" t="n">
        <v>90.47555022039084</v>
      </c>
      <c r="BN81" s="9" t="n">
        <v>3374.361529236139</v>
      </c>
      <c r="BO81" s="9" t="n">
        <v>3081.1805996724</v>
      </c>
      <c r="BP81" s="9" t="n">
        <v>3184.434385101421</v>
      </c>
      <c r="BQ81" s="9" t="n">
        <v>3277.517851742848</v>
      </c>
      <c r="BR81" s="9" t="n">
        <v>3199.279848340893</v>
      </c>
      <c r="BS81" s="9" t="n">
        <v>2781.221912823575</v>
      </c>
      <c r="BT81" s="9" t="n">
        <v>2621.2800464244</v>
      </c>
      <c r="BU81" s="9" t="n">
        <v>2709.122053313466</v>
      </c>
      <c r="BV81" s="9" t="n">
        <v>2788.31177487186</v>
      </c>
      <c r="BW81" s="9" t="n">
        <v>570.9530549770998</v>
      </c>
      <c r="BX81" s="9" t="n">
        <v>1111.836640219002</v>
      </c>
      <c r="BY81" s="9" t="n">
        <v>528.7131550603178</v>
      </c>
      <c r="BZ81" s="9" t="n">
        <v>544.3766317854368</v>
      </c>
      <c r="CA81" s="9" t="n">
        <v>0.246324734529776</v>
      </c>
      <c r="CB81" s="9" t="n">
        <v>364.129433855286</v>
      </c>
      <c r="CC81" s="9" t="n">
        <v>17.16</v>
      </c>
      <c r="CD81" s="9" t="n">
        <v>-0.07290524603531889</v>
      </c>
      <c r="CE81" s="9" t="n">
        <v>-1.525</v>
      </c>
      <c r="CF81" s="9" t="n">
        <v>-6.07</v>
      </c>
      <c r="CG81" s="9" t="n">
        <v>416.676</v>
      </c>
      <c r="CH81" s="9" t="n">
        <v>21.223</v>
      </c>
      <c r="CI81" s="9" t="n">
        <v>0.73</v>
      </c>
      <c r="CJ81" s="9" t="n">
        <v>374.975</v>
      </c>
      <c r="CK81" s="9" t="n">
        <v>351.654</v>
      </c>
      <c r="CL81" s="9" t="n">
        <v>22.591</v>
      </c>
      <c r="CM81" s="9" t="n">
        <v>0.9</v>
      </c>
      <c r="CN81" s="9" t="n">
        <v>398.348</v>
      </c>
      <c r="CO81" s="9" t="n">
        <v>1.25</v>
      </c>
      <c r="CP81" s="9" t="n">
        <v>1024.794</v>
      </c>
      <c r="CQ81" s="9" t="n">
        <v>1024.852</v>
      </c>
      <c r="CR81" s="9" t="n">
        <v>3</v>
      </c>
      <c r="CS81" s="9" t="n">
        <v>3</v>
      </c>
      <c r="CT81" s="9" t="n">
        <v>0.5</v>
      </c>
      <c r="CU81" s="9" t="n">
        <v>0.3</v>
      </c>
      <c r="CV81" s="9" t="n">
        <v>0.6</v>
      </c>
      <c r="CW81" s="9" t="n">
        <v>0.8</v>
      </c>
      <c r="CX81" s="9" t="n">
        <v>0.8</v>
      </c>
      <c r="CY81" s="9" t="n">
        <v>0.7</v>
      </c>
      <c r="CZ81" s="9" t="n">
        <v>0.5</v>
      </c>
      <c r="DA81" s="9" t="n">
        <v>0.5</v>
      </c>
      <c r="DB81" s="9" t="n">
        <v>1</v>
      </c>
      <c r="DC81" s="9" t="n">
        <v>0.3</v>
      </c>
      <c r="DD81" s="9" t="n">
        <v>0.8</v>
      </c>
      <c r="DE81" s="9" t="n">
        <v>0.2286353300615436</v>
      </c>
      <c r="DF81" s="9" t="n">
        <v>3</v>
      </c>
      <c r="DG81" s="9" t="n">
        <v>4.308</v>
      </c>
      <c r="DH81" s="9" t="n">
        <v>2.799</v>
      </c>
      <c r="DI81" s="9" t="n">
        <v>7.86108</v>
      </c>
      <c r="DJ81" s="9" t="n">
        <v>15.23952552594584</v>
      </c>
      <c r="DK81" s="9" t="n">
        <v>16.95168451352512</v>
      </c>
      <c r="DL81" s="9" t="n">
        <v>14.14062382534772</v>
      </c>
      <c r="DM81" s="9" t="n">
        <v>16.52351227041585</v>
      </c>
      <c r="DN81" s="9" t="n">
        <v>4.104</v>
      </c>
      <c r="DO81" s="9" t="n">
        <v>3.441</v>
      </c>
      <c r="DP81" s="9" t="n">
        <v>8.81047</v>
      </c>
      <c r="DQ81" s="9" t="n">
        <v>10.27040578453895</v>
      </c>
      <c r="DR81" s="9" t="n">
        <v>10.27040578453895</v>
      </c>
      <c r="DS81" s="9" t="n">
        <v>0.105</v>
      </c>
    </row>
    <row r="82">
      <c r="A82" s="9" t="inlineStr">
        <is>
          <t>IRQ</t>
        </is>
      </c>
      <c r="B82" s="9" t="inlineStr">
        <is>
          <t>Iraq</t>
        </is>
      </c>
      <c r="C82" s="9" t="n">
        <v>0.005</v>
      </c>
      <c r="D82" s="9" t="n">
        <v>0.005</v>
      </c>
      <c r="E82" s="9" t="n">
        <v>0.01</v>
      </c>
      <c r="F82" s="9" t="n">
        <v>0.005</v>
      </c>
      <c r="G82" s="9" t="n">
        <v>0.005</v>
      </c>
      <c r="H82" s="9" t="n">
        <v>0.01</v>
      </c>
      <c r="I82" s="9" t="n">
        <v>0.005</v>
      </c>
      <c r="J82" s="9" t="n">
        <v>0.005</v>
      </c>
      <c r="K82" s="9" t="n">
        <v>0.01</v>
      </c>
      <c r="L82" s="9" t="n">
        <v>0.01</v>
      </c>
      <c r="M82" s="9" t="n">
        <v>0.005</v>
      </c>
      <c r="N82" s="9" t="n">
        <v>4.041804</v>
      </c>
      <c r="O82" s="9" t="n">
        <v>0.963307</v>
      </c>
      <c r="P82" s="9" t="n">
        <v>13.491137</v>
      </c>
      <c r="Q82" s="9" t="n">
        <v>12.64581303916135</v>
      </c>
      <c r="R82" s="9" t="n">
        <v>2.616233349175602</v>
      </c>
      <c r="S82" s="9" t="n">
        <v>1.485317571757204</v>
      </c>
      <c r="T82" s="9" t="n">
        <v>1.83931624764669</v>
      </c>
      <c r="U82" s="9" t="n">
        <v>0.552557</v>
      </c>
      <c r="V82" s="9" t="n">
        <v>0.051841</v>
      </c>
      <c r="W82" s="9" t="n">
        <v>0.025144</v>
      </c>
      <c r="X82" s="9" t="n">
        <v>5.152689910481504</v>
      </c>
      <c r="Y82" s="9" t="n">
        <v>5.152689910481504</v>
      </c>
      <c r="Z82" s="9" t="n">
        <v>1.09422338999221</v>
      </c>
      <c r="AA82" s="9" t="n">
        <v>44.64</v>
      </c>
      <c r="AB82" s="9" t="n">
        <v>0.04</v>
      </c>
      <c r="AC82" s="9" t="n">
        <v>0</v>
      </c>
      <c r="AD82" s="9" t="n">
        <v>0</v>
      </c>
      <c r="AE82" s="9" t="n">
        <v>0</v>
      </c>
      <c r="AF82" s="9" t="n">
        <v>176.459</v>
      </c>
      <c r="AG82" s="9" t="n">
        <v>0</v>
      </c>
      <c r="AH82" s="9" t="n">
        <v>0</v>
      </c>
      <c r="AI82" s="9" t="n">
        <v>0</v>
      </c>
      <c r="AJ82" s="9" t="n">
        <v>0</v>
      </c>
      <c r="AK82" s="9" t="n">
        <v>0</v>
      </c>
      <c r="AL82" s="9" t="n">
        <v>0</v>
      </c>
      <c r="AM82" s="9" t="n">
        <v>0</v>
      </c>
      <c r="AN82" s="9" t="n">
        <v>0</v>
      </c>
      <c r="AO82" s="9" t="n">
        <v>0</v>
      </c>
      <c r="AP82" s="9" t="n">
        <v>232.1587857409118</v>
      </c>
      <c r="AQ82" s="9" t="n">
        <v>193.57083929</v>
      </c>
      <c r="AR82" s="9" t="n">
        <v>224.2907828760234</v>
      </c>
      <c r="AS82" s="9" t="n">
        <v>224.9636552246514</v>
      </c>
      <c r="AT82" s="9" t="n">
        <v>83.27908140777313</v>
      </c>
      <c r="AU82" s="9" t="n">
        <v>77.809647402</v>
      </c>
      <c r="AV82" s="9" t="n">
        <v>53.73992357561322</v>
      </c>
      <c r="AW82" s="9" t="n">
        <v>82.67051045980858</v>
      </c>
      <c r="AX82" s="9" t="n">
        <v>133.3895995559882</v>
      </c>
      <c r="AY82" s="9" t="n">
        <v>110.5504778304</v>
      </c>
      <c r="AZ82" s="9" t="n">
        <v>86.07620022633166</v>
      </c>
      <c r="BA82" s="9" t="n">
        <v>132.4148405447436</v>
      </c>
      <c r="BB82" s="9" t="n">
        <v>362.4433013176922</v>
      </c>
      <c r="BC82" s="9" t="n">
        <v>306.5050825368423</v>
      </c>
      <c r="BD82" s="9" t="n">
        <v>355.2995221800001</v>
      </c>
      <c r="BE82" s="9" t="n">
        <v>356.2893426053405</v>
      </c>
      <c r="BF82" s="9" t="n">
        <v>76.82272501461254</v>
      </c>
      <c r="BG82" s="9" t="n">
        <v>65.48091133551046</v>
      </c>
      <c r="BH82" s="9" t="n">
        <v>75.87281700460055</v>
      </c>
      <c r="BI82" s="9" t="n">
        <v>76.10043545561433</v>
      </c>
      <c r="BJ82" s="9" t="n">
        <v>98.14940415198647</v>
      </c>
      <c r="BK82" s="9" t="n">
        <v>81.20441231999982</v>
      </c>
      <c r="BL82" s="9" t="n">
        <v>94.09165801545956</v>
      </c>
      <c r="BM82" s="9" t="n">
        <v>94.3739329895059</v>
      </c>
      <c r="BN82" s="9" t="n">
        <v>109.1575204013615</v>
      </c>
      <c r="BO82" s="9" t="n">
        <v>93.0924010584</v>
      </c>
      <c r="BP82" s="9" t="n">
        <v>107.8662860055903</v>
      </c>
      <c r="BQ82" s="9" t="n">
        <v>108.189884863607</v>
      </c>
      <c r="BR82" s="9" t="n">
        <v>1068.721179153525</v>
      </c>
      <c r="BS82" s="9" t="n">
        <v>0</v>
      </c>
      <c r="BT82" s="9" t="n">
        <v>0</v>
      </c>
      <c r="BU82" s="9" t="n">
        <v>0</v>
      </c>
      <c r="BV82" s="9" t="n">
        <v>0</v>
      </c>
      <c r="BW82" s="9" t="n">
        <v>357.2585647257232</v>
      </c>
      <c r="BX82" s="9" t="n">
        <v>841.504096412462</v>
      </c>
      <c r="BY82" s="9" t="n">
        <v>327.164999171155</v>
      </c>
      <c r="BZ82" s="9" t="n">
        <v>334.9166136252599</v>
      </c>
      <c r="CA82" s="9" t="n">
        <v>0.222451707844369</v>
      </c>
      <c r="CB82" s="9" t="n">
        <v>60.18574471215592</v>
      </c>
      <c r="CC82" s="9" t="n">
        <v>4.774</v>
      </c>
      <c r="CD82" s="9" t="n">
        <v>-0.4911807660341272</v>
      </c>
      <c r="CE82" s="9" t="n">
        <v>-0.414</v>
      </c>
      <c r="CF82" s="9" t="n">
        <v>-6.771</v>
      </c>
      <c r="CG82" s="9" t="n">
        <v>286.523</v>
      </c>
      <c r="CH82" s="9" t="n">
        <v>2</v>
      </c>
      <c r="CI82" s="9" t="n">
        <v>0</v>
      </c>
      <c r="CJ82" s="9" t="n">
        <v>147.3</v>
      </c>
      <c r="CK82" s="9" t="n">
        <v>79.3</v>
      </c>
      <c r="CL82" s="9" t="n">
        <v>68</v>
      </c>
      <c r="CM82" s="9" t="n">
        <v>0.43</v>
      </c>
      <c r="CN82" s="9" t="n">
        <v>149.73</v>
      </c>
      <c r="CO82" s="9" t="n">
        <v>0</v>
      </c>
      <c r="CP82" s="9" t="n">
        <v>351.037</v>
      </c>
      <c r="CQ82" s="9" t="n">
        <v>351.508</v>
      </c>
      <c r="CR82" s="9" t="n">
        <v>3</v>
      </c>
      <c r="CS82" s="9" t="n">
        <v>3</v>
      </c>
      <c r="CT82" s="9" t="n">
        <v>0.5</v>
      </c>
      <c r="CU82" s="9" t="n">
        <v>0.3</v>
      </c>
      <c r="CV82" s="9" t="n">
        <v>0.6</v>
      </c>
      <c r="CW82" s="9" t="n">
        <v>0.8</v>
      </c>
      <c r="CX82" s="9" t="n">
        <v>0.8</v>
      </c>
      <c r="CY82" s="9" t="n">
        <v>0.7</v>
      </c>
      <c r="CZ82" s="9" t="n">
        <v>0.5</v>
      </c>
      <c r="DA82" s="9" t="n">
        <v>0.5</v>
      </c>
      <c r="DB82" s="9" t="n">
        <v>1</v>
      </c>
      <c r="DC82" s="9" t="n">
        <v>0.3</v>
      </c>
      <c r="DD82" s="9" t="n">
        <v>0.8</v>
      </c>
      <c r="DE82" s="9" t="n">
        <v>0.419678638387626</v>
      </c>
      <c r="DF82" s="9" t="n">
        <v>1</v>
      </c>
      <c r="DG82" s="9" t="n">
        <v>7.124</v>
      </c>
      <c r="DH82" s="9" t="n">
        <v>5.575</v>
      </c>
      <c r="DI82" s="9" t="n">
        <v>12.193</v>
      </c>
      <c r="DJ82" s="9" t="n">
        <v>19.68082211137683</v>
      </c>
      <c r="DK82" s="9" t="n">
        <v>20.58922943093086</v>
      </c>
      <c r="DL82" s="9" t="n">
        <v>17.27205865604339</v>
      </c>
      <c r="DM82" s="9" t="n">
        <v>19.78301635067195</v>
      </c>
      <c r="DN82" s="9" t="n">
        <v>7.375</v>
      </c>
      <c r="DO82" s="9" t="n">
        <v>6.389</v>
      </c>
      <c r="DP82" s="9" t="n">
        <v>13.291</v>
      </c>
      <c r="DQ82" s="9" t="n">
        <v>14.11516989415954</v>
      </c>
      <c r="DR82" s="9" t="n">
        <v>14.11516989415954</v>
      </c>
      <c r="DS82" s="9" t="n">
        <v>0.11792</v>
      </c>
    </row>
    <row r="83">
      <c r="A83" s="9" t="inlineStr">
        <is>
          <t>ISL</t>
        </is>
      </c>
      <c r="B83" s="9" t="inlineStr">
        <is>
          <t>Iceland</t>
        </is>
      </c>
      <c r="C83" s="9" t="n">
        <v>0.005</v>
      </c>
      <c r="D83" s="9" t="n">
        <v>0.005</v>
      </c>
      <c r="E83" s="9" t="n">
        <v>0.01</v>
      </c>
      <c r="F83" s="9" t="n">
        <v>0.005</v>
      </c>
      <c r="G83" s="9" t="n">
        <v>0.005</v>
      </c>
      <c r="H83" s="9" t="n">
        <v>0.01</v>
      </c>
      <c r="I83" s="9" t="n">
        <v>0.005</v>
      </c>
      <c r="J83" s="9" t="n">
        <v>0.005</v>
      </c>
      <c r="K83" s="9" t="n">
        <v>0.01</v>
      </c>
      <c r="L83" s="9" t="n">
        <v>0.01</v>
      </c>
      <c r="M83" s="9" t="n">
        <v>0.005</v>
      </c>
      <c r="N83" s="9" t="n">
        <v>0.876708</v>
      </c>
      <c r="O83" s="9" t="n">
        <v>0.035918</v>
      </c>
      <c r="P83" s="9" t="n">
        <v>16.581593</v>
      </c>
      <c r="Q83" s="9" t="n">
        <v>0.4744847794045291</v>
      </c>
      <c r="R83" s="9" t="n">
        <v>0.0699461877611901</v>
      </c>
      <c r="S83" s="9" t="n">
        <v>0.8849280972471311</v>
      </c>
      <c r="T83" s="9" t="n">
        <v>0.6278974228790722</v>
      </c>
      <c r="U83" s="9" t="n">
        <v>0.068649</v>
      </c>
      <c r="V83" s="9" t="n">
        <v>0.010677</v>
      </c>
      <c r="W83" s="9" t="n">
        <v>0.020195</v>
      </c>
      <c r="X83" s="9" t="n">
        <v>1.540157954297294</v>
      </c>
      <c r="Y83" s="9" t="n">
        <v>1.540157954297294</v>
      </c>
      <c r="Z83" s="9" t="n">
        <v>0.2791000381385126</v>
      </c>
      <c r="AA83" s="9" t="n">
        <v>0.07000000000000001</v>
      </c>
      <c r="AB83" s="9" t="n">
        <v>0.01</v>
      </c>
      <c r="AC83" s="9" t="n">
        <v>0</v>
      </c>
      <c r="AD83" s="9" t="n">
        <v>0</v>
      </c>
      <c r="AE83" s="9" t="n">
        <v>0</v>
      </c>
      <c r="AF83" s="9" t="n">
        <v>3.726</v>
      </c>
      <c r="AG83" s="9" t="n">
        <v>0</v>
      </c>
      <c r="AH83" s="9" t="n">
        <v>0</v>
      </c>
      <c r="AI83" s="9" t="n">
        <v>0</v>
      </c>
      <c r="AJ83" s="9" t="n">
        <v>0</v>
      </c>
      <c r="AK83" s="9" t="n">
        <v>0</v>
      </c>
      <c r="AL83" s="9" t="n">
        <v>0</v>
      </c>
      <c r="AM83" s="9" t="n">
        <v>0</v>
      </c>
      <c r="AN83" s="9" t="n">
        <v>0</v>
      </c>
      <c r="AO83" s="9" t="n">
        <v>0</v>
      </c>
      <c r="AP83" s="9" t="n">
        <v>8.768523649885317</v>
      </c>
      <c r="AQ83" s="9" t="n">
        <v>8.04344244</v>
      </c>
      <c r="AR83" s="9" t="n">
        <v>8.79896330399051</v>
      </c>
      <c r="AS83" s="9" t="n">
        <v>8.658905913960858</v>
      </c>
      <c r="AT83" s="9" t="n">
        <v>72.31219429375918</v>
      </c>
      <c r="AU83" s="9" t="n">
        <v>62.8716976596</v>
      </c>
      <c r="AV83" s="9" t="n">
        <v>70.28071013097559</v>
      </c>
      <c r="AW83" s="9" t="n">
        <v>72.19832105304904</v>
      </c>
      <c r="AX83" s="9" t="n">
        <v>3.64598484211728</v>
      </c>
      <c r="AY83" s="9" t="n">
        <v>3.171584736</v>
      </c>
      <c r="AZ83" s="9" t="n">
        <v>3.543560268843622</v>
      </c>
      <c r="BA83" s="9" t="n">
        <v>3.640250667802899</v>
      </c>
      <c r="BB83" s="9" t="n">
        <v>4.118945741476454</v>
      </c>
      <c r="BC83" s="9" t="n">
        <v>3.771731196494946</v>
      </c>
      <c r="BD83" s="9" t="n">
        <v>4.042461720000001</v>
      </c>
      <c r="BE83" s="9" t="n">
        <v>4.019014872312787</v>
      </c>
      <c r="BF83" s="9" t="n">
        <v>0</v>
      </c>
      <c r="BG83" s="9" t="n">
        <v>0</v>
      </c>
      <c r="BH83" s="9" t="n">
        <v>0</v>
      </c>
      <c r="BI83" s="9" t="n">
        <v>0</v>
      </c>
      <c r="BJ83" s="9" t="n">
        <v>0.0580447745846154</v>
      </c>
      <c r="BK83" s="9" t="n">
        <v>0.0519816649651971</v>
      </c>
      <c r="BL83" s="9" t="n">
        <v>0.0568643047949876</v>
      </c>
      <c r="BM83" s="9" t="n">
        <v>0.0559591679237126</v>
      </c>
      <c r="BN83" s="9" t="n">
        <v>0</v>
      </c>
      <c r="BO83" s="9" t="n">
        <v>0</v>
      </c>
      <c r="BP83" s="9" t="n">
        <v>0</v>
      </c>
      <c r="BQ83" s="9" t="n">
        <v>0</v>
      </c>
      <c r="BR83" s="9" t="n">
        <v>0</v>
      </c>
      <c r="BS83" s="9" t="n">
        <v>0</v>
      </c>
      <c r="BT83" s="9" t="n">
        <v>0</v>
      </c>
      <c r="BU83" s="9" t="n">
        <v>0</v>
      </c>
      <c r="BV83" s="9" t="n">
        <v>0</v>
      </c>
      <c r="BW83" s="9" t="n">
        <v>10.48385552356595</v>
      </c>
      <c r="BX83" s="9" t="n">
        <v>9.390464499237767</v>
      </c>
      <c r="BY83" s="9" t="n">
        <v>10.26841194360295</v>
      </c>
      <c r="BZ83" s="9" t="n">
        <v>10.10455328359278</v>
      </c>
      <c r="CA83" s="9" t="n">
        <v>1.031205613786162</v>
      </c>
      <c r="CB83" s="9" t="n">
        <v>21.09949420441013</v>
      </c>
      <c r="CC83" s="9" t="n">
        <v>0</v>
      </c>
      <c r="CD83" s="9" t="n">
        <v>0</v>
      </c>
      <c r="CE83" s="9" t="n">
        <v>1.279</v>
      </c>
      <c r="CF83" s="9" t="n">
        <v>1.902</v>
      </c>
      <c r="CG83" s="9" t="n">
        <v>33.187</v>
      </c>
      <c r="CH83" s="9" t="n">
        <v>19.03</v>
      </c>
      <c r="CI83" s="9" t="n">
        <v>0</v>
      </c>
      <c r="CJ83" s="9" t="n">
        <v>0</v>
      </c>
      <c r="CK83" s="9" t="n">
        <v>0</v>
      </c>
      <c r="CL83" s="9" t="n">
        <v>0</v>
      </c>
      <c r="CM83" s="9" t="n">
        <v>0.01</v>
      </c>
      <c r="CN83" s="9" t="n">
        <v>19.05</v>
      </c>
      <c r="CO83" s="9" t="n">
        <v>0.01</v>
      </c>
      <c r="CP83" s="9" t="n">
        <v>4.939</v>
      </c>
      <c r="CQ83" s="9" t="n">
        <v>13.867</v>
      </c>
      <c r="CR83" s="9" t="n">
        <v>1</v>
      </c>
      <c r="CS83" s="9" t="n">
        <v>4</v>
      </c>
      <c r="CT83" s="9" t="n">
        <v>0.5</v>
      </c>
      <c r="CU83" s="9" t="n">
        <v>0.3</v>
      </c>
      <c r="CV83" s="9" t="n">
        <v>0.6</v>
      </c>
      <c r="CW83" s="9" t="n">
        <v>0.8</v>
      </c>
      <c r="CX83" s="9" t="n">
        <v>0.8</v>
      </c>
      <c r="CY83" s="9" t="n">
        <v>0.7</v>
      </c>
      <c r="CZ83" s="9" t="n">
        <v>0.5</v>
      </c>
      <c r="DA83" s="9" t="n">
        <v>0.5</v>
      </c>
      <c r="DB83" s="9" t="n">
        <v>1</v>
      </c>
      <c r="DC83" s="9" t="n">
        <v>0.3</v>
      </c>
      <c r="DD83" s="9" t="n">
        <v>0.8</v>
      </c>
      <c r="DE83" s="9" t="n">
        <v>1.100328238453632</v>
      </c>
      <c r="DF83" s="9" t="n">
        <v>3</v>
      </c>
      <c r="DG83" s="9" t="n">
        <v>7.124</v>
      </c>
      <c r="DH83" s="9" t="n">
        <v>5.346</v>
      </c>
      <c r="DI83" s="9" t="n">
        <v>14.83536</v>
      </c>
      <c r="DJ83" s="9" t="n">
        <v>21.3010310444859</v>
      </c>
      <c r="DK83" s="9" t="n">
        <v>25.67248140821179</v>
      </c>
      <c r="DL83" s="9" t="n">
        <v>15.65611451797798</v>
      </c>
      <c r="DM83" s="9" t="n">
        <v>21.91325930935793</v>
      </c>
      <c r="DN83" s="9" t="n">
        <v>11.404</v>
      </c>
      <c r="DO83" s="9" t="n">
        <v>10.08</v>
      </c>
      <c r="DP83" s="9" t="n">
        <v>23.9878</v>
      </c>
      <c r="DQ83" s="9" t="n">
        <v>13.49474620847193</v>
      </c>
      <c r="DR83" s="9" t="n">
        <v>13.49474620847193</v>
      </c>
      <c r="DS83" s="9" t="n">
        <v>0.055</v>
      </c>
    </row>
    <row r="84">
      <c r="A84" s="9" t="inlineStr">
        <is>
          <t>ISR</t>
        </is>
      </c>
      <c r="B84" s="9" t="inlineStr">
        <is>
          <t>Israel</t>
        </is>
      </c>
      <c r="C84" s="9" t="n">
        <v>0.005</v>
      </c>
      <c r="D84" s="9" t="n">
        <v>0.005</v>
      </c>
      <c r="E84" s="9" t="n">
        <v>0.01</v>
      </c>
      <c r="F84" s="9" t="n">
        <v>0.005</v>
      </c>
      <c r="G84" s="9" t="n">
        <v>0.005</v>
      </c>
      <c r="H84" s="9" t="n">
        <v>0.01</v>
      </c>
      <c r="I84" s="9" t="n">
        <v>0.005</v>
      </c>
      <c r="J84" s="9" t="n">
        <v>0.005</v>
      </c>
      <c r="K84" s="9" t="n">
        <v>0.01</v>
      </c>
      <c r="L84" s="9" t="n">
        <v>0.01</v>
      </c>
      <c r="M84" s="9" t="n">
        <v>0.005</v>
      </c>
      <c r="N84" s="9" t="n">
        <v>11.010957</v>
      </c>
      <c r="O84" s="9" t="n">
        <v>1.32035</v>
      </c>
      <c r="P84" s="9" t="n">
        <v>43.623013</v>
      </c>
      <c r="Q84" s="9" t="n">
        <v>4.829282274738378</v>
      </c>
      <c r="R84" s="9" t="n">
        <v>1.264064302451205</v>
      </c>
      <c r="S84" s="9" t="n">
        <v>4.859912258900454</v>
      </c>
      <c r="T84" s="9" t="n">
        <v>4.632212673623906</v>
      </c>
      <c r="U84" s="9" t="n">
        <v>0.296695</v>
      </c>
      <c r="V84" s="9" t="n">
        <v>0.34605</v>
      </c>
      <c r="W84" s="9" t="n">
        <v>0.07852199999999999</v>
      </c>
      <c r="X84" s="9" t="n">
        <v>9.24249024750833</v>
      </c>
      <c r="Y84" s="9" t="n">
        <v>9.24249024750833</v>
      </c>
      <c r="Z84" s="9" t="n">
        <v>4.560573844636253</v>
      </c>
      <c r="AA84" s="9" t="n">
        <v>18.06</v>
      </c>
      <c r="AB84" s="9" t="n">
        <v>7.36</v>
      </c>
      <c r="AC84" s="9" t="n">
        <v>0.35</v>
      </c>
      <c r="AD84" s="9" t="n">
        <v>3.7</v>
      </c>
      <c r="AE84" s="9" t="n">
        <v>0.0039583035</v>
      </c>
      <c r="AF84" s="9" t="n">
        <v>62.811</v>
      </c>
      <c r="AG84" s="9" t="n">
        <v>1.591528322484906</v>
      </c>
      <c r="AH84" s="9" t="n">
        <v>1.2905476056</v>
      </c>
      <c r="AI84" s="9" t="n">
        <v>1.427665356624388</v>
      </c>
      <c r="AJ84" s="9" t="n">
        <v>1.543262715530336</v>
      </c>
      <c r="AK84" s="9" t="n">
        <v>109.1256138310373</v>
      </c>
      <c r="AL84" s="9" t="n">
        <v>0</v>
      </c>
      <c r="AM84" s="9" t="n">
        <v>0</v>
      </c>
      <c r="AN84" s="9" t="n">
        <v>0</v>
      </c>
      <c r="AO84" s="9" t="n">
        <v>0</v>
      </c>
      <c r="AP84" s="9" t="n">
        <v>124.8111773201143</v>
      </c>
      <c r="AQ84" s="9" t="n">
        <v>106.35674768</v>
      </c>
      <c r="AR84" s="9" t="n">
        <v>117.6569104828823</v>
      </c>
      <c r="AS84" s="9" t="n">
        <v>127.1835324225033</v>
      </c>
      <c r="AT84" s="9" t="n">
        <v>185.2599619859749</v>
      </c>
      <c r="AU84" s="9" t="n">
        <v>142.4295685224</v>
      </c>
      <c r="AV84" s="9" t="n">
        <v>163.4538632167579</v>
      </c>
      <c r="AW84" s="9" t="n">
        <v>180.7722166583211</v>
      </c>
      <c r="AX84" s="9" t="n">
        <v>98.32821163321364</v>
      </c>
      <c r="AY84" s="9" t="n">
        <v>76.1128922736</v>
      </c>
      <c r="AZ84" s="9" t="n">
        <v>86.75444970597833</v>
      </c>
      <c r="BA84" s="9" t="n">
        <v>95.94630478403208</v>
      </c>
      <c r="BB84" s="9" t="n">
        <v>158.1031068653103</v>
      </c>
      <c r="BC84" s="9" t="n">
        <v>143.252025311755</v>
      </c>
      <c r="BD84" s="9" t="n">
        <v>141.04417386</v>
      </c>
      <c r="BE84" s="9" t="n">
        <v>161.6097653806752</v>
      </c>
      <c r="BF84" s="9" t="n">
        <v>0</v>
      </c>
      <c r="BG84" s="9" t="n">
        <v>0</v>
      </c>
      <c r="BH84" s="9" t="n">
        <v>0</v>
      </c>
      <c r="BI84" s="9" t="n">
        <v>0</v>
      </c>
      <c r="BJ84" s="9" t="n">
        <v>9.000116213760768</v>
      </c>
      <c r="BK84" s="9" t="n">
        <v>7.41648435999999</v>
      </c>
      <c r="BL84" s="9" t="n">
        <v>8.204468973305255</v>
      </c>
      <c r="BM84" s="9" t="n">
        <v>8.868780774484165</v>
      </c>
      <c r="BN84" s="9" t="n">
        <v>59.91686929337677</v>
      </c>
      <c r="BO84" s="9" t="n">
        <v>49.9669626672</v>
      </c>
      <c r="BP84" s="9" t="n">
        <v>55.2758389277241</v>
      </c>
      <c r="BQ84" s="9" t="n">
        <v>59.75149630899133</v>
      </c>
      <c r="BR84" s="9" t="n">
        <v>371.9822226943502</v>
      </c>
      <c r="BS84" s="9" t="n">
        <v>0</v>
      </c>
      <c r="BT84" s="9" t="n">
        <v>0</v>
      </c>
      <c r="BU84" s="9" t="n">
        <v>0</v>
      </c>
      <c r="BV84" s="9" t="n">
        <v>0</v>
      </c>
      <c r="BW84" s="9" t="n">
        <v>74.16146178741064</v>
      </c>
      <c r="BX84" s="9" t="n">
        <v>63.67974911240145</v>
      </c>
      <c r="BY84" s="9" t="n">
        <v>68.34869972545007</v>
      </c>
      <c r="BZ84" s="9" t="n">
        <v>73.88286018977544</v>
      </c>
      <c r="CA84" s="9" t="n">
        <v>1.16432466651895</v>
      </c>
      <c r="CB84" s="9" t="n">
        <v>78.77449267199681</v>
      </c>
      <c r="CC84" s="9" t="n">
        <v>0.057</v>
      </c>
      <c r="CD84" s="9" t="n">
        <v>2.404289085331646</v>
      </c>
      <c r="CE84" s="9" t="n">
        <v>2.931</v>
      </c>
      <c r="CF84" s="9" t="n">
        <v>3.53</v>
      </c>
      <c r="CG84" s="9" t="n">
        <v>542.285</v>
      </c>
      <c r="CH84" s="9" t="n">
        <v>0.16</v>
      </c>
      <c r="CI84" s="9" t="n">
        <v>2.8</v>
      </c>
      <c r="CJ84" s="9" t="n">
        <v>68.2</v>
      </c>
      <c r="CK84" s="9" t="n">
        <v>65.40000000000001</v>
      </c>
      <c r="CL84" s="9" t="n">
        <v>0</v>
      </c>
      <c r="CM84" s="9" t="n">
        <v>13.28</v>
      </c>
      <c r="CN84" s="9" t="n">
        <v>82.09999999999999</v>
      </c>
      <c r="CO84" s="9" t="n">
        <v>0.46</v>
      </c>
      <c r="CP84" s="9" t="n">
        <v>90.989</v>
      </c>
      <c r="CQ84" s="9" t="n">
        <v>91.06699999999999</v>
      </c>
      <c r="CR84" s="9" t="n">
        <v>1</v>
      </c>
      <c r="CS84" s="9" t="n">
        <v>4</v>
      </c>
      <c r="CT84" s="9" t="n">
        <v>0.5</v>
      </c>
      <c r="CU84" s="9" t="n">
        <v>0.3</v>
      </c>
      <c r="CV84" s="9" t="n">
        <v>0.6</v>
      </c>
      <c r="CW84" s="9" t="n">
        <v>0.8</v>
      </c>
      <c r="CX84" s="9" t="n">
        <v>0.8</v>
      </c>
      <c r="CY84" s="9" t="n">
        <v>0.7</v>
      </c>
      <c r="CZ84" s="9" t="n">
        <v>0.5</v>
      </c>
      <c r="DA84" s="9" t="n">
        <v>0.5</v>
      </c>
      <c r="DB84" s="9" t="n">
        <v>1</v>
      </c>
      <c r="DC84" s="9" t="n">
        <v>0.3</v>
      </c>
      <c r="DD84" s="9" t="n">
        <v>0.8</v>
      </c>
      <c r="DE84" s="9" t="n">
        <v>1.003102062862555</v>
      </c>
      <c r="DF84" s="9" t="n">
        <v>2</v>
      </c>
      <c r="DG84" s="9" t="n">
        <v>1.121</v>
      </c>
      <c r="DH84" s="9" t="n">
        <v>5.277</v>
      </c>
      <c r="DI84" s="9" t="n">
        <v>13.58955</v>
      </c>
      <c r="DJ84" s="9" t="n">
        <v>21.40340349519603</v>
      </c>
      <c r="DK84" s="9" t="n">
        <v>24.0893984341891</v>
      </c>
      <c r="DL84" s="9" t="n">
        <v>17.27205865604339</v>
      </c>
      <c r="DM84" s="9" t="n">
        <v>21.01010642760755</v>
      </c>
      <c r="DN84" s="9" t="n">
        <v>3.502</v>
      </c>
      <c r="DO84" s="9" t="n">
        <v>2.84</v>
      </c>
      <c r="DP84" s="9" t="n">
        <v>8.743410000000001</v>
      </c>
      <c r="DQ84" s="9" t="n">
        <v>14.11516989415954</v>
      </c>
      <c r="DR84" s="9" t="n">
        <v>14.11516989415954</v>
      </c>
      <c r="DS84" s="9" t="n">
        <v>0.055</v>
      </c>
    </row>
    <row r="85">
      <c r="A85" s="9" t="inlineStr">
        <is>
          <t>ITA</t>
        </is>
      </c>
      <c r="B85" s="9" t="inlineStr">
        <is>
          <t>Italy</t>
        </is>
      </c>
      <c r="C85" s="9" t="n">
        <v>0.005</v>
      </c>
      <c r="D85" s="9" t="n">
        <v>0.005</v>
      </c>
      <c r="E85" s="9" t="n">
        <v>0.01</v>
      </c>
      <c r="F85" s="9" t="n">
        <v>0.005</v>
      </c>
      <c r="G85" s="9" t="n">
        <v>0.005</v>
      </c>
      <c r="H85" s="9" t="n">
        <v>0.01</v>
      </c>
      <c r="I85" s="9" t="n">
        <v>0.005</v>
      </c>
      <c r="J85" s="9" t="n">
        <v>0.005</v>
      </c>
      <c r="K85" s="9" t="n">
        <v>0.01</v>
      </c>
      <c r="L85" s="9" t="n">
        <v>0.01</v>
      </c>
      <c r="M85" s="9" t="n">
        <v>0.005</v>
      </c>
      <c r="N85" s="9" t="n">
        <v>7.10163</v>
      </c>
      <c r="O85" s="9" t="n">
        <v>2.919646</v>
      </c>
      <c r="P85" s="9" t="n">
        <v>147.768622</v>
      </c>
      <c r="Q85" s="9" t="n">
        <v>9.434996845437713</v>
      </c>
      <c r="R85" s="9" t="n">
        <v>2.43284622648038</v>
      </c>
      <c r="S85" s="9" t="n">
        <v>46.98715208406552</v>
      </c>
      <c r="T85" s="9" t="n">
        <v>49.31052591203469</v>
      </c>
      <c r="U85" s="9" t="n">
        <v>2.913732</v>
      </c>
      <c r="V85" s="9" t="n">
        <v>0.66781</v>
      </c>
      <c r="W85" s="9" t="n">
        <v>0.585849</v>
      </c>
      <c r="X85" s="9" t="n">
        <v>5.916319956249003</v>
      </c>
      <c r="Y85" s="9" t="n">
        <v>5.916319956249003</v>
      </c>
      <c r="Z85" s="9" t="n">
        <v>20.03846942095762</v>
      </c>
      <c r="AA85" s="9" t="n">
        <v>67.23999999999999</v>
      </c>
      <c r="AB85" s="9" t="n">
        <v>41.19</v>
      </c>
      <c r="AC85" s="9" t="n">
        <v>13.57</v>
      </c>
      <c r="AD85" s="9" t="n">
        <v>0</v>
      </c>
      <c r="AE85" s="9" t="n">
        <v>0</v>
      </c>
      <c r="AF85" s="9" t="n">
        <v>363.035</v>
      </c>
      <c r="AG85" s="9" t="n">
        <v>49.24990294137653</v>
      </c>
      <c r="AH85" s="9" t="n">
        <v>39.6005044824</v>
      </c>
      <c r="AI85" s="9" t="n">
        <v>41.67953096772599</v>
      </c>
      <c r="AJ85" s="9" t="n">
        <v>42.43734062168464</v>
      </c>
      <c r="AK85" s="9" t="n">
        <v>272.4516472812862</v>
      </c>
      <c r="AL85" s="9" t="n">
        <v>0</v>
      </c>
      <c r="AM85" s="9" t="n">
        <v>0</v>
      </c>
      <c r="AN85" s="9" t="n">
        <v>0</v>
      </c>
      <c r="AO85" s="9" t="n">
        <v>0</v>
      </c>
      <c r="AP85" s="9" t="n">
        <v>1035.030288416242</v>
      </c>
      <c r="AQ85" s="9" t="n">
        <v>940.905876300482</v>
      </c>
      <c r="AR85" s="9" t="n">
        <v>990.3034348062572</v>
      </c>
      <c r="AS85" s="9" t="n">
        <v>1008.308951802734</v>
      </c>
      <c r="AT85" s="9" t="n">
        <v>799.2732870169424</v>
      </c>
      <c r="AU85" s="9" t="n">
        <v>810.2893946796004</v>
      </c>
      <c r="AV85" s="9" t="n">
        <v>851.4739214553853</v>
      </c>
      <c r="AW85" s="9" t="n">
        <v>810.688983223191</v>
      </c>
      <c r="AX85" s="9" t="n">
        <v>238.5718895232758</v>
      </c>
      <c r="AY85" s="9" t="n">
        <v>241.6308666588001</v>
      </c>
      <c r="AZ85" s="9" t="n">
        <v>254.2441633373165</v>
      </c>
      <c r="BA85" s="9" t="n">
        <v>241.9840673606997</v>
      </c>
      <c r="BB85" s="9" t="n">
        <v>357.9259130292211</v>
      </c>
      <c r="BC85" s="9" t="n">
        <v>326.0992526313109</v>
      </c>
      <c r="BD85" s="9" t="n">
        <v>363.9315111338734</v>
      </c>
      <c r="BE85" s="9" t="n">
        <v>348.5698097778613</v>
      </c>
      <c r="BF85" s="9" t="n">
        <v>11.15198322901509</v>
      </c>
      <c r="BG85" s="9" t="n">
        <v>9.963411474999983</v>
      </c>
      <c r="BH85" s="9" t="n">
        <v>10.48649057743748</v>
      </c>
      <c r="BI85" s="9" t="n">
        <v>10.6771540424818</v>
      </c>
      <c r="BJ85" s="9" t="n">
        <v>53.58378139982981</v>
      </c>
      <c r="BK85" s="9" t="n">
        <v>48.3610464065717</v>
      </c>
      <c r="BL85" s="9" t="n">
        <v>50.90000134291672</v>
      </c>
      <c r="BM85" s="9" t="n">
        <v>51.82545591278792</v>
      </c>
      <c r="BN85" s="9" t="n">
        <v>732.1263457257917</v>
      </c>
      <c r="BO85" s="9" t="n">
        <v>542.1917178756001</v>
      </c>
      <c r="BP85" s="9" t="n">
        <v>570.6567830640689</v>
      </c>
      <c r="BQ85" s="9" t="n">
        <v>581.032360937961</v>
      </c>
      <c r="BR85" s="9" t="n">
        <v>756.7307186652145</v>
      </c>
      <c r="BS85" s="9" t="n">
        <v>1195.298508192761</v>
      </c>
      <c r="BT85" s="9" t="n">
        <v>1049.8614652404</v>
      </c>
      <c r="BU85" s="9" t="n">
        <v>1104.979192165521</v>
      </c>
      <c r="BV85" s="9" t="n">
        <v>1125.069722932167</v>
      </c>
      <c r="BW85" s="9" t="n">
        <v>565.6797574450067</v>
      </c>
      <c r="BX85" s="9" t="n">
        <v>602.6469220450475</v>
      </c>
      <c r="BY85" s="9" t="n">
        <v>522.0565149851025</v>
      </c>
      <c r="BZ85" s="9" t="n">
        <v>530.8694833652374</v>
      </c>
      <c r="CA85" s="9" t="n">
        <v>1.213780162275681</v>
      </c>
      <c r="CB85" s="9" t="n">
        <v>288.2903268167273</v>
      </c>
      <c r="CC85" s="9" t="n">
        <v>0.001</v>
      </c>
      <c r="CD85" s="9" t="n">
        <v>4.291662367202368</v>
      </c>
      <c r="CE85" s="9" t="n">
        <v>0.54</v>
      </c>
      <c r="CF85" s="9" t="n">
        <v>0.521</v>
      </c>
      <c r="CG85" s="9" t="n">
        <v>2382.718</v>
      </c>
      <c r="CH85" s="9" t="n">
        <v>63</v>
      </c>
      <c r="CI85" s="9" t="n">
        <v>3.58</v>
      </c>
      <c r="CJ85" s="9" t="n">
        <v>135.83</v>
      </c>
      <c r="CK85" s="9" t="n">
        <v>125.53</v>
      </c>
      <c r="CL85" s="9" t="n">
        <v>6.72</v>
      </c>
      <c r="CM85" s="9" t="n">
        <v>44.63</v>
      </c>
      <c r="CN85" s="9" t="n">
        <v>264.94</v>
      </c>
      <c r="CO85" s="9" t="n">
        <v>21.48</v>
      </c>
      <c r="CP85" s="9" t="n">
        <v>447.538</v>
      </c>
      <c r="CQ85" s="9" t="n">
        <v>420.033</v>
      </c>
      <c r="CR85" s="9" t="n">
        <v>1</v>
      </c>
      <c r="CS85" s="9" t="n">
        <v>4</v>
      </c>
      <c r="CT85" s="9" t="n">
        <v>0.5</v>
      </c>
      <c r="CU85" s="9" t="n">
        <v>0.3</v>
      </c>
      <c r="CV85" s="9" t="n">
        <v>0.6</v>
      </c>
      <c r="CW85" s="9" t="n">
        <v>0.8</v>
      </c>
      <c r="CX85" s="9" t="n">
        <v>0.8</v>
      </c>
      <c r="CY85" s="9" t="n">
        <v>0.7</v>
      </c>
      <c r="CZ85" s="9" t="n">
        <v>0.5</v>
      </c>
      <c r="DA85" s="9" t="n">
        <v>0.5</v>
      </c>
      <c r="DB85" s="9" t="n">
        <v>1</v>
      </c>
      <c r="DC85" s="9" t="n">
        <v>0.3</v>
      </c>
      <c r="DD85" s="9" t="n">
        <v>0.8</v>
      </c>
      <c r="DE85" s="9" t="n">
        <v>0.6578948022368308</v>
      </c>
      <c r="DF85" s="9" t="n">
        <v>3</v>
      </c>
      <c r="DG85" s="9" t="n">
        <v>7.119</v>
      </c>
      <c r="DH85" s="9" t="n">
        <v>5.342</v>
      </c>
      <c r="DI85" s="9" t="n">
        <v>14.5851</v>
      </c>
      <c r="DJ85" s="9" t="n">
        <v>22.5031699798285</v>
      </c>
      <c r="DK85" s="9" t="n">
        <v>25.24588401286369</v>
      </c>
      <c r="DL85" s="9" t="n">
        <v>17.37828711495556</v>
      </c>
      <c r="DM85" s="9" t="n">
        <v>21.34222836093001</v>
      </c>
      <c r="DN85" s="9" t="n">
        <v>15.923</v>
      </c>
      <c r="DO85" s="9" t="n">
        <v>15.923</v>
      </c>
      <c r="DP85" s="9" t="n">
        <v>34.78342</v>
      </c>
      <c r="DQ85" s="9" t="n">
        <v>13.49474620847193</v>
      </c>
      <c r="DR85" s="9" t="n">
        <v>13.49474620847193</v>
      </c>
      <c r="DS85" s="9" t="n">
        <v>0.0438</v>
      </c>
    </row>
    <row r="86">
      <c r="A86" s="9" t="inlineStr">
        <is>
          <t>JAM</t>
        </is>
      </c>
      <c r="B86" s="9" t="inlineStr">
        <is>
          <t>Jamaica</t>
        </is>
      </c>
      <c r="C86" s="9" t="n">
        <v>0.005</v>
      </c>
      <c r="D86" s="9" t="n">
        <v>0.005</v>
      </c>
      <c r="E86" s="9" t="n">
        <v>0.01</v>
      </c>
      <c r="F86" s="9" t="n">
        <v>0.005</v>
      </c>
      <c r="G86" s="9" t="n">
        <v>0.005</v>
      </c>
      <c r="H86" s="9" t="n">
        <v>0.01</v>
      </c>
      <c r="I86" s="9" t="n">
        <v>0.005</v>
      </c>
      <c r="J86" s="9" t="n">
        <v>0.005</v>
      </c>
      <c r="K86" s="9" t="n">
        <v>0.01</v>
      </c>
      <c r="L86" s="9" t="n">
        <v>0.01</v>
      </c>
      <c r="M86" s="9" t="n">
        <v>0.005</v>
      </c>
      <c r="N86" s="9" t="n">
        <v>0.558929</v>
      </c>
      <c r="O86" s="9" t="n">
        <v>0.447035</v>
      </c>
      <c r="P86" s="9" t="n">
        <v>22.737998</v>
      </c>
      <c r="Q86" s="9" t="n">
        <v>6.623454659970897</v>
      </c>
      <c r="R86" s="9" t="n">
        <v>0.928173901207158</v>
      </c>
      <c r="S86" s="9" t="n">
        <v>0.5590371991081038</v>
      </c>
      <c r="T86" s="9" t="n">
        <v>0.4930237996412559</v>
      </c>
      <c r="U86" s="9" t="n">
        <v>0.047003</v>
      </c>
      <c r="V86" s="9" t="n">
        <v>0.006816</v>
      </c>
      <c r="W86" s="9" t="n">
        <v>0.07547</v>
      </c>
      <c r="X86" s="9" t="n">
        <v>2.143111212044769</v>
      </c>
      <c r="Y86" s="9" t="n">
        <v>2.143111212044769</v>
      </c>
      <c r="Z86" s="9" t="n">
        <v>0.08363549258115197</v>
      </c>
      <c r="AA86" s="9" t="n">
        <v>1.35</v>
      </c>
      <c r="AB86" s="9" t="n">
        <v>0.12</v>
      </c>
      <c r="AC86" s="9" t="n">
        <v>0.1</v>
      </c>
      <c r="AD86" s="9" t="n">
        <v>0</v>
      </c>
      <c r="AE86" s="9" t="n">
        <v>0</v>
      </c>
      <c r="AF86" s="9" t="n">
        <v>6.74</v>
      </c>
      <c r="AG86" s="9" t="n">
        <v>2.75540933584001</v>
      </c>
      <c r="AH86" s="9" t="n">
        <v>2.5486014564</v>
      </c>
      <c r="AI86" s="9" t="n">
        <v>2.574087470964</v>
      </c>
      <c r="AJ86" s="9" t="n">
        <v>2.536855134330414</v>
      </c>
      <c r="AK86" s="9" t="n">
        <v>0</v>
      </c>
      <c r="AL86" s="9" t="n">
        <v>0</v>
      </c>
      <c r="AM86" s="9" t="n">
        <v>0</v>
      </c>
      <c r="AN86" s="9" t="n">
        <v>0</v>
      </c>
      <c r="AO86" s="9" t="n">
        <v>0</v>
      </c>
      <c r="AP86" s="9" t="n">
        <v>13.67978817086929</v>
      </c>
      <c r="AQ86" s="9" t="n">
        <v>12.92886093</v>
      </c>
      <c r="AR86" s="9" t="n">
        <v>13.0581495393</v>
      </c>
      <c r="AS86" s="9" t="n">
        <v>12.8692727334637</v>
      </c>
      <c r="AT86" s="9" t="n">
        <v>8.543116799820867</v>
      </c>
      <c r="AU86" s="9" t="n">
        <v>7.0663177548</v>
      </c>
      <c r="AV86" s="9" t="n">
        <v>7.851486583935057</v>
      </c>
      <c r="AW86" s="9" t="n">
        <v>8.314346571934665</v>
      </c>
      <c r="AX86" s="9" t="n">
        <v>4.850274914588362</v>
      </c>
      <c r="AY86" s="9" t="n">
        <v>4.0439798784</v>
      </c>
      <c r="AZ86" s="9" t="n">
        <v>4.457608307671244</v>
      </c>
      <c r="BA86" s="9" t="n">
        <v>4.720392750558442</v>
      </c>
      <c r="BB86" s="9" t="n">
        <v>20.98947098989416</v>
      </c>
      <c r="BC86" s="9" t="n">
        <v>17.14109616021251</v>
      </c>
      <c r="BD86" s="9" t="n">
        <v>24.36627441594432</v>
      </c>
      <c r="BE86" s="9" t="n">
        <v>20.24169885621791</v>
      </c>
      <c r="BF86" s="9" t="n">
        <v>0.1965127076791582</v>
      </c>
      <c r="BG86" s="9" t="n">
        <v>0.1771112999999993</v>
      </c>
      <c r="BH86" s="9" t="n">
        <v>0.1788824129999993</v>
      </c>
      <c r="BI86" s="9" t="n">
        <v>0.1762950066691064</v>
      </c>
      <c r="BJ86" s="9" t="n">
        <v>2.761423370128566</v>
      </c>
      <c r="BK86" s="9" t="n">
        <v>2.74644443999999</v>
      </c>
      <c r="BL86" s="9" t="n">
        <v>2.773908884399989</v>
      </c>
      <c r="BM86" s="9" t="n">
        <v>2.733786273750633</v>
      </c>
      <c r="BN86" s="9" t="n">
        <v>3.276453573329366</v>
      </c>
      <c r="BO86" s="9" t="n">
        <v>3.00957651</v>
      </c>
      <c r="BP86" s="9" t="n">
        <v>3.0396722751</v>
      </c>
      <c r="BQ86" s="9" t="n">
        <v>2.99570558683516</v>
      </c>
      <c r="BR86" s="9" t="n">
        <v>7.166476053641051</v>
      </c>
      <c r="BS86" s="9" t="n">
        <v>0</v>
      </c>
      <c r="BT86" s="9" t="n">
        <v>0</v>
      </c>
      <c r="BU86" s="9" t="n">
        <v>0</v>
      </c>
      <c r="BV86" s="9" t="n">
        <v>0</v>
      </c>
      <c r="BW86" s="9" t="n">
        <v>39.90396476939306</v>
      </c>
      <c r="BX86" s="9" t="n">
        <v>23.29834731104552</v>
      </c>
      <c r="BY86" s="9" t="n">
        <v>41.651244774347</v>
      </c>
      <c r="BZ86" s="9" t="n">
        <v>40.64674561042882</v>
      </c>
      <c r="CA86" s="9" t="n">
        <v>1.779529368278944</v>
      </c>
      <c r="CB86" s="9" t="n">
        <v>3.720386587335897</v>
      </c>
      <c r="CC86" s="9" t="n">
        <v>1.001</v>
      </c>
      <c r="CD86" s="9" t="n">
        <v>-0.2439024390243867</v>
      </c>
      <c r="CE86" s="9" t="n">
        <v>-0.06</v>
      </c>
      <c r="CF86" s="9" t="n">
        <v>-1.152</v>
      </c>
      <c r="CG86" s="9" t="n">
        <v>21.9</v>
      </c>
      <c r="CH86" s="9" t="n">
        <v>0.18</v>
      </c>
      <c r="CI86" s="9" t="n">
        <v>0</v>
      </c>
      <c r="CJ86" s="9" t="n">
        <v>4.3</v>
      </c>
      <c r="CK86" s="9" t="n">
        <v>2.8</v>
      </c>
      <c r="CL86" s="9" t="n">
        <v>1.5</v>
      </c>
      <c r="CM86" s="9" t="n">
        <v>0.15</v>
      </c>
      <c r="CN86" s="9" t="n">
        <v>4.92</v>
      </c>
      <c r="CO86" s="9" t="n">
        <v>0.29</v>
      </c>
      <c r="CP86" s="9" t="n">
        <v>8.361000000000001</v>
      </c>
      <c r="CQ86" s="9" t="n">
        <v>8.497999999999999</v>
      </c>
      <c r="CR86" s="9" t="n">
        <v>3</v>
      </c>
      <c r="CS86" s="9" t="n">
        <v>3</v>
      </c>
      <c r="CT86" s="9" t="n">
        <v>0.5</v>
      </c>
      <c r="CU86" s="9" t="n">
        <v>0.3</v>
      </c>
      <c r="CV86" s="9" t="n">
        <v>0.6</v>
      </c>
      <c r="CW86" s="9" t="n">
        <v>0.8</v>
      </c>
      <c r="CX86" s="9" t="n">
        <v>0.8</v>
      </c>
      <c r="CY86" s="9" t="n">
        <v>0.7</v>
      </c>
      <c r="CZ86" s="9" t="n">
        <v>0.5</v>
      </c>
      <c r="DA86" s="9" t="n">
        <v>0.5</v>
      </c>
      <c r="DB86" s="9" t="n">
        <v>1</v>
      </c>
      <c r="DC86" s="9" t="n">
        <v>0.3</v>
      </c>
      <c r="DD86" s="9" t="n">
        <v>0.8</v>
      </c>
      <c r="DE86" s="9" t="n">
        <v>0.5975280347057378</v>
      </c>
      <c r="DF86" s="9" t="n">
        <v>2</v>
      </c>
      <c r="DG86" s="9" t="n">
        <v>7.124</v>
      </c>
      <c r="DH86" s="9" t="n">
        <v>5.575</v>
      </c>
      <c r="DI86" s="9" t="n">
        <v>14.02195</v>
      </c>
      <c r="DJ86" s="9" t="n">
        <v>18.30563136962166</v>
      </c>
      <c r="DK86" s="9" t="n">
        <v>24.83083946291851</v>
      </c>
      <c r="DL86" s="9" t="n">
        <v>17.30384772105451</v>
      </c>
      <c r="DM86" s="9" t="n">
        <v>22.54573397915736</v>
      </c>
      <c r="DN86" s="9" t="n">
        <v>12.771</v>
      </c>
      <c r="DO86" s="9" t="n">
        <v>11.447</v>
      </c>
      <c r="DP86" s="9" t="n">
        <v>23.8188</v>
      </c>
      <c r="DQ86" s="9" t="n">
        <v>13.49474620847193</v>
      </c>
      <c r="DR86" s="9" t="n">
        <v>13.49474620847193</v>
      </c>
      <c r="DS86" s="9" t="n">
        <v>0.039</v>
      </c>
    </row>
    <row r="87">
      <c r="A87" s="9" t="inlineStr">
        <is>
          <t>JOR</t>
        </is>
      </c>
      <c r="B87" s="9" t="inlineStr">
        <is>
          <t>Jordan</t>
        </is>
      </c>
      <c r="C87" s="9" t="n">
        <v>0.005</v>
      </c>
      <c r="D87" s="9" t="n">
        <v>0.005</v>
      </c>
      <c r="E87" s="9" t="n">
        <v>0.01</v>
      </c>
      <c r="F87" s="9" t="n">
        <v>0.005</v>
      </c>
      <c r="G87" s="9" t="n">
        <v>0.005</v>
      </c>
      <c r="H87" s="9" t="n">
        <v>0.01</v>
      </c>
      <c r="I87" s="9" t="n">
        <v>0.005</v>
      </c>
      <c r="J87" s="9" t="n">
        <v>0.005</v>
      </c>
      <c r="K87" s="9" t="n">
        <v>0.01</v>
      </c>
      <c r="L87" s="9" t="n">
        <v>0.01</v>
      </c>
      <c r="M87" s="9" t="n">
        <v>0.005</v>
      </c>
      <c r="N87" s="9" t="n">
        <v>4.389134</v>
      </c>
      <c r="O87" s="9" t="n">
        <v>1.15557</v>
      </c>
      <c r="P87" s="9" t="n">
        <v>7.879955</v>
      </c>
      <c r="Q87" s="9" t="n">
        <v>3.941580670322366</v>
      </c>
      <c r="R87" s="9" t="n">
        <v>1.043244816804472</v>
      </c>
      <c r="S87" s="9" t="n">
        <v>0.5472752450539884</v>
      </c>
      <c r="T87" s="9" t="n">
        <v>0.8066427941416142</v>
      </c>
      <c r="U87" s="9" t="n">
        <v>0.069443</v>
      </c>
      <c r="V87" s="9" t="n">
        <v>0.021037</v>
      </c>
      <c r="W87" s="9" t="n">
        <v>0.014329</v>
      </c>
      <c r="X87" s="9" t="n">
        <v>4.656041876174794</v>
      </c>
      <c r="Y87" s="9" t="n">
        <v>4.656041876174794</v>
      </c>
      <c r="Z87" s="9" t="n">
        <v>0.2241774908678631</v>
      </c>
      <c r="AA87" s="9" t="n">
        <v>4.52</v>
      </c>
      <c r="AB87" s="9" t="n">
        <v>2.2</v>
      </c>
      <c r="AC87" s="9" t="n">
        <v>0.63</v>
      </c>
      <c r="AD87" s="9" t="n">
        <v>0</v>
      </c>
      <c r="AE87" s="9" t="n">
        <v>0</v>
      </c>
      <c r="AF87" s="9" t="n">
        <v>25.17</v>
      </c>
      <c r="AG87" s="9" t="n">
        <v>8.018459383450139</v>
      </c>
      <c r="AH87" s="9" t="n">
        <v>7.092242420399999</v>
      </c>
      <c r="AI87" s="9" t="n">
        <v>7.269548480909999</v>
      </c>
      <c r="AJ87" s="9" t="n">
        <v>7.361629428334861</v>
      </c>
      <c r="AK87" s="9" t="n">
        <v>0</v>
      </c>
      <c r="AL87" s="9" t="n">
        <v>0</v>
      </c>
      <c r="AM87" s="9" t="n">
        <v>0</v>
      </c>
      <c r="AN87" s="9" t="n">
        <v>0</v>
      </c>
      <c r="AO87" s="9" t="n">
        <v>0</v>
      </c>
      <c r="AP87" s="9" t="n">
        <v>51.83888789605032</v>
      </c>
      <c r="AQ87" s="9" t="n">
        <v>46.57322432000001</v>
      </c>
      <c r="AR87" s="9" t="n">
        <v>47.737554928</v>
      </c>
      <c r="AS87" s="9" t="n">
        <v>48.34223062375467</v>
      </c>
      <c r="AT87" s="9" t="n">
        <v>44.75614202629603</v>
      </c>
      <c r="AU87" s="9" t="n">
        <v>38.7137569896</v>
      </c>
      <c r="AV87" s="9" t="n">
        <v>40.53644449615055</v>
      </c>
      <c r="AW87" s="9" t="n">
        <v>43.21030597525249</v>
      </c>
      <c r="AX87" s="9" t="n">
        <v>37.69574297715263</v>
      </c>
      <c r="AY87" s="9" t="n">
        <v>32.7049956072</v>
      </c>
      <c r="AZ87" s="9" t="n">
        <v>34.14171382414312</v>
      </c>
      <c r="BA87" s="9" t="n">
        <v>36.39376662649405</v>
      </c>
      <c r="BB87" s="9" t="n">
        <v>69.98678410751442</v>
      </c>
      <c r="BC87" s="9" t="n">
        <v>69.3393954424275</v>
      </c>
      <c r="BD87" s="9" t="n">
        <v>61.16562837999998</v>
      </c>
      <c r="BE87" s="9" t="n">
        <v>66.76858827368333</v>
      </c>
      <c r="BF87" s="9" t="n">
        <v>3.432099601129117</v>
      </c>
      <c r="BG87" s="9" t="n">
        <v>3.217422141915029</v>
      </c>
      <c r="BH87" s="9" t="n">
        <v>3.297857695462905</v>
      </c>
      <c r="BI87" s="9" t="n">
        <v>3.339630559605434</v>
      </c>
      <c r="BJ87" s="9" t="n">
        <v>17.32730988253355</v>
      </c>
      <c r="BK87" s="9" t="n">
        <v>16.19609303999997</v>
      </c>
      <c r="BL87" s="9" t="n">
        <v>16.60099536599996</v>
      </c>
      <c r="BM87" s="9" t="n">
        <v>16.81127464063596</v>
      </c>
      <c r="BN87" s="9" t="n">
        <v>0</v>
      </c>
      <c r="BO87" s="9" t="n">
        <v>0</v>
      </c>
      <c r="BP87" s="9" t="n">
        <v>0</v>
      </c>
      <c r="BQ87" s="9" t="n">
        <v>0</v>
      </c>
      <c r="BR87" s="9" t="n">
        <v>145.5867608186479</v>
      </c>
      <c r="BS87" s="9" t="n">
        <v>0</v>
      </c>
      <c r="BT87" s="9" t="n">
        <v>0</v>
      </c>
      <c r="BU87" s="9" t="n">
        <v>0</v>
      </c>
      <c r="BV87" s="9" t="n">
        <v>0</v>
      </c>
      <c r="BW87" s="9" t="n">
        <v>39.66981830987748</v>
      </c>
      <c r="BX87" s="9" t="n">
        <v>38.1059684825129</v>
      </c>
      <c r="BY87" s="9" t="n">
        <v>34.87262550646133</v>
      </c>
      <c r="BZ87" s="9" t="n">
        <v>36.24140415144981</v>
      </c>
      <c r="CA87" s="9" t="n">
        <v>1.670163667188893</v>
      </c>
      <c r="CB87" s="9" t="n">
        <v>22.90330138984685</v>
      </c>
      <c r="CC87" s="9" t="n">
        <v>0.873</v>
      </c>
      <c r="CD87" s="9" t="n">
        <v>0.3647413167001345</v>
      </c>
      <c r="CE87" s="9" t="n">
        <v>2.683</v>
      </c>
      <c r="CF87" s="9" t="n">
        <v>2.748</v>
      </c>
      <c r="CG87" s="9" t="n">
        <v>58.701</v>
      </c>
      <c r="CH87" s="9" t="n">
        <v>0.02</v>
      </c>
      <c r="CI87" s="9" t="n">
        <v>0</v>
      </c>
      <c r="CJ87" s="9" t="n">
        <v>17.97</v>
      </c>
      <c r="CK87" s="9" t="n">
        <v>14.67</v>
      </c>
      <c r="CL87" s="9" t="n">
        <v>3.3</v>
      </c>
      <c r="CM87" s="9" t="n">
        <v>3.93</v>
      </c>
      <c r="CN87" s="9" t="n">
        <v>23.67</v>
      </c>
      <c r="CO87" s="9" t="n">
        <v>1.75</v>
      </c>
      <c r="CP87" s="9" t="n">
        <v>36.495</v>
      </c>
      <c r="CQ87" s="9" t="n">
        <v>36.495</v>
      </c>
      <c r="CR87" s="9" t="n">
        <v>3</v>
      </c>
      <c r="CS87" s="9" t="n">
        <v>3</v>
      </c>
      <c r="CT87" s="9" t="n">
        <v>0.5</v>
      </c>
      <c r="CU87" s="9" t="n">
        <v>0.3</v>
      </c>
      <c r="CV87" s="9" t="n">
        <v>0.6</v>
      </c>
      <c r="CW87" s="9" t="n">
        <v>0.8</v>
      </c>
      <c r="CX87" s="9" t="n">
        <v>0.8</v>
      </c>
      <c r="CY87" s="9" t="n">
        <v>0.7</v>
      </c>
      <c r="CZ87" s="9" t="n">
        <v>0.5</v>
      </c>
      <c r="DA87" s="9" t="n">
        <v>0.5</v>
      </c>
      <c r="DB87" s="9" t="n">
        <v>1</v>
      </c>
      <c r="DC87" s="9" t="n">
        <v>0.3</v>
      </c>
      <c r="DD87" s="9" t="n">
        <v>0.8</v>
      </c>
      <c r="DE87" s="9" t="n">
        <v>0.4263953860011041</v>
      </c>
      <c r="DF87" s="9" t="n">
        <v>2</v>
      </c>
      <c r="DG87" s="9" t="n">
        <v>7.124</v>
      </c>
      <c r="DH87" s="9" t="n">
        <v>5.575</v>
      </c>
      <c r="DI87" s="9" t="n">
        <v>14.14388</v>
      </c>
      <c r="DJ87" s="9" t="n">
        <v>21.30593784345917</v>
      </c>
      <c r="DK87" s="9" t="n">
        <v>23.8835061398798</v>
      </c>
      <c r="DL87" s="9" t="n">
        <v>20.03558804101033</v>
      </c>
      <c r="DM87" s="9" t="n">
        <v>22.25899661275703</v>
      </c>
      <c r="DN87" s="9" t="n">
        <v>10.084</v>
      </c>
      <c r="DO87" s="9" t="n">
        <v>8.787000000000001</v>
      </c>
      <c r="DP87" s="9" t="n">
        <v>20.72688</v>
      </c>
      <c r="DQ87" s="9" t="n">
        <v>14.11516989415954</v>
      </c>
      <c r="DR87" s="9" t="n">
        <v>14.11516989415954</v>
      </c>
      <c r="DS87" s="9" t="n">
        <v>0.09662000000000009</v>
      </c>
    </row>
    <row r="88">
      <c r="A88" s="9" t="inlineStr">
        <is>
          <t>JPN</t>
        </is>
      </c>
      <c r="B88" s="9" t="inlineStr">
        <is>
          <t>Japan</t>
        </is>
      </c>
      <c r="C88" s="9" t="n">
        <v>0.005</v>
      </c>
      <c r="D88" s="9" t="n">
        <v>0.005</v>
      </c>
      <c r="E88" s="9" t="n">
        <v>0.01</v>
      </c>
      <c r="F88" s="9" t="n">
        <v>0.005</v>
      </c>
      <c r="G88" s="9" t="n">
        <v>0.005</v>
      </c>
      <c r="H88" s="9" t="n">
        <v>0.01</v>
      </c>
      <c r="I88" s="9" t="n">
        <v>0.005</v>
      </c>
      <c r="J88" s="9" t="n">
        <v>0.005</v>
      </c>
      <c r="K88" s="9" t="n">
        <v>0.01</v>
      </c>
      <c r="L88" s="9" t="n">
        <v>0.01</v>
      </c>
      <c r="M88" s="9" t="n">
        <v>0.005</v>
      </c>
      <c r="N88" s="9" t="n">
        <v>5.163708</v>
      </c>
      <c r="O88" s="9" t="n">
        <v>1.653466</v>
      </c>
      <c r="P88" s="9" t="n">
        <v>619.556567</v>
      </c>
      <c r="Q88" s="9" t="n">
        <v>7.234418164916174</v>
      </c>
      <c r="R88" s="9" t="n">
        <v>2.3894372677635</v>
      </c>
      <c r="S88" s="9" t="n">
        <v>19.21145653059698</v>
      </c>
      <c r="T88" s="9" t="n">
        <v>22.12187315628718</v>
      </c>
      <c r="U88" s="9" t="n">
        <v>0.30464</v>
      </c>
      <c r="V88" s="9" t="n">
        <v>0.979454</v>
      </c>
      <c r="W88" s="9" t="n">
        <v>1.261255</v>
      </c>
      <c r="X88" s="9" t="n">
        <v>4.098728476354544</v>
      </c>
      <c r="Y88" s="9" t="n">
        <v>4.098728476354544</v>
      </c>
      <c r="Z88" s="9" t="n">
        <v>35.2376349956511</v>
      </c>
      <c r="AA88" s="9" t="n">
        <v>157.02</v>
      </c>
      <c r="AB88" s="9" t="n">
        <v>92.20999999999999</v>
      </c>
      <c r="AC88" s="9" t="n">
        <v>6.24</v>
      </c>
      <c r="AD88" s="9" t="n">
        <v>0.6</v>
      </c>
      <c r="AE88" s="9" t="n">
        <v>20.23722956036197</v>
      </c>
      <c r="AF88" s="9" t="n">
        <v>1205.177</v>
      </c>
      <c r="AG88" s="9" t="n">
        <v>979.3043005306752</v>
      </c>
      <c r="AH88" s="9" t="n">
        <v>887.4429202799998</v>
      </c>
      <c r="AI88" s="9" t="n">
        <v>932.2967164637824</v>
      </c>
      <c r="AJ88" s="9" t="n">
        <v>922.9737492991444</v>
      </c>
      <c r="AK88" s="9" t="n">
        <v>3249.572471354261</v>
      </c>
      <c r="AL88" s="9" t="n">
        <v>7.23857580895179</v>
      </c>
      <c r="AM88" s="9" t="n">
        <v>6.399121867200001</v>
      </c>
      <c r="AN88" s="9" t="n">
        <v>6.722551015630204</v>
      </c>
      <c r="AO88" s="9" t="n">
        <v>6.655325505473901</v>
      </c>
      <c r="AP88" s="9" t="n">
        <v>1013.415214178083</v>
      </c>
      <c r="AQ88" s="9" t="n">
        <v>942.1266997900004</v>
      </c>
      <c r="AR88" s="9" t="n">
        <v>989.7443639867546</v>
      </c>
      <c r="AS88" s="9" t="n">
        <v>979.846920346887</v>
      </c>
      <c r="AT88" s="9" t="n">
        <v>2954.152004740463</v>
      </c>
      <c r="AU88" s="9" t="n">
        <v>2426.838070842</v>
      </c>
      <c r="AV88" s="9" t="n">
        <v>2623.451133580804</v>
      </c>
      <c r="AW88" s="9" t="n">
        <v>2687.831313068448</v>
      </c>
      <c r="AX88" s="9" t="n">
        <v>1085.366660898345</v>
      </c>
      <c r="AY88" s="9" t="n">
        <v>898.5892160196</v>
      </c>
      <c r="AZ88" s="9" t="n">
        <v>963.2034422349508</v>
      </c>
      <c r="BA88" s="9" t="n">
        <v>986.9798786129026</v>
      </c>
      <c r="BB88" s="9" t="n">
        <v>1561.450666855746</v>
      </c>
      <c r="BC88" s="9" t="n">
        <v>1492.958463987259</v>
      </c>
      <c r="BD88" s="9" t="n">
        <v>1441.085416224343</v>
      </c>
      <c r="BE88" s="9" t="n">
        <v>1488.372097498301</v>
      </c>
      <c r="BF88" s="9" t="n">
        <v>358.080163620207</v>
      </c>
      <c r="BG88" s="9" t="n">
        <v>325.9947011075076</v>
      </c>
      <c r="BH88" s="9" t="n">
        <v>342.471366306274</v>
      </c>
      <c r="BI88" s="9" t="n">
        <v>339.0466526432115</v>
      </c>
      <c r="BJ88" s="9" t="n">
        <v>200.5362091005306</v>
      </c>
      <c r="BK88" s="9" t="n">
        <v>186.5659548736702</v>
      </c>
      <c r="BL88" s="9" t="n">
        <v>195.9955092974026</v>
      </c>
      <c r="BM88" s="9" t="n">
        <v>194.0355542044286</v>
      </c>
      <c r="BN88" s="9" t="n">
        <v>476.6660197494205</v>
      </c>
      <c r="BO88" s="9" t="n">
        <v>419.9972970708</v>
      </c>
      <c r="BP88" s="9" t="n">
        <v>441.2251109730276</v>
      </c>
      <c r="BQ88" s="9" t="n">
        <v>436.8128598632973</v>
      </c>
      <c r="BR88" s="9" t="n">
        <v>1077.056622534641</v>
      </c>
      <c r="BS88" s="9" t="n">
        <v>900.4721891243353</v>
      </c>
      <c r="BT88" s="9" t="n">
        <v>798.3026909496</v>
      </c>
      <c r="BU88" s="9" t="n">
        <v>838.6510957591405</v>
      </c>
      <c r="BV88" s="9" t="n">
        <v>830.2645848015492</v>
      </c>
      <c r="BW88" s="9" t="n">
        <v>3791.166933900333</v>
      </c>
      <c r="BX88" s="9" t="n">
        <v>2035.13231563021</v>
      </c>
      <c r="BY88" s="9" t="n">
        <v>3522.96865805792</v>
      </c>
      <c r="BZ88" s="9" t="n">
        <v>3435.599325189473</v>
      </c>
      <c r="CA88" s="9" t="n">
        <v>1.047608035813275</v>
      </c>
      <c r="CB88" s="9" t="n">
        <v>1122.088518233002</v>
      </c>
      <c r="CC88" s="9" t="n">
        <v>0.098</v>
      </c>
      <c r="CD88" s="9" t="n">
        <v>2.412985314966509</v>
      </c>
      <c r="CE88" s="9" t="n">
        <v>1.193</v>
      </c>
      <c r="CF88" s="9" t="n">
        <v>0.719</v>
      </c>
      <c r="CG88" s="9" t="n">
        <v>4190.008</v>
      </c>
      <c r="CH88" s="9" t="n">
        <v>222.91</v>
      </c>
      <c r="CI88" s="9" t="n">
        <v>330.12</v>
      </c>
      <c r="CJ88" s="9" t="n">
        <v>693.15</v>
      </c>
      <c r="CK88" s="9" t="n">
        <v>337.64</v>
      </c>
      <c r="CL88" s="9" t="n">
        <v>25.39</v>
      </c>
      <c r="CM88" s="9" t="n">
        <v>101.06</v>
      </c>
      <c r="CN88" s="9" t="n">
        <v>1029.97</v>
      </c>
      <c r="CO88" s="9" t="n">
        <v>12.85</v>
      </c>
      <c r="CP88" s="9" t="n">
        <v>1316.091</v>
      </c>
      <c r="CQ88" s="9" t="n">
        <v>1263.984</v>
      </c>
      <c r="CR88" s="9" t="n">
        <v>1</v>
      </c>
      <c r="CS88" s="9" t="n">
        <v>4</v>
      </c>
      <c r="CT88" s="9" t="n">
        <v>0.5</v>
      </c>
      <c r="CU88" s="9" t="n">
        <v>0.3</v>
      </c>
      <c r="CV88" s="9" t="n">
        <v>0.6</v>
      </c>
      <c r="CW88" s="9" t="n">
        <v>0.8</v>
      </c>
      <c r="CX88" s="9" t="n">
        <v>0.8</v>
      </c>
      <c r="CY88" s="9" t="n">
        <v>0.7</v>
      </c>
      <c r="CZ88" s="9" t="n">
        <v>0.5</v>
      </c>
      <c r="DA88" s="9" t="n">
        <v>0.5</v>
      </c>
      <c r="DB88" s="9" t="n">
        <v>1</v>
      </c>
      <c r="DC88" s="9" t="n">
        <v>0.3</v>
      </c>
      <c r="DD88" s="9" t="n">
        <v>0.8</v>
      </c>
      <c r="DE88" s="9" t="n">
        <v>0.6220504435923804</v>
      </c>
      <c r="DF88" s="9" t="n">
        <v>3</v>
      </c>
      <c r="DG88" s="9" t="n">
        <v>7.404</v>
      </c>
      <c r="DH88" s="9" t="n">
        <v>7.372</v>
      </c>
      <c r="DI88" s="9" t="n">
        <v>14.7983</v>
      </c>
      <c r="DJ88" s="9" t="n">
        <v>20.238910165091</v>
      </c>
      <c r="DK88" s="9" t="n">
        <v>22.64815237402394</v>
      </c>
      <c r="DL88" s="9" t="n">
        <v>18.24533386313394</v>
      </c>
      <c r="DM88" s="9" t="n">
        <v>20.85645833395066</v>
      </c>
      <c r="DN88" s="9" t="n">
        <v>20.553</v>
      </c>
      <c r="DO88" s="9" t="n">
        <v>20.53</v>
      </c>
      <c r="DP88" s="9" t="n">
        <v>24.3694</v>
      </c>
      <c r="DQ88" s="9" t="n">
        <v>14.11516989415954</v>
      </c>
      <c r="DR88" s="9" t="n">
        <v>14.11516989415954</v>
      </c>
      <c r="DS88" s="9" t="n">
        <v>0.055</v>
      </c>
    </row>
    <row r="89">
      <c r="A89" s="9" t="inlineStr">
        <is>
          <t>KAZ</t>
        </is>
      </c>
      <c r="B89" s="9" t="inlineStr">
        <is>
          <t>Kazakhstan</t>
        </is>
      </c>
      <c r="C89" s="9" t="n">
        <v>0.005</v>
      </c>
      <c r="D89" s="9" t="n">
        <v>0.005</v>
      </c>
      <c r="E89" s="9" t="n">
        <v>0.01</v>
      </c>
      <c r="F89" s="9" t="n">
        <v>0.005</v>
      </c>
      <c r="G89" s="9" t="n">
        <v>0.005</v>
      </c>
      <c r="H89" s="9" t="n">
        <v>0.01</v>
      </c>
      <c r="I89" s="9" t="n">
        <v>0.005</v>
      </c>
      <c r="J89" s="9" t="n">
        <v>0.005</v>
      </c>
      <c r="K89" s="9" t="n">
        <v>0.01</v>
      </c>
      <c r="L89" s="9" t="n">
        <v>0.01</v>
      </c>
      <c r="M89" s="9" t="n">
        <v>0.005</v>
      </c>
      <c r="N89" s="9" t="n">
        <v>3.452375</v>
      </c>
      <c r="O89" s="9" t="n">
        <v>2.571263</v>
      </c>
      <c r="P89" s="9" t="n">
        <v>70.037446</v>
      </c>
      <c r="Q89" s="9" t="n">
        <v>31.63882527478745</v>
      </c>
      <c r="R89" s="9" t="n">
        <v>12.1006618865339</v>
      </c>
      <c r="S89" s="9" t="n">
        <v>3.112096482813904</v>
      </c>
      <c r="T89" s="9" t="n">
        <v>2.722337000993153</v>
      </c>
      <c r="U89" s="9" t="n">
        <v>0.359368</v>
      </c>
      <c r="V89" s="9" t="n">
        <v>0.108247</v>
      </c>
      <c r="W89" s="9" t="n">
        <v>0.457721</v>
      </c>
      <c r="X89" s="9" t="n">
        <v>3.788764992218598</v>
      </c>
      <c r="Y89" s="9" t="n">
        <v>3.788764992218598</v>
      </c>
      <c r="Z89" s="9" t="n">
        <v>1.113154035504757</v>
      </c>
      <c r="AA89" s="9" t="n">
        <v>18.17</v>
      </c>
      <c r="AB89" s="9" t="n">
        <v>1.33</v>
      </c>
      <c r="AC89" s="9" t="n">
        <v>1.91</v>
      </c>
      <c r="AD89" s="9" t="n">
        <v>3.9</v>
      </c>
      <c r="AE89" s="9" t="n">
        <v>0.05541624899999999</v>
      </c>
      <c r="AF89" s="9" t="n">
        <v>234.272</v>
      </c>
      <c r="AG89" s="9" t="n">
        <v>507.9840385513831</v>
      </c>
      <c r="AH89" s="9" t="n">
        <v>487.744992252</v>
      </c>
      <c r="AI89" s="9" t="n">
        <v>513.7800290005865</v>
      </c>
      <c r="AJ89" s="9" t="n">
        <v>502.3626950227956</v>
      </c>
      <c r="AK89" s="9" t="n">
        <v>184.6163680379755</v>
      </c>
      <c r="AL89" s="9" t="n">
        <v>202.1173854171225</v>
      </c>
      <c r="AM89" s="9" t="n">
        <v>198.0128135664</v>
      </c>
      <c r="AN89" s="9" t="n">
        <v>208.5824164527146</v>
      </c>
      <c r="AO89" s="9" t="n">
        <v>203.9472516426542</v>
      </c>
      <c r="AP89" s="9" t="n">
        <v>84.91874109658066</v>
      </c>
      <c r="AQ89" s="9" t="n">
        <v>79.59600540000001</v>
      </c>
      <c r="AR89" s="9" t="n">
        <v>83.84471109364864</v>
      </c>
      <c r="AS89" s="9" t="n">
        <v>81.98149529156758</v>
      </c>
      <c r="AT89" s="9" t="n">
        <v>258.4132034278343</v>
      </c>
      <c r="AU89" s="9" t="n">
        <v>259.0077027636</v>
      </c>
      <c r="AV89" s="9" t="n">
        <v>288.7273117803433</v>
      </c>
      <c r="AW89" s="9" t="n">
        <v>311.1906870432798</v>
      </c>
      <c r="AX89" s="9" t="n">
        <v>52.83991691105594</v>
      </c>
      <c r="AY89" s="9" t="n">
        <v>53.5054869288</v>
      </c>
      <c r="AZ89" s="9" t="n">
        <v>59.13733435227562</v>
      </c>
      <c r="BA89" s="9" t="n">
        <v>63.74266309975662</v>
      </c>
      <c r="BB89" s="9" t="n">
        <v>229.4542105895131</v>
      </c>
      <c r="BC89" s="9" t="n">
        <v>222.3933423</v>
      </c>
      <c r="BD89" s="9" t="n">
        <v>209.32077275</v>
      </c>
      <c r="BE89" s="9" t="n">
        <v>229.0584640902522</v>
      </c>
      <c r="BF89" s="9" t="n">
        <v>0.0574857110049043</v>
      </c>
      <c r="BG89" s="9" t="n">
        <v>0.0543885942694343</v>
      </c>
      <c r="BH89" s="9" t="n">
        <v>0.0572917692338163</v>
      </c>
      <c r="BI89" s="9" t="n">
        <v>0.0560186188063982</v>
      </c>
      <c r="BJ89" s="9" t="n">
        <v>33.56709877701724</v>
      </c>
      <c r="BK89" s="9" t="n">
        <v>33.39267846999996</v>
      </c>
      <c r="BL89" s="9" t="n">
        <v>35.17512549643913</v>
      </c>
      <c r="BM89" s="9" t="n">
        <v>34.39345604096273</v>
      </c>
      <c r="BN89" s="9" t="n">
        <v>215.6595679034241</v>
      </c>
      <c r="BO89" s="9" t="n">
        <v>217.7671366116</v>
      </c>
      <c r="BP89" s="9" t="n">
        <v>229.39119322803</v>
      </c>
      <c r="BQ89" s="9" t="n">
        <v>224.293611156296</v>
      </c>
      <c r="BR89" s="9" t="n">
        <v>722.3650708832615</v>
      </c>
      <c r="BS89" s="9" t="n">
        <v>212.1916876884757</v>
      </c>
      <c r="BT89" s="9" t="n">
        <v>210.190087872</v>
      </c>
      <c r="BU89" s="9" t="n">
        <v>221.4096939138162</v>
      </c>
      <c r="BV89" s="9" t="n">
        <v>216.4894784935092</v>
      </c>
      <c r="BW89" s="9" t="n">
        <v>332.3429759726329</v>
      </c>
      <c r="BX89" s="9" t="n">
        <v>339.2014659677755</v>
      </c>
      <c r="BY89" s="9" t="n">
        <v>325.4074078259671</v>
      </c>
      <c r="BZ89" s="9" t="n">
        <v>318.1761413009588</v>
      </c>
      <c r="CA89" s="9" t="n">
        <v>0.6334824631304545</v>
      </c>
      <c r="CB89" s="9" t="n">
        <v>86.45920009413618</v>
      </c>
      <c r="CC89" s="9" t="n">
        <v>5.679</v>
      </c>
      <c r="CD89" s="9" t="n">
        <v>1.051033638359814</v>
      </c>
      <c r="CE89" s="9" t="n">
        <v>6.485</v>
      </c>
      <c r="CF89" s="9" t="n">
        <v>4.609</v>
      </c>
      <c r="CG89" s="9" t="n">
        <v>291.48</v>
      </c>
      <c r="CH89" s="9" t="n">
        <v>10.51</v>
      </c>
      <c r="CI89" s="9" t="n">
        <v>67.12</v>
      </c>
      <c r="CJ89" s="9" t="n">
        <v>105.31</v>
      </c>
      <c r="CK89" s="9" t="n">
        <v>36.37</v>
      </c>
      <c r="CL89" s="9" t="n">
        <v>1.82</v>
      </c>
      <c r="CM89" s="9" t="n">
        <v>2.04</v>
      </c>
      <c r="CN89" s="9" t="n">
        <v>123.69</v>
      </c>
      <c r="CO89" s="9" t="n">
        <v>5.83</v>
      </c>
      <c r="CP89" s="9" t="n">
        <v>320.164</v>
      </c>
      <c r="CQ89" s="9" t="n">
        <v>322.744</v>
      </c>
      <c r="CR89" s="9" t="n">
        <v>3</v>
      </c>
      <c r="CS89" s="9" t="n">
        <v>3</v>
      </c>
      <c r="CT89" s="9" t="n">
        <v>0.5</v>
      </c>
      <c r="CU89" s="9" t="n">
        <v>0.3</v>
      </c>
      <c r="CV89" s="9" t="n">
        <v>0.6</v>
      </c>
      <c r="CW89" s="9" t="n">
        <v>0.8</v>
      </c>
      <c r="CX89" s="9" t="n">
        <v>0.8</v>
      </c>
      <c r="CY89" s="9" t="n">
        <v>0.7</v>
      </c>
      <c r="CZ89" s="9" t="n">
        <v>0.5</v>
      </c>
      <c r="DA89" s="9" t="n">
        <v>0.5</v>
      </c>
      <c r="DB89" s="9" t="n">
        <v>1</v>
      </c>
      <c r="DC89" s="9" t="n">
        <v>0.3</v>
      </c>
      <c r="DD89" s="9" t="n">
        <v>0.8</v>
      </c>
      <c r="DE89" s="9" t="n">
        <v>0.3456535969414377</v>
      </c>
      <c r="DF89" s="9" t="n">
        <v>3</v>
      </c>
      <c r="DG89" s="9" t="n">
        <v>3.425</v>
      </c>
      <c r="DH89" s="9" t="n">
        <v>3.486</v>
      </c>
      <c r="DI89" s="9" t="n">
        <v>1.30704</v>
      </c>
      <c r="DJ89" s="9" t="n">
        <v>21.02909249155186</v>
      </c>
      <c r="DK89" s="9" t="n">
        <v>23.18804772354613</v>
      </c>
      <c r="DL89" s="9" t="n">
        <v>15.67049906989552</v>
      </c>
      <c r="DM89" s="9" t="n">
        <v>21.62690984523899</v>
      </c>
      <c r="DN89" s="9" t="n">
        <v>8.856</v>
      </c>
      <c r="DO89" s="9" t="n">
        <v>8.180999999999999</v>
      </c>
      <c r="DP89" s="9" t="n">
        <v>14.45248</v>
      </c>
      <c r="DQ89" s="9" t="n">
        <v>13.49474620847193</v>
      </c>
      <c r="DR89" s="9" t="n">
        <v>13.49474620847193</v>
      </c>
      <c r="DS89" s="9" t="n">
        <v>0.08426</v>
      </c>
    </row>
    <row r="90">
      <c r="A90" s="9" t="inlineStr">
        <is>
          <t>KEN</t>
        </is>
      </c>
      <c r="B90" s="9" t="inlineStr">
        <is>
          <t>Kenya</t>
        </is>
      </c>
      <c r="C90" s="9" t="n">
        <v>0.005</v>
      </c>
      <c r="D90" s="9" t="n">
        <v>0.005</v>
      </c>
      <c r="E90" s="9" t="n">
        <v>0.01</v>
      </c>
      <c r="F90" s="9" t="n">
        <v>0.005</v>
      </c>
      <c r="G90" s="9" t="n">
        <v>0.005</v>
      </c>
      <c r="H90" s="9" t="n">
        <v>0.01</v>
      </c>
      <c r="I90" s="9" t="n">
        <v>0.005</v>
      </c>
      <c r="J90" s="9" t="n">
        <v>0.005</v>
      </c>
      <c r="K90" s="9" t="n">
        <v>0.01</v>
      </c>
      <c r="L90" s="9" t="n">
        <v>0.01</v>
      </c>
      <c r="M90" s="9" t="n">
        <v>0.005</v>
      </c>
      <c r="N90" s="9" t="n">
        <v>1.217255</v>
      </c>
      <c r="O90" s="9" t="n">
        <v>0.073078</v>
      </c>
      <c r="P90" s="9" t="n">
        <v>1.356121</v>
      </c>
      <c r="Q90" s="9" t="n">
        <v>0.8342630778928865</v>
      </c>
      <c r="R90" s="9" t="n">
        <v>0.2787266934212264</v>
      </c>
      <c r="S90" s="9" t="n">
        <v>0.2859426397750496</v>
      </c>
      <c r="T90" s="9" t="n">
        <v>0.0731583702693476</v>
      </c>
      <c r="U90" s="9" t="n">
        <v>0.00616</v>
      </c>
      <c r="V90" s="9" t="n">
        <v>0.000171</v>
      </c>
      <c r="W90" s="9" t="n">
        <v>0.001994</v>
      </c>
      <c r="X90" s="9" t="n">
        <v>2.496282748243619</v>
      </c>
      <c r="Y90" s="9" t="n">
        <v>2.496282748243619</v>
      </c>
      <c r="Z90" s="9" t="n">
        <v>0.4556301238986073</v>
      </c>
      <c r="AA90" s="9" t="n">
        <v>0.57</v>
      </c>
      <c r="AB90" s="9" t="n">
        <v>0.55</v>
      </c>
      <c r="AC90" s="9" t="n">
        <v>0.44</v>
      </c>
      <c r="AD90" s="9" t="n">
        <v>0</v>
      </c>
      <c r="AE90" s="9" t="n">
        <v>0</v>
      </c>
      <c r="AF90" s="9" t="n">
        <v>22.398</v>
      </c>
      <c r="AG90" s="9" t="n">
        <v>27.00175327629719</v>
      </c>
      <c r="AH90" s="9" t="n">
        <v>24.8737788</v>
      </c>
      <c r="AI90" s="9" t="n">
        <v>25.122516588</v>
      </c>
      <c r="AJ90" s="9" t="n">
        <v>24.424668905</v>
      </c>
      <c r="AK90" s="9" t="n">
        <v>0</v>
      </c>
      <c r="AL90" s="9" t="n">
        <v>0</v>
      </c>
      <c r="AM90" s="9" t="n">
        <v>0</v>
      </c>
      <c r="AN90" s="9" t="n">
        <v>0</v>
      </c>
      <c r="AO90" s="9" t="n">
        <v>0</v>
      </c>
      <c r="AP90" s="9" t="n">
        <v>79.33129080478253</v>
      </c>
      <c r="AQ90" s="9" t="n">
        <v>78.56337571</v>
      </c>
      <c r="AR90" s="9" t="n">
        <v>79.3490094671</v>
      </c>
      <c r="AS90" s="9" t="n">
        <v>77.14487031523612</v>
      </c>
      <c r="AT90" s="9" t="n">
        <v>33.10588900427936</v>
      </c>
      <c r="AU90" s="9" t="n">
        <v>22.66924438080001</v>
      </c>
      <c r="AV90" s="9" t="n">
        <v>25.99520545299057</v>
      </c>
      <c r="AW90" s="9" t="n">
        <v>31.82979780290092</v>
      </c>
      <c r="AX90" s="9" t="n">
        <v>18.17694544908071</v>
      </c>
      <c r="AY90" s="9" t="n">
        <v>12.6124879788</v>
      </c>
      <c r="AZ90" s="9" t="n">
        <v>14.27279090422784</v>
      </c>
      <c r="BA90" s="9" t="n">
        <v>17.4763015197632</v>
      </c>
      <c r="BB90" s="9" t="n">
        <v>69.43886573128147</v>
      </c>
      <c r="BC90" s="9" t="n">
        <v>68.17365052420308</v>
      </c>
      <c r="BD90" s="9" t="n">
        <v>66.55182002733362</v>
      </c>
      <c r="BE90" s="9" t="n">
        <v>66.94273334000002</v>
      </c>
      <c r="BF90" s="9" t="n">
        <v>3.359365355466317</v>
      </c>
      <c r="BG90" s="9" t="n">
        <v>3.276962676887601</v>
      </c>
      <c r="BH90" s="9" t="n">
        <v>3.309732303656475</v>
      </c>
      <c r="BI90" s="9" t="n">
        <v>3.217795295221575</v>
      </c>
      <c r="BJ90" s="9" t="n">
        <v>13.73479033695894</v>
      </c>
      <c r="BK90" s="9" t="n">
        <v>14.23559203999998</v>
      </c>
      <c r="BL90" s="9" t="n">
        <v>14.37794796039998</v>
      </c>
      <c r="BM90" s="9" t="n">
        <v>13.97856051705554</v>
      </c>
      <c r="BN90" s="9" t="n">
        <v>0</v>
      </c>
      <c r="BO90" s="9" t="n">
        <v>0</v>
      </c>
      <c r="BP90" s="9" t="n">
        <v>0</v>
      </c>
      <c r="BQ90" s="9" t="n">
        <v>0</v>
      </c>
      <c r="BR90" s="9" t="n">
        <v>0</v>
      </c>
      <c r="BS90" s="9" t="n">
        <v>0</v>
      </c>
      <c r="BT90" s="9" t="n">
        <v>0</v>
      </c>
      <c r="BU90" s="9" t="n">
        <v>0</v>
      </c>
      <c r="BV90" s="9" t="n">
        <v>0</v>
      </c>
      <c r="BW90" s="9" t="n">
        <v>60.86643779575311</v>
      </c>
      <c r="BX90" s="9" t="n">
        <v>47.80938069890323</v>
      </c>
      <c r="BY90" s="9" t="n">
        <v>47.59516651672217</v>
      </c>
      <c r="BZ90" s="9" t="n">
        <v>60.6806275107019</v>
      </c>
      <c r="CA90" s="9" t="n">
        <v>1.814211842246809</v>
      </c>
      <c r="CB90" s="9" t="n">
        <v>14.24523179260002</v>
      </c>
      <c r="CC90" s="9" t="n">
        <v>0</v>
      </c>
      <c r="CD90" s="9" t="n">
        <v>0.7636910414688193</v>
      </c>
      <c r="CE90" s="9" t="n">
        <v>4.88</v>
      </c>
      <c r="CF90" s="9" t="n">
        <v>4.474</v>
      </c>
      <c r="CG90" s="9" t="n">
        <v>119.307</v>
      </c>
      <c r="CH90" s="9" t="n">
        <v>9.699999999999999</v>
      </c>
      <c r="CI90" s="9" t="n">
        <v>0</v>
      </c>
      <c r="CJ90" s="9" t="n">
        <v>1.39</v>
      </c>
      <c r="CK90" s="9" t="n">
        <v>0</v>
      </c>
      <c r="CL90" s="9" t="n">
        <v>1.39</v>
      </c>
      <c r="CM90" s="9" t="n">
        <v>0.65</v>
      </c>
      <c r="CN90" s="9" t="n">
        <v>14.04</v>
      </c>
      <c r="CO90" s="9" t="n">
        <v>2.3</v>
      </c>
      <c r="CP90" s="9" t="n">
        <v>119.389</v>
      </c>
      <c r="CQ90" s="9" t="n">
        <v>111.817</v>
      </c>
      <c r="CR90" s="9" t="n">
        <v>3</v>
      </c>
      <c r="CS90" s="9" t="n">
        <v>2</v>
      </c>
      <c r="CT90" s="9" t="n">
        <v>0.5</v>
      </c>
      <c r="CU90" s="9" t="n">
        <v>0.3</v>
      </c>
      <c r="CV90" s="9" t="n">
        <v>0.6</v>
      </c>
      <c r="CW90" s="9" t="n">
        <v>0.8</v>
      </c>
      <c r="CX90" s="9" t="n">
        <v>0.8</v>
      </c>
      <c r="CY90" s="9" t="n">
        <v>0.7</v>
      </c>
      <c r="CZ90" s="9" t="n">
        <v>0.5</v>
      </c>
      <c r="DA90" s="9" t="n">
        <v>0.5</v>
      </c>
      <c r="DB90" s="9" t="n">
        <v>1</v>
      </c>
      <c r="DC90" s="9" t="n">
        <v>0.3</v>
      </c>
      <c r="DD90" s="9" t="n">
        <v>0.8</v>
      </c>
      <c r="DE90" s="9" t="n">
        <v>0.3177351315074622</v>
      </c>
      <c r="DF90" s="9" t="n">
        <v>2</v>
      </c>
      <c r="DG90" s="9" t="n">
        <v>7.124</v>
      </c>
      <c r="DH90" s="9" t="n">
        <v>5.575</v>
      </c>
      <c r="DI90" s="9" t="n">
        <v>14.14388</v>
      </c>
      <c r="DJ90" s="9" t="n">
        <v>21.20621989055425</v>
      </c>
      <c r="DK90" s="9" t="n">
        <v>21.34928655460407</v>
      </c>
      <c r="DL90" s="9" t="n">
        <v>19.601640812721</v>
      </c>
      <c r="DM90" s="9" t="n">
        <v>22.56962875969072</v>
      </c>
      <c r="DN90" s="9" t="n">
        <v>10.154</v>
      </c>
      <c r="DO90" s="9" t="n">
        <v>8.831</v>
      </c>
      <c r="DP90" s="9" t="n">
        <v>20.99136</v>
      </c>
      <c r="DQ90" s="9" t="n">
        <v>13.49474620847193</v>
      </c>
      <c r="DR90" s="9" t="n">
        <v>13.49474620847193</v>
      </c>
      <c r="DS90" s="9" t="n">
        <v>0.09659</v>
      </c>
    </row>
    <row r="91">
      <c r="A91" s="9" t="inlineStr">
        <is>
          <t>KGZ</t>
        </is>
      </c>
      <c r="B91" s="9" t="inlineStr">
        <is>
          <t>Kyrgyz Republic</t>
        </is>
      </c>
      <c r="C91" s="9" t="n">
        <v>0.005</v>
      </c>
      <c r="D91" s="9" t="n">
        <v>0.005</v>
      </c>
      <c r="E91" s="9" t="n">
        <v>0.01</v>
      </c>
      <c r="F91" s="9" t="n">
        <v>0.005</v>
      </c>
      <c r="G91" s="9" t="n">
        <v>0.005</v>
      </c>
      <c r="H91" s="9" t="n">
        <v>0.01</v>
      </c>
      <c r="I91" s="9" t="n">
        <v>0.005</v>
      </c>
      <c r="J91" s="9" t="n">
        <v>0.005</v>
      </c>
      <c r="K91" s="9" t="n">
        <v>0.01</v>
      </c>
      <c r="L91" s="9" t="n">
        <v>0.01</v>
      </c>
      <c r="M91" s="9" t="n">
        <v>0.005</v>
      </c>
      <c r="N91" s="9" t="n">
        <v>0.306262</v>
      </c>
      <c r="O91" s="9" t="n">
        <v>1.588974</v>
      </c>
      <c r="P91" s="9" t="n">
        <v>16.558251</v>
      </c>
      <c r="Q91" s="9" t="n">
        <v>7.750221945510937</v>
      </c>
      <c r="R91" s="9" t="n">
        <v>1.752829732219914</v>
      </c>
      <c r="S91" s="9" t="n">
        <v>0.5624015418217809</v>
      </c>
      <c r="T91" s="9" t="n">
        <v>0.4392217532130558</v>
      </c>
      <c r="U91" s="9" t="n">
        <v>0.020065</v>
      </c>
      <c r="V91" s="9" t="n">
        <v>2e-06</v>
      </c>
      <c r="W91" s="9" t="n">
        <v>0.043796</v>
      </c>
      <c r="X91" s="9" t="n">
        <v>0.4400406572503572</v>
      </c>
      <c r="Y91" s="9" t="n">
        <v>0.4400406572503572</v>
      </c>
      <c r="Z91" s="9" t="n">
        <v>0.06940982089782818</v>
      </c>
      <c r="AA91" s="9" t="n">
        <v>0.8100000000000001</v>
      </c>
      <c r="AB91" s="9" t="n">
        <v>0</v>
      </c>
      <c r="AC91" s="9" t="n">
        <v>0</v>
      </c>
      <c r="AD91" s="9" t="n">
        <v>0</v>
      </c>
      <c r="AE91" s="9" t="n">
        <v>0</v>
      </c>
      <c r="AF91" s="9" t="n">
        <v>10.812</v>
      </c>
      <c r="AG91" s="9" t="n">
        <v>4.481776877269987</v>
      </c>
      <c r="AH91" s="9" t="n">
        <v>3.9455021556</v>
      </c>
      <c r="AI91" s="9" t="n">
        <v>4.123119215668121</v>
      </c>
      <c r="AJ91" s="9" t="n">
        <v>4.237977536676016</v>
      </c>
      <c r="AK91" s="9" t="n">
        <v>25.09566560812304</v>
      </c>
      <c r="AL91" s="9" t="n">
        <v>15.75474100662195</v>
      </c>
      <c r="AM91" s="9" t="n">
        <v>14.5404800712</v>
      </c>
      <c r="AN91" s="9" t="n">
        <v>15.19505766877145</v>
      </c>
      <c r="AO91" s="9" t="n">
        <v>15.61834856097294</v>
      </c>
      <c r="AP91" s="9" t="n">
        <v>15.38051332393871</v>
      </c>
      <c r="AQ91" s="9" t="n">
        <v>14.06661353</v>
      </c>
      <c r="AR91" s="9" t="n">
        <v>14.69985879049665</v>
      </c>
      <c r="AS91" s="9" t="n">
        <v>15.10935485680335</v>
      </c>
      <c r="AT91" s="9" t="n">
        <v>14.18303099059717</v>
      </c>
      <c r="AU91" s="9" t="n">
        <v>12.0462107184</v>
      </c>
      <c r="AV91" s="9" t="n">
        <v>13.70725346995117</v>
      </c>
      <c r="AW91" s="9" t="n">
        <v>15.07674082917513</v>
      </c>
      <c r="AX91" s="9" t="n">
        <v>40.01328510493197</v>
      </c>
      <c r="AY91" s="9" t="n">
        <v>34.44089312880001</v>
      </c>
      <c r="AZ91" s="9" t="n">
        <v>38.68258331184282</v>
      </c>
      <c r="BA91" s="9" t="n">
        <v>42.54477026070575</v>
      </c>
      <c r="BB91" s="9" t="n">
        <v>8.386968949319103</v>
      </c>
      <c r="BC91" s="9" t="n">
        <v>9.257802589706012</v>
      </c>
      <c r="BD91" s="9" t="n">
        <v>7.168548095068689</v>
      </c>
      <c r="BE91" s="9" t="n">
        <v>8.559861621541739</v>
      </c>
      <c r="BF91" s="9" t="n">
        <v>0</v>
      </c>
      <c r="BG91" s="9" t="n">
        <v>0</v>
      </c>
      <c r="BH91" s="9" t="n">
        <v>0</v>
      </c>
      <c r="BI91" s="9" t="n">
        <v>0</v>
      </c>
      <c r="BJ91" s="9" t="n">
        <v>4.337162963363975</v>
      </c>
      <c r="BK91" s="9" t="n">
        <v>3.910196159750246</v>
      </c>
      <c r="BL91" s="9" t="n">
        <v>4.086223828420692</v>
      </c>
      <c r="BM91" s="9" t="n">
        <v>4.200054349355269</v>
      </c>
      <c r="BN91" s="9" t="n">
        <v>4.071224602298756</v>
      </c>
      <c r="BO91" s="9" t="n">
        <v>3.5896618368</v>
      </c>
      <c r="BP91" s="9" t="n">
        <v>3.751259817727776</v>
      </c>
      <c r="BQ91" s="9" t="n">
        <v>3.855759198364478</v>
      </c>
      <c r="BR91" s="9" t="n">
        <v>2.815549959313179</v>
      </c>
      <c r="BS91" s="9" t="n">
        <v>8.371698334994811</v>
      </c>
      <c r="BT91" s="9" t="n">
        <v>8.0449362</v>
      </c>
      <c r="BU91" s="9" t="n">
        <v>8.407099965200704</v>
      </c>
      <c r="BV91" s="9" t="n">
        <v>8.641297749945581</v>
      </c>
      <c r="BW91" s="9" t="n">
        <v>34.25790347567499</v>
      </c>
      <c r="BX91" s="9" t="n">
        <v>35.89089928319456</v>
      </c>
      <c r="BY91" s="9" t="n">
        <v>31.12495942042489</v>
      </c>
      <c r="BZ91" s="9" t="n">
        <v>34.69143768025526</v>
      </c>
      <c r="CA91" s="9" t="n">
        <v>0.1207737611393409</v>
      </c>
      <c r="CB91" s="9" t="n">
        <v>15.0545322487581</v>
      </c>
      <c r="CC91" s="9" t="n">
        <v>1.98</v>
      </c>
      <c r="CD91" s="9" t="n">
        <v>1.058366819150342</v>
      </c>
      <c r="CE91" s="9" t="n">
        <v>11.096</v>
      </c>
      <c r="CF91" s="9" t="n">
        <v>6.075</v>
      </c>
      <c r="CG91" s="9" t="n">
        <v>18.175</v>
      </c>
      <c r="CH91" s="9" t="n">
        <v>14</v>
      </c>
      <c r="CI91" s="9" t="n">
        <v>1.53</v>
      </c>
      <c r="CJ91" s="9" t="n">
        <v>1.77</v>
      </c>
      <c r="CK91" s="9" t="n">
        <v>0.19</v>
      </c>
      <c r="CL91" s="9" t="n">
        <v>0.05</v>
      </c>
      <c r="CM91" s="9" t="n">
        <v>0</v>
      </c>
      <c r="CN91" s="9" t="n">
        <v>15.77</v>
      </c>
      <c r="CO91" s="9" t="n">
        <v>0</v>
      </c>
      <c r="CP91" s="9" t="n">
        <v>22.672</v>
      </c>
      <c r="CQ91" s="9" t="n">
        <v>19.405</v>
      </c>
      <c r="CR91" s="9" t="n">
        <v>3</v>
      </c>
      <c r="CS91" s="9" t="n">
        <v>2</v>
      </c>
      <c r="CT91" s="9" t="n">
        <v>0.5</v>
      </c>
      <c r="CU91" s="9" t="n">
        <v>0.3</v>
      </c>
      <c r="CV91" s="9" t="n">
        <v>0.6</v>
      </c>
      <c r="CW91" s="9" t="n">
        <v>0.8</v>
      </c>
      <c r="CX91" s="9" t="n">
        <v>0.8</v>
      </c>
      <c r="CY91" s="9" t="n">
        <v>0.7</v>
      </c>
      <c r="CZ91" s="9" t="n">
        <v>0.5</v>
      </c>
      <c r="DA91" s="9" t="n">
        <v>0.5</v>
      </c>
      <c r="DB91" s="9" t="n">
        <v>1</v>
      </c>
      <c r="DC91" s="9" t="n">
        <v>0.3</v>
      </c>
      <c r="DD91" s="9" t="n">
        <v>0.8</v>
      </c>
      <c r="DE91" s="9" t="n">
        <v>0.3066113332321136</v>
      </c>
      <c r="DF91" s="9" t="n">
        <v>2</v>
      </c>
      <c r="DG91" s="9" t="n">
        <v>4.374</v>
      </c>
      <c r="DH91" s="9" t="n">
        <v>2.664</v>
      </c>
      <c r="DI91" s="9" t="n">
        <v>2.5928</v>
      </c>
      <c r="DJ91" s="9" t="n">
        <v>21.89301086815753</v>
      </c>
      <c r="DK91" s="9" t="n">
        <v>21.46450045096132</v>
      </c>
      <c r="DL91" s="9" t="n">
        <v>15.65611451797798</v>
      </c>
      <c r="DM91" s="9" t="n">
        <v>22.00398965297406</v>
      </c>
      <c r="DN91" s="9" t="n">
        <v>5.97</v>
      </c>
      <c r="DO91" s="9" t="n">
        <v>4.685</v>
      </c>
      <c r="DP91" s="9" t="n">
        <v>15.32496</v>
      </c>
      <c r="DQ91" s="9" t="n">
        <v>13.49474620847193</v>
      </c>
      <c r="DR91" s="9" t="n">
        <v>13.49474620847193</v>
      </c>
      <c r="DS91" s="9" t="n">
        <v>0.105</v>
      </c>
    </row>
    <row r="92">
      <c r="A92" s="9" t="inlineStr">
        <is>
          <t>KHM</t>
        </is>
      </c>
      <c r="B92" s="9" t="inlineStr">
        <is>
          <t>Cambodia</t>
        </is>
      </c>
      <c r="C92" s="9" t="n">
        <v>0.005</v>
      </c>
      <c r="D92" s="9" t="n">
        <v>0.005</v>
      </c>
      <c r="E92" s="9" t="n">
        <v>0.01</v>
      </c>
      <c r="F92" s="9" t="n">
        <v>0.005</v>
      </c>
      <c r="G92" s="9" t="n">
        <v>0.005</v>
      </c>
      <c r="H92" s="9" t="n">
        <v>0.01</v>
      </c>
      <c r="I92" s="9" t="n">
        <v>0.005</v>
      </c>
      <c r="J92" s="9" t="n">
        <v>0.005</v>
      </c>
      <c r="K92" s="9" t="n">
        <v>0.01</v>
      </c>
      <c r="L92" s="9" t="n">
        <v>0.01</v>
      </c>
      <c r="M92" s="9" t="n">
        <v>0.005</v>
      </c>
      <c r="N92" s="9" t="n">
        <v>0.8176600000000001</v>
      </c>
      <c r="O92" s="9" t="n">
        <v>1.944396</v>
      </c>
      <c r="P92" s="9" t="n">
        <v>5.321683</v>
      </c>
      <c r="Q92" s="9" t="n">
        <v>2.204037571601056</v>
      </c>
      <c r="R92" s="9" t="n">
        <v>0.6173337291040768</v>
      </c>
      <c r="S92" s="9" t="n">
        <v>0.730698150168167</v>
      </c>
      <c r="T92" s="9" t="n">
        <v>0.1410412695118494</v>
      </c>
      <c r="U92" s="9" t="n">
        <v>0.043761</v>
      </c>
      <c r="V92" s="9" t="n">
        <v>0.004283</v>
      </c>
      <c r="W92" s="9" t="n">
        <v>0.021654</v>
      </c>
      <c r="X92" s="9" t="n">
        <v>1.348547859396171</v>
      </c>
      <c r="Y92" s="9" t="n">
        <v>1.348547859396171</v>
      </c>
      <c r="Z92" s="9" t="n">
        <v>0.1760469834249289</v>
      </c>
      <c r="AA92" s="9" t="n">
        <v>2.28</v>
      </c>
      <c r="AB92" s="9" t="n">
        <v>1.48</v>
      </c>
      <c r="AC92" s="9" t="n">
        <v>0</v>
      </c>
      <c r="AD92" s="9" t="n">
        <v>0</v>
      </c>
      <c r="AE92" s="9" t="n">
        <v>0</v>
      </c>
      <c r="AF92" s="9" t="n">
        <v>19.274</v>
      </c>
      <c r="AG92" s="9" t="n">
        <v>23.6659232600085</v>
      </c>
      <c r="AH92" s="9" t="n">
        <v>20.640924</v>
      </c>
      <c r="AI92" s="9" t="n">
        <v>21.23721736</v>
      </c>
      <c r="AJ92" s="9" t="n">
        <v>21.28441117635555</v>
      </c>
      <c r="AK92" s="9" t="n">
        <v>41.45224995501702</v>
      </c>
      <c r="AL92" s="9" t="n">
        <v>0</v>
      </c>
      <c r="AM92" s="9" t="n">
        <v>0</v>
      </c>
      <c r="AN92" s="9" t="n">
        <v>0</v>
      </c>
      <c r="AO92" s="9" t="n">
        <v>0</v>
      </c>
      <c r="AP92" s="9" t="n">
        <v>63.92780382164104</v>
      </c>
      <c r="AQ92" s="9" t="n">
        <v>57.19799587000001</v>
      </c>
      <c r="AR92" s="9" t="n">
        <v>58.85038241735558</v>
      </c>
      <c r="AS92" s="9" t="n">
        <v>58.98116104494967</v>
      </c>
      <c r="AT92" s="9" t="n">
        <v>35.17502233650291</v>
      </c>
      <c r="AU92" s="9" t="n">
        <v>27.297936</v>
      </c>
      <c r="AV92" s="9" t="n">
        <v>30.30288413415443</v>
      </c>
      <c r="AW92" s="9" t="n">
        <v>32.86322268769007</v>
      </c>
      <c r="AX92" s="9" t="n">
        <v>19.37614469565825</v>
      </c>
      <c r="AY92" s="9" t="n">
        <v>15.239952</v>
      </c>
      <c r="AZ92" s="9" t="n">
        <v>16.69232963271851</v>
      </c>
      <c r="BA92" s="9" t="n">
        <v>18.10269093422923</v>
      </c>
      <c r="BB92" s="9" t="n">
        <v>35.24735750485382</v>
      </c>
      <c r="BC92" s="9" t="n">
        <v>31.47699505072829</v>
      </c>
      <c r="BD92" s="9" t="n">
        <v>32.51476872000001</v>
      </c>
      <c r="BE92" s="9" t="n">
        <v>32.52259823848281</v>
      </c>
      <c r="BF92" s="9" t="n">
        <v>0</v>
      </c>
      <c r="BG92" s="9" t="n">
        <v>0</v>
      </c>
      <c r="BH92" s="9" t="n">
        <v>0</v>
      </c>
      <c r="BI92" s="9" t="n">
        <v>0</v>
      </c>
      <c r="BJ92" s="9" t="n">
        <v>10.14920181663118</v>
      </c>
      <c r="BK92" s="9" t="n">
        <v>9.034687499999986</v>
      </c>
      <c r="BL92" s="9" t="n">
        <v>9.295689583333322</v>
      </c>
      <c r="BM92" s="9" t="n">
        <v>9.316346671296284</v>
      </c>
      <c r="BN92" s="9" t="n">
        <v>0</v>
      </c>
      <c r="BO92" s="9" t="n">
        <v>0</v>
      </c>
      <c r="BP92" s="9" t="n">
        <v>0</v>
      </c>
      <c r="BQ92" s="9" t="n">
        <v>0</v>
      </c>
      <c r="BR92" s="9" t="n">
        <v>0</v>
      </c>
      <c r="BS92" s="9" t="n">
        <v>0</v>
      </c>
      <c r="BT92" s="9" t="n">
        <v>0</v>
      </c>
      <c r="BU92" s="9" t="n">
        <v>0</v>
      </c>
      <c r="BV92" s="9" t="n">
        <v>0</v>
      </c>
      <c r="BW92" s="9" t="n">
        <v>30.78464119710688</v>
      </c>
      <c r="BX92" s="9" t="n">
        <v>31.15461529708394</v>
      </c>
      <c r="BY92" s="9" t="n">
        <v>27.6915813242755</v>
      </c>
      <c r="BZ92" s="9" t="n">
        <v>27.60038695023701</v>
      </c>
      <c r="CA92" s="9" t="n">
        <v>1.046097524556244</v>
      </c>
      <c r="CB92" s="9" t="n">
        <v>15.1531019533781</v>
      </c>
      <c r="CC92" s="9" t="n">
        <v>0.182</v>
      </c>
      <c r="CD92" s="9" t="n">
        <v>-8.189055392025685</v>
      </c>
      <c r="CE92" s="9" t="n">
        <v>5.013</v>
      </c>
      <c r="CF92" s="9" t="n">
        <v>4.022</v>
      </c>
      <c r="CG92" s="9" t="n">
        <v>46.098</v>
      </c>
      <c r="CH92" s="9" t="n">
        <v>5.369999999999999</v>
      </c>
      <c r="CI92" s="9" t="n">
        <v>10.05</v>
      </c>
      <c r="CJ92" s="9" t="n">
        <v>10.5</v>
      </c>
      <c r="CK92" s="9" t="n">
        <v>0</v>
      </c>
      <c r="CL92" s="9" t="n">
        <v>0.45</v>
      </c>
      <c r="CM92" s="9" t="n">
        <v>1.89</v>
      </c>
      <c r="CN92" s="9" t="n">
        <v>17.76</v>
      </c>
      <c r="CO92" s="9" t="n">
        <v>0</v>
      </c>
      <c r="CP92" s="9" t="n">
        <v>52.807</v>
      </c>
      <c r="CQ92" s="9" t="n">
        <v>84.51600000000001</v>
      </c>
      <c r="CR92" s="9" t="n">
        <v>3</v>
      </c>
      <c r="CS92" s="9" t="n">
        <v>2</v>
      </c>
      <c r="CT92" s="9" t="n">
        <v>0.5</v>
      </c>
      <c r="CU92" s="9" t="n">
        <v>0.3</v>
      </c>
      <c r="CV92" s="9" t="n">
        <v>0.6</v>
      </c>
      <c r="CW92" s="9" t="n">
        <v>0.8</v>
      </c>
      <c r="CX92" s="9" t="n">
        <v>0.8</v>
      </c>
      <c r="CY92" s="9" t="n">
        <v>0.7</v>
      </c>
      <c r="CZ92" s="9" t="n">
        <v>0.5</v>
      </c>
      <c r="DA92" s="9" t="n">
        <v>0.5</v>
      </c>
      <c r="DB92" s="9" t="n">
        <v>1</v>
      </c>
      <c r="DC92" s="9" t="n">
        <v>0.3</v>
      </c>
      <c r="DD92" s="9" t="n">
        <v>0.8</v>
      </c>
      <c r="DE92" s="9" t="n">
        <v>0.3319220633343414</v>
      </c>
      <c r="DF92" s="9" t="n">
        <v>2</v>
      </c>
      <c r="DG92" s="9" t="n">
        <v>7.115</v>
      </c>
      <c r="DH92" s="9" t="n">
        <v>4.826</v>
      </c>
      <c r="DI92" s="9" t="n">
        <v>12.5807</v>
      </c>
      <c r="DJ92" s="9" t="n">
        <v>20.12071797998616</v>
      </c>
      <c r="DK92" s="9" t="n">
        <v>22.64815237402394</v>
      </c>
      <c r="DL92" s="9" t="n">
        <v>17.27205865604339</v>
      </c>
      <c r="DM92" s="9" t="n">
        <v>20.81712504261816</v>
      </c>
      <c r="DN92" s="9" t="n">
        <v>13.543</v>
      </c>
      <c r="DO92" s="9" t="n">
        <v>12.219</v>
      </c>
      <c r="DP92" s="9" t="n">
        <v>23.6324</v>
      </c>
      <c r="DQ92" s="9" t="n">
        <v>14.11516989415954</v>
      </c>
      <c r="DR92" s="9" t="n">
        <v>14.11516989415954</v>
      </c>
      <c r="DS92" s="9" t="n">
        <v>0.1</v>
      </c>
    </row>
    <row r="93">
      <c r="A93" s="9" t="inlineStr">
        <is>
          <t>KNA</t>
        </is>
      </c>
      <c r="B93" s="9" t="inlineStr">
        <is>
          <t>St. Kitts and Nevis</t>
        </is>
      </c>
      <c r="C93" s="9" t="n">
        <v>0.005</v>
      </c>
      <c r="D93" s="9" t="n">
        <v>0.005</v>
      </c>
      <c r="E93" s="9" t="n">
        <v>0.01</v>
      </c>
      <c r="F93" s="9" t="n">
        <v>0.005</v>
      </c>
      <c r="G93" s="9" t="n">
        <v>0.005</v>
      </c>
      <c r="H93" s="9" t="n">
        <v>0.01</v>
      </c>
      <c r="I93" s="9" t="n">
        <v>0.005</v>
      </c>
      <c r="J93" s="9" t="n">
        <v>0.005</v>
      </c>
      <c r="K93" s="9" t="n">
        <v>0.01</v>
      </c>
      <c r="L93" s="9" t="n">
        <v>0.01</v>
      </c>
      <c r="M93" s="9" t="n">
        <v>0.005</v>
      </c>
      <c r="N93" s="9" t="n">
        <v>0</v>
      </c>
      <c r="O93" s="9" t="n">
        <v>0</v>
      </c>
      <c r="P93" s="9" t="n">
        <v>0</v>
      </c>
      <c r="Q93" s="9" t="n">
        <v>0</v>
      </c>
      <c r="R93" s="9" t="n">
        <v>0</v>
      </c>
      <c r="S93" s="9" t="n">
        <v>0</v>
      </c>
      <c r="T93" s="9" t="n">
        <v>0</v>
      </c>
      <c r="U93" s="9" t="n">
        <v>0</v>
      </c>
      <c r="V93" s="9" t="n">
        <v>0</v>
      </c>
      <c r="W93" s="9" t="n">
        <v>0</v>
      </c>
      <c r="X93" s="9" t="n">
        <v>0</v>
      </c>
      <c r="Y93" s="9" t="n">
        <v>0</v>
      </c>
      <c r="Z93" s="9" t="n">
        <v>0.004013739849442499</v>
      </c>
      <c r="AA93" s="9" t="n">
        <v>0.08</v>
      </c>
      <c r="AB93" s="9" t="n">
        <v>0</v>
      </c>
      <c r="AC93" s="9" t="n">
        <v>0</v>
      </c>
      <c r="AD93" s="9" t="n">
        <v>0</v>
      </c>
      <c r="AE93" s="9" t="n">
        <v>0</v>
      </c>
      <c r="AF93" s="9" t="n">
        <v>0.096</v>
      </c>
      <c r="AG93" s="9" t="n">
        <v>0</v>
      </c>
      <c r="AH93" s="9" t="n">
        <v>0</v>
      </c>
      <c r="AI93" s="9" t="n">
        <v>0</v>
      </c>
      <c r="AJ93" s="9" t="n">
        <v>0</v>
      </c>
      <c r="AK93" s="9" t="n">
        <v>0</v>
      </c>
      <c r="AL93" s="9" t="n">
        <v>0</v>
      </c>
      <c r="AM93" s="9" t="n">
        <v>0</v>
      </c>
      <c r="AN93" s="9" t="n">
        <v>0</v>
      </c>
      <c r="AO93" s="9" t="n">
        <v>0</v>
      </c>
      <c r="AP93" s="9" t="n">
        <v>1.567432946738945</v>
      </c>
      <c r="AQ93" s="9" t="n">
        <v>1.576326195346096</v>
      </c>
      <c r="AR93" s="9" t="n">
        <v>1.576326195346096</v>
      </c>
      <c r="AS93" s="9" t="n">
        <v>1.576326195346096</v>
      </c>
      <c r="AT93" s="9" t="n">
        <v>0.4659422650542874</v>
      </c>
      <c r="AU93" s="9" t="n">
        <v>0.4676400089950561</v>
      </c>
      <c r="AV93" s="9" t="n">
        <v>0.449528431338936</v>
      </c>
      <c r="AW93" s="9" t="n">
        <v>0.4551486097608763</v>
      </c>
      <c r="AX93" s="9" t="n">
        <v>0.200882293341647</v>
      </c>
      <c r="AY93" s="9" t="n">
        <v>0.1976400098876951</v>
      </c>
      <c r="AZ93" s="9" t="n">
        <v>0.1938057759132825</v>
      </c>
      <c r="BA93" s="9" t="n">
        <v>0.1962288107291026</v>
      </c>
      <c r="BB93" s="9" t="n">
        <v>0.8751294055771967</v>
      </c>
      <c r="BC93" s="9" t="n">
        <v>0.7632308134694931</v>
      </c>
      <c r="BD93" s="9" t="n">
        <v>0.9030036129492336</v>
      </c>
      <c r="BE93" s="9" t="n">
        <v>0.8301808141521925</v>
      </c>
      <c r="BF93" s="9" t="n">
        <v>0.0137913313666982</v>
      </c>
      <c r="BG93" s="9" t="n">
        <v>0.0136122315364497</v>
      </c>
      <c r="BH93" s="9" t="n">
        <v>0.0136122315364497</v>
      </c>
      <c r="BI93" s="9" t="n">
        <v>0.0136122315364497</v>
      </c>
      <c r="BJ93" s="9" t="n">
        <v>0.0827327990655799</v>
      </c>
      <c r="BK93" s="9" t="n">
        <v>0.0790288577937988</v>
      </c>
      <c r="BL93" s="9" t="n">
        <v>0.0790288577937988</v>
      </c>
      <c r="BM93" s="9" t="n">
        <v>0.0790288577937988</v>
      </c>
      <c r="BN93" s="9" t="n">
        <v>0</v>
      </c>
      <c r="BO93" s="9" t="n">
        <v>0</v>
      </c>
      <c r="BP93" s="9" t="n">
        <v>0</v>
      </c>
      <c r="BQ93" s="9" t="n">
        <v>0</v>
      </c>
      <c r="BR93" s="9" t="n">
        <v>0</v>
      </c>
      <c r="BS93" s="9" t="n">
        <v>0</v>
      </c>
      <c r="BT93" s="9" t="n">
        <v>0</v>
      </c>
      <c r="BU93" s="9" t="n">
        <v>0</v>
      </c>
      <c r="BV93" s="9" t="n">
        <v>0</v>
      </c>
      <c r="BW93" s="9" t="n">
        <v>3.883863875583379</v>
      </c>
      <c r="BX93" s="9" t="n">
        <v>4.034949392206955</v>
      </c>
      <c r="BY93" s="9" t="n">
        <v>3.968643217400992</v>
      </c>
      <c r="BZ93" s="9" t="n">
        <v>3.920517046476875</v>
      </c>
      <c r="CA93" s="9" t="n">
        <v>0.9999993965040058</v>
      </c>
      <c r="CB93" s="9" t="n">
        <v>0.1852290439988707</v>
      </c>
      <c r="CC93" s="9" t="n">
        <v>0</v>
      </c>
      <c r="CD93" s="9" t="n">
        <v>1.383399209486166</v>
      </c>
      <c r="CE93" s="9" t="n">
        <v>1.495</v>
      </c>
      <c r="CF93" s="9" t="n">
        <v>2.039</v>
      </c>
      <c r="CG93" s="9" t="n">
        <v>1.051</v>
      </c>
      <c r="CH93" s="9" t="n">
        <v>0</v>
      </c>
      <c r="CI93" s="9" t="n">
        <v>0</v>
      </c>
      <c r="CJ93" s="9" t="n">
        <v>0.21</v>
      </c>
      <c r="CK93" s="9" t="n">
        <v>0</v>
      </c>
      <c r="CL93" s="9" t="n">
        <v>0.21</v>
      </c>
      <c r="CM93" s="9" t="n">
        <v>0.01</v>
      </c>
      <c r="CN93" s="9" t="n">
        <v>0.23</v>
      </c>
      <c r="CO93" s="9" t="n">
        <v>0.01</v>
      </c>
      <c r="CP93" s="9" t="n">
        <v>0.146</v>
      </c>
      <c r="CQ93" s="9" t="n">
        <v>0.146</v>
      </c>
      <c r="CR93" s="9" t="n">
        <v>3</v>
      </c>
      <c r="CS93" s="9" t="n">
        <v>4</v>
      </c>
      <c r="CT93" s="9" t="n">
        <v>0.5</v>
      </c>
      <c r="CU93" s="9" t="n">
        <v>0.3</v>
      </c>
      <c r="CV93" s="9" t="n">
        <v>0.6</v>
      </c>
      <c r="CW93" s="9" t="n">
        <v>0.8</v>
      </c>
      <c r="CX93" s="9" t="n">
        <v>0.8</v>
      </c>
      <c r="CY93" s="9" t="n">
        <v>0.7</v>
      </c>
      <c r="CZ93" s="9" t="n">
        <v>0.5</v>
      </c>
      <c r="DA93" s="9" t="n">
        <v>0.5</v>
      </c>
      <c r="DB93" s="9" t="n">
        <v>1</v>
      </c>
      <c r="DC93" s="9" t="n">
        <v>0.3</v>
      </c>
      <c r="DD93" s="9" t="n">
        <v>0.8</v>
      </c>
      <c r="DE93" s="9" t="n">
        <v>0.6354292623941958</v>
      </c>
      <c r="DF93" s="9" t="n">
        <v>1</v>
      </c>
      <c r="DG93" s="9" t="n">
        <v>7.124</v>
      </c>
      <c r="DH93" s="9" t="n">
        <v>5.575</v>
      </c>
      <c r="DI93" s="9" t="n">
        <v>14.26581</v>
      </c>
      <c r="DJ93" s="9" t="n">
        <v>18.44959095261346</v>
      </c>
      <c r="DK93" s="9" t="n">
        <v>25.08580275403821</v>
      </c>
      <c r="DL93" s="9" t="n">
        <v>17.48536328226803</v>
      </c>
      <c r="DM93" s="9" t="n">
        <v>23.64039421722788</v>
      </c>
      <c r="DN93" s="9" t="n">
        <v>12.771</v>
      </c>
      <c r="DO93" s="9" t="n">
        <v>11.447</v>
      </c>
      <c r="DP93" s="9" t="n">
        <v>24.23304</v>
      </c>
      <c r="DQ93" s="9" t="n">
        <v>13.55580158791068</v>
      </c>
      <c r="DR93" s="9" t="n">
        <v>13.55580158791068</v>
      </c>
      <c r="DS93" s="9" t="n">
        <v>0.105</v>
      </c>
    </row>
    <row r="94">
      <c r="A94" s="9" t="inlineStr">
        <is>
          <t>KOR</t>
        </is>
      </c>
      <c r="B94" s="9" t="inlineStr">
        <is>
          <t>Korea, Rep.</t>
        </is>
      </c>
      <c r="C94" s="9" t="n">
        <v>0.005</v>
      </c>
      <c r="D94" s="9" t="n">
        <v>0.005</v>
      </c>
      <c r="E94" s="9" t="n">
        <v>0.01</v>
      </c>
      <c r="F94" s="9" t="n">
        <v>0.005</v>
      </c>
      <c r="G94" s="9" t="n">
        <v>0.005</v>
      </c>
      <c r="H94" s="9" t="n">
        <v>0.01</v>
      </c>
      <c r="I94" s="9" t="n">
        <v>0.005</v>
      </c>
      <c r="J94" s="9" t="n">
        <v>0.005</v>
      </c>
      <c r="K94" s="9" t="n">
        <v>0.01</v>
      </c>
      <c r="L94" s="9" t="n">
        <v>0.01</v>
      </c>
      <c r="M94" s="9" t="n">
        <v>0.005</v>
      </c>
      <c r="N94" s="9" t="n">
        <v>5.340783</v>
      </c>
      <c r="O94" s="9" t="n">
        <v>1.902455</v>
      </c>
      <c r="P94" s="9" t="n">
        <v>72.838335</v>
      </c>
      <c r="Q94" s="9" t="n">
        <v>9.069721859574919</v>
      </c>
      <c r="R94" s="9" t="n">
        <v>1.383024294718805</v>
      </c>
      <c r="S94" s="9" t="n">
        <v>9.726394257903207</v>
      </c>
      <c r="T94" s="9" t="n">
        <v>9.907683700469761</v>
      </c>
      <c r="U94" s="9" t="n">
        <v>0.560351</v>
      </c>
      <c r="V94" s="9" t="n">
        <v>0.339071</v>
      </c>
      <c r="W94" s="9" t="n">
        <v>0.627362</v>
      </c>
      <c r="X94" s="9" t="n">
        <v>6.381567319566542</v>
      </c>
      <c r="Y94" s="9" t="n">
        <v>6.381567319566542</v>
      </c>
      <c r="Z94" s="9" t="n">
        <v>15.77186435425043</v>
      </c>
      <c r="AA94" s="9" t="n">
        <v>95.48999999999999</v>
      </c>
      <c r="AB94" s="9" t="n">
        <v>30.35</v>
      </c>
      <c r="AC94" s="9" t="n">
        <v>2.45</v>
      </c>
      <c r="AD94" s="9" t="n">
        <v>3</v>
      </c>
      <c r="AE94" s="9" t="n">
        <v>19.20087655590275</v>
      </c>
      <c r="AF94" s="9" t="n">
        <v>732.861</v>
      </c>
      <c r="AG94" s="9" t="n">
        <v>632.0284312160014</v>
      </c>
      <c r="AH94" s="9" t="n">
        <v>494.3453610348</v>
      </c>
      <c r="AI94" s="9" t="n">
        <v>536.6051865436996</v>
      </c>
      <c r="AJ94" s="9" t="n">
        <v>586.431185866474</v>
      </c>
      <c r="AK94" s="9" t="n">
        <v>2050.089806416337</v>
      </c>
      <c r="AL94" s="9" t="n">
        <v>9.576712258714348</v>
      </c>
      <c r="AM94" s="9" t="n">
        <v>7.767757479599999</v>
      </c>
      <c r="AN94" s="9" t="n">
        <v>8.431795420597766</v>
      </c>
      <c r="AO94" s="9" t="n">
        <v>9.214722316296459</v>
      </c>
      <c r="AP94" s="9" t="n">
        <v>1005.258014586051</v>
      </c>
      <c r="AQ94" s="9" t="n">
        <v>807.7456855417282</v>
      </c>
      <c r="AR94" s="9" t="n">
        <v>876.7969893814275</v>
      </c>
      <c r="AS94" s="9" t="n">
        <v>958.2111972472172</v>
      </c>
      <c r="AT94" s="9" t="n">
        <v>1964.101170024271</v>
      </c>
      <c r="AU94" s="9" t="n">
        <v>1662.2915009472</v>
      </c>
      <c r="AV94" s="9" t="n">
        <v>1834.697034733295</v>
      </c>
      <c r="AW94" s="9" t="n">
        <v>2082.475792593717</v>
      </c>
      <c r="AX94" s="9" t="n">
        <v>314.6012349071876</v>
      </c>
      <c r="AY94" s="9" t="n">
        <v>267.1723646964001</v>
      </c>
      <c r="AZ94" s="9" t="n">
        <v>293.8914527270441</v>
      </c>
      <c r="BA94" s="9" t="n">
        <v>333.604297600163</v>
      </c>
      <c r="BB94" s="9" t="n">
        <v>641.8501794214731</v>
      </c>
      <c r="BC94" s="9" t="n">
        <v>539.4134075656948</v>
      </c>
      <c r="BD94" s="9" t="n">
        <v>538.6905069107027</v>
      </c>
      <c r="BE94" s="9" t="n">
        <v>613.7689621637581</v>
      </c>
      <c r="BF94" s="9" t="n">
        <v>149.5958629240883</v>
      </c>
      <c r="BG94" s="9" t="n">
        <v>117.630478642162</v>
      </c>
      <c r="BH94" s="9" t="n">
        <v>127.6862896070719</v>
      </c>
      <c r="BI94" s="9" t="n">
        <v>139.5424869361886</v>
      </c>
      <c r="BJ94" s="9" t="n">
        <v>39.11697907805897</v>
      </c>
      <c r="BK94" s="9" t="n">
        <v>32.13234794374997</v>
      </c>
      <c r="BL94" s="9" t="n">
        <v>34.87922800843117</v>
      </c>
      <c r="BM94" s="9" t="n">
        <v>38.11790783245753</v>
      </c>
      <c r="BN94" s="9" t="n">
        <v>541.9727931223822</v>
      </c>
      <c r="BO94" s="9" t="n">
        <v>407.7509489388</v>
      </c>
      <c r="BP94" s="9" t="n">
        <v>442.608126352525</v>
      </c>
      <c r="BQ94" s="9" t="n">
        <v>483.7061119048868</v>
      </c>
      <c r="BR94" s="9" t="n">
        <v>775.9721696687229</v>
      </c>
      <c r="BS94" s="9" t="n">
        <v>728.0829311410827</v>
      </c>
      <c r="BT94" s="9" t="n">
        <v>579.9647302128001</v>
      </c>
      <c r="BU94" s="9" t="n">
        <v>629.543850868053</v>
      </c>
      <c r="BV94" s="9" t="n">
        <v>687.9995875504526</v>
      </c>
      <c r="BW94" s="9" t="n">
        <v>1487.980389004518</v>
      </c>
      <c r="BX94" s="9" t="n">
        <v>833.0082460341768</v>
      </c>
      <c r="BY94" s="9" t="n">
        <v>1421.481958185201</v>
      </c>
      <c r="BZ94" s="9" t="n">
        <v>1454.110847566594</v>
      </c>
      <c r="CA94" s="9" t="n">
        <v>1.021666041863155</v>
      </c>
      <c r="CB94" s="9" t="n">
        <v>632.9728902587385</v>
      </c>
      <c r="CC94" s="9" t="n">
        <v>0.291</v>
      </c>
      <c r="CD94" s="9" t="n">
        <v>0.9226443750523394</v>
      </c>
      <c r="CE94" s="9" t="n">
        <v>1.007</v>
      </c>
      <c r="CF94" s="9" t="n">
        <v>1.862</v>
      </c>
      <c r="CG94" s="9" t="n">
        <v>1875.388</v>
      </c>
      <c r="CH94" s="9" t="n">
        <v>208.16</v>
      </c>
      <c r="CI94" s="9" t="n">
        <v>194.53</v>
      </c>
      <c r="CJ94" s="9" t="n">
        <v>375.06</v>
      </c>
      <c r="CK94" s="9" t="n">
        <v>174.58</v>
      </c>
      <c r="CL94" s="9" t="n">
        <v>5.95</v>
      </c>
      <c r="CM94" s="9" t="n">
        <v>37.8</v>
      </c>
      <c r="CN94" s="9" t="n">
        <v>624.66</v>
      </c>
      <c r="CO94" s="9" t="n">
        <v>3.64</v>
      </c>
      <c r="CP94" s="9" t="n">
        <v>825.612</v>
      </c>
      <c r="CQ94" s="9" t="n">
        <v>779.825</v>
      </c>
      <c r="CR94" s="9" t="n">
        <v>1</v>
      </c>
      <c r="CS94" s="9" t="n">
        <v>4</v>
      </c>
      <c r="CT94" s="9" t="n">
        <v>0.5</v>
      </c>
      <c r="CU94" s="9" t="n">
        <v>0.3</v>
      </c>
      <c r="CV94" s="9" t="n">
        <v>0.6</v>
      </c>
      <c r="CW94" s="9" t="n">
        <v>0.8</v>
      </c>
      <c r="CX94" s="9" t="n">
        <v>0.8</v>
      </c>
      <c r="CY94" s="9" t="n">
        <v>0.7</v>
      </c>
      <c r="CZ94" s="9" t="n">
        <v>0.5</v>
      </c>
      <c r="DA94" s="9" t="n">
        <v>0.5</v>
      </c>
      <c r="DB94" s="9" t="n">
        <v>1</v>
      </c>
      <c r="DC94" s="9" t="n">
        <v>0.3</v>
      </c>
      <c r="DD94" s="9" t="n">
        <v>0.8</v>
      </c>
      <c r="DE94" s="9" t="n">
        <v>0.5762640617750178</v>
      </c>
      <c r="DF94" s="9" t="n">
        <v>2</v>
      </c>
      <c r="DG94" s="9" t="n">
        <v>4.883</v>
      </c>
      <c r="DH94" s="9" t="n">
        <v>3.912</v>
      </c>
      <c r="DI94" s="9" t="n">
        <v>9.9803</v>
      </c>
      <c r="DJ94" s="9" t="n">
        <v>20.44161727021635</v>
      </c>
      <c r="DK94" s="9" t="n">
        <v>22.64815237402394</v>
      </c>
      <c r="DL94" s="9" t="n">
        <v>18.5058982326751</v>
      </c>
      <c r="DM94" s="9" t="n">
        <v>20.02786027068262</v>
      </c>
      <c r="DN94" s="9" t="n">
        <v>16.804</v>
      </c>
      <c r="DO94" s="9" t="n">
        <v>14.959</v>
      </c>
      <c r="DP94" s="9" t="n">
        <v>22.9779</v>
      </c>
      <c r="DQ94" s="9" t="n">
        <v>14.14005628978148</v>
      </c>
      <c r="DR94" s="9" t="n">
        <v>14.14005628978148</v>
      </c>
      <c r="DS94" s="9" t="n">
        <v>0.055</v>
      </c>
    </row>
    <row r="95">
      <c r="A95" s="9" t="inlineStr">
        <is>
          <t>KWT</t>
        </is>
      </c>
      <c r="B95" s="9" t="inlineStr">
        <is>
          <t>Kuwait</t>
        </is>
      </c>
      <c r="C95" s="9" t="n">
        <v>0.005</v>
      </c>
      <c r="D95" s="9" t="n">
        <v>0.005</v>
      </c>
      <c r="E95" s="9" t="n">
        <v>0.01</v>
      </c>
      <c r="F95" s="9" t="n">
        <v>0.005</v>
      </c>
      <c r="G95" s="9" t="n">
        <v>0.005</v>
      </c>
      <c r="H95" s="9" t="n">
        <v>0.01</v>
      </c>
      <c r="I95" s="9" t="n">
        <v>0.005</v>
      </c>
      <c r="J95" s="9" t="n">
        <v>0.005</v>
      </c>
      <c r="K95" s="9" t="n">
        <v>0.01</v>
      </c>
      <c r="L95" s="9" t="n">
        <v>0.01</v>
      </c>
      <c r="M95" s="9" t="n">
        <v>0.005</v>
      </c>
      <c r="N95" s="9" t="n">
        <v>0.222566</v>
      </c>
      <c r="O95" s="9" t="n">
        <v>0.902809</v>
      </c>
      <c r="P95" s="9" t="n">
        <v>16.922039</v>
      </c>
      <c r="Q95" s="9" t="n">
        <v>6.413427576049352</v>
      </c>
      <c r="R95" s="9" t="n">
        <v>1.571644513227722</v>
      </c>
      <c r="S95" s="9" t="n">
        <v>0.9870504685953632</v>
      </c>
      <c r="T95" s="9" t="n">
        <v>1.030152088676069</v>
      </c>
      <c r="U95" s="9" t="n">
        <v>0.094092</v>
      </c>
      <c r="V95" s="9" t="n">
        <v>0.094417</v>
      </c>
      <c r="W95" s="9" t="n">
        <v>0.031039</v>
      </c>
      <c r="X95" s="9" t="n">
        <v>2.896525506761112</v>
      </c>
      <c r="Y95" s="9" t="n">
        <v>2.896525506761112</v>
      </c>
      <c r="Z95" s="9" t="n">
        <v>0.6144802752188362</v>
      </c>
      <c r="AA95" s="9" t="n">
        <v>0</v>
      </c>
      <c r="AB95" s="9" t="n">
        <v>0.1</v>
      </c>
      <c r="AC95" s="9" t="n">
        <v>0.01</v>
      </c>
      <c r="AD95" s="9" t="n">
        <v>0</v>
      </c>
      <c r="AE95" s="9" t="n">
        <v>0</v>
      </c>
      <c r="AF95" s="9" t="n">
        <v>109.514</v>
      </c>
      <c r="AG95" s="9" t="n">
        <v>0</v>
      </c>
      <c r="AH95" s="9" t="n">
        <v>0</v>
      </c>
      <c r="AI95" s="9" t="n">
        <v>0</v>
      </c>
      <c r="AJ95" s="9" t="n">
        <v>0</v>
      </c>
      <c r="AK95" s="9" t="n">
        <v>0</v>
      </c>
      <c r="AL95" s="9" t="n">
        <v>0</v>
      </c>
      <c r="AM95" s="9" t="n">
        <v>0</v>
      </c>
      <c r="AN95" s="9" t="n">
        <v>0</v>
      </c>
      <c r="AO95" s="9" t="n">
        <v>0</v>
      </c>
      <c r="AP95" s="9" t="n">
        <v>91.02609496053536</v>
      </c>
      <c r="AQ95" s="9" t="n">
        <v>78.53863376</v>
      </c>
      <c r="AR95" s="9" t="n">
        <v>86.0414939953945</v>
      </c>
      <c r="AS95" s="9" t="n">
        <v>91.08106721512476</v>
      </c>
      <c r="AT95" s="9" t="n">
        <v>140.160073331911</v>
      </c>
      <c r="AU95" s="9" t="n">
        <v>112.5975885696</v>
      </c>
      <c r="AV95" s="9" t="n">
        <v>130.2592858210208</v>
      </c>
      <c r="AW95" s="9" t="n">
        <v>139.6607698093733</v>
      </c>
      <c r="AX95" s="9" t="n">
        <v>128.7590293418822</v>
      </c>
      <c r="AY95" s="9" t="n">
        <v>104.8081769604</v>
      </c>
      <c r="AZ95" s="9" t="n">
        <v>119.6636018116499</v>
      </c>
      <c r="BA95" s="9" t="n">
        <v>128.3003406769819</v>
      </c>
      <c r="BB95" s="9" t="n">
        <v>167.7712702643595</v>
      </c>
      <c r="BC95" s="9" t="n">
        <v>143.9059111718029</v>
      </c>
      <c r="BD95" s="9" t="n">
        <v>158.2075703</v>
      </c>
      <c r="BE95" s="9" t="n">
        <v>167.1804213719709</v>
      </c>
      <c r="BF95" s="9" t="n">
        <v>6.457974131154595</v>
      </c>
      <c r="BG95" s="9" t="n">
        <v>5.532399426886492</v>
      </c>
      <c r="BH95" s="9" t="n">
        <v>6.060914091314569</v>
      </c>
      <c r="BI95" s="9" t="n">
        <v>6.415910488091563</v>
      </c>
      <c r="BJ95" s="9" t="n">
        <v>10.98114047827135</v>
      </c>
      <c r="BK95" s="9" t="n">
        <v>9.248251799999981</v>
      </c>
      <c r="BL95" s="9" t="n">
        <v>10.13174489575683</v>
      </c>
      <c r="BM95" s="9" t="n">
        <v>10.72517566822258</v>
      </c>
      <c r="BN95" s="9" t="n">
        <v>511.6533959723134</v>
      </c>
      <c r="BO95" s="9" t="n">
        <v>434.9138731991999</v>
      </c>
      <c r="BP95" s="9" t="n">
        <v>476.461552969377</v>
      </c>
      <c r="BQ95" s="9" t="n">
        <v>504.3685867861547</v>
      </c>
      <c r="BR95" s="9" t="n">
        <v>664.1641167668585</v>
      </c>
      <c r="BS95" s="9" t="n">
        <v>0</v>
      </c>
      <c r="BT95" s="9" t="n">
        <v>0</v>
      </c>
      <c r="BU95" s="9" t="n">
        <v>0</v>
      </c>
      <c r="BV95" s="9" t="n">
        <v>0</v>
      </c>
      <c r="BW95" s="9" t="n">
        <v>157.6123469964381</v>
      </c>
      <c r="BX95" s="9" t="n">
        <v>385.8089019798385</v>
      </c>
      <c r="BY95" s="9" t="n">
        <v>206.0262726696334</v>
      </c>
      <c r="BZ95" s="9" t="n">
        <v>164.569083372032</v>
      </c>
      <c r="CA95" s="9" t="n">
        <v>0.3647962105915817</v>
      </c>
      <c r="CB95" s="9" t="n">
        <v>74.69975074272033</v>
      </c>
      <c r="CC95" s="9" t="n">
        <v>6.114</v>
      </c>
      <c r="CD95" s="9" t="n">
        <v>0.0308046161534014</v>
      </c>
      <c r="CE95" s="9" t="n">
        <v>3.468</v>
      </c>
      <c r="CF95" s="9" t="n">
        <v>-0.5610000000000001</v>
      </c>
      <c r="CG95" s="9" t="n">
        <v>160.902</v>
      </c>
      <c r="CH95" s="9" t="n">
        <v>0</v>
      </c>
      <c r="CI95" s="9" t="n">
        <v>0</v>
      </c>
      <c r="CJ95" s="9" t="n">
        <v>87.15000000000001</v>
      </c>
      <c r="CK95" s="9" t="n">
        <v>55.526</v>
      </c>
      <c r="CL95" s="9" t="n">
        <v>31.624</v>
      </c>
      <c r="CM95" s="9" t="n">
        <v>0.21</v>
      </c>
      <c r="CN95" s="9" t="n">
        <v>89.22</v>
      </c>
      <c r="CO95" s="9" t="n">
        <v>1.86</v>
      </c>
      <c r="CP95" s="9" t="n">
        <v>170.715</v>
      </c>
      <c r="CQ95" s="9" t="n">
        <v>170.712</v>
      </c>
      <c r="CR95" s="9" t="n">
        <v>3</v>
      </c>
      <c r="CS95" s="9" t="n">
        <v>4</v>
      </c>
      <c r="CT95" s="9" t="n">
        <v>0.5</v>
      </c>
      <c r="CU95" s="9" t="n">
        <v>0.3</v>
      </c>
      <c r="CV95" s="9" t="n">
        <v>0.6</v>
      </c>
      <c r="CW95" s="9" t="n">
        <v>0.8</v>
      </c>
      <c r="CX95" s="9" t="n">
        <v>0.8</v>
      </c>
      <c r="CY95" s="9" t="n">
        <v>0.7</v>
      </c>
      <c r="CZ95" s="9" t="n">
        <v>0.5</v>
      </c>
      <c r="DA95" s="9" t="n">
        <v>0.5</v>
      </c>
      <c r="DB95" s="9" t="n">
        <v>1</v>
      </c>
      <c r="DC95" s="9" t="n">
        <v>0.3</v>
      </c>
      <c r="DD95" s="9" t="n">
        <v>0.8</v>
      </c>
      <c r="DE95" s="9" t="n">
        <v>0.618511286056953</v>
      </c>
      <c r="DF95" s="9" t="n">
        <v>1</v>
      </c>
      <c r="DG95" s="9" t="n">
        <v>7.124</v>
      </c>
      <c r="DH95" s="9" t="n">
        <v>5.575</v>
      </c>
      <c r="DI95" s="9" t="n">
        <v>12.193</v>
      </c>
      <c r="DJ95" s="9" t="n">
        <v>19.68082211137683</v>
      </c>
      <c r="DK95" s="9" t="n">
        <v>20.58922943093086</v>
      </c>
      <c r="DL95" s="9" t="n">
        <v>17.27205865604339</v>
      </c>
      <c r="DM95" s="9" t="n">
        <v>19.78301635067195</v>
      </c>
      <c r="DN95" s="9" t="n">
        <v>7.674</v>
      </c>
      <c r="DO95" s="9" t="n">
        <v>6.797</v>
      </c>
      <c r="DP95" s="9" t="n">
        <v>12.937</v>
      </c>
      <c r="DQ95" s="9" t="n">
        <v>14.11516989415954</v>
      </c>
      <c r="DR95" s="9" t="n">
        <v>14.11516989415954</v>
      </c>
      <c r="DS95" s="9" t="n">
        <v>0.105</v>
      </c>
    </row>
    <row r="96">
      <c r="A96" s="9" t="inlineStr">
        <is>
          <t>LAO</t>
        </is>
      </c>
      <c r="B96" s="9" t="inlineStr">
        <is>
          <t>Lao PDR</t>
        </is>
      </c>
      <c r="C96" s="9" t="n">
        <v>0.005</v>
      </c>
      <c r="D96" s="9" t="n">
        <v>0.005</v>
      </c>
      <c r="E96" s="9" t="n">
        <v>0.01</v>
      </c>
      <c r="F96" s="9" t="n">
        <v>0.005</v>
      </c>
      <c r="G96" s="9" t="n">
        <v>0.005</v>
      </c>
      <c r="H96" s="9" t="n">
        <v>0.01</v>
      </c>
      <c r="I96" s="9" t="n">
        <v>0.005</v>
      </c>
      <c r="J96" s="9" t="n">
        <v>0.005</v>
      </c>
      <c r="K96" s="9" t="n">
        <v>0.01</v>
      </c>
      <c r="L96" s="9" t="n">
        <v>0.01</v>
      </c>
      <c r="M96" s="9" t="n">
        <v>0.005</v>
      </c>
      <c r="N96" s="9" t="n">
        <v>6.380223</v>
      </c>
      <c r="O96" s="9" t="n">
        <v>2.074593</v>
      </c>
      <c r="P96" s="9" t="n">
        <v>10.750416</v>
      </c>
      <c r="Q96" s="9" t="n">
        <v>4.136029337831501</v>
      </c>
      <c r="R96" s="9" t="n">
        <v>1.099236082395809</v>
      </c>
      <c r="S96" s="9" t="n">
        <v>1.375194952381173</v>
      </c>
      <c r="T96" s="9" t="n">
        <v>0.246589480276905</v>
      </c>
      <c r="U96" s="9" t="n">
        <v>0.18365</v>
      </c>
      <c r="V96" s="9" t="n">
        <v>0.011284</v>
      </c>
      <c r="W96" s="9" t="n">
        <v>0.028667</v>
      </c>
      <c r="X96" s="9" t="n">
        <v>7.396698986800116</v>
      </c>
      <c r="Y96" s="9" t="n">
        <v>7.396698986800116</v>
      </c>
      <c r="Z96" s="9" t="n">
        <v>0.06030920999276493</v>
      </c>
      <c r="AA96" s="9" t="n">
        <v>1.88</v>
      </c>
      <c r="AB96" s="9" t="n">
        <v>0.06</v>
      </c>
      <c r="AC96" s="9" t="n">
        <v>0</v>
      </c>
      <c r="AD96" s="9" t="n">
        <v>0</v>
      </c>
      <c r="AE96" s="9" t="n">
        <v>0</v>
      </c>
      <c r="AF96" s="9" t="n">
        <v>19.593</v>
      </c>
      <c r="AG96" s="9" t="n">
        <v>6.017054407386008</v>
      </c>
      <c r="AH96" s="9" t="n">
        <v>7.529034517199999</v>
      </c>
      <c r="AI96" s="9" t="n">
        <v>6.958416245028488</v>
      </c>
      <c r="AJ96" s="9" t="n">
        <v>5.909689324169575</v>
      </c>
      <c r="AK96" s="9" t="n">
        <v>145.9679755117752</v>
      </c>
      <c r="AL96" s="9" t="n">
        <v>0</v>
      </c>
      <c r="AM96" s="9" t="n">
        <v>0</v>
      </c>
      <c r="AN96" s="9" t="n">
        <v>0</v>
      </c>
      <c r="AO96" s="9" t="n">
        <v>0</v>
      </c>
      <c r="AP96" s="9" t="n">
        <v>22.17707303736598</v>
      </c>
      <c r="AQ96" s="9" t="n">
        <v>26.48449139</v>
      </c>
      <c r="AR96" s="9" t="n">
        <v>24.47725730417152</v>
      </c>
      <c r="AS96" s="9" t="n">
        <v>20.78820540216504</v>
      </c>
      <c r="AT96" s="9" t="n">
        <v>28.90060918984154</v>
      </c>
      <c r="AU96" s="9" t="n">
        <v>26.573954544</v>
      </c>
      <c r="AV96" s="9" t="n">
        <v>26.70146646766413</v>
      </c>
      <c r="AW96" s="9" t="n">
        <v>25.21584150899828</v>
      </c>
      <c r="AX96" s="9" t="n">
        <v>9.157345970675756</v>
      </c>
      <c r="AY96" s="9" t="n">
        <v>8.486455193999999</v>
      </c>
      <c r="AZ96" s="9" t="n">
        <v>8.460533297503776</v>
      </c>
      <c r="BA96" s="9" t="n">
        <v>7.98980336790921</v>
      </c>
      <c r="BB96" s="9" t="n">
        <v>6.119014484228701</v>
      </c>
      <c r="BC96" s="9" t="n">
        <v>6.91692935377072</v>
      </c>
      <c r="BD96" s="9" t="n">
        <v>7.825290090000001</v>
      </c>
      <c r="BE96" s="9" t="n">
        <v>6.00684875737631</v>
      </c>
      <c r="BF96" s="9" t="n">
        <v>0</v>
      </c>
      <c r="BG96" s="9" t="n">
        <v>0</v>
      </c>
      <c r="BH96" s="9" t="n">
        <v>0</v>
      </c>
      <c r="BI96" s="9" t="n">
        <v>0</v>
      </c>
      <c r="BJ96" s="9" t="n">
        <v>0.4242858073931551</v>
      </c>
      <c r="BK96" s="9" t="n">
        <v>0.4986201008928566</v>
      </c>
      <c r="BL96" s="9" t="n">
        <v>0.4608301638442909</v>
      </c>
      <c r="BM96" s="9" t="n">
        <v>0.3913768598525068</v>
      </c>
      <c r="BN96" s="9" t="n">
        <v>0</v>
      </c>
      <c r="BO96" s="9" t="n">
        <v>0</v>
      </c>
      <c r="BP96" s="9" t="n">
        <v>0</v>
      </c>
      <c r="BQ96" s="9" t="n">
        <v>0</v>
      </c>
      <c r="BR96" s="9" t="n">
        <v>0</v>
      </c>
      <c r="BS96" s="9" t="n">
        <v>0</v>
      </c>
      <c r="BT96" s="9" t="n">
        <v>0</v>
      </c>
      <c r="BU96" s="9" t="n">
        <v>0</v>
      </c>
      <c r="BV96" s="9" t="n">
        <v>0</v>
      </c>
      <c r="BW96" s="9" t="n">
        <v>2.764646875644162</v>
      </c>
      <c r="BX96" s="9" t="n">
        <v>3.188549761116549</v>
      </c>
      <c r="BY96" s="9" t="n">
        <v>2.946892646746209</v>
      </c>
      <c r="BZ96" s="9" t="n">
        <v>2.502756288313795</v>
      </c>
      <c r="CA96" s="9" t="n">
        <v>0.3776094035598316</v>
      </c>
      <c r="CB96" s="9" t="n">
        <v>10.5716542112548</v>
      </c>
      <c r="CC96" s="9" t="n">
        <v>2.315</v>
      </c>
      <c r="CD96" s="9" t="n">
        <v>1.058176818938325</v>
      </c>
      <c r="CE96" s="9" t="n">
        <v>4.772</v>
      </c>
      <c r="CF96" s="9" t="n">
        <v>4.013</v>
      </c>
      <c r="CG96" s="9" t="n">
        <v>15.792</v>
      </c>
      <c r="CH96" s="9" t="n">
        <v>40.04</v>
      </c>
      <c r="CI96" s="9" t="n">
        <v>12.18</v>
      </c>
      <c r="CJ96" s="9" t="n">
        <v>12.18</v>
      </c>
      <c r="CK96" s="9" t="n">
        <v>0</v>
      </c>
      <c r="CL96" s="9" t="n">
        <v>0</v>
      </c>
      <c r="CM96" s="9" t="n">
        <v>0.09</v>
      </c>
      <c r="CN96" s="9" t="n">
        <v>52.31</v>
      </c>
      <c r="CO96" s="9" t="n">
        <v>0</v>
      </c>
      <c r="CP96" s="9" t="n">
        <v>36.392</v>
      </c>
      <c r="CQ96" s="9" t="n">
        <v>53.894</v>
      </c>
      <c r="CR96" s="9" t="n">
        <v>3</v>
      </c>
      <c r="CS96" s="9" t="n">
        <v>2</v>
      </c>
      <c r="CT96" s="9" t="n">
        <v>0.5</v>
      </c>
      <c r="CU96" s="9" t="n">
        <v>0.3</v>
      </c>
      <c r="CV96" s="9" t="n">
        <v>0.6</v>
      </c>
      <c r="CW96" s="9" t="n">
        <v>0.8</v>
      </c>
      <c r="CX96" s="9" t="n">
        <v>0.8</v>
      </c>
      <c r="CY96" s="9" t="n">
        <v>0.7</v>
      </c>
      <c r="CZ96" s="9" t="n">
        <v>0.5</v>
      </c>
      <c r="DA96" s="9" t="n">
        <v>0.5</v>
      </c>
      <c r="DB96" s="9" t="n">
        <v>1</v>
      </c>
      <c r="DC96" s="9" t="n">
        <v>0.3</v>
      </c>
      <c r="DD96" s="9" t="n">
        <v>0.8</v>
      </c>
      <c r="DE96" s="9" t="n">
        <v>0.2104842256787556</v>
      </c>
      <c r="DF96" s="9" t="n">
        <v>2</v>
      </c>
      <c r="DG96" s="9" t="n">
        <v>3.373</v>
      </c>
      <c r="DH96" s="9" t="n">
        <v>2.049</v>
      </c>
      <c r="DI96" s="9" t="n">
        <v>5.8938</v>
      </c>
      <c r="DJ96" s="9" t="n">
        <v>19.60920429685437</v>
      </c>
      <c r="DK96" s="9" t="n">
        <v>24.53549840519261</v>
      </c>
      <c r="DL96" s="9" t="n">
        <v>17.27205865604339</v>
      </c>
      <c r="DM96" s="9" t="n">
        <v>20.56246719488842</v>
      </c>
      <c r="DN96" s="9" t="n">
        <v>8.18</v>
      </c>
      <c r="DO96" s="9" t="n">
        <v>6.857</v>
      </c>
      <c r="DP96" s="9" t="n">
        <v>17.7342</v>
      </c>
      <c r="DQ96" s="9" t="n">
        <v>14.11516989415954</v>
      </c>
      <c r="DR96" s="9" t="n">
        <v>14.11516989415954</v>
      </c>
      <c r="DS96" s="9" t="n">
        <v>0.105</v>
      </c>
    </row>
    <row r="97">
      <c r="A97" s="9" t="inlineStr">
        <is>
          <t>LBN</t>
        </is>
      </c>
      <c r="B97" s="9" t="inlineStr">
        <is>
          <t>Lebanon</t>
        </is>
      </c>
      <c r="C97" s="9" t="n">
        <v>0.005</v>
      </c>
      <c r="D97" s="9" t="n">
        <v>0.005</v>
      </c>
      <c r="E97" s="9" t="n">
        <v>0.01</v>
      </c>
      <c r="F97" s="9" t="n">
        <v>0.005</v>
      </c>
      <c r="G97" s="9" t="n">
        <v>0.005</v>
      </c>
      <c r="H97" s="9" t="n">
        <v>0.01</v>
      </c>
      <c r="I97" s="9" t="n">
        <v>0.005</v>
      </c>
      <c r="J97" s="9" t="n">
        <v>0.005</v>
      </c>
      <c r="K97" s="9" t="n">
        <v>0.01</v>
      </c>
      <c r="L97" s="9" t="n">
        <v>0.01</v>
      </c>
      <c r="M97" s="9" t="n">
        <v>0.005</v>
      </c>
      <c r="N97" s="9" t="n">
        <v>0</v>
      </c>
      <c r="O97" s="9" t="n">
        <v>0</v>
      </c>
      <c r="P97" s="9" t="n">
        <v>0</v>
      </c>
      <c r="Q97" s="9" t="n">
        <v>0</v>
      </c>
      <c r="R97" s="9" t="n">
        <v>0</v>
      </c>
      <c r="S97" s="9" t="n">
        <v>0</v>
      </c>
      <c r="T97" s="9" t="n">
        <v>0</v>
      </c>
      <c r="U97" s="9" t="n">
        <v>0</v>
      </c>
      <c r="V97" s="9" t="n">
        <v>0</v>
      </c>
      <c r="W97" s="9" t="n">
        <v>0</v>
      </c>
      <c r="X97" s="9" t="n">
        <v>0</v>
      </c>
      <c r="Y97" s="9" t="n">
        <v>0</v>
      </c>
      <c r="Z97" s="9" t="n">
        <v>0.1120448272528958</v>
      </c>
      <c r="AA97" s="9" t="n">
        <v>2.69</v>
      </c>
      <c r="AB97" s="9" t="n">
        <v>1.08</v>
      </c>
      <c r="AC97" s="9" t="n">
        <v>0</v>
      </c>
      <c r="AD97" s="9" t="n">
        <v>0</v>
      </c>
      <c r="AE97" s="9" t="n">
        <v>0</v>
      </c>
      <c r="AF97" s="9" t="n">
        <v>37.724</v>
      </c>
      <c r="AG97" s="9" t="n">
        <v>5.518186781038135</v>
      </c>
      <c r="AH97" s="9" t="n">
        <v>4.3367544288</v>
      </c>
      <c r="AI97" s="9" t="n">
        <v>4.727062327392001</v>
      </c>
      <c r="AJ97" s="9" t="n">
        <v>5.134482857969641</v>
      </c>
      <c r="AK97" s="9" t="n">
        <v>0</v>
      </c>
      <c r="AL97" s="9" t="n">
        <v>0</v>
      </c>
      <c r="AM97" s="9" t="n">
        <v>0</v>
      </c>
      <c r="AN97" s="9" t="n">
        <v>0</v>
      </c>
      <c r="AO97" s="9" t="n">
        <v>0</v>
      </c>
      <c r="AP97" s="9" t="n">
        <v>23.0102469939764</v>
      </c>
      <c r="AQ97" s="9" t="n">
        <v>17.81060479</v>
      </c>
      <c r="AR97" s="9" t="n">
        <v>19.4135592211</v>
      </c>
      <c r="AS97" s="9" t="n">
        <v>21.08679347325441</v>
      </c>
      <c r="AT97" s="9" t="n">
        <v>49.39736969302783</v>
      </c>
      <c r="AU97" s="9" t="n">
        <v>22.2899077404</v>
      </c>
      <c r="AV97" s="9" t="n">
        <v>24.77816203822774</v>
      </c>
      <c r="AW97" s="9" t="n">
        <v>50.22420371268866</v>
      </c>
      <c r="AX97" s="9" t="n">
        <v>30.33019550821717</v>
      </c>
      <c r="AY97" s="9" t="n">
        <v>13.7341819404</v>
      </c>
      <c r="AZ97" s="9" t="n">
        <v>15.2138970885287</v>
      </c>
      <c r="BA97" s="9" t="n">
        <v>30.83787512000626</v>
      </c>
      <c r="BB97" s="9" t="n">
        <v>99.61862333580213</v>
      </c>
      <c r="BC97" s="9" t="n">
        <v>100.7134218171374</v>
      </c>
      <c r="BD97" s="9" t="n">
        <v>73.01659504999999</v>
      </c>
      <c r="BE97" s="9" t="n">
        <v>97.24630145257863</v>
      </c>
      <c r="BF97" s="9" t="n">
        <v>0</v>
      </c>
      <c r="BG97" s="9" t="n">
        <v>0</v>
      </c>
      <c r="BH97" s="9" t="n">
        <v>0</v>
      </c>
      <c r="BI97" s="9" t="n">
        <v>0</v>
      </c>
      <c r="BJ97" s="9" t="n">
        <v>11.976894854864</v>
      </c>
      <c r="BK97" s="9" t="n">
        <v>9.83744540999998</v>
      </c>
      <c r="BL97" s="9" t="n">
        <v>10.72281549689998</v>
      </c>
      <c r="BM97" s="9" t="n">
        <v>11.64700368746345</v>
      </c>
      <c r="BN97" s="9" t="n">
        <v>0</v>
      </c>
      <c r="BO97" s="9" t="n">
        <v>0</v>
      </c>
      <c r="BP97" s="9" t="n">
        <v>0</v>
      </c>
      <c r="BQ97" s="9" t="n">
        <v>0</v>
      </c>
      <c r="BR97" s="9" t="n">
        <v>0</v>
      </c>
      <c r="BS97" s="9" t="n">
        <v>0</v>
      </c>
      <c r="BT97" s="9" t="n">
        <v>0</v>
      </c>
      <c r="BU97" s="9" t="n">
        <v>0</v>
      </c>
      <c r="BV97" s="9" t="n">
        <v>0</v>
      </c>
      <c r="BW97" s="9" t="n">
        <v>210.4068019326723</v>
      </c>
      <c r="BX97" s="9" t="n">
        <v>100.3488417848089</v>
      </c>
      <c r="BY97" s="9" t="n">
        <v>101.7579337126136</v>
      </c>
      <c r="BZ97" s="9" t="n">
        <v>213.4304846123158</v>
      </c>
      <c r="CA97" s="9" t="n">
        <v>0.0556460543620311</v>
      </c>
      <c r="CB97" s="9" t="n">
        <v>22.14654588923472</v>
      </c>
      <c r="CC97" s="9" t="n">
        <v>13.102</v>
      </c>
      <c r="CD97" s="9" t="n">
        <v>11.51196401017104</v>
      </c>
      <c r="CE97" s="9" t="n">
        <v>4</v>
      </c>
      <c r="CF97" s="9" t="n">
        <v>3</v>
      </c>
      <c r="CG97" s="9" t="n">
        <v>29.339</v>
      </c>
      <c r="CH97" s="9" t="n">
        <v>0.73</v>
      </c>
      <c r="CI97" s="9" t="n">
        <v>0</v>
      </c>
      <c r="CJ97" s="9" t="n">
        <v>3</v>
      </c>
      <c r="CK97" s="9" t="n">
        <v>0</v>
      </c>
      <c r="CL97" s="9" t="n">
        <v>3</v>
      </c>
      <c r="CM97" s="9" t="n">
        <v>1.6</v>
      </c>
      <c r="CN97" s="9" t="n">
        <v>5.34</v>
      </c>
      <c r="CO97" s="9" t="n">
        <v>0.01</v>
      </c>
      <c r="CP97" s="9" t="n">
        <v>46.29</v>
      </c>
      <c r="CQ97" s="9" t="n">
        <v>46.211</v>
      </c>
      <c r="CR97" s="9" t="n">
        <v>3</v>
      </c>
      <c r="CS97" s="9" t="n">
        <v>3</v>
      </c>
      <c r="CT97" s="9" t="n">
        <v>0.5</v>
      </c>
      <c r="CU97" s="9" t="n">
        <v>0.3</v>
      </c>
      <c r="CV97" s="9" t="n">
        <v>0.6</v>
      </c>
      <c r="CW97" s="9" t="n">
        <v>0.8</v>
      </c>
      <c r="CX97" s="9" t="n">
        <v>0.8</v>
      </c>
      <c r="CY97" s="9" t="n">
        <v>0.7</v>
      </c>
      <c r="CZ97" s="9" t="n">
        <v>0.5</v>
      </c>
      <c r="DA97" s="9" t="n">
        <v>0.5</v>
      </c>
      <c r="DB97" s="9" t="n">
        <v>1</v>
      </c>
      <c r="DC97" s="9" t="n">
        <v>0.3</v>
      </c>
      <c r="DD97" s="9" t="n">
        <v>0.8</v>
      </c>
      <c r="DE97" s="9" t="n">
        <v>0.4470568516007131</v>
      </c>
      <c r="DF97" s="9" t="n">
        <v>1</v>
      </c>
      <c r="DG97" s="9" t="n">
        <v>7.124</v>
      </c>
      <c r="DH97" s="9" t="n">
        <v>5.575</v>
      </c>
      <c r="DI97" s="9" t="n">
        <v>13.53423</v>
      </c>
      <c r="DJ97" s="9" t="n">
        <v>19.82644410713553</v>
      </c>
      <c r="DK97" s="9" t="n">
        <v>22.85404466833325</v>
      </c>
      <c r="DL97" s="9" t="n">
        <v>17.27205865604339</v>
      </c>
      <c r="DM97" s="9" t="n">
        <v>21.95914814924586</v>
      </c>
      <c r="DN97" s="9" t="n">
        <v>11.815</v>
      </c>
      <c r="DO97" s="9" t="n">
        <v>10.492</v>
      </c>
      <c r="DP97" s="9" t="n">
        <v>21.93027</v>
      </c>
      <c r="DQ97" s="9" t="n">
        <v>14.11516989415954</v>
      </c>
      <c r="DR97" s="9" t="n">
        <v>14.11516989415954</v>
      </c>
      <c r="DS97" s="9" t="n">
        <v>0.2342</v>
      </c>
    </row>
    <row r="98">
      <c r="A98" s="9" t="inlineStr">
        <is>
          <t>LBR</t>
        </is>
      </c>
      <c r="B98" s="9" t="inlineStr">
        <is>
          <t>Liberia</t>
        </is>
      </c>
      <c r="C98" s="9" t="n">
        <v>0.005</v>
      </c>
      <c r="D98" s="9" t="n">
        <v>0.005</v>
      </c>
      <c r="E98" s="9" t="n">
        <v>0.01</v>
      </c>
      <c r="F98" s="9" t="n">
        <v>0.005</v>
      </c>
      <c r="G98" s="9" t="n">
        <v>0.005</v>
      </c>
      <c r="H98" s="9" t="n">
        <v>0.01</v>
      </c>
      <c r="I98" s="9" t="n">
        <v>0.005</v>
      </c>
      <c r="J98" s="9" t="n">
        <v>0.005</v>
      </c>
      <c r="K98" s="9" t="n">
        <v>0.01</v>
      </c>
      <c r="L98" s="9" t="n">
        <v>0.01</v>
      </c>
      <c r="M98" s="9" t="n">
        <v>0.005</v>
      </c>
      <c r="N98" s="9" t="n">
        <v>0.014836</v>
      </c>
      <c r="O98" s="9" t="n">
        <v>0.019383</v>
      </c>
      <c r="P98" s="9" t="n">
        <v>0.243868</v>
      </c>
      <c r="Q98" s="9" t="n">
        <v>0.0701967197378536</v>
      </c>
      <c r="R98" s="9" t="n">
        <v>0.0152989413132611</v>
      </c>
      <c r="S98" s="9" t="n">
        <v>0.0249014342587128</v>
      </c>
      <c r="T98" s="9" t="n">
        <v>0.008339899049792999</v>
      </c>
      <c r="U98" s="9" t="n">
        <v>0.00079</v>
      </c>
      <c r="V98" s="9" t="n">
        <v>7.2e-05</v>
      </c>
      <c r="W98" s="9" t="n">
        <v>0.000818</v>
      </c>
      <c r="X98" s="9" t="n">
        <v>0.1059868125335619</v>
      </c>
      <c r="Y98" s="9" t="n">
        <v>0.1059868125335619</v>
      </c>
      <c r="Z98" s="9" t="n">
        <v>0.01824704947729425</v>
      </c>
      <c r="AA98" s="9" t="n">
        <v>0.1</v>
      </c>
      <c r="AB98" s="9" t="n">
        <v>0</v>
      </c>
      <c r="AC98" s="9" t="n">
        <v>0</v>
      </c>
      <c r="AD98" s="9" t="n">
        <v>0</v>
      </c>
      <c r="AE98" s="9" t="n">
        <v>0</v>
      </c>
      <c r="AF98" s="9" t="n">
        <v>1.724</v>
      </c>
      <c r="AG98" s="9" t="n">
        <v>0</v>
      </c>
      <c r="AH98" s="9" t="n">
        <v>0</v>
      </c>
      <c r="AI98" s="9" t="n">
        <v>0</v>
      </c>
      <c r="AJ98" s="9" t="n">
        <v>0</v>
      </c>
      <c r="AK98" s="9" t="n">
        <v>0</v>
      </c>
      <c r="AL98" s="9" t="n">
        <v>0</v>
      </c>
      <c r="AM98" s="9" t="n">
        <v>0</v>
      </c>
      <c r="AN98" s="9" t="n">
        <v>0</v>
      </c>
      <c r="AO98" s="9" t="n">
        <v>0</v>
      </c>
      <c r="AP98" s="9" t="n">
        <v>1.936469220947358</v>
      </c>
      <c r="AQ98" s="9" t="n">
        <v>1.7897166</v>
      </c>
      <c r="AR98" s="9" t="n">
        <v>1.913679654545455</v>
      </c>
      <c r="AS98" s="9" t="n">
        <v>1.864470749142857</v>
      </c>
      <c r="AT98" s="9" t="n">
        <v>0</v>
      </c>
      <c r="AU98" s="9" t="n">
        <v>0</v>
      </c>
      <c r="AV98" s="9" t="n">
        <v>0</v>
      </c>
      <c r="AW98" s="9" t="n">
        <v>0</v>
      </c>
      <c r="AX98" s="9" t="n">
        <v>1.360422681407172</v>
      </c>
      <c r="AY98" s="9" t="n">
        <v>1.1410453512</v>
      </c>
      <c r="AZ98" s="9" t="n">
        <v>1.365191641047909</v>
      </c>
      <c r="BA98" s="9" t="n">
        <v>1.417491559517174</v>
      </c>
      <c r="BB98" s="9" t="n">
        <v>3.315891235928298</v>
      </c>
      <c r="BC98" s="9" t="n">
        <v>2.042534870071014</v>
      </c>
      <c r="BD98" s="9" t="n">
        <v>4.289194107055629</v>
      </c>
      <c r="BE98" s="9" t="n">
        <v>2.981957185646259</v>
      </c>
      <c r="BF98" s="9" t="n">
        <v>0</v>
      </c>
      <c r="BG98" s="9" t="n">
        <v>0</v>
      </c>
      <c r="BH98" s="9" t="n">
        <v>0</v>
      </c>
      <c r="BI98" s="9" t="n">
        <v>0</v>
      </c>
      <c r="BJ98" s="9" t="n">
        <v>0</v>
      </c>
      <c r="BK98" s="9" t="n">
        <v>0</v>
      </c>
      <c r="BL98" s="9" t="n">
        <v>0</v>
      </c>
      <c r="BM98" s="9" t="n">
        <v>0</v>
      </c>
      <c r="BN98" s="9" t="n">
        <v>0</v>
      </c>
      <c r="BO98" s="9" t="n">
        <v>0</v>
      </c>
      <c r="BP98" s="9" t="n">
        <v>0</v>
      </c>
      <c r="BQ98" s="9" t="n">
        <v>0</v>
      </c>
      <c r="BR98" s="9" t="n">
        <v>0</v>
      </c>
      <c r="BS98" s="9" t="n">
        <v>0</v>
      </c>
      <c r="BT98" s="9" t="n">
        <v>0</v>
      </c>
      <c r="BU98" s="9" t="n">
        <v>0</v>
      </c>
      <c r="BV98" s="9" t="n">
        <v>0</v>
      </c>
      <c r="BW98" s="9" t="n">
        <v>3.968663787656378</v>
      </c>
      <c r="BX98" s="9" t="n">
        <v>3.686282132104637</v>
      </c>
      <c r="BY98" s="9" t="n">
        <v>4.267631325555498</v>
      </c>
      <c r="BZ98" s="9" t="n">
        <v>4.162526256517727</v>
      </c>
      <c r="CA98" s="9" t="n">
        <v>0.8003884237939001</v>
      </c>
      <c r="CB98" s="9" t="n">
        <v>0.3778951892797699</v>
      </c>
      <c r="CC98" s="9" t="n">
        <v>1.032</v>
      </c>
      <c r="CD98" s="9" t="n">
        <v>6.72514619883041</v>
      </c>
      <c r="CE98" s="9" t="n">
        <v>5.14</v>
      </c>
      <c r="CF98" s="9" t="n">
        <v>5.111</v>
      </c>
      <c r="CG98" s="9" t="n">
        <v>4.778</v>
      </c>
      <c r="CH98" s="9" t="n">
        <v>0.3</v>
      </c>
      <c r="CI98" s="9" t="n">
        <v>0</v>
      </c>
      <c r="CJ98" s="9" t="n">
        <v>0.26</v>
      </c>
      <c r="CK98" s="9" t="n">
        <v>0</v>
      </c>
      <c r="CL98" s="9" t="n">
        <v>0.26</v>
      </c>
      <c r="CM98" s="9" t="n">
        <v>0.01</v>
      </c>
      <c r="CN98" s="9" t="n">
        <v>0.57</v>
      </c>
      <c r="CO98" s="9" t="n">
        <v>0</v>
      </c>
      <c r="CP98" s="9" t="n">
        <v>5.497</v>
      </c>
      <c r="CQ98" s="9" t="n">
        <v>18.246</v>
      </c>
      <c r="CR98" s="9" t="n">
        <v>3</v>
      </c>
      <c r="CS98" s="9" t="n">
        <v>1</v>
      </c>
      <c r="CT98" s="9" t="n">
        <v>0.5</v>
      </c>
      <c r="CU98" s="9" t="n">
        <v>0.3</v>
      </c>
      <c r="CV98" s="9" t="n">
        <v>0.6</v>
      </c>
      <c r="CW98" s="9" t="n">
        <v>0.8</v>
      </c>
      <c r="CX98" s="9" t="n">
        <v>0.8</v>
      </c>
      <c r="CY98" s="9" t="n">
        <v>0.7</v>
      </c>
      <c r="CZ98" s="9" t="n">
        <v>0.5</v>
      </c>
      <c r="DA98" s="9" t="n">
        <v>0.5</v>
      </c>
      <c r="DB98" s="9" t="n">
        <v>1</v>
      </c>
      <c r="DC98" s="9" t="n">
        <v>0.3</v>
      </c>
      <c r="DD98" s="9" t="n">
        <v>0.8</v>
      </c>
      <c r="DE98" s="9" t="n">
        <v>0.4553945863515058</v>
      </c>
      <c r="DF98" s="9" t="n">
        <v>1</v>
      </c>
      <c r="DG98" s="9" t="n">
        <v>7.124</v>
      </c>
      <c r="DH98" s="9" t="n">
        <v>5.575</v>
      </c>
      <c r="DI98" s="9" t="n">
        <v>13.4123</v>
      </c>
      <c r="DJ98" s="9" t="n">
        <v>20.45526514277043</v>
      </c>
      <c r="DK98" s="9" t="n">
        <v>22.77397544276852</v>
      </c>
      <c r="DL98" s="9" t="n">
        <v>15.65611451797798</v>
      </c>
      <c r="DM98" s="9" t="n">
        <v>19.89938703508767</v>
      </c>
      <c r="DN98" s="9" t="n">
        <v>12.815</v>
      </c>
      <c r="DO98" s="9" t="n">
        <v>11.492</v>
      </c>
      <c r="DP98" s="9" t="n">
        <v>22.8327</v>
      </c>
      <c r="DQ98" s="9" t="n">
        <v>14.84422027007706</v>
      </c>
      <c r="DR98" s="9" t="n">
        <v>14.84422027007706</v>
      </c>
      <c r="DS98" s="9" t="n">
        <v>0.105</v>
      </c>
    </row>
    <row r="99">
      <c r="A99" s="9" t="inlineStr">
        <is>
          <t>LBY</t>
        </is>
      </c>
      <c r="B99" s="9" t="inlineStr">
        <is>
          <t>Libya</t>
        </is>
      </c>
      <c r="C99" s="9" t="n">
        <v>0.005</v>
      </c>
      <c r="D99" s="9" t="n">
        <v>0.005</v>
      </c>
      <c r="E99" s="9" t="n">
        <v>0.01</v>
      </c>
      <c r="F99" s="9" t="n">
        <v>0.005</v>
      </c>
      <c r="G99" s="9" t="n">
        <v>0.005</v>
      </c>
      <c r="H99" s="9" t="n">
        <v>0.01</v>
      </c>
      <c r="I99" s="9" t="n">
        <v>0.005</v>
      </c>
      <c r="J99" s="9" t="n">
        <v>0.005</v>
      </c>
      <c r="K99" s="9" t="n">
        <v>0.01</v>
      </c>
      <c r="L99" s="9" t="n">
        <v>0.01</v>
      </c>
      <c r="M99" s="9" t="n">
        <v>0.005</v>
      </c>
      <c r="N99" s="9" t="n">
        <v>2.128413</v>
      </c>
      <c r="O99" s="9" t="n">
        <v>0.488677</v>
      </c>
      <c r="P99" s="9" t="n">
        <v>20.190128</v>
      </c>
      <c r="Q99" s="9" t="n">
        <v>5.037888263875315</v>
      </c>
      <c r="R99" s="9" t="n">
        <v>1.193660576258216</v>
      </c>
      <c r="S99" s="9" t="n">
        <v>0.8023295099932304</v>
      </c>
      <c r="T99" s="9" t="n">
        <v>0.614398423486849</v>
      </c>
      <c r="U99" s="9" t="n">
        <v>0.111822</v>
      </c>
      <c r="V99" s="9" t="n">
        <v>0.018033</v>
      </c>
      <c r="W99" s="9" t="n">
        <v>0.063475</v>
      </c>
      <c r="X99" s="9" t="n">
        <v>1.700310805612954</v>
      </c>
      <c r="Y99" s="9" t="n">
        <v>1.700310805612954</v>
      </c>
      <c r="Z99" s="9" t="n">
        <v>0.1884624622551264</v>
      </c>
      <c r="AA99" s="9" t="n">
        <v>14.27</v>
      </c>
      <c r="AB99" s="9" t="n">
        <v>0.01</v>
      </c>
      <c r="AC99" s="9" t="n">
        <v>0</v>
      </c>
      <c r="AD99" s="9" t="n">
        <v>3</v>
      </c>
      <c r="AE99" s="9" t="n">
        <v>0.03764632283184504</v>
      </c>
      <c r="AF99" s="9" t="n">
        <v>76.575</v>
      </c>
      <c r="AG99" s="9" t="n">
        <v>0</v>
      </c>
      <c r="AH99" s="9" t="n">
        <v>0</v>
      </c>
      <c r="AI99" s="9" t="n">
        <v>0</v>
      </c>
      <c r="AJ99" s="9" t="n">
        <v>0</v>
      </c>
      <c r="AK99" s="9" t="n">
        <v>0</v>
      </c>
      <c r="AL99" s="9" t="n">
        <v>0</v>
      </c>
      <c r="AM99" s="9" t="n">
        <v>0</v>
      </c>
      <c r="AN99" s="9" t="n">
        <v>0</v>
      </c>
      <c r="AO99" s="9" t="n">
        <v>0</v>
      </c>
      <c r="AP99" s="9" t="n">
        <v>41.99535782320847</v>
      </c>
      <c r="AQ99" s="9" t="n">
        <v>41.48779618000001</v>
      </c>
      <c r="AR99" s="9" t="n">
        <v>42.40974720622222</v>
      </c>
      <c r="AS99" s="9" t="n">
        <v>40.18176291722867</v>
      </c>
      <c r="AT99" s="9" t="n">
        <v>69.9527105403513</v>
      </c>
      <c r="AU99" s="9" t="n">
        <v>46.94480901000001</v>
      </c>
      <c r="AV99" s="9" t="n">
        <v>66.2297954274292</v>
      </c>
      <c r="AW99" s="9" t="n">
        <v>66.87612467000449</v>
      </c>
      <c r="AX99" s="9" t="n">
        <v>75.59640029408666</v>
      </c>
      <c r="AY99" s="9" t="n">
        <v>52.7183475948</v>
      </c>
      <c r="AZ99" s="9" t="n">
        <v>71.57312544221338</v>
      </c>
      <c r="BA99" s="9" t="n">
        <v>72.27159965094776</v>
      </c>
      <c r="BB99" s="9" t="n">
        <v>199.2042783175924</v>
      </c>
      <c r="BC99" s="9" t="n">
        <v>194.542077327347</v>
      </c>
      <c r="BD99" s="9" t="n">
        <v>207.41144841</v>
      </c>
      <c r="BE99" s="9" t="n">
        <v>192.4239381693818</v>
      </c>
      <c r="BF99" s="9" t="n">
        <v>3.564034025750252</v>
      </c>
      <c r="BG99" s="9" t="n">
        <v>3.507474453519341</v>
      </c>
      <c r="BH99" s="9" t="n">
        <v>3.585418330264214</v>
      </c>
      <c r="BI99" s="9" t="n">
        <v>3.397059374233319</v>
      </c>
      <c r="BJ99" s="9" t="n">
        <v>13.18393988822159</v>
      </c>
      <c r="BK99" s="9" t="n">
        <v>13.03244610999998</v>
      </c>
      <c r="BL99" s="9" t="n">
        <v>13.32205602355552</v>
      </c>
      <c r="BM99" s="9" t="n">
        <v>12.62218551092916</v>
      </c>
      <c r="BN99" s="9" t="n">
        <v>46.36697448422034</v>
      </c>
      <c r="BO99" s="9" t="n">
        <v>45.28883331359999</v>
      </c>
      <c r="BP99" s="9" t="n">
        <v>46.29525183168</v>
      </c>
      <c r="BQ99" s="9" t="n">
        <v>43.86314363649487</v>
      </c>
      <c r="BR99" s="9" t="n">
        <v>225.3071411501325</v>
      </c>
      <c r="BS99" s="9" t="n">
        <v>0</v>
      </c>
      <c r="BT99" s="9" t="n">
        <v>0</v>
      </c>
      <c r="BU99" s="9" t="n">
        <v>0</v>
      </c>
      <c r="BV99" s="9" t="n">
        <v>0</v>
      </c>
      <c r="BW99" s="9" t="n">
        <v>254.6875057754522</v>
      </c>
      <c r="BX99" s="9" t="n">
        <v>97.95936176050692</v>
      </c>
      <c r="BY99" s="9" t="n">
        <v>252.0091917829887</v>
      </c>
      <c r="BZ99" s="9" t="n">
        <v>249.7294975773841</v>
      </c>
      <c r="CA99" s="9" t="n">
        <v>0.197099565088136</v>
      </c>
      <c r="CB99" s="9" t="n">
        <v>40.43030856512166</v>
      </c>
      <c r="CC99" s="9" t="n">
        <v>26.179</v>
      </c>
      <c r="CD99" s="9" t="n">
        <v>5.539923277897429e-05</v>
      </c>
      <c r="CE99" s="9" t="n">
        <v>15.871</v>
      </c>
      <c r="CF99" s="9" t="n">
        <v>6.72</v>
      </c>
      <c r="CG99" s="9" t="n">
        <v>49.349</v>
      </c>
      <c r="CH99" s="9" t="n">
        <v>0</v>
      </c>
      <c r="CI99" s="9" t="n">
        <v>0</v>
      </c>
      <c r="CJ99" s="9" t="n">
        <v>34.58</v>
      </c>
      <c r="CK99" s="9" t="n">
        <v>25.78</v>
      </c>
      <c r="CL99" s="9" t="n">
        <v>8.800000000000001</v>
      </c>
      <c r="CM99" s="9" t="n">
        <v>0.01</v>
      </c>
      <c r="CN99" s="9" t="n">
        <v>34.59</v>
      </c>
      <c r="CO99" s="9" t="n">
        <v>0</v>
      </c>
      <c r="CP99" s="9" t="n">
        <v>108.974</v>
      </c>
      <c r="CQ99" s="9" t="n">
        <v>108.974</v>
      </c>
      <c r="CR99" s="9" t="n">
        <v>3</v>
      </c>
      <c r="CS99" s="9" t="n">
        <v>3</v>
      </c>
      <c r="CT99" s="9" t="n">
        <v>0.5</v>
      </c>
      <c r="CU99" s="9" t="n">
        <v>0.3</v>
      </c>
      <c r="CV99" s="9" t="n">
        <v>0.6</v>
      </c>
      <c r="CW99" s="9" t="n">
        <v>0.8</v>
      </c>
      <c r="CX99" s="9" t="n">
        <v>0.8</v>
      </c>
      <c r="CY99" s="9" t="n">
        <v>0.7</v>
      </c>
      <c r="CZ99" s="9" t="n">
        <v>0.5</v>
      </c>
      <c r="DA99" s="9" t="n">
        <v>0.5</v>
      </c>
      <c r="DB99" s="9" t="n">
        <v>1</v>
      </c>
      <c r="DC99" s="9" t="n">
        <v>0.3</v>
      </c>
      <c r="DD99" s="9" t="n">
        <v>0.8</v>
      </c>
      <c r="DE99" s="9" t="n">
        <v>0.4569774979164737</v>
      </c>
      <c r="DF99" s="9" t="n">
        <v>1</v>
      </c>
      <c r="DG99" s="9" t="n">
        <v>7.124</v>
      </c>
      <c r="DH99" s="9" t="n">
        <v>5.575</v>
      </c>
      <c r="DI99" s="9" t="n">
        <v>12.193</v>
      </c>
      <c r="DJ99" s="9" t="n">
        <v>19.68082211137683</v>
      </c>
      <c r="DK99" s="9" t="n">
        <v>20.58922943093086</v>
      </c>
      <c r="DL99" s="9" t="n">
        <v>17.27205865604339</v>
      </c>
      <c r="DM99" s="9" t="n">
        <v>19.78301635067195</v>
      </c>
      <c r="DN99" s="9" t="n">
        <v>8.922000000000001</v>
      </c>
      <c r="DO99" s="9" t="n">
        <v>8.26</v>
      </c>
      <c r="DP99" s="9" t="n">
        <v>12.892</v>
      </c>
      <c r="DQ99" s="9" t="n">
        <v>14.11516989415954</v>
      </c>
      <c r="DR99" s="9" t="n">
        <v>14.11516989415954</v>
      </c>
      <c r="DS99" s="9" t="n">
        <v>0.105</v>
      </c>
    </row>
    <row r="100">
      <c r="A100" s="9" t="inlineStr">
        <is>
          <t>LCA</t>
        </is>
      </c>
      <c r="B100" s="9" t="inlineStr">
        <is>
          <t>St. Lucia</t>
        </is>
      </c>
      <c r="C100" s="9" t="n">
        <v>0.005</v>
      </c>
      <c r="D100" s="9" t="n">
        <v>0.005</v>
      </c>
      <c r="E100" s="9" t="n">
        <v>0.01</v>
      </c>
      <c r="F100" s="9" t="n">
        <v>0.005</v>
      </c>
      <c r="G100" s="9" t="n">
        <v>0.005</v>
      </c>
      <c r="H100" s="9" t="n">
        <v>0.01</v>
      </c>
      <c r="I100" s="9" t="n">
        <v>0.005</v>
      </c>
      <c r="J100" s="9" t="n">
        <v>0.005</v>
      </c>
      <c r="K100" s="9" t="n">
        <v>0.01</v>
      </c>
      <c r="L100" s="9" t="n">
        <v>0.01</v>
      </c>
      <c r="M100" s="9" t="n">
        <v>0.005</v>
      </c>
      <c r="N100" s="9" t="n">
        <v>0.07183299999999999</v>
      </c>
      <c r="O100" s="9" t="n">
        <v>0.358802</v>
      </c>
      <c r="P100" s="9" t="n">
        <v>2.026346</v>
      </c>
      <c r="Q100" s="9" t="n">
        <v>1.567735678515112</v>
      </c>
      <c r="R100" s="9" t="n">
        <v>0.2403792536061177</v>
      </c>
      <c r="S100" s="9" t="n">
        <v>0.1473158254390449</v>
      </c>
      <c r="T100" s="9" t="n">
        <v>0.126107031678499</v>
      </c>
      <c r="U100" s="9" t="n">
        <v>0.009701</v>
      </c>
      <c r="V100" s="9" t="n">
        <v>0.004754</v>
      </c>
      <c r="W100" s="9" t="n">
        <v>0.009226</v>
      </c>
      <c r="X100" s="9" t="n">
        <v>0.3426408008385602</v>
      </c>
      <c r="Y100" s="9" t="n">
        <v>0.3426408008385602</v>
      </c>
      <c r="Z100" s="9" t="n">
        <v>0.009830034607483341</v>
      </c>
      <c r="AA100" s="9" t="n">
        <v>0.09</v>
      </c>
      <c r="AB100" s="9" t="n">
        <v>0</v>
      </c>
      <c r="AC100" s="9" t="n">
        <v>0</v>
      </c>
      <c r="AD100" s="9" t="n">
        <v>0</v>
      </c>
      <c r="AE100" s="9" t="n">
        <v>0</v>
      </c>
      <c r="AF100" s="9" t="n">
        <v>0.247</v>
      </c>
      <c r="AG100" s="9" t="n">
        <v>0</v>
      </c>
      <c r="AH100" s="9" t="n">
        <v>0</v>
      </c>
      <c r="AI100" s="9" t="n">
        <v>0</v>
      </c>
      <c r="AJ100" s="9" t="n">
        <v>0</v>
      </c>
      <c r="AK100" s="9" t="n">
        <v>0</v>
      </c>
      <c r="AL100" s="9" t="n">
        <v>0</v>
      </c>
      <c r="AM100" s="9" t="n">
        <v>0</v>
      </c>
      <c r="AN100" s="9" t="n">
        <v>0</v>
      </c>
      <c r="AO100" s="9" t="n">
        <v>0</v>
      </c>
      <c r="AP100" s="9" t="n">
        <v>1.202679251779136</v>
      </c>
      <c r="AQ100" s="9" t="n">
        <v>1.19740563</v>
      </c>
      <c r="AR100" s="9" t="n">
        <v>1.204390496175</v>
      </c>
      <c r="AS100" s="9" t="n">
        <v>1.182310003745125</v>
      </c>
      <c r="AT100" s="9" t="n">
        <v>0.8784058887911228</v>
      </c>
      <c r="AU100" s="9" t="n">
        <v>0.7753346514</v>
      </c>
      <c r="AV100" s="9" t="n">
        <v>0.8754610580154818</v>
      </c>
      <c r="AW100" s="9" t="n">
        <v>0.8698736831356969</v>
      </c>
      <c r="AX100" s="9" t="n">
        <v>0.5438515147916475</v>
      </c>
      <c r="AY100" s="9" t="n">
        <v>0.49523689404</v>
      </c>
      <c r="AZ100" s="9" t="n">
        <v>0.5420282680459531</v>
      </c>
      <c r="BA100" s="9" t="n">
        <v>0.5385689307044629</v>
      </c>
      <c r="BB100" s="9" t="n">
        <v>1.933355217833968</v>
      </c>
      <c r="BC100" s="9" t="n">
        <v>1.887276640296857</v>
      </c>
      <c r="BD100" s="9" t="n">
        <v>1.92881622</v>
      </c>
      <c r="BE100" s="9" t="n">
        <v>1.876236617406796</v>
      </c>
      <c r="BF100" s="9" t="n">
        <v>0.1441792685378826</v>
      </c>
      <c r="BG100" s="9" t="n">
        <v>0.1367071299999994</v>
      </c>
      <c r="BH100" s="9" t="n">
        <v>0.1375045882583328</v>
      </c>
      <c r="BI100" s="9" t="n">
        <v>0.13498367080693</v>
      </c>
      <c r="BJ100" s="9" t="n">
        <v>0.2817999629254672</v>
      </c>
      <c r="BK100" s="9" t="n">
        <v>0.2765399999999989</v>
      </c>
      <c r="BL100" s="9" t="n">
        <v>0.2781531499999989</v>
      </c>
      <c r="BM100" s="9" t="n">
        <v>0.2730536755833324</v>
      </c>
      <c r="BN100" s="9" t="n">
        <v>0</v>
      </c>
      <c r="BO100" s="9" t="n">
        <v>0</v>
      </c>
      <c r="BP100" s="9" t="n">
        <v>0</v>
      </c>
      <c r="BQ100" s="9" t="n">
        <v>0</v>
      </c>
      <c r="BR100" s="9" t="n">
        <v>0</v>
      </c>
      <c r="BS100" s="9" t="n">
        <v>0</v>
      </c>
      <c r="BT100" s="9" t="n">
        <v>0</v>
      </c>
      <c r="BU100" s="9" t="n">
        <v>0</v>
      </c>
      <c r="BV100" s="9" t="n">
        <v>0</v>
      </c>
      <c r="BW100" s="9" t="n">
        <v>3.338496116642113</v>
      </c>
      <c r="BX100" s="9" t="n">
        <v>3.455475875684022</v>
      </c>
      <c r="BY100" s="9" t="n">
        <v>3.508119660023425</v>
      </c>
      <c r="BZ100" s="9" t="n">
        <v>3.413587979025551</v>
      </c>
      <c r="CA100" s="9" t="n">
        <v>0.9596807784532724</v>
      </c>
      <c r="CB100" s="9" t="n">
        <v>0.395071500995214</v>
      </c>
      <c r="CC100" s="9" t="n">
        <v>0.19</v>
      </c>
      <c r="CD100" s="9" t="n">
        <v>0</v>
      </c>
      <c r="CE100" s="9" t="n">
        <v>1.654</v>
      </c>
      <c r="CF100" s="9" t="n">
        <v>1.963</v>
      </c>
      <c r="CG100" s="9" t="n">
        <v>2.574</v>
      </c>
      <c r="CH100" s="9" t="n">
        <v>0</v>
      </c>
      <c r="CI100" s="9" t="n">
        <v>0</v>
      </c>
      <c r="CJ100" s="9" t="n">
        <v>0.39</v>
      </c>
      <c r="CK100" s="9" t="n">
        <v>0</v>
      </c>
      <c r="CL100" s="9" t="n">
        <v>0.39</v>
      </c>
      <c r="CM100" s="9" t="n">
        <v>0.01</v>
      </c>
      <c r="CN100" s="9" t="n">
        <v>0.4</v>
      </c>
      <c r="CO100" s="9" t="n">
        <v>0</v>
      </c>
      <c r="CP100" s="9" t="n">
        <v>0.427</v>
      </c>
      <c r="CQ100" s="9" t="n">
        <v>0.281</v>
      </c>
      <c r="CR100" s="9" t="n">
        <v>3</v>
      </c>
      <c r="CS100" s="9" t="n">
        <v>3</v>
      </c>
      <c r="CT100" s="9" t="n">
        <v>0.5</v>
      </c>
      <c r="CU100" s="9" t="n">
        <v>0.3</v>
      </c>
      <c r="CV100" s="9" t="n">
        <v>0.6</v>
      </c>
      <c r="CW100" s="9" t="n">
        <v>0.8</v>
      </c>
      <c r="CX100" s="9" t="n">
        <v>0.8</v>
      </c>
      <c r="CY100" s="9" t="n">
        <v>0.7</v>
      </c>
      <c r="CZ100" s="9" t="n">
        <v>0.5</v>
      </c>
      <c r="DA100" s="9" t="n">
        <v>0.5</v>
      </c>
      <c r="DB100" s="9" t="n">
        <v>1</v>
      </c>
      <c r="DC100" s="9" t="n">
        <v>0.3</v>
      </c>
      <c r="DD100" s="9" t="n">
        <v>0.8</v>
      </c>
      <c r="DE100" s="9" t="n">
        <v>0.508193484698914</v>
      </c>
      <c r="DF100" s="9" t="n">
        <v>1</v>
      </c>
      <c r="DG100" s="9" t="n">
        <v>7.124</v>
      </c>
      <c r="DH100" s="9" t="n">
        <v>5.575</v>
      </c>
      <c r="DI100" s="9" t="n">
        <v>13.717125</v>
      </c>
      <c r="DJ100" s="9" t="n">
        <v>17.73681807225007</v>
      </c>
      <c r="DK100" s="9" t="n">
        <v>24.32102726528707</v>
      </c>
      <c r="DL100" s="9" t="n">
        <v>16.9276771184229</v>
      </c>
      <c r="DM100" s="9" t="n">
        <v>22.75811047821604</v>
      </c>
      <c r="DN100" s="9" t="n">
        <v>12.771</v>
      </c>
      <c r="DO100" s="9" t="n">
        <v>11.447</v>
      </c>
      <c r="DP100" s="9" t="n">
        <v>23.301</v>
      </c>
      <c r="DQ100" s="9" t="n">
        <v>13.49474646489124</v>
      </c>
      <c r="DR100" s="9" t="n">
        <v>13.49474646489124</v>
      </c>
      <c r="DS100" s="9" t="n">
        <v>0.105</v>
      </c>
    </row>
    <row r="101">
      <c r="A101" s="9" t="inlineStr">
        <is>
          <t>LKA</t>
        </is>
      </c>
      <c r="B101" s="9" t="inlineStr">
        <is>
          <t>Sri Lanka</t>
        </is>
      </c>
      <c r="C101" s="9" t="n">
        <v>0.005</v>
      </c>
      <c r="D101" s="9" t="n">
        <v>0.005</v>
      </c>
      <c r="E101" s="9" t="n">
        <v>0.01</v>
      </c>
      <c r="F101" s="9" t="n">
        <v>0.005</v>
      </c>
      <c r="G101" s="9" t="n">
        <v>0.005</v>
      </c>
      <c r="H101" s="9" t="n">
        <v>0.01</v>
      </c>
      <c r="I101" s="9" t="n">
        <v>0.005</v>
      </c>
      <c r="J101" s="9" t="n">
        <v>0.005</v>
      </c>
      <c r="K101" s="9" t="n">
        <v>0.01</v>
      </c>
      <c r="L101" s="9" t="n">
        <v>0.01</v>
      </c>
      <c r="M101" s="9" t="n">
        <v>0.005</v>
      </c>
      <c r="N101" s="9" t="n">
        <v>16.849885</v>
      </c>
      <c r="O101" s="9" t="n">
        <v>2.721099</v>
      </c>
      <c r="P101" s="9" t="n">
        <v>25.60842</v>
      </c>
      <c r="Q101" s="9" t="n">
        <v>12.54231443786719</v>
      </c>
      <c r="R101" s="9" t="n">
        <v>5.360892016926634</v>
      </c>
      <c r="S101" s="9" t="n">
        <v>3.656457730241873</v>
      </c>
      <c r="T101" s="9" t="n">
        <v>1.058740486814196</v>
      </c>
      <c r="U101" s="9" t="n">
        <v>0.115339</v>
      </c>
      <c r="V101" s="9" t="n">
        <v>0.04621</v>
      </c>
      <c r="W101" s="9" t="n">
        <v>0.115123</v>
      </c>
      <c r="X101" s="9" t="n">
        <v>15.65136206327397</v>
      </c>
      <c r="Y101" s="9" t="n">
        <v>15.65136206327397</v>
      </c>
      <c r="Z101" s="9" t="n">
        <v>0.3779407711324714</v>
      </c>
      <c r="AA101" s="9" t="n">
        <v>0</v>
      </c>
      <c r="AB101" s="9" t="n">
        <v>0</v>
      </c>
      <c r="AC101" s="9" t="n">
        <v>0</v>
      </c>
      <c r="AD101" s="9" t="n">
        <v>0</v>
      </c>
      <c r="AE101" s="9" t="n">
        <v>0</v>
      </c>
      <c r="AF101" s="9" t="n">
        <v>18.369</v>
      </c>
      <c r="AG101" s="9" t="n">
        <v>2.313178266887607</v>
      </c>
      <c r="AH101" s="9" t="n">
        <v>2.3480704836</v>
      </c>
      <c r="AI101" s="9" t="n">
        <v>2.124454981319544</v>
      </c>
      <c r="AJ101" s="9" t="n">
        <v>2.154804338195537</v>
      </c>
      <c r="AK101" s="9" t="n">
        <v>62.84603379199024</v>
      </c>
      <c r="AL101" s="9" t="n">
        <v>0</v>
      </c>
      <c r="AM101" s="9" t="n">
        <v>0</v>
      </c>
      <c r="AN101" s="9" t="n">
        <v>0</v>
      </c>
      <c r="AO101" s="9" t="n">
        <v>0</v>
      </c>
      <c r="AP101" s="9" t="n">
        <v>70.34579753729403</v>
      </c>
      <c r="AQ101" s="9" t="n">
        <v>75.69503997999999</v>
      </c>
      <c r="AR101" s="9" t="n">
        <v>68.48631924376575</v>
      </c>
      <c r="AS101" s="9" t="n">
        <v>69.46469523296238</v>
      </c>
      <c r="AT101" s="9" t="n">
        <v>26.92984733071101</v>
      </c>
      <c r="AU101" s="9" t="n">
        <v>33.52621968</v>
      </c>
      <c r="AV101" s="9" t="n">
        <v>25.26692131536203</v>
      </c>
      <c r="AW101" s="9" t="n">
        <v>26.40411013131225</v>
      </c>
      <c r="AX101" s="9" t="n">
        <v>18.84699143624576</v>
      </c>
      <c r="AY101" s="9" t="n">
        <v>22.7435182128</v>
      </c>
      <c r="AZ101" s="9" t="n">
        <v>17.68318415633405</v>
      </c>
      <c r="BA101" s="9" t="n">
        <v>18.47905156740424</v>
      </c>
      <c r="BB101" s="9" t="n">
        <v>56.6581642392659</v>
      </c>
      <c r="BC101" s="9" t="n">
        <v>65.11727955984216</v>
      </c>
      <c r="BD101" s="9" t="n">
        <v>53.10062000999999</v>
      </c>
      <c r="BE101" s="9" t="n">
        <v>56.73178267735345</v>
      </c>
      <c r="BF101" s="9" t="n">
        <v>0</v>
      </c>
      <c r="BG101" s="9" t="n">
        <v>0</v>
      </c>
      <c r="BH101" s="9" t="n">
        <v>0</v>
      </c>
      <c r="BI101" s="9" t="n">
        <v>0</v>
      </c>
      <c r="BJ101" s="9" t="n">
        <v>14.23223281414817</v>
      </c>
      <c r="BK101" s="9" t="n">
        <v>14.99350337129627</v>
      </c>
      <c r="BL101" s="9" t="n">
        <v>13.56561617168558</v>
      </c>
      <c r="BM101" s="9" t="n">
        <v>13.75941068842395</v>
      </c>
      <c r="BN101" s="9" t="n">
        <v>0</v>
      </c>
      <c r="BO101" s="9" t="n">
        <v>0</v>
      </c>
      <c r="BP101" s="9" t="n">
        <v>0</v>
      </c>
      <c r="BQ101" s="9" t="n">
        <v>0</v>
      </c>
      <c r="BR101" s="9" t="n">
        <v>0</v>
      </c>
      <c r="BS101" s="9" t="n">
        <v>0</v>
      </c>
      <c r="BT101" s="9" t="n">
        <v>0</v>
      </c>
      <c r="BU101" s="9" t="n">
        <v>0</v>
      </c>
      <c r="BV101" s="9" t="n">
        <v>0</v>
      </c>
      <c r="BW101" s="9" t="n">
        <v>25.25325184682296</v>
      </c>
      <c r="BX101" s="9" t="n">
        <v>47.25464576899967</v>
      </c>
      <c r="BY101" s="9" t="n">
        <v>22.82690584824746</v>
      </c>
      <c r="BZ101" s="9" t="n">
        <v>23.34635737015775</v>
      </c>
      <c r="CA101" s="9" t="n">
        <v>0.6608390762207406</v>
      </c>
      <c r="CB101" s="9" t="n">
        <v>12.71578854637688</v>
      </c>
      <c r="CC101" s="9" t="n">
        <v>0.259</v>
      </c>
      <c r="CD101" s="9" t="n">
        <v>1.984193527731444</v>
      </c>
      <c r="CE101" s="9" t="n">
        <v>3</v>
      </c>
      <c r="CF101" s="9" t="n">
        <v>3</v>
      </c>
      <c r="CG101" s="9" t="n">
        <v>98.964</v>
      </c>
      <c r="CH101" s="9" t="n">
        <v>6.753</v>
      </c>
      <c r="CI101" s="9" t="n">
        <v>5.145</v>
      </c>
      <c r="CJ101" s="9" t="n">
        <v>7.507</v>
      </c>
      <c r="CK101" s="9" t="n">
        <v>0</v>
      </c>
      <c r="CL101" s="9" t="n">
        <v>2.362</v>
      </c>
      <c r="CM101" s="9" t="n">
        <v>1.984</v>
      </c>
      <c r="CN101" s="9" t="n">
        <v>17.171</v>
      </c>
      <c r="CO101" s="9" t="n">
        <v>0.926</v>
      </c>
      <c r="CP101" s="9" t="n">
        <v>38.496</v>
      </c>
      <c r="CQ101" s="9" t="n">
        <v>40.187</v>
      </c>
      <c r="CR101" s="9" t="n">
        <v>3</v>
      </c>
      <c r="CS101" s="9" t="n">
        <v>2</v>
      </c>
      <c r="CT101" s="9" t="n">
        <v>0.5</v>
      </c>
      <c r="CU101" s="9" t="n">
        <v>0.3</v>
      </c>
      <c r="CV101" s="9" t="n">
        <v>0.6</v>
      </c>
      <c r="CW101" s="9" t="n">
        <v>0.8</v>
      </c>
      <c r="CX101" s="9" t="n">
        <v>0.8</v>
      </c>
      <c r="CY101" s="9" t="n">
        <v>0.7</v>
      </c>
      <c r="CZ101" s="9" t="n">
        <v>0.5</v>
      </c>
      <c r="DA101" s="9" t="n">
        <v>0.5</v>
      </c>
      <c r="DB101" s="9" t="n">
        <v>1</v>
      </c>
      <c r="DC101" s="9" t="n">
        <v>0.3</v>
      </c>
      <c r="DD101" s="9" t="n">
        <v>0.8</v>
      </c>
      <c r="DE101" s="9" t="n">
        <v>0.2884398471587084</v>
      </c>
      <c r="DF101" s="9" t="n">
        <v>2</v>
      </c>
      <c r="DG101" s="9" t="n">
        <v>6.996</v>
      </c>
      <c r="DH101" s="9" t="n">
        <v>4.738</v>
      </c>
      <c r="DI101" s="9" t="n">
        <v>12.14244</v>
      </c>
      <c r="DJ101" s="9" t="n">
        <v>19.86280268313421</v>
      </c>
      <c r="DK101" s="9" t="n">
        <v>22.23636778540532</v>
      </c>
      <c r="DL101" s="9" t="n">
        <v>17.27205865604339</v>
      </c>
      <c r="DM101" s="9" t="n">
        <v>20.88085738744982</v>
      </c>
      <c r="DN101" s="9" t="n">
        <v>6.861</v>
      </c>
      <c r="DO101" s="9" t="n">
        <v>5.537</v>
      </c>
      <c r="DP101" s="9" t="n">
        <v>15.98616</v>
      </c>
      <c r="DQ101" s="9" t="n">
        <v>14.11516989415954</v>
      </c>
      <c r="DR101" s="9" t="n">
        <v>14.11516989415954</v>
      </c>
      <c r="DS101" s="9" t="n">
        <v>0.12506</v>
      </c>
    </row>
    <row r="102">
      <c r="A102" s="9" t="inlineStr">
        <is>
          <t>LSO</t>
        </is>
      </c>
      <c r="B102" s="9" t="inlineStr">
        <is>
          <t>Lesotho</t>
        </is>
      </c>
      <c r="C102" s="9" t="n">
        <v>0.005</v>
      </c>
      <c r="D102" s="9" t="n">
        <v>0.005</v>
      </c>
      <c r="E102" s="9" t="n">
        <v>0.01</v>
      </c>
      <c r="F102" s="9" t="n">
        <v>0.005</v>
      </c>
      <c r="G102" s="9" t="n">
        <v>0.005</v>
      </c>
      <c r="H102" s="9" t="n">
        <v>0.01</v>
      </c>
      <c r="I102" s="9" t="n">
        <v>0.005</v>
      </c>
      <c r="J102" s="9" t="n">
        <v>0.005</v>
      </c>
      <c r="K102" s="9" t="n">
        <v>0.01</v>
      </c>
      <c r="L102" s="9" t="n">
        <v>0.01</v>
      </c>
      <c r="M102" s="9" t="n">
        <v>0.005</v>
      </c>
      <c r="N102" s="9" t="n">
        <v>0.00505</v>
      </c>
      <c r="O102" s="9" t="n">
        <v>0.026352</v>
      </c>
      <c r="P102" s="9" t="n">
        <v>0.396714</v>
      </c>
      <c r="Q102" s="9" t="n">
        <v>0.4028937779912101</v>
      </c>
      <c r="R102" s="9" t="n">
        <v>0.08647476360990961</v>
      </c>
      <c r="S102" s="9" t="n">
        <v>0.0992083737222124</v>
      </c>
      <c r="T102" s="9" t="n">
        <v>0.0319243577580451</v>
      </c>
      <c r="U102" s="9" t="n">
        <v>0.000193</v>
      </c>
      <c r="V102" s="9" t="n">
        <v>0.000174</v>
      </c>
      <c r="W102" s="9" t="n">
        <v>0.000555</v>
      </c>
      <c r="X102" s="9" t="n">
        <v>0.0071802926174325</v>
      </c>
      <c r="Y102" s="9" t="n">
        <v>0.0071802926174325</v>
      </c>
      <c r="Z102" s="9" t="n">
        <v>0.009600896271644567</v>
      </c>
      <c r="AA102" s="9" t="n">
        <v>0</v>
      </c>
      <c r="AB102" s="9" t="n">
        <v>0</v>
      </c>
      <c r="AC102" s="9" t="n">
        <v>0</v>
      </c>
      <c r="AD102" s="9" t="n">
        <v>0</v>
      </c>
      <c r="AE102" s="9" t="n">
        <v>0</v>
      </c>
      <c r="AF102" s="9" t="n">
        <v>0.8179999999999999</v>
      </c>
      <c r="AG102" s="9" t="n">
        <v>32.82037048387715</v>
      </c>
      <c r="AH102" s="9" t="n">
        <v>28.373441184</v>
      </c>
      <c r="AI102" s="9" t="n">
        <v>30.99171970237538</v>
      </c>
      <c r="AJ102" s="9" t="n">
        <v>30.15494327041125</v>
      </c>
      <c r="AK102" s="9" t="n">
        <v>0</v>
      </c>
      <c r="AL102" s="9" t="n">
        <v>0</v>
      </c>
      <c r="AM102" s="9" t="n">
        <v>0</v>
      </c>
      <c r="AN102" s="9" t="n">
        <v>0</v>
      </c>
      <c r="AO102" s="9" t="n">
        <v>0</v>
      </c>
      <c r="AP102" s="9" t="n">
        <v>2.634890026377118</v>
      </c>
      <c r="AQ102" s="9" t="n">
        <v>2.380749201000001</v>
      </c>
      <c r="AR102" s="9" t="n">
        <v>2.600442838095128</v>
      </c>
      <c r="AS102" s="9" t="n">
        <v>2.53023088146656</v>
      </c>
      <c r="AT102" s="9" t="n">
        <v>1.509858453869819</v>
      </c>
      <c r="AU102" s="9" t="n">
        <v>1.307269267611726</v>
      </c>
      <c r="AV102" s="9" t="n">
        <v>1.432584986522611</v>
      </c>
      <c r="AW102" s="9" t="n">
        <v>1.543694121968211</v>
      </c>
      <c r="AX102" s="9" t="n">
        <v>1.355247744900329</v>
      </c>
      <c r="AY102" s="9" t="n">
        <v>1.17427933224</v>
      </c>
      <c r="AZ102" s="9" t="n">
        <v>1.285887142193155</v>
      </c>
      <c r="BA102" s="9" t="n">
        <v>1.385618613619851</v>
      </c>
      <c r="BB102" s="9" t="n">
        <v>4.416698123187574</v>
      </c>
      <c r="BC102" s="9" t="n">
        <v>4.566064523502141</v>
      </c>
      <c r="BD102" s="9" t="n">
        <v>3.930725314000001</v>
      </c>
      <c r="BE102" s="9" t="n">
        <v>4.308112508398669</v>
      </c>
      <c r="BF102" s="9" t="n">
        <v>1.039241035211231</v>
      </c>
      <c r="BG102" s="9" t="n">
        <v>0.908756645193352</v>
      </c>
      <c r="BH102" s="9" t="n">
        <v>0.9926159834777186</v>
      </c>
      <c r="BI102" s="9" t="n">
        <v>0.9658153519238196</v>
      </c>
      <c r="BJ102" s="9" t="n">
        <v>0.7171967279187029</v>
      </c>
      <c r="BK102" s="9" t="n">
        <v>0.6428172299999992</v>
      </c>
      <c r="BL102" s="9" t="n">
        <v>0.7021358911957256</v>
      </c>
      <c r="BM102" s="9" t="n">
        <v>0.6831782221334408</v>
      </c>
      <c r="BN102" s="9" t="n">
        <v>0</v>
      </c>
      <c r="BO102" s="9" t="n">
        <v>0</v>
      </c>
      <c r="BP102" s="9" t="n">
        <v>0</v>
      </c>
      <c r="BQ102" s="9" t="n">
        <v>0</v>
      </c>
      <c r="BR102" s="9" t="n">
        <v>0</v>
      </c>
      <c r="BS102" s="9" t="n">
        <v>0</v>
      </c>
      <c r="BT102" s="9" t="n">
        <v>0</v>
      </c>
      <c r="BU102" s="9" t="n">
        <v>0</v>
      </c>
      <c r="BV102" s="9" t="n">
        <v>0</v>
      </c>
      <c r="BW102" s="9" t="n">
        <v>2.339627554822613</v>
      </c>
      <c r="BX102" s="9" t="n">
        <v>2.045969825418289</v>
      </c>
      <c r="BY102" s="9" t="n">
        <v>2.234001316946338</v>
      </c>
      <c r="BZ102" s="9" t="n">
        <v>2.174036015908455</v>
      </c>
      <c r="CA102" s="9" t="n">
        <v>0.4103875804260436</v>
      </c>
      <c r="CB102" s="9" t="n">
        <v>0.7958628329917077</v>
      </c>
      <c r="CC102" s="9" t="n">
        <v>0</v>
      </c>
      <c r="CD102" s="9" t="n">
        <v>0</v>
      </c>
      <c r="CE102" s="9" t="n">
        <v>1.385</v>
      </c>
      <c r="CF102" s="9" t="n">
        <v>1.111</v>
      </c>
      <c r="CG102" s="9" t="n">
        <v>2.514</v>
      </c>
      <c r="CH102" s="9" t="n">
        <v>0.1750898232581757</v>
      </c>
      <c r="CI102" s="9" t="n">
        <v>0</v>
      </c>
      <c r="CJ102" s="9" t="n">
        <v>0.7003592930327028</v>
      </c>
      <c r="CK102" s="9" t="n">
        <v>0</v>
      </c>
      <c r="CL102" s="9" t="n">
        <v>0.7003592930327028</v>
      </c>
      <c r="CM102" s="9" t="n">
        <v>0</v>
      </c>
      <c r="CN102" s="9" t="n">
        <v>0.8754491162908785</v>
      </c>
      <c r="CO102" s="9" t="n">
        <v>0</v>
      </c>
      <c r="CP102" s="9" t="n">
        <v>3.144</v>
      </c>
      <c r="CQ102" s="9" t="n">
        <v>3.144</v>
      </c>
      <c r="CR102" s="9" t="n">
        <v>3</v>
      </c>
      <c r="CS102" s="9" t="n">
        <v>2</v>
      </c>
      <c r="CT102" s="9" t="n">
        <v>0.5</v>
      </c>
      <c r="CU102" s="9" t="n">
        <v>0.3</v>
      </c>
      <c r="CV102" s="9" t="n">
        <v>0.6</v>
      </c>
      <c r="CW102" s="9" t="n">
        <v>0.8</v>
      </c>
      <c r="CX102" s="9" t="n">
        <v>0.8</v>
      </c>
      <c r="CY102" s="9" t="n">
        <v>0.7</v>
      </c>
      <c r="CZ102" s="9" t="n">
        <v>0.5</v>
      </c>
      <c r="DA102" s="9" t="n">
        <v>0.5</v>
      </c>
      <c r="DB102" s="9" t="n">
        <v>1</v>
      </c>
      <c r="DC102" s="9" t="n">
        <v>0.3</v>
      </c>
      <c r="DD102" s="9" t="n">
        <v>0.8</v>
      </c>
      <c r="DE102" s="9" t="n">
        <v>0.3449506037321624</v>
      </c>
      <c r="DF102" s="9" t="n">
        <v>1</v>
      </c>
      <c r="DG102" s="9" t="n">
        <v>7.124</v>
      </c>
      <c r="DH102" s="9" t="n">
        <v>5.575</v>
      </c>
      <c r="DI102" s="9" t="n">
        <v>14.02195</v>
      </c>
      <c r="DJ102" s="9" t="n">
        <v>20.85496816077355</v>
      </c>
      <c r="DK102" s="9" t="n">
        <v>23.80915614471255</v>
      </c>
      <c r="DL102" s="9" t="n">
        <v>17.15314106201428</v>
      </c>
      <c r="DM102" s="9" t="n">
        <v>22.88429509035081</v>
      </c>
      <c r="DN102" s="9" t="n">
        <v>12.815</v>
      </c>
      <c r="DO102" s="9" t="n">
        <v>11.491</v>
      </c>
      <c r="DP102" s="9" t="n">
        <v>23.8694</v>
      </c>
      <c r="DQ102" s="9" t="n">
        <v>13.49474620847193</v>
      </c>
      <c r="DR102" s="9" t="n">
        <v>13.49474620847193</v>
      </c>
      <c r="DS102" s="9" t="n">
        <v>0.105</v>
      </c>
    </row>
    <row r="103">
      <c r="A103" s="9" t="inlineStr">
        <is>
          <t>LTU</t>
        </is>
      </c>
      <c r="B103" s="9" t="inlineStr">
        <is>
          <t>Lithuania</t>
        </is>
      </c>
      <c r="C103" s="9" t="n">
        <v>0.005</v>
      </c>
      <c r="D103" s="9" t="n">
        <v>0.005</v>
      </c>
      <c r="E103" s="9" t="n">
        <v>0.01</v>
      </c>
      <c r="F103" s="9" t="n">
        <v>0.005</v>
      </c>
      <c r="G103" s="9" t="n">
        <v>0.005</v>
      </c>
      <c r="H103" s="9" t="n">
        <v>0.01</v>
      </c>
      <c r="I103" s="9" t="n">
        <v>0.005</v>
      </c>
      <c r="J103" s="9" t="n">
        <v>0.005</v>
      </c>
      <c r="K103" s="9" t="n">
        <v>0.01</v>
      </c>
      <c r="L103" s="9" t="n">
        <v>0.01</v>
      </c>
      <c r="M103" s="9" t="n">
        <v>0.005</v>
      </c>
      <c r="N103" s="9" t="n">
        <v>7.156577</v>
      </c>
      <c r="O103" s="9" t="n">
        <v>0.280756</v>
      </c>
      <c r="P103" s="9" t="n">
        <v>94.043254</v>
      </c>
      <c r="Q103" s="9" t="n">
        <v>8.049563495989696</v>
      </c>
      <c r="R103" s="9" t="n">
        <v>0.6238250556052176</v>
      </c>
      <c r="S103" s="9" t="n">
        <v>10.25645042607617</v>
      </c>
      <c r="T103" s="9" t="n">
        <v>13.03173230406597</v>
      </c>
      <c r="U103" s="9" t="n">
        <v>0.234569</v>
      </c>
      <c r="V103" s="9" t="n">
        <v>0.062206</v>
      </c>
      <c r="W103" s="9" t="n">
        <v>0.159509</v>
      </c>
      <c r="X103" s="9" t="n">
        <v>4.00178702529917</v>
      </c>
      <c r="Y103" s="9" t="n">
        <v>4.00178702529917</v>
      </c>
      <c r="Z103" s="9" t="n">
        <v>0.7188968409364008</v>
      </c>
      <c r="AA103" s="9" t="n">
        <v>1.68</v>
      </c>
      <c r="AB103" s="9" t="n">
        <v>3.3</v>
      </c>
      <c r="AC103" s="9" t="n">
        <v>2.51</v>
      </c>
      <c r="AD103" s="9" t="n">
        <v>0</v>
      </c>
      <c r="AE103" s="9" t="n">
        <v>0</v>
      </c>
      <c r="AF103" s="9" t="n">
        <v>15.167</v>
      </c>
      <c r="AG103" s="9" t="n">
        <v>5.256220406070576</v>
      </c>
      <c r="AH103" s="9" t="n">
        <v>4.54006125</v>
      </c>
      <c r="AI103" s="9" t="n">
        <v>4.407642796875</v>
      </c>
      <c r="AJ103" s="9" t="n">
        <v>4.4957956528125</v>
      </c>
      <c r="AK103" s="9" t="n">
        <v>0</v>
      </c>
      <c r="AL103" s="9" t="n">
        <v>3.408086644750596</v>
      </c>
      <c r="AM103" s="9" t="n">
        <v>3.072859992</v>
      </c>
      <c r="AN103" s="9" t="n">
        <v>2.9832349089</v>
      </c>
      <c r="AO103" s="9" t="n">
        <v>3.042899607077999</v>
      </c>
      <c r="AP103" s="9" t="n">
        <v>69.35048636698268</v>
      </c>
      <c r="AQ103" s="9" t="n">
        <v>68.37836142</v>
      </c>
      <c r="AR103" s="9" t="n">
        <v>66.38399254525001</v>
      </c>
      <c r="AS103" s="9" t="n">
        <v>67.71167239615504</v>
      </c>
      <c r="AT103" s="9" t="n">
        <v>24.21241724778508</v>
      </c>
      <c r="AU103" s="9" t="n">
        <v>27.8787623904</v>
      </c>
      <c r="AV103" s="9" t="n">
        <v>27.12940474115501</v>
      </c>
      <c r="AW103" s="9" t="n">
        <v>26.18515383400601</v>
      </c>
      <c r="AX103" s="9" t="n">
        <v>10.65511586072407</v>
      </c>
      <c r="AY103" s="9" t="n">
        <v>12.2763591144</v>
      </c>
      <c r="AZ103" s="9" t="n">
        <v>11.9412212386317</v>
      </c>
      <c r="BA103" s="9" t="n">
        <v>11.52505472089196</v>
      </c>
      <c r="BB103" s="9" t="n">
        <v>10.31385285757077</v>
      </c>
      <c r="BC103" s="9" t="n">
        <v>9.96480884</v>
      </c>
      <c r="BD103" s="9" t="n">
        <v>10.99459044068802</v>
      </c>
      <c r="BE103" s="9" t="n">
        <v>9.86765195381</v>
      </c>
      <c r="BF103" s="9" t="n">
        <v>0</v>
      </c>
      <c r="BG103" s="9" t="n">
        <v>0</v>
      </c>
      <c r="BH103" s="9" t="n">
        <v>0</v>
      </c>
      <c r="BI103" s="9" t="n">
        <v>0</v>
      </c>
      <c r="BJ103" s="9" t="n">
        <v>1.099476929518296</v>
      </c>
      <c r="BK103" s="9" t="n">
        <v>1.127860009999999</v>
      </c>
      <c r="BL103" s="9" t="n">
        <v>1.094964093041665</v>
      </c>
      <c r="BM103" s="9" t="n">
        <v>1.116863374902498</v>
      </c>
      <c r="BN103" s="9" t="n">
        <v>21.7808394299083</v>
      </c>
      <c r="BO103" s="9" t="n">
        <v>16.068603456</v>
      </c>
      <c r="BP103" s="9" t="n">
        <v>15.5999358552</v>
      </c>
      <c r="BQ103" s="9" t="n">
        <v>15.911934572304</v>
      </c>
      <c r="BR103" s="9" t="n">
        <v>7.029958151354767</v>
      </c>
      <c r="BS103" s="9" t="n">
        <v>27.92211839437505</v>
      </c>
      <c r="BT103" s="9" t="n">
        <v>17.1620993196</v>
      </c>
      <c r="BU103" s="9" t="n">
        <v>16.661538089445</v>
      </c>
      <c r="BV103" s="9" t="n">
        <v>16.9947688512339</v>
      </c>
      <c r="BW103" s="9" t="n">
        <v>31.09564929822963</v>
      </c>
      <c r="BX103" s="9" t="n">
        <v>27.8728318048212</v>
      </c>
      <c r="BY103" s="9" t="n">
        <v>29.34929108691112</v>
      </c>
      <c r="BZ103" s="9" t="n">
        <v>29.60574230559608</v>
      </c>
      <c r="CA103" s="9" t="n">
        <v>1.01825814169332</v>
      </c>
      <c r="CB103" s="9" t="n">
        <v>9.685425863474764</v>
      </c>
      <c r="CC103" s="9" t="n">
        <v>0.064</v>
      </c>
      <c r="CD103" s="9" t="n">
        <v>0.9458716141884465</v>
      </c>
      <c r="CE103" s="9" t="n">
        <v>2.858</v>
      </c>
      <c r="CF103" s="9" t="n">
        <v>2.912</v>
      </c>
      <c r="CG103" s="9" t="n">
        <v>85.482</v>
      </c>
      <c r="CH103" s="9" t="n">
        <v>1.24</v>
      </c>
      <c r="CI103" s="9" t="n">
        <v>0</v>
      </c>
      <c r="CJ103" s="9" t="n">
        <v>1.99</v>
      </c>
      <c r="CK103" s="9" t="n">
        <v>1.48</v>
      </c>
      <c r="CL103" s="9" t="n">
        <v>0.51</v>
      </c>
      <c r="CM103" s="9" t="n">
        <v>1.67</v>
      </c>
      <c r="CN103" s="9" t="n">
        <v>8.880000000000001</v>
      </c>
      <c r="CO103" s="9" t="n">
        <v>3.98</v>
      </c>
      <c r="CP103" s="9" t="n">
        <v>21.85</v>
      </c>
      <c r="CQ103" s="9" t="n">
        <v>15.603</v>
      </c>
      <c r="CR103" s="9" t="n">
        <v>1</v>
      </c>
      <c r="CS103" s="9" t="n">
        <v>4</v>
      </c>
      <c r="CT103" s="9" t="n">
        <v>0.5</v>
      </c>
      <c r="CU103" s="9" t="n">
        <v>0.3</v>
      </c>
      <c r="CV103" s="9" t="n">
        <v>0.6</v>
      </c>
      <c r="CW103" s="9" t="n">
        <v>0.8</v>
      </c>
      <c r="CX103" s="9" t="n">
        <v>0.8</v>
      </c>
      <c r="CY103" s="9" t="n">
        <v>0.7</v>
      </c>
      <c r="CZ103" s="9" t="n">
        <v>0.5</v>
      </c>
      <c r="DA103" s="9" t="n">
        <v>0.5</v>
      </c>
      <c r="DB103" s="9" t="n">
        <v>1</v>
      </c>
      <c r="DC103" s="9" t="n">
        <v>0.3</v>
      </c>
      <c r="DD103" s="9" t="n">
        <v>0.8</v>
      </c>
      <c r="DE103" s="9" t="n">
        <v>0.5410013480415424</v>
      </c>
      <c r="DF103" s="9" t="n">
        <v>3</v>
      </c>
      <c r="DG103" s="9" t="n">
        <v>6.662</v>
      </c>
      <c r="DH103" s="9" t="n">
        <v>5.582</v>
      </c>
      <c r="DI103" s="9" t="n">
        <v>14.26953</v>
      </c>
      <c r="DJ103" s="9" t="n">
        <v>22.4819339973868</v>
      </c>
      <c r="DK103" s="9" t="n">
        <v>25.03032621918264</v>
      </c>
      <c r="DL103" s="9" t="n">
        <v>15.65611451797798</v>
      </c>
      <c r="DM103" s="9" t="n">
        <v>20.71910213611198</v>
      </c>
      <c r="DN103" s="9" t="n">
        <v>12.917</v>
      </c>
      <c r="DO103" s="9" t="n">
        <v>12.917</v>
      </c>
      <c r="DP103" s="9" t="n">
        <v>22.03652</v>
      </c>
      <c r="DQ103" s="9" t="n">
        <v>13.49474620847193</v>
      </c>
      <c r="DR103" s="9" t="n">
        <v>13.49474620847193</v>
      </c>
      <c r="DS103" s="9" t="n">
        <v>0.095</v>
      </c>
    </row>
    <row r="104">
      <c r="A104" s="9" t="inlineStr">
        <is>
          <t>LUX</t>
        </is>
      </c>
      <c r="B104" s="9" t="inlineStr">
        <is>
          <t>Luxembourg</t>
        </is>
      </c>
      <c r="C104" s="9" t="n">
        <v>0.005</v>
      </c>
      <c r="D104" s="9" t="n">
        <v>0.005</v>
      </c>
      <c r="E104" s="9" t="n">
        <v>0.01</v>
      </c>
      <c r="F104" s="9" t="n">
        <v>0.005</v>
      </c>
      <c r="G104" s="9" t="n">
        <v>0.005</v>
      </c>
      <c r="H104" s="9" t="n">
        <v>0.01</v>
      </c>
      <c r="I104" s="9" t="n">
        <v>0.005</v>
      </c>
      <c r="J104" s="9" t="n">
        <v>0.005</v>
      </c>
      <c r="K104" s="9" t="n">
        <v>0.01</v>
      </c>
      <c r="L104" s="9" t="n">
        <v>0.01</v>
      </c>
      <c r="M104" s="9" t="n">
        <v>0.005</v>
      </c>
      <c r="N104" s="9" t="n">
        <v>1.748022</v>
      </c>
      <c r="O104" s="9" t="n">
        <v>0.211374</v>
      </c>
      <c r="P104" s="9" t="n">
        <v>26.726443</v>
      </c>
      <c r="Q104" s="9" t="n">
        <v>0.538621736475937</v>
      </c>
      <c r="R104" s="9" t="n">
        <v>0.1865898917178109</v>
      </c>
      <c r="S104" s="9" t="n">
        <v>1.821433952474809</v>
      </c>
      <c r="T104" s="9" t="n">
        <v>1.681478809350839</v>
      </c>
      <c r="U104" s="9" t="n">
        <v>0.129087</v>
      </c>
      <c r="V104" s="9" t="n">
        <v>0.048576</v>
      </c>
      <c r="W104" s="9" t="n">
        <v>0.041763</v>
      </c>
      <c r="X104" s="9" t="n">
        <v>5.527665534793753</v>
      </c>
      <c r="Y104" s="9" t="n">
        <v>5.527665534793753</v>
      </c>
      <c r="Z104" s="9" t="n">
        <v>0.7842419247444052</v>
      </c>
      <c r="AA104" s="9" t="n">
        <v>0.01</v>
      </c>
      <c r="AB104" s="9" t="n">
        <v>0.77</v>
      </c>
      <c r="AC104" s="9" t="n">
        <v>0.23</v>
      </c>
      <c r="AD104" s="9" t="n">
        <v>0</v>
      </c>
      <c r="AE104" s="9" t="n">
        <v>0</v>
      </c>
      <c r="AF104" s="9" t="n">
        <v>7.855</v>
      </c>
      <c r="AG104" s="9" t="n">
        <v>1.619244197779199</v>
      </c>
      <c r="AH104" s="9" t="n">
        <v>1.6361428248</v>
      </c>
      <c r="AI104" s="9" t="n">
        <v>1.450973009866286</v>
      </c>
      <c r="AJ104" s="9" t="n">
        <v>1.391483116461768</v>
      </c>
      <c r="AK104" s="9" t="n">
        <v>0</v>
      </c>
      <c r="AL104" s="9" t="n">
        <v>0.0134688000162528</v>
      </c>
      <c r="AM104" s="9" t="n">
        <v>0.0145784376</v>
      </c>
      <c r="AN104" s="9" t="n">
        <v>0.0129285287097142</v>
      </c>
      <c r="AO104" s="9" t="n">
        <v>0.0123984590326159</v>
      </c>
      <c r="AP104" s="9" t="n">
        <v>47.58234868545235</v>
      </c>
      <c r="AQ104" s="9" t="n">
        <v>54.63750362999999</v>
      </c>
      <c r="AR104" s="9" t="n">
        <v>48.45392583822381</v>
      </c>
      <c r="AS104" s="9" t="n">
        <v>46.46731487885664</v>
      </c>
      <c r="AT104" s="9" t="n">
        <v>17.94635654821208</v>
      </c>
      <c r="AU104" s="9" t="n">
        <v>19.628304552</v>
      </c>
      <c r="AV104" s="9" t="n">
        <v>17.57121917016764</v>
      </c>
      <c r="AW104" s="9" t="n">
        <v>17.740426916695</v>
      </c>
      <c r="AX104" s="9" t="n">
        <v>3.08949876180397</v>
      </c>
      <c r="AY104" s="9" t="n">
        <v>3.3859782036</v>
      </c>
      <c r="AZ104" s="9" t="n">
        <v>3.022800469518217</v>
      </c>
      <c r="BA104" s="9" t="n">
        <v>3.053770072776353</v>
      </c>
      <c r="BB104" s="9" t="n">
        <v>11.85796863271536</v>
      </c>
      <c r="BC104" s="9" t="n">
        <v>13.58129421</v>
      </c>
      <c r="BD104" s="9" t="n">
        <v>13.7976281</v>
      </c>
      <c r="BE104" s="9" t="n">
        <v>11.5504229254711</v>
      </c>
      <c r="BF104" s="9" t="n">
        <v>0.0328947980235672</v>
      </c>
      <c r="BG104" s="9" t="n">
        <v>0.0368573843847935</v>
      </c>
      <c r="BH104" s="9" t="n">
        <v>0.0326860645329906</v>
      </c>
      <c r="BI104" s="9" t="n">
        <v>0.031345935887138</v>
      </c>
      <c r="BJ104" s="9" t="n">
        <v>0.0082805099168408</v>
      </c>
      <c r="BK104" s="9" t="n">
        <v>0.009758509999999899</v>
      </c>
      <c r="BL104" s="9" t="n">
        <v>0.0086540945031745</v>
      </c>
      <c r="BM104" s="9" t="n">
        <v>0.0082992766285444</v>
      </c>
      <c r="BN104" s="9" t="n">
        <v>12.1850220695104</v>
      </c>
      <c r="BO104" s="9" t="n">
        <v>10.7274482676</v>
      </c>
      <c r="BP104" s="9" t="n">
        <v>9.513373566838286</v>
      </c>
      <c r="BQ104" s="9" t="n">
        <v>9.123325250597915</v>
      </c>
      <c r="BR104" s="9" t="n">
        <v>2.183576912710309</v>
      </c>
      <c r="BS104" s="9" t="n">
        <v>15.48324529277758</v>
      </c>
      <c r="BT104" s="9" t="n">
        <v>15.0902487792</v>
      </c>
      <c r="BU104" s="9" t="n">
        <v>13.382415861808</v>
      </c>
      <c r="BV104" s="9" t="n">
        <v>12.83373681147387</v>
      </c>
      <c r="BW104" s="9" t="n">
        <v>11.05921475742492</v>
      </c>
      <c r="BX104" s="9" t="n">
        <v>12.52196678718381</v>
      </c>
      <c r="BY104" s="9" t="n">
        <v>11.10478993345848</v>
      </c>
      <c r="BZ104" s="9" t="n">
        <v>10.64949354618667</v>
      </c>
      <c r="CA104" s="9" t="n">
        <v>0.8830395770792246</v>
      </c>
      <c r="CB104" s="9" t="n">
        <v>5.843293141671124</v>
      </c>
      <c r="CC104" s="9" t="n">
        <v>0.103</v>
      </c>
      <c r="CD104" s="9" t="n">
        <v>1.869342778433688</v>
      </c>
      <c r="CE104" s="9" t="n">
        <v>0.638</v>
      </c>
      <c r="CF104" s="9" t="n">
        <v>1.592</v>
      </c>
      <c r="CG104" s="9" t="n">
        <v>93.252</v>
      </c>
      <c r="CH104" s="9" t="n">
        <v>0.47</v>
      </c>
      <c r="CI104" s="9" t="n">
        <v>0</v>
      </c>
      <c r="CJ104" s="9" t="n">
        <v>0.13</v>
      </c>
      <c r="CK104" s="9" t="n">
        <v>0.06</v>
      </c>
      <c r="CL104" s="9" t="n">
        <v>0.07000000000000001</v>
      </c>
      <c r="CM104" s="9" t="n">
        <v>0.47</v>
      </c>
      <c r="CN104" s="9" t="n">
        <v>1.54</v>
      </c>
      <c r="CO104" s="9" t="n">
        <v>0.47</v>
      </c>
      <c r="CP104" s="9" t="n">
        <v>8.861000000000001</v>
      </c>
      <c r="CQ104" s="9" t="n">
        <v>8.247</v>
      </c>
      <c r="CR104" s="9" t="n">
        <v>1</v>
      </c>
      <c r="CS104" s="9" t="n">
        <v>4</v>
      </c>
      <c r="CT104" s="9" t="n">
        <v>0.5</v>
      </c>
      <c r="CU104" s="9" t="n">
        <v>0.3</v>
      </c>
      <c r="CV104" s="9" t="n">
        <v>0.6</v>
      </c>
      <c r="CW104" s="9" t="n">
        <v>0.8</v>
      </c>
      <c r="CX104" s="9" t="n">
        <v>0.8</v>
      </c>
      <c r="CY104" s="9" t="n">
        <v>0.7</v>
      </c>
      <c r="CZ104" s="9" t="n">
        <v>0.5</v>
      </c>
      <c r="DA104" s="9" t="n">
        <v>0.5</v>
      </c>
      <c r="DB104" s="9" t="n">
        <v>1</v>
      </c>
      <c r="DC104" s="9" t="n">
        <v>0.3</v>
      </c>
      <c r="DD104" s="9" t="n">
        <v>0.8</v>
      </c>
      <c r="DE104" s="9" t="n">
        <v>0.925137403519911</v>
      </c>
      <c r="DF104" s="9" t="n">
        <v>3</v>
      </c>
      <c r="DG104" s="9" t="n">
        <v>7.109</v>
      </c>
      <c r="DH104" s="9" t="n">
        <v>20.108</v>
      </c>
      <c r="DI104" s="9" t="n">
        <v>31.25538</v>
      </c>
      <c r="DJ104" s="9" t="n">
        <v>22.40468542994418</v>
      </c>
      <c r="DK104" s="9" t="n">
        <v>24.22322842549016</v>
      </c>
      <c r="DL104" s="9" t="n">
        <v>18.31765398603424</v>
      </c>
      <c r="DM104" s="9" t="n">
        <v>19.96986887961545</v>
      </c>
      <c r="DN104" s="9" t="n">
        <v>20.004</v>
      </c>
      <c r="DO104" s="9" t="n">
        <v>20.004</v>
      </c>
      <c r="DP104" s="9" t="n">
        <v>29.59866</v>
      </c>
      <c r="DQ104" s="9" t="n">
        <v>13.49474620847193</v>
      </c>
      <c r="DR104" s="9" t="n">
        <v>13.49474620847193</v>
      </c>
      <c r="DS104" s="9" t="n">
        <v>0.055</v>
      </c>
    </row>
    <row r="105">
      <c r="A105" s="9" t="inlineStr">
        <is>
          <t>LVA</t>
        </is>
      </c>
      <c r="B105" s="9" t="inlineStr">
        <is>
          <t>Latvia</t>
        </is>
      </c>
      <c r="C105" s="9" t="n">
        <v>0.005</v>
      </c>
      <c r="D105" s="9" t="n">
        <v>0.005</v>
      </c>
      <c r="E105" s="9" t="n">
        <v>0.01</v>
      </c>
      <c r="F105" s="9" t="n">
        <v>0.005</v>
      </c>
      <c r="G105" s="9" t="n">
        <v>0.005</v>
      </c>
      <c r="H105" s="9" t="n">
        <v>0.01</v>
      </c>
      <c r="I105" s="9" t="n">
        <v>0.005</v>
      </c>
      <c r="J105" s="9" t="n">
        <v>0.005</v>
      </c>
      <c r="K105" s="9" t="n">
        <v>0.01</v>
      </c>
      <c r="L105" s="9" t="n">
        <v>0.01</v>
      </c>
      <c r="M105" s="9" t="n">
        <v>0.005</v>
      </c>
      <c r="N105" s="9" t="n">
        <v>5.466355</v>
      </c>
      <c r="O105" s="9" t="n">
        <v>1.3e-05</v>
      </c>
      <c r="P105" s="9" t="n">
        <v>73.313548</v>
      </c>
      <c r="Q105" s="9" t="n">
        <v>8.228701878177857</v>
      </c>
      <c r="R105" s="9" t="n">
        <v>0.7990336788320417</v>
      </c>
      <c r="S105" s="9" t="n">
        <v>7.789009690800329</v>
      </c>
      <c r="T105" s="9" t="n">
        <v>7.663513841740789</v>
      </c>
      <c r="U105" s="9" t="n">
        <v>0.776454</v>
      </c>
      <c r="V105" s="9" t="n">
        <v>0.034345</v>
      </c>
      <c r="W105" s="9" t="n">
        <v>0.123828</v>
      </c>
      <c r="X105" s="9" t="n">
        <v>3.320114681956894</v>
      </c>
      <c r="Y105" s="9" t="n">
        <v>3.320114681956894</v>
      </c>
      <c r="Z105" s="9" t="n">
        <v>0.369935591576126</v>
      </c>
      <c r="AA105" s="9" t="n">
        <v>1.07</v>
      </c>
      <c r="AB105" s="9" t="n">
        <v>0.92</v>
      </c>
      <c r="AC105" s="9" t="n">
        <v>0.13</v>
      </c>
      <c r="AD105" s="9" t="n">
        <v>0</v>
      </c>
      <c r="AE105" s="9" t="n">
        <v>0</v>
      </c>
      <c r="AF105" s="9" t="n">
        <v>7.301</v>
      </c>
      <c r="AG105" s="9" t="n">
        <v>0.6570337155770211</v>
      </c>
      <c r="AH105" s="9" t="n">
        <v>0.5927336496</v>
      </c>
      <c r="AI105" s="9" t="n">
        <v>0.5676564567323077</v>
      </c>
      <c r="AJ105" s="9" t="n">
        <v>0.5925896749472422</v>
      </c>
      <c r="AK105" s="9" t="n">
        <v>0</v>
      </c>
      <c r="AL105" s="9" t="n">
        <v>0.2029333028405427</v>
      </c>
      <c r="AM105" s="9" t="n">
        <v>0.1824649308</v>
      </c>
      <c r="AN105" s="9" t="n">
        <v>0.1747452606507692</v>
      </c>
      <c r="AO105" s="9" t="n">
        <v>0.1824206101762761</v>
      </c>
      <c r="AP105" s="9" t="n">
        <v>34.67042424509442</v>
      </c>
      <c r="AQ105" s="9" t="n">
        <v>34.21680957</v>
      </c>
      <c r="AR105" s="9" t="n">
        <v>32.76917531896152</v>
      </c>
      <c r="AS105" s="9" t="n">
        <v>34.20849832720208</v>
      </c>
      <c r="AT105" s="9" t="n">
        <v>15.88768390811841</v>
      </c>
      <c r="AU105" s="9" t="n">
        <v>17.7947750412</v>
      </c>
      <c r="AV105" s="9" t="n">
        <v>15.49097492370519</v>
      </c>
      <c r="AW105" s="9" t="n">
        <v>16.07609404526589</v>
      </c>
      <c r="AX105" s="9" t="n">
        <v>5.940077587563291</v>
      </c>
      <c r="AY105" s="9" t="n">
        <v>6.4655663832</v>
      </c>
      <c r="AZ105" s="9" t="n">
        <v>5.79162793676818</v>
      </c>
      <c r="BA105" s="9" t="n">
        <v>6.010945409015273</v>
      </c>
      <c r="BB105" s="9" t="n">
        <v>7.122301902471955</v>
      </c>
      <c r="BC105" s="9" t="n">
        <v>6.96210027305932</v>
      </c>
      <c r="BD105" s="9" t="n">
        <v>5.996519290505916</v>
      </c>
      <c r="BE105" s="9" t="n">
        <v>6.960421287022492</v>
      </c>
      <c r="BF105" s="9" t="n">
        <v>0</v>
      </c>
      <c r="BG105" s="9" t="n">
        <v>0</v>
      </c>
      <c r="BH105" s="9" t="n">
        <v>0</v>
      </c>
      <c r="BI105" s="9" t="n">
        <v>0</v>
      </c>
      <c r="BJ105" s="9" t="n">
        <v>0.7154182283561263</v>
      </c>
      <c r="BK105" s="9" t="n">
        <v>0.7027095555555544</v>
      </c>
      <c r="BL105" s="9" t="n">
        <v>0.6729795358974348</v>
      </c>
      <c r="BM105" s="9" t="n">
        <v>0.7025388678203143</v>
      </c>
      <c r="BN105" s="9" t="n">
        <v>13.17409883016051</v>
      </c>
      <c r="BO105" s="9" t="n">
        <v>12.0764519748</v>
      </c>
      <c r="BP105" s="9" t="n">
        <v>11.56552516048154</v>
      </c>
      <c r="BQ105" s="9" t="n">
        <v>12.07351861176115</v>
      </c>
      <c r="BR105" s="9" t="n">
        <v>12.15758019819567</v>
      </c>
      <c r="BS105" s="9" t="n">
        <v>12.92357836579839</v>
      </c>
      <c r="BT105" s="9" t="n">
        <v>11.9941185528</v>
      </c>
      <c r="BU105" s="9" t="n">
        <v>11.48667507556616</v>
      </c>
      <c r="BV105" s="9" t="n">
        <v>11.99120518850064</v>
      </c>
      <c r="BW105" s="9" t="n">
        <v>14.47069116374792</v>
      </c>
      <c r="BX105" s="9" t="n">
        <v>14.01318078405476</v>
      </c>
      <c r="BY105" s="9" t="n">
        <v>13.39465025030718</v>
      </c>
      <c r="BZ105" s="9" t="n">
        <v>14.00977745368097</v>
      </c>
      <c r="CA105" s="9" t="n">
        <v>1.009807707987297</v>
      </c>
      <c r="CB105" s="9" t="n">
        <v>6.063267082133805</v>
      </c>
      <c r="CC105" s="9" t="n">
        <v>0.346</v>
      </c>
      <c r="CD105" s="9" t="n">
        <v>-0.5528732367698564</v>
      </c>
      <c r="CE105" s="9" t="n">
        <v>2.138</v>
      </c>
      <c r="CF105" s="9" t="n">
        <v>2.218</v>
      </c>
      <c r="CG105" s="9" t="n">
        <v>43.988</v>
      </c>
      <c r="CH105" s="9" t="n">
        <v>3.63</v>
      </c>
      <c r="CI105" s="9" t="n">
        <v>0</v>
      </c>
      <c r="CJ105" s="9" t="n">
        <v>1.65</v>
      </c>
      <c r="CK105" s="9" t="n">
        <v>1.65</v>
      </c>
      <c r="CL105" s="9" t="n">
        <v>0</v>
      </c>
      <c r="CM105" s="9" t="n">
        <v>0.82</v>
      </c>
      <c r="CN105" s="9" t="n">
        <v>6.3</v>
      </c>
      <c r="CO105" s="9" t="n">
        <v>0.23</v>
      </c>
      <c r="CP105" s="9" t="n">
        <v>10.85</v>
      </c>
      <c r="CQ105" s="9" t="n">
        <v>12.693</v>
      </c>
      <c r="CR105" s="9" t="n">
        <v>1</v>
      </c>
      <c r="CS105" s="9" t="n">
        <v>4</v>
      </c>
      <c r="CT105" s="9" t="n">
        <v>0.5</v>
      </c>
      <c r="CU105" s="9" t="n">
        <v>0.3</v>
      </c>
      <c r="CV105" s="9" t="n">
        <v>0.6</v>
      </c>
      <c r="CW105" s="9" t="n">
        <v>0.8</v>
      </c>
      <c r="CX105" s="9" t="n">
        <v>0.8</v>
      </c>
      <c r="CY105" s="9" t="n">
        <v>0.7</v>
      </c>
      <c r="CZ105" s="9" t="n">
        <v>0.5</v>
      </c>
      <c r="DA105" s="9" t="n">
        <v>0.5</v>
      </c>
      <c r="DB105" s="9" t="n">
        <v>1</v>
      </c>
      <c r="DC105" s="9" t="n">
        <v>0.3</v>
      </c>
      <c r="DD105" s="9" t="n">
        <v>0.8</v>
      </c>
      <c r="DE105" s="9" t="n">
        <v>0.570746454567866</v>
      </c>
      <c r="DF105" s="9" t="n">
        <v>3</v>
      </c>
      <c r="DG105" s="9" t="n">
        <v>17.287</v>
      </c>
      <c r="DH105" s="9" t="n">
        <v>10.254</v>
      </c>
      <c r="DI105" s="9" t="n">
        <v>15.72637</v>
      </c>
      <c r="DJ105" s="9" t="n">
        <v>21.89831986376796</v>
      </c>
      <c r="DK105" s="9" t="n">
        <v>24.88582986319029</v>
      </c>
      <c r="DL105" s="9" t="n">
        <v>15.65611451797798</v>
      </c>
      <c r="DM105" s="9" t="n">
        <v>20.8305464615541</v>
      </c>
      <c r="DN105" s="9" t="n">
        <v>25.808</v>
      </c>
      <c r="DO105" s="9" t="n">
        <v>25.808</v>
      </c>
      <c r="DP105" s="9" t="n">
        <v>31.22768</v>
      </c>
      <c r="DQ105" s="9" t="n">
        <v>13.49474620847193</v>
      </c>
      <c r="DR105" s="9" t="n">
        <v>13.49474620847193</v>
      </c>
      <c r="DS105" s="9" t="n">
        <v>0.1059</v>
      </c>
    </row>
    <row r="106">
      <c r="A106" s="9" t="inlineStr">
        <is>
          <t>MAC</t>
        </is>
      </c>
      <c r="B106" s="9" t="inlineStr">
        <is>
          <t>Macao SAR, China</t>
        </is>
      </c>
      <c r="C106" s="9" t="n">
        <v>0.005</v>
      </c>
      <c r="D106" s="9" t="n">
        <v>0.005</v>
      </c>
      <c r="E106" s="9" t="n">
        <v>0.01</v>
      </c>
      <c r="F106" s="9" t="n">
        <v>0.005</v>
      </c>
      <c r="G106" s="9" t="n">
        <v>0.005</v>
      </c>
      <c r="H106" s="9" t="n">
        <v>0.01</v>
      </c>
      <c r="I106" s="9" t="n">
        <v>0.005</v>
      </c>
      <c r="J106" s="9" t="n">
        <v>0.005</v>
      </c>
      <c r="K106" s="9" t="n">
        <v>0.01</v>
      </c>
      <c r="L106" s="9" t="n">
        <v>0.01</v>
      </c>
      <c r="M106" s="9" t="n">
        <v>0.005</v>
      </c>
      <c r="N106" s="9" t="n">
        <v>0</v>
      </c>
      <c r="O106" s="9" t="n">
        <v>0</v>
      </c>
      <c r="P106" s="9" t="n">
        <v>0</v>
      </c>
      <c r="Q106" s="9" t="n">
        <v>0</v>
      </c>
      <c r="R106" s="9" t="n">
        <v>0</v>
      </c>
      <c r="S106" s="9" t="n">
        <v>0</v>
      </c>
      <c r="T106" s="9" t="n">
        <v>0</v>
      </c>
      <c r="U106" s="9" t="n">
        <v>0</v>
      </c>
      <c r="V106" s="9" t="n">
        <v>0</v>
      </c>
      <c r="W106" s="9" t="n">
        <v>0</v>
      </c>
      <c r="X106" s="9" t="n">
        <v>0</v>
      </c>
      <c r="Y106" s="9" t="n">
        <v>0</v>
      </c>
      <c r="Z106" s="9" t="n">
        <v>0.4160135470695696</v>
      </c>
      <c r="AA106" s="9" t="n">
        <v>0.41</v>
      </c>
      <c r="AB106" s="9" t="n">
        <v>0</v>
      </c>
      <c r="AC106" s="9" t="n">
        <v>0</v>
      </c>
      <c r="AD106" s="9" t="n">
        <v>0</v>
      </c>
      <c r="AE106" s="9" t="n">
        <v>0</v>
      </c>
      <c r="AF106" s="9" t="n">
        <v>2.426</v>
      </c>
      <c r="AG106" s="9" t="n">
        <v>0</v>
      </c>
      <c r="AH106" s="9" t="n">
        <v>0</v>
      </c>
      <c r="AI106" s="9" t="n">
        <v>0</v>
      </c>
      <c r="AJ106" s="9" t="n">
        <v>0</v>
      </c>
      <c r="AK106" s="9" t="n">
        <v>0</v>
      </c>
      <c r="AL106" s="9" t="n">
        <v>0</v>
      </c>
      <c r="AM106" s="9" t="n">
        <v>0</v>
      </c>
      <c r="AN106" s="9" t="n">
        <v>0</v>
      </c>
      <c r="AO106" s="9" t="n">
        <v>0</v>
      </c>
      <c r="AP106" s="9" t="n">
        <v>1.717273170804117</v>
      </c>
      <c r="AQ106" s="9" t="n">
        <v>1.5766551</v>
      </c>
      <c r="AR106" s="9" t="n">
        <v>1.6381446489</v>
      </c>
      <c r="AS106" s="9" t="n">
        <v>1.584532642208727</v>
      </c>
      <c r="AT106" s="9" t="n">
        <v>19.12523530484963</v>
      </c>
      <c r="AU106" s="9" t="n">
        <v>15.1194810168</v>
      </c>
      <c r="AV106" s="9" t="n">
        <v>13.69922522164794</v>
      </c>
      <c r="AW106" s="9" t="n">
        <v>17.80664786179469</v>
      </c>
      <c r="AX106" s="9" t="n">
        <v>5.8892654030805</v>
      </c>
      <c r="AY106" s="9" t="n">
        <v>4.517012916000001</v>
      </c>
      <c r="AZ106" s="9" t="n">
        <v>4.219102380867724</v>
      </c>
      <c r="BA106" s="9" t="n">
        <v>5.483376165383996</v>
      </c>
      <c r="BB106" s="9" t="n">
        <v>3.647136096504801</v>
      </c>
      <c r="BC106" s="9" t="n">
        <v>3.878485634696739</v>
      </c>
      <c r="BD106" s="9" t="n">
        <v>2.95972007293701</v>
      </c>
      <c r="BE106" s="9" t="n">
        <v>3.340512651131956</v>
      </c>
      <c r="BF106" s="9" t="n">
        <v>0</v>
      </c>
      <c r="BG106" s="9" t="n">
        <v>0</v>
      </c>
      <c r="BH106" s="9" t="n">
        <v>0</v>
      </c>
      <c r="BI106" s="9" t="n">
        <v>0</v>
      </c>
      <c r="BJ106" s="9" t="n">
        <v>0.759895784425315</v>
      </c>
      <c r="BK106" s="9" t="n">
        <v>0.7068115015974437</v>
      </c>
      <c r="BL106" s="9" t="n">
        <v>0.7343771501597438</v>
      </c>
      <c r="BM106" s="9" t="n">
        <v>0.7103429888817887</v>
      </c>
      <c r="BN106" s="9" t="n">
        <v>0.2279427204300307</v>
      </c>
      <c r="BO106" s="9" t="n">
        <v>0.20249918748</v>
      </c>
      <c r="BP106" s="9" t="n">
        <v>0.2103966557917199</v>
      </c>
      <c r="BQ106" s="9" t="n">
        <v>0.2035109470567182</v>
      </c>
      <c r="BR106" s="9" t="n">
        <v>2.984886304471324</v>
      </c>
      <c r="BS106" s="9" t="n">
        <v>0.5398322822876945</v>
      </c>
      <c r="BT106" s="9" t="n">
        <v>0.44099857476</v>
      </c>
      <c r="BU106" s="9" t="n">
        <v>0.45819751917564</v>
      </c>
      <c r="BV106" s="9" t="n">
        <v>0.4432019640026191</v>
      </c>
      <c r="BW106" s="9" t="n">
        <v>4.92982011602289</v>
      </c>
      <c r="BX106" s="9" t="n">
        <v>4.732348128059412</v>
      </c>
      <c r="BY106" s="9" t="n">
        <v>4.68923865147092</v>
      </c>
      <c r="BZ106" s="9" t="n">
        <v>4.559140143734621</v>
      </c>
      <c r="CA106" s="9" t="n">
        <v>0.7515464878799007</v>
      </c>
      <c r="CB106" s="9" t="n">
        <v>6.948472418869481</v>
      </c>
      <c r="CC106" s="9" t="n">
        <v>0.388</v>
      </c>
      <c r="CD106" s="9" t="n">
        <v>-3.743589743589745</v>
      </c>
      <c r="CE106" s="9" t="n">
        <v>4.671</v>
      </c>
      <c r="CF106" s="9" t="n">
        <v>2.993</v>
      </c>
      <c r="CG106" s="9" t="n">
        <v>49.467</v>
      </c>
      <c r="CH106" s="9" t="n">
        <v>0.24</v>
      </c>
      <c r="CI106" s="9" t="n">
        <v>0</v>
      </c>
      <c r="CJ106" s="9" t="n">
        <v>0.54</v>
      </c>
      <c r="CK106" s="9" t="n">
        <v>0.49</v>
      </c>
      <c r="CL106" s="9" t="n">
        <v>0.05</v>
      </c>
      <c r="CM106" s="9" t="n">
        <v>0</v>
      </c>
      <c r="CN106" s="9" t="n">
        <v>0.78</v>
      </c>
      <c r="CO106" s="9" t="n">
        <v>0</v>
      </c>
      <c r="CP106" s="9" t="n">
        <v>2.596</v>
      </c>
      <c r="CQ106" s="9" t="n">
        <v>2.596</v>
      </c>
      <c r="CR106" s="9" t="n">
        <v>1</v>
      </c>
      <c r="CS106" s="9" t="n">
        <v>4</v>
      </c>
      <c r="CT106" s="9" t="n">
        <v>0.5</v>
      </c>
      <c r="CU106" s="9" t="n">
        <v>0.3</v>
      </c>
      <c r="CV106" s="9" t="n">
        <v>0.6</v>
      </c>
      <c r="CW106" s="9" t="n">
        <v>0.8</v>
      </c>
      <c r="CX106" s="9" t="n">
        <v>0.8</v>
      </c>
      <c r="CY106" s="9" t="n">
        <v>0.7</v>
      </c>
      <c r="CZ106" s="9" t="n">
        <v>0.5</v>
      </c>
      <c r="DA106" s="9" t="n">
        <v>0.5</v>
      </c>
      <c r="DB106" s="9" t="n">
        <v>1</v>
      </c>
      <c r="DC106" s="9" t="n">
        <v>0.3</v>
      </c>
      <c r="DD106" s="9" t="n">
        <v>0.8</v>
      </c>
      <c r="DE106" s="9" t="n">
        <v>0.5663209232037367</v>
      </c>
      <c r="DF106" s="9" t="n">
        <v>1</v>
      </c>
      <c r="DG106" s="9" t="n">
        <v>7.124</v>
      </c>
      <c r="DH106" s="9" t="n">
        <v>4.833</v>
      </c>
      <c r="DI106" s="9" t="n">
        <v>11.451</v>
      </c>
      <c r="DJ106" s="9" t="n">
        <v>19.68082211137683</v>
      </c>
      <c r="DK106" s="9" t="n">
        <v>20.58922943093086</v>
      </c>
      <c r="DL106" s="9" t="n">
        <v>17.27205865604339</v>
      </c>
      <c r="DM106" s="9" t="n">
        <v>19.78301635067195</v>
      </c>
      <c r="DN106" s="9" t="n">
        <v>13.543</v>
      </c>
      <c r="DO106" s="9" t="n">
        <v>12.219</v>
      </c>
      <c r="DP106" s="9" t="n">
        <v>21.484</v>
      </c>
      <c r="DQ106" s="9" t="n">
        <v>14.11516989415954</v>
      </c>
      <c r="DR106" s="9" t="n">
        <v>14.11516989415954</v>
      </c>
      <c r="DS106" s="9" t="n">
        <v>0.055</v>
      </c>
    </row>
    <row r="107">
      <c r="A107" s="9" t="inlineStr">
        <is>
          <t>MAR</t>
        </is>
      </c>
      <c r="B107" s="9" t="inlineStr">
        <is>
          <t>Morocco</t>
        </is>
      </c>
      <c r="C107" s="9" t="n">
        <v>0.005</v>
      </c>
      <c r="D107" s="9" t="n">
        <v>0.005</v>
      </c>
      <c r="E107" s="9" t="n">
        <v>0.01</v>
      </c>
      <c r="F107" s="9" t="n">
        <v>0.005</v>
      </c>
      <c r="G107" s="9" t="n">
        <v>0.005</v>
      </c>
      <c r="H107" s="9" t="n">
        <v>0.01</v>
      </c>
      <c r="I107" s="9" t="n">
        <v>0.005</v>
      </c>
      <c r="J107" s="9" t="n">
        <v>0.005</v>
      </c>
      <c r="K107" s="9" t="n">
        <v>0.01</v>
      </c>
      <c r="L107" s="9" t="n">
        <v>0.01</v>
      </c>
      <c r="M107" s="9" t="n">
        <v>0.005</v>
      </c>
      <c r="N107" s="9" t="n">
        <v>0.274205</v>
      </c>
      <c r="O107" s="9" t="n">
        <v>3.252727</v>
      </c>
      <c r="P107" s="9" t="n">
        <v>27.950271</v>
      </c>
      <c r="Q107" s="9" t="n">
        <v>10.63539292868598</v>
      </c>
      <c r="R107" s="9" t="n">
        <v>2.107622189927635</v>
      </c>
      <c r="S107" s="9" t="n">
        <v>3.104493598098744</v>
      </c>
      <c r="T107" s="9" t="n">
        <v>0.9711133614491614</v>
      </c>
      <c r="U107" s="9" t="n">
        <v>0.08783000000000001</v>
      </c>
      <c r="V107" s="9" t="n">
        <v>0.06365</v>
      </c>
      <c r="W107" s="9" t="n">
        <v>0.080514</v>
      </c>
      <c r="X107" s="9" t="n">
        <v>7.348532664688624</v>
      </c>
      <c r="Y107" s="9" t="n">
        <v>7.348532664688624</v>
      </c>
      <c r="Z107" s="9" t="n">
        <v>0.6133498594286984</v>
      </c>
      <c r="AA107" s="9" t="n">
        <v>5.99</v>
      </c>
      <c r="AB107" s="9" t="n">
        <v>1.09</v>
      </c>
      <c r="AC107" s="9" t="n">
        <v>2.45</v>
      </c>
      <c r="AD107" s="9" t="n">
        <v>3</v>
      </c>
      <c r="AE107" s="9" t="n">
        <v>0.018472083</v>
      </c>
      <c r="AF107" s="9" t="n">
        <v>62.223</v>
      </c>
      <c r="AG107" s="9" t="n">
        <v>0.0863685110422405</v>
      </c>
      <c r="AH107" s="9" t="n">
        <v>0.087043572</v>
      </c>
      <c r="AI107" s="9" t="n">
        <v>0.083015388918</v>
      </c>
      <c r="AJ107" s="9" t="n">
        <v>0.0787837697020233</v>
      </c>
      <c r="AK107" s="9" t="n">
        <v>126.8952158764823</v>
      </c>
      <c r="AL107" s="9" t="n">
        <v>0.6266806104243382</v>
      </c>
      <c r="AM107" s="9" t="n">
        <v>0.6315787800000001</v>
      </c>
      <c r="AN107" s="9" t="n">
        <v>0.6023507175699999</v>
      </c>
      <c r="AO107" s="9" t="n">
        <v>0.5716465444709101</v>
      </c>
      <c r="AP107" s="9" t="n">
        <v>203.2207988322549</v>
      </c>
      <c r="AQ107" s="9" t="n">
        <v>219.88647787</v>
      </c>
      <c r="AR107" s="9" t="n">
        <v>209.710620310794</v>
      </c>
      <c r="AS107" s="9" t="n">
        <v>199.0208493867776</v>
      </c>
      <c r="AT107" s="9" t="n">
        <v>85.35092604950577</v>
      </c>
      <c r="AU107" s="9" t="n">
        <v>80.93411389080003</v>
      </c>
      <c r="AV107" s="9" t="n">
        <v>77.60877062481309</v>
      </c>
      <c r="AW107" s="9" t="n">
        <v>81.95810506525018</v>
      </c>
      <c r="AX107" s="9" t="n">
        <v>45.73168332882365</v>
      </c>
      <c r="AY107" s="9" t="n">
        <v>43.4070844272</v>
      </c>
      <c r="AZ107" s="9" t="n">
        <v>41.5831432846639</v>
      </c>
      <c r="BA107" s="9" t="n">
        <v>43.91751240108965</v>
      </c>
      <c r="BB107" s="9" t="n">
        <v>31.1256315321321</v>
      </c>
      <c r="BC107" s="9" t="n">
        <v>33.35506065</v>
      </c>
      <c r="BD107" s="9" t="n">
        <v>31.88380511369124</v>
      </c>
      <c r="BE107" s="9" t="n">
        <v>30.18990783887661</v>
      </c>
      <c r="BF107" s="9" t="n">
        <v>0</v>
      </c>
      <c r="BG107" s="9" t="n">
        <v>0</v>
      </c>
      <c r="BH107" s="9" t="n">
        <v>0</v>
      </c>
      <c r="BI107" s="9" t="n">
        <v>0</v>
      </c>
      <c r="BJ107" s="9" t="n">
        <v>111.7070846335767</v>
      </c>
      <c r="BK107" s="9" t="n">
        <v>119.0839690499997</v>
      </c>
      <c r="BL107" s="9" t="n">
        <v>113.5730275934081</v>
      </c>
      <c r="BM107" s="9" t="n">
        <v>107.7837659607771</v>
      </c>
      <c r="BN107" s="9" t="n">
        <v>3.030391767286357</v>
      </c>
      <c r="BO107" s="9" t="n">
        <v>3.2364633888</v>
      </c>
      <c r="BP107" s="9" t="n">
        <v>3.0866870553072</v>
      </c>
      <c r="BQ107" s="9" t="n">
        <v>2.929346537757541</v>
      </c>
      <c r="BR107" s="9" t="n">
        <v>138.2032601913557</v>
      </c>
      <c r="BS107" s="9" t="n">
        <v>0.2002565311045166</v>
      </c>
      <c r="BT107" s="9" t="n">
        <v>0.2138743044</v>
      </c>
      <c r="BU107" s="9" t="n">
        <v>0.2039766768686</v>
      </c>
      <c r="BV107" s="9" t="n">
        <v>0.1935791874790023</v>
      </c>
      <c r="BW107" s="9" t="n">
        <v>120.998273874292</v>
      </c>
      <c r="BX107" s="9" t="n">
        <v>141.9503241301446</v>
      </c>
      <c r="BY107" s="9" t="n">
        <v>122.3213155917656</v>
      </c>
      <c r="BZ107" s="9" t="n">
        <v>116.2045410641024</v>
      </c>
      <c r="CA107" s="9" t="n">
        <v>0.7529503757582612</v>
      </c>
      <c r="CB107" s="9" t="n">
        <v>36.41183593842484</v>
      </c>
      <c r="CC107" s="9" t="n">
        <v>1.869</v>
      </c>
      <c r="CD107" s="9" t="n">
        <v>1.700081562447331</v>
      </c>
      <c r="CE107" s="9" t="n">
        <v>4.9</v>
      </c>
      <c r="CF107" s="9" t="n">
        <v>4.872</v>
      </c>
      <c r="CG107" s="9" t="n">
        <v>160.606</v>
      </c>
      <c r="CH107" s="9" t="n">
        <v>0.9600000000000001</v>
      </c>
      <c r="CI107" s="9" t="n">
        <v>27.52</v>
      </c>
      <c r="CJ107" s="9" t="n">
        <v>33.87</v>
      </c>
      <c r="CK107" s="9" t="n">
        <v>4.78</v>
      </c>
      <c r="CL107" s="9" t="n">
        <v>1.57</v>
      </c>
      <c r="CM107" s="9" t="n">
        <v>2.58</v>
      </c>
      <c r="CN107" s="9" t="n">
        <v>44.15</v>
      </c>
      <c r="CO107" s="9" t="n">
        <v>6.74</v>
      </c>
      <c r="CP107" s="9" t="n">
        <v>104.079</v>
      </c>
      <c r="CQ107" s="9" t="n">
        <v>102.157</v>
      </c>
      <c r="CR107" s="9" t="n">
        <v>3</v>
      </c>
      <c r="CS107" s="9" t="n">
        <v>2</v>
      </c>
      <c r="CT107" s="9" t="n">
        <v>0.5</v>
      </c>
      <c r="CU107" s="9" t="n">
        <v>0.3</v>
      </c>
      <c r="CV107" s="9" t="n">
        <v>0.6</v>
      </c>
      <c r="CW107" s="9" t="n">
        <v>0.8</v>
      </c>
      <c r="CX107" s="9" t="n">
        <v>0.8</v>
      </c>
      <c r="CY107" s="9" t="n">
        <v>0.7</v>
      </c>
      <c r="CZ107" s="9" t="n">
        <v>0.5</v>
      </c>
      <c r="DA107" s="9" t="n">
        <v>0.5</v>
      </c>
      <c r="DB107" s="9" t="n">
        <v>1</v>
      </c>
      <c r="DC107" s="9" t="n">
        <v>0.3</v>
      </c>
      <c r="DD107" s="9" t="n">
        <v>0.8</v>
      </c>
      <c r="DE107" s="9" t="n">
        <v>0.3981753046323958</v>
      </c>
      <c r="DF107" s="9" t="n">
        <v>2</v>
      </c>
      <c r="DG107" s="9" t="n">
        <v>6.606</v>
      </c>
      <c r="DH107" s="9" t="n">
        <v>6.869</v>
      </c>
      <c r="DI107" s="9" t="n">
        <v>14.6316</v>
      </c>
      <c r="DJ107" s="9" t="n">
        <v>22.06807365775587</v>
      </c>
      <c r="DK107" s="9" t="n">
        <v>24.60996278496781</v>
      </c>
      <c r="DL107" s="9" t="n">
        <v>17.27205865604339</v>
      </c>
      <c r="DM107" s="9" t="n">
        <v>23.21668855527025</v>
      </c>
      <c r="DN107" s="9" t="n">
        <v>5.289</v>
      </c>
      <c r="DO107" s="9" t="n">
        <v>3.999</v>
      </c>
      <c r="DP107" s="9" t="n">
        <v>15.6312</v>
      </c>
      <c r="DQ107" s="9" t="n">
        <v>14.11809643899593</v>
      </c>
      <c r="DR107" s="9" t="n">
        <v>14.11809643899593</v>
      </c>
      <c r="DS107" s="9" t="n">
        <v>0.08951999999999991</v>
      </c>
    </row>
    <row r="108">
      <c r="A108" s="9" t="inlineStr">
        <is>
          <t>MDA</t>
        </is>
      </c>
      <c r="B108" s="9" t="inlineStr">
        <is>
          <t>Moldova</t>
        </is>
      </c>
      <c r="C108" s="9" t="n">
        <v>0.005</v>
      </c>
      <c r="D108" s="9" t="n">
        <v>0.005</v>
      </c>
      <c r="E108" s="9" t="n">
        <v>0.01</v>
      </c>
      <c r="F108" s="9" t="n">
        <v>0.005</v>
      </c>
      <c r="G108" s="9" t="n">
        <v>0.005</v>
      </c>
      <c r="H108" s="9" t="n">
        <v>0.01</v>
      </c>
      <c r="I108" s="9" t="n">
        <v>0.005</v>
      </c>
      <c r="J108" s="9" t="n">
        <v>0.005</v>
      </c>
      <c r="K108" s="9" t="n">
        <v>0.01</v>
      </c>
      <c r="L108" s="9" t="n">
        <v>0.01</v>
      </c>
      <c r="M108" s="9" t="n">
        <v>0.005</v>
      </c>
      <c r="N108" s="9" t="n">
        <v>0.103834</v>
      </c>
      <c r="O108" s="9" t="n">
        <v>2.602423</v>
      </c>
      <c r="P108" s="9" t="n">
        <v>25.807808</v>
      </c>
      <c r="Q108" s="9" t="n">
        <v>12.94384074729208</v>
      </c>
      <c r="R108" s="9" t="n">
        <v>2.189807530739434</v>
      </c>
      <c r="S108" s="9" t="n">
        <v>3.079380236739957</v>
      </c>
      <c r="T108" s="9" t="n">
        <v>3.056669977319509</v>
      </c>
      <c r="U108" s="9" t="n">
        <v>0.165297</v>
      </c>
      <c r="V108" s="9" t="n">
        <v>0.180252</v>
      </c>
      <c r="W108" s="9" t="n">
        <v>0.090693</v>
      </c>
      <c r="X108" s="9" t="n">
        <v>0.6426196587771855</v>
      </c>
      <c r="Y108" s="9" t="n">
        <v>0.6426196587771855</v>
      </c>
      <c r="Z108" s="9" t="n">
        <v>0.06953584698253949</v>
      </c>
      <c r="AA108" s="9" t="n">
        <v>2.78</v>
      </c>
      <c r="AB108" s="9" t="n">
        <v>0.71</v>
      </c>
      <c r="AC108" s="9" t="n">
        <v>0.25</v>
      </c>
      <c r="AD108" s="9" t="n">
        <v>3</v>
      </c>
      <c r="AE108" s="9" t="n">
        <v>0.006597172499999999</v>
      </c>
      <c r="AF108" s="9" t="n">
        <v>10.107</v>
      </c>
      <c r="AG108" s="9" t="n">
        <v>1.221483381909599</v>
      </c>
      <c r="AH108" s="9" t="n">
        <v>1.1612466612</v>
      </c>
      <c r="AI108" s="9" t="n">
        <v>1.062485064866057</v>
      </c>
      <c r="AJ108" s="9" t="n">
        <v>1.12314554938341</v>
      </c>
      <c r="AK108" s="9" t="n">
        <v>0</v>
      </c>
      <c r="AL108" s="9" t="n">
        <v>2.723720451817398</v>
      </c>
      <c r="AM108" s="9" t="n">
        <v>2.6632988424</v>
      </c>
      <c r="AN108" s="9" t="n">
        <v>2.436790854064468</v>
      </c>
      <c r="AO108" s="9" t="n">
        <v>2.575914610965125</v>
      </c>
      <c r="AP108" s="9" t="n">
        <v>21.18825805305413</v>
      </c>
      <c r="AQ108" s="9" t="n">
        <v>21.12518809000001</v>
      </c>
      <c r="AR108" s="9" t="n">
        <v>19.32853508910593</v>
      </c>
      <c r="AS108" s="9" t="n">
        <v>20.43205959244908</v>
      </c>
      <c r="AT108" s="9" t="n">
        <v>10.28610470135331</v>
      </c>
      <c r="AU108" s="9" t="n">
        <v>11.998803582</v>
      </c>
      <c r="AV108" s="9" t="n">
        <v>11.66443364088736</v>
      </c>
      <c r="AW108" s="9" t="n">
        <v>10.4328164685154</v>
      </c>
      <c r="AX108" s="9" t="n">
        <v>6.667432443794235</v>
      </c>
      <c r="AY108" s="9" t="n">
        <v>7.916401440000004</v>
      </c>
      <c r="AZ108" s="9" t="n">
        <v>7.560862498852953</v>
      </c>
      <c r="BA108" s="9" t="n">
        <v>6.762530717111847</v>
      </c>
      <c r="BB108" s="9" t="n">
        <v>8.097310968524939</v>
      </c>
      <c r="BC108" s="9" t="n">
        <v>8.197253069008545</v>
      </c>
      <c r="BD108" s="9" t="n">
        <v>7.564741294187712</v>
      </c>
      <c r="BE108" s="9" t="n">
        <v>7.919823148699086</v>
      </c>
      <c r="BF108" s="9" t="n">
        <v>0</v>
      </c>
      <c r="BG108" s="9" t="n">
        <v>0</v>
      </c>
      <c r="BH108" s="9" t="n">
        <v>0</v>
      </c>
      <c r="BI108" s="9" t="n">
        <v>0</v>
      </c>
      <c r="BJ108" s="9" t="n">
        <v>2.26005386465541</v>
      </c>
      <c r="BK108" s="9" t="n">
        <v>2.237196029999998</v>
      </c>
      <c r="BL108" s="9" t="n">
        <v>2.046927193397758</v>
      </c>
      <c r="BM108" s="9" t="n">
        <v>2.163792455253374</v>
      </c>
      <c r="BN108" s="9" t="n">
        <v>22.78795573552483</v>
      </c>
      <c r="BO108" s="9" t="n">
        <v>14.5582111692</v>
      </c>
      <c r="BP108" s="9" t="n">
        <v>13.32006580105655</v>
      </c>
      <c r="BQ108" s="9" t="n">
        <v>14.08054862760524</v>
      </c>
      <c r="BR108" s="9" t="n">
        <v>53.10585145871219</v>
      </c>
      <c r="BS108" s="9" t="n">
        <v>27.93236801315115</v>
      </c>
      <c r="BT108" s="9" t="n">
        <v>19.2086992692</v>
      </c>
      <c r="BU108" s="9" t="n">
        <v>17.57503962847868</v>
      </c>
      <c r="BV108" s="9" t="n">
        <v>18.57845177470926</v>
      </c>
      <c r="BW108" s="9" t="n">
        <v>11.3739557948065</v>
      </c>
      <c r="BX108" s="9" t="n">
        <v>8.632573626978791</v>
      </c>
      <c r="BY108" s="9" t="n">
        <v>9.689197480923475</v>
      </c>
      <c r="BZ108" s="9" t="n">
        <v>9.991760286001725</v>
      </c>
      <c r="CA108" s="9" t="n">
        <v>0.9168865777785424</v>
      </c>
      <c r="CB108" s="9" t="n">
        <v>4.709315873652096</v>
      </c>
      <c r="CC108" s="9" t="n">
        <v>0.857</v>
      </c>
      <c r="CD108" s="9" t="n">
        <v>6.268407373985903</v>
      </c>
      <c r="CE108" s="9" t="n">
        <v>2.416</v>
      </c>
      <c r="CF108" s="9" t="n">
        <v>1.9</v>
      </c>
      <c r="CG108" s="9" t="n">
        <v>18.208</v>
      </c>
      <c r="CH108" s="9" t="n">
        <v>0.37</v>
      </c>
      <c r="CI108" s="9" t="n">
        <v>0</v>
      </c>
      <c r="CJ108" s="9" t="n">
        <v>2.07</v>
      </c>
      <c r="CK108" s="9" t="n">
        <v>1.85</v>
      </c>
      <c r="CL108" s="9" t="n">
        <v>0.22</v>
      </c>
      <c r="CM108" s="9" t="n">
        <v>0.23</v>
      </c>
      <c r="CN108" s="9" t="n">
        <v>2.89</v>
      </c>
      <c r="CO108" s="9" t="n">
        <v>0.22</v>
      </c>
      <c r="CP108" s="9" t="n">
        <v>14.001</v>
      </c>
      <c r="CQ108" s="9" t="n">
        <v>14.178</v>
      </c>
      <c r="CR108" s="9" t="n">
        <v>3</v>
      </c>
      <c r="CS108" s="9" t="n">
        <v>2</v>
      </c>
      <c r="CT108" s="9" t="n">
        <v>0.5</v>
      </c>
      <c r="CU108" s="9" t="n">
        <v>0.3</v>
      </c>
      <c r="CV108" s="9" t="n">
        <v>0.6</v>
      </c>
      <c r="CW108" s="9" t="n">
        <v>0.8</v>
      </c>
      <c r="CX108" s="9" t="n">
        <v>0.8</v>
      </c>
      <c r="CY108" s="9" t="n">
        <v>0.7</v>
      </c>
      <c r="CZ108" s="9" t="n">
        <v>0.5</v>
      </c>
      <c r="DA108" s="9" t="n">
        <v>0.5</v>
      </c>
      <c r="DB108" s="9" t="n">
        <v>1</v>
      </c>
      <c r="DC108" s="9" t="n">
        <v>0.3</v>
      </c>
      <c r="DD108" s="9" t="n">
        <v>0.8</v>
      </c>
      <c r="DE108" s="9" t="n">
        <v>0.4057764307363166</v>
      </c>
      <c r="DF108" s="9" t="n">
        <v>3</v>
      </c>
      <c r="DG108" s="9" t="n">
        <v>6.942</v>
      </c>
      <c r="DH108" s="9" t="n">
        <v>4.239</v>
      </c>
      <c r="DI108" s="9" t="n">
        <v>12.8364</v>
      </c>
      <c r="DJ108" s="9" t="n">
        <v>21.45893344423236</v>
      </c>
      <c r="DK108" s="9" t="n">
        <v>24.82263236729813</v>
      </c>
      <c r="DL108" s="9" t="n">
        <v>15.65611451797798</v>
      </c>
      <c r="DM108" s="9" t="n">
        <v>23.09923174446665</v>
      </c>
      <c r="DN108" s="9" t="n">
        <v>22.26</v>
      </c>
      <c r="DO108" s="9" t="n">
        <v>20.206</v>
      </c>
      <c r="DP108" s="9" t="n">
        <v>32.9688</v>
      </c>
      <c r="DQ108" s="9" t="n">
        <v>13.49474620847193</v>
      </c>
      <c r="DR108" s="9" t="n">
        <v>13.49474620847193</v>
      </c>
      <c r="DS108" s="9" t="n">
        <v>0.105</v>
      </c>
    </row>
    <row r="109">
      <c r="A109" s="9" t="inlineStr">
        <is>
          <t>MDG</t>
        </is>
      </c>
      <c r="B109" s="9" t="inlineStr">
        <is>
          <t>Madagascar</t>
        </is>
      </c>
      <c r="C109" s="9" t="n">
        <v>0.005</v>
      </c>
      <c r="D109" s="9" t="n">
        <v>0.005</v>
      </c>
      <c r="E109" s="9" t="n">
        <v>0.01</v>
      </c>
      <c r="F109" s="9" t="n">
        <v>0.005</v>
      </c>
      <c r="G109" s="9" t="n">
        <v>0.005</v>
      </c>
      <c r="H109" s="9" t="n">
        <v>0.01</v>
      </c>
      <c r="I109" s="9" t="n">
        <v>0.005</v>
      </c>
      <c r="J109" s="9" t="n">
        <v>0.005</v>
      </c>
      <c r="K109" s="9" t="n">
        <v>0.01</v>
      </c>
      <c r="L109" s="9" t="n">
        <v>0.01</v>
      </c>
      <c r="M109" s="9" t="n">
        <v>0.005</v>
      </c>
      <c r="N109" s="9" t="n">
        <v>0.211922</v>
      </c>
      <c r="O109" s="9" t="n">
        <v>0.172157</v>
      </c>
      <c r="P109" s="9" t="n">
        <v>0.233346</v>
      </c>
      <c r="Q109" s="9" t="n">
        <v>0.0444829480691746</v>
      </c>
      <c r="R109" s="9" t="n">
        <v>0.0085502494442337</v>
      </c>
      <c r="S109" s="9" t="n">
        <v>0.0445576727905904</v>
      </c>
      <c r="T109" s="9" t="n">
        <v>0.0144687550956875</v>
      </c>
      <c r="U109" s="9" t="n">
        <v>0.002052</v>
      </c>
      <c r="V109" s="9" t="n">
        <v>0.000472</v>
      </c>
      <c r="W109" s="9" t="n">
        <v>0.000475</v>
      </c>
      <c r="X109" s="9" t="n">
        <v>0.3619289993306092</v>
      </c>
      <c r="Y109" s="9" t="n">
        <v>0.3619289993306092</v>
      </c>
      <c r="Z109" s="9" t="n">
        <v>0.06718717904019209</v>
      </c>
      <c r="AA109" s="9" t="n">
        <v>0.62</v>
      </c>
      <c r="AB109" s="9" t="n">
        <v>0.06</v>
      </c>
      <c r="AC109" s="9" t="n">
        <v>0</v>
      </c>
      <c r="AD109" s="9" t="n">
        <v>0</v>
      </c>
      <c r="AE109" s="9" t="n">
        <v>0</v>
      </c>
      <c r="AF109" s="9" t="n">
        <v>3.565</v>
      </c>
      <c r="AG109" s="9" t="n">
        <v>4.561021698760809</v>
      </c>
      <c r="AH109" s="9" t="n">
        <v>3.62336139</v>
      </c>
      <c r="AI109" s="9" t="n">
        <v>4.326335631769187</v>
      </c>
      <c r="AJ109" s="9" t="n">
        <v>4.159462685972374</v>
      </c>
      <c r="AK109" s="9" t="n">
        <v>17.84367575664812</v>
      </c>
      <c r="AL109" s="9" t="n">
        <v>0</v>
      </c>
      <c r="AM109" s="9" t="n">
        <v>0</v>
      </c>
      <c r="AN109" s="9" t="n">
        <v>0</v>
      </c>
      <c r="AO109" s="9" t="n">
        <v>0</v>
      </c>
      <c r="AP109" s="9" t="n">
        <v>16.1751957579453</v>
      </c>
      <c r="AQ109" s="9" t="n">
        <v>13.27614908</v>
      </c>
      <c r="AR109" s="9" t="n">
        <v>15.85187637534652</v>
      </c>
      <c r="AS109" s="9" t="n">
        <v>15.24044685801172</v>
      </c>
      <c r="AT109" s="9" t="n">
        <v>7.918361045700025</v>
      </c>
      <c r="AU109" s="9" t="n">
        <v>6.2764025724</v>
      </c>
      <c r="AV109" s="9" t="n">
        <v>6.954129552852553</v>
      </c>
      <c r="AW109" s="9" t="n">
        <v>7.317716591682657</v>
      </c>
      <c r="AX109" s="9" t="n">
        <v>3.248522702534004</v>
      </c>
      <c r="AY109" s="9" t="n">
        <v>2.5601947056</v>
      </c>
      <c r="AZ109" s="9" t="n">
        <v>2.852944895847072</v>
      </c>
      <c r="BA109" s="9" t="n">
        <v>3.002107171117166</v>
      </c>
      <c r="BB109" s="9" t="n">
        <v>6.669215857095666</v>
      </c>
      <c r="BC109" s="9" t="n">
        <v>6.194602888474035</v>
      </c>
      <c r="BD109" s="9" t="n">
        <v>5.591588400462673</v>
      </c>
      <c r="BE109" s="9" t="n">
        <v>6.18294620175049</v>
      </c>
      <c r="BF109" s="9" t="n">
        <v>2.027608888316432</v>
      </c>
      <c r="BG109" s="9" t="n">
        <v>1.651857219999998</v>
      </c>
      <c r="BH109" s="9" t="n">
        <v>1.972336728322089</v>
      </c>
      <c r="BI109" s="9" t="n">
        <v>1.896260883086809</v>
      </c>
      <c r="BJ109" s="9" t="n">
        <v>0.5441283572840463</v>
      </c>
      <c r="BK109" s="9" t="n">
        <v>0.4387139499999995</v>
      </c>
      <c r="BL109" s="9" t="n">
        <v>0.5238295576249995</v>
      </c>
      <c r="BM109" s="9" t="n">
        <v>0.5036247032594636</v>
      </c>
      <c r="BN109" s="9" t="n">
        <v>0</v>
      </c>
      <c r="BO109" s="9" t="n">
        <v>0</v>
      </c>
      <c r="BP109" s="9" t="n">
        <v>0</v>
      </c>
      <c r="BQ109" s="9" t="n">
        <v>0</v>
      </c>
      <c r="BR109" s="9" t="n">
        <v>0</v>
      </c>
      <c r="BS109" s="9" t="n">
        <v>0</v>
      </c>
      <c r="BT109" s="9" t="n">
        <v>0</v>
      </c>
      <c r="BU109" s="9" t="n">
        <v>0</v>
      </c>
      <c r="BV109" s="9" t="n">
        <v>0</v>
      </c>
      <c r="BW109" s="9" t="n">
        <v>9.71311887629893</v>
      </c>
      <c r="BX109" s="9" t="n">
        <v>22.84188413895748</v>
      </c>
      <c r="BY109" s="9" t="n">
        <v>9.156151175404355</v>
      </c>
      <c r="BZ109" s="9" t="n">
        <v>8.868132022104843</v>
      </c>
      <c r="CA109" s="9" t="n">
        <v>0.9208561339424026</v>
      </c>
      <c r="CB109" s="9" t="n">
        <v>3.10191215228723</v>
      </c>
      <c r="CC109" s="9" t="n">
        <v>0.344</v>
      </c>
      <c r="CD109" s="9" t="n">
        <v>3.061750082684063</v>
      </c>
      <c r="CE109" s="9" t="n">
        <v>2.835</v>
      </c>
      <c r="CF109" s="9" t="n">
        <v>3.636</v>
      </c>
      <c r="CG109" s="9" t="n">
        <v>17.593</v>
      </c>
      <c r="CH109" s="9" t="n">
        <v>0.93</v>
      </c>
      <c r="CI109" s="9" t="n">
        <v>0.5</v>
      </c>
      <c r="CJ109" s="9" t="n">
        <v>1.4</v>
      </c>
      <c r="CK109" s="9" t="n">
        <v>0</v>
      </c>
      <c r="CL109" s="9" t="n">
        <v>0.9</v>
      </c>
      <c r="CM109" s="9" t="n">
        <v>0.1</v>
      </c>
      <c r="CN109" s="9" t="n">
        <v>2.43</v>
      </c>
      <c r="CO109" s="9" t="n">
        <v>0</v>
      </c>
      <c r="CP109" s="9" t="n">
        <v>38.051</v>
      </c>
      <c r="CQ109" s="9" t="n">
        <v>47.292</v>
      </c>
      <c r="CR109" s="9" t="n">
        <v>3</v>
      </c>
      <c r="CS109" s="9" t="n">
        <v>1</v>
      </c>
      <c r="CT109" s="9" t="n">
        <v>0.5</v>
      </c>
      <c r="CU109" s="9" t="n">
        <v>0.3</v>
      </c>
      <c r="CV109" s="9" t="n">
        <v>0.6</v>
      </c>
      <c r="CW109" s="9" t="n">
        <v>0.8</v>
      </c>
      <c r="CX109" s="9" t="n">
        <v>0.8</v>
      </c>
      <c r="CY109" s="9" t="n">
        <v>0.7</v>
      </c>
      <c r="CZ109" s="9" t="n">
        <v>0.5</v>
      </c>
      <c r="DA109" s="9" t="n">
        <v>0.5</v>
      </c>
      <c r="DB109" s="9" t="n">
        <v>1</v>
      </c>
      <c r="DC109" s="9" t="n">
        <v>0.3</v>
      </c>
      <c r="DD109" s="9" t="n">
        <v>0.8</v>
      </c>
      <c r="DE109" s="9" t="n">
        <v>0.2914147521160822</v>
      </c>
      <c r="DF109" s="9" t="n">
        <v>2</v>
      </c>
      <c r="DG109" s="9" t="n">
        <v>6.83</v>
      </c>
      <c r="DH109" s="9" t="n">
        <v>5.362</v>
      </c>
      <c r="DI109" s="9" t="n">
        <v>13.98</v>
      </c>
      <c r="DJ109" s="9" t="n">
        <v>16.78524764185408</v>
      </c>
      <c r="DK109" s="9" t="n">
        <v>23.4346609382855</v>
      </c>
      <c r="DL109" s="9" t="n">
        <v>17.80187640622877</v>
      </c>
      <c r="DM109" s="9" t="n">
        <v>22.14134585081274</v>
      </c>
      <c r="DN109" s="9" t="n">
        <v>8.176</v>
      </c>
      <c r="DO109" s="9" t="n">
        <v>6.853</v>
      </c>
      <c r="DP109" s="9" t="n">
        <v>19.3416</v>
      </c>
      <c r="DQ109" s="9" t="n">
        <v>12.75961685321553</v>
      </c>
      <c r="DR109" s="9" t="n">
        <v>12.75961685321553</v>
      </c>
      <c r="DS109" s="9" t="n">
        <v>0.105</v>
      </c>
    </row>
    <row r="110">
      <c r="A110" s="9" t="inlineStr">
        <is>
          <t>MDV</t>
        </is>
      </c>
      <c r="B110" s="9" t="inlineStr">
        <is>
          <t>Maldives</t>
        </is>
      </c>
      <c r="C110" s="9" t="n">
        <v>0.005</v>
      </c>
      <c r="D110" s="9" t="n">
        <v>0.005</v>
      </c>
      <c r="E110" s="9" t="n">
        <v>0.01</v>
      </c>
      <c r="F110" s="9" t="n">
        <v>0.005</v>
      </c>
      <c r="G110" s="9" t="n">
        <v>0.005</v>
      </c>
      <c r="H110" s="9" t="n">
        <v>0.01</v>
      </c>
      <c r="I110" s="9" t="n">
        <v>0.005</v>
      </c>
      <c r="J110" s="9" t="n">
        <v>0.005</v>
      </c>
      <c r="K110" s="9" t="n">
        <v>0.01</v>
      </c>
      <c r="L110" s="9" t="n">
        <v>0.01</v>
      </c>
      <c r="M110" s="9" t="n">
        <v>0.005</v>
      </c>
      <c r="N110" s="9" t="n">
        <v>3.183203</v>
      </c>
      <c r="O110" s="9" t="n">
        <v>0.239863</v>
      </c>
      <c r="P110" s="9" t="n">
        <v>9.83436</v>
      </c>
      <c r="Q110" s="9" t="n">
        <v>2.187735201241769</v>
      </c>
      <c r="R110" s="9" t="n">
        <v>0.6969454162370096</v>
      </c>
      <c r="S110" s="9" t="n">
        <v>1.58256561980373</v>
      </c>
      <c r="T110" s="9" t="n">
        <v>0.4624958900961993</v>
      </c>
      <c r="U110" s="9" t="n">
        <v>0.07370400000000001</v>
      </c>
      <c r="V110" s="9" t="n">
        <v>0.000337</v>
      </c>
      <c r="W110" s="9" t="n">
        <v>0.0324</v>
      </c>
      <c r="X110" s="9" t="n">
        <v>0.86112087470583</v>
      </c>
      <c r="Y110" s="9" t="n">
        <v>0.86112087470583</v>
      </c>
      <c r="Z110" s="9" t="n">
        <v>0.02693139240558373</v>
      </c>
      <c r="AA110" s="9" t="n">
        <v>0.61</v>
      </c>
      <c r="AB110" s="9" t="n">
        <v>0.07000000000000001</v>
      </c>
      <c r="AC110" s="9" t="n">
        <v>0</v>
      </c>
      <c r="AD110" s="9" t="n">
        <v>0</v>
      </c>
      <c r="AE110" s="9" t="n">
        <v>0</v>
      </c>
      <c r="AF110" s="9" t="n">
        <v>2.473</v>
      </c>
      <c r="AG110" s="9" t="n">
        <v>0</v>
      </c>
      <c r="AH110" s="9" t="n">
        <v>0</v>
      </c>
      <c r="AI110" s="9" t="n">
        <v>0</v>
      </c>
      <c r="AJ110" s="9" t="n">
        <v>0</v>
      </c>
      <c r="AK110" s="9" t="n">
        <v>0</v>
      </c>
      <c r="AL110" s="9" t="n">
        <v>0</v>
      </c>
      <c r="AM110" s="9" t="n">
        <v>0</v>
      </c>
      <c r="AN110" s="9" t="n">
        <v>0</v>
      </c>
      <c r="AO110" s="9" t="n">
        <v>0</v>
      </c>
      <c r="AP110" s="9" t="n">
        <v>11.72259580505628</v>
      </c>
      <c r="AQ110" s="9" t="n">
        <v>11.032878388</v>
      </c>
      <c r="AR110" s="9" t="n">
        <v>10.70189203636</v>
      </c>
      <c r="AS110" s="9" t="n">
        <v>10.88025690363266</v>
      </c>
      <c r="AT110" s="9" t="n">
        <v>2.923950501921022</v>
      </c>
      <c r="AU110" s="9" t="n">
        <v>1.8096856848</v>
      </c>
      <c r="AV110" s="9" t="n">
        <v>2.20112281985722</v>
      </c>
      <c r="AW110" s="9" t="n">
        <v>2.530800144324013</v>
      </c>
      <c r="AX110" s="9" t="n">
        <v>3.216061298648225</v>
      </c>
      <c r="AY110" s="9" t="n">
        <v>2.135184264</v>
      </c>
      <c r="AZ110" s="9" t="n">
        <v>2.421021118470856</v>
      </c>
      <c r="BA110" s="9" t="n">
        <v>2.783634125620928</v>
      </c>
      <c r="BB110" s="9" t="n">
        <v>2.978100922085096</v>
      </c>
      <c r="BC110" s="9" t="n">
        <v>2.306658050576871</v>
      </c>
      <c r="BD110" s="9" t="n">
        <v>3.434878386688232</v>
      </c>
      <c r="BE110" s="9" t="n">
        <v>2.818459065523526</v>
      </c>
      <c r="BF110" s="9" t="n">
        <v>0</v>
      </c>
      <c r="BG110" s="9" t="n">
        <v>0</v>
      </c>
      <c r="BH110" s="9" t="n">
        <v>0</v>
      </c>
      <c r="BI110" s="9" t="n">
        <v>0</v>
      </c>
      <c r="BJ110" s="9" t="n">
        <v>0.8025854550327317</v>
      </c>
      <c r="BK110" s="9" t="n">
        <v>0.7892638936372255</v>
      </c>
      <c r="BL110" s="9" t="n">
        <v>0.7655859768281087</v>
      </c>
      <c r="BM110" s="9" t="n">
        <v>0.778345743108577</v>
      </c>
      <c r="BN110" s="9" t="n">
        <v>0</v>
      </c>
      <c r="BO110" s="9" t="n">
        <v>0</v>
      </c>
      <c r="BP110" s="9" t="n">
        <v>0</v>
      </c>
      <c r="BQ110" s="9" t="n">
        <v>0</v>
      </c>
      <c r="BR110" s="9" t="n">
        <v>0</v>
      </c>
      <c r="BS110" s="9" t="n">
        <v>0</v>
      </c>
      <c r="BT110" s="9" t="n">
        <v>0</v>
      </c>
      <c r="BU110" s="9" t="n">
        <v>0</v>
      </c>
      <c r="BV110" s="9" t="n">
        <v>0</v>
      </c>
      <c r="BW110" s="9" t="n">
        <v>15.0537611246373</v>
      </c>
      <c r="BX110" s="9" t="n">
        <v>12.27183536820464</v>
      </c>
      <c r="BY110" s="9" t="n">
        <v>13.00528003027261</v>
      </c>
      <c r="BZ110" s="9" t="n">
        <v>13.79954040839719</v>
      </c>
      <c r="CA110" s="9" t="n">
        <v>0.6413272499308368</v>
      </c>
      <c r="CB110" s="9" t="n">
        <v>1.705558833491458</v>
      </c>
      <c r="CC110" s="9" t="n">
        <v>1.842</v>
      </c>
      <c r="CD110" s="9" t="n">
        <v>0.3688141923436064</v>
      </c>
      <c r="CE110" s="9" t="n">
        <v>5.031</v>
      </c>
      <c r="CF110" s="9" t="n">
        <v>3.022</v>
      </c>
      <c r="CG110" s="9" t="n">
        <v>7.052</v>
      </c>
      <c r="CH110" s="9" t="n">
        <v>0</v>
      </c>
      <c r="CI110" s="9" t="n">
        <v>0</v>
      </c>
      <c r="CJ110" s="9" t="n">
        <v>0.79</v>
      </c>
      <c r="CK110" s="9" t="n">
        <v>0</v>
      </c>
      <c r="CL110" s="9" t="n">
        <v>0.79</v>
      </c>
      <c r="CM110" s="9" t="n">
        <v>0.06</v>
      </c>
      <c r="CN110" s="9" t="n">
        <v>0.85</v>
      </c>
      <c r="CO110" s="9" t="n">
        <v>0</v>
      </c>
      <c r="CP110" s="9" t="n">
        <v>2.714</v>
      </c>
      <c r="CQ110" s="9" t="n">
        <v>2.714</v>
      </c>
      <c r="CR110" s="9" t="n">
        <v>3</v>
      </c>
      <c r="CS110" s="9" t="n">
        <v>3</v>
      </c>
      <c r="CT110" s="9" t="n">
        <v>0.5</v>
      </c>
      <c r="CU110" s="9" t="n">
        <v>0.3</v>
      </c>
      <c r="CV110" s="9" t="n">
        <v>0.6</v>
      </c>
      <c r="CW110" s="9" t="n">
        <v>0.8</v>
      </c>
      <c r="CX110" s="9" t="n">
        <v>0.8</v>
      </c>
      <c r="CY110" s="9" t="n">
        <v>0.7</v>
      </c>
      <c r="CZ110" s="9" t="n">
        <v>0.5</v>
      </c>
      <c r="DA110" s="9" t="n">
        <v>0.5</v>
      </c>
      <c r="DB110" s="9" t="n">
        <v>1</v>
      </c>
      <c r="DC110" s="9" t="n">
        <v>0.3</v>
      </c>
      <c r="DD110" s="9" t="n">
        <v>0.8</v>
      </c>
      <c r="DE110" s="9" t="n">
        <v>0.5108664155317298</v>
      </c>
      <c r="DF110" s="9" t="n">
        <v>2</v>
      </c>
      <c r="DG110" s="9" t="n">
        <v>7.124</v>
      </c>
      <c r="DH110" s="9" t="n">
        <v>4.833</v>
      </c>
      <c r="DI110" s="9" t="n">
        <v>12.13806</v>
      </c>
      <c r="DJ110" s="9" t="n">
        <v>19.78568818123731</v>
      </c>
      <c r="DK110" s="9" t="n">
        <v>21.46292766260201</v>
      </c>
      <c r="DL110" s="9" t="n">
        <v>17.27205865604339</v>
      </c>
      <c r="DM110" s="9" t="n">
        <v>20.96999733171227</v>
      </c>
      <c r="DN110" s="9" t="n">
        <v>13.439</v>
      </c>
      <c r="DO110" s="9" t="n">
        <v>12.116</v>
      </c>
      <c r="DP110" s="9" t="n">
        <v>22.66386</v>
      </c>
      <c r="DQ110" s="9" t="n">
        <v>14.14156764356776</v>
      </c>
      <c r="DR110" s="9" t="n">
        <v>14.14156764356776</v>
      </c>
      <c r="DS110" s="9" t="n">
        <v>0.105</v>
      </c>
    </row>
    <row r="111">
      <c r="A111" s="9" t="inlineStr">
        <is>
          <t>MEX</t>
        </is>
      </c>
      <c r="B111" s="9" t="inlineStr">
        <is>
          <t>Mexico</t>
        </is>
      </c>
      <c r="C111" s="9" t="n">
        <v>0.005</v>
      </c>
      <c r="D111" s="9" t="n">
        <v>0.005</v>
      </c>
      <c r="E111" s="9" t="n">
        <v>0.01</v>
      </c>
      <c r="F111" s="9" t="n">
        <v>0.005</v>
      </c>
      <c r="G111" s="9" t="n">
        <v>0.005</v>
      </c>
      <c r="H111" s="9" t="n">
        <v>0.01</v>
      </c>
      <c r="I111" s="9" t="n">
        <v>0.005</v>
      </c>
      <c r="J111" s="9" t="n">
        <v>0.005</v>
      </c>
      <c r="K111" s="9" t="n">
        <v>0.01</v>
      </c>
      <c r="L111" s="9" t="n">
        <v>0.01</v>
      </c>
      <c r="M111" s="9" t="n">
        <v>0.005</v>
      </c>
      <c r="N111" s="9" t="n">
        <v>13.71221</v>
      </c>
      <c r="O111" s="9" t="n">
        <v>2.160589</v>
      </c>
      <c r="P111" s="9" t="n">
        <v>72.175112</v>
      </c>
      <c r="Q111" s="9" t="n">
        <v>9.4264970898392</v>
      </c>
      <c r="R111" s="9" t="n">
        <v>5.839705985803726</v>
      </c>
      <c r="S111" s="9" t="n">
        <v>6.207848088034589</v>
      </c>
      <c r="T111" s="9" t="n">
        <v>5.257549941445832</v>
      </c>
      <c r="U111" s="9" t="n">
        <v>0.599614</v>
      </c>
      <c r="V111" s="9" t="n">
        <v>0.147458</v>
      </c>
      <c r="W111" s="9" t="n">
        <v>0.204969</v>
      </c>
      <c r="X111" s="9" t="n">
        <v>9.90632651389944</v>
      </c>
      <c r="Y111" s="9" t="n">
        <v>9.90632651389944</v>
      </c>
      <c r="Z111" s="9" t="n">
        <v>6.990586720519648</v>
      </c>
      <c r="AA111" s="9" t="n">
        <v>92.55000000000001</v>
      </c>
      <c r="AB111" s="9" t="n">
        <v>12.93</v>
      </c>
      <c r="AC111" s="9" t="n">
        <v>7.51</v>
      </c>
      <c r="AD111" s="9" t="n">
        <v>3</v>
      </c>
      <c r="AE111" s="9" t="n">
        <v>19.57930562864805</v>
      </c>
      <c r="AF111" s="9" t="n">
        <v>582.567</v>
      </c>
      <c r="AG111" s="9" t="n">
        <v>71.41711128159291</v>
      </c>
      <c r="AH111" s="9" t="n">
        <v>62.0886572028</v>
      </c>
      <c r="AI111" s="9" t="n">
        <v>66.17920403027858</v>
      </c>
      <c r="AJ111" s="9" t="n">
        <v>64.45854472549135</v>
      </c>
      <c r="AK111" s="9" t="n">
        <v>1945.709234620667</v>
      </c>
      <c r="AL111" s="9" t="n">
        <v>0</v>
      </c>
      <c r="AM111" s="9" t="n">
        <v>0</v>
      </c>
      <c r="AN111" s="9" t="n">
        <v>0</v>
      </c>
      <c r="AO111" s="9" t="n">
        <v>0</v>
      </c>
      <c r="AP111" s="9" t="n">
        <v>321.1476517023661</v>
      </c>
      <c r="AQ111" s="9" t="n">
        <v>305.5206518886403</v>
      </c>
      <c r="AR111" s="9" t="n">
        <v>325.6490713071862</v>
      </c>
      <c r="AS111" s="9" t="n">
        <v>317.1821954531994</v>
      </c>
      <c r="AT111" s="9" t="n">
        <v>831.131485094669</v>
      </c>
      <c r="AU111" s="9" t="n">
        <v>812.0841586092</v>
      </c>
      <c r="AV111" s="9" t="n">
        <v>871.3711556819117</v>
      </c>
      <c r="AW111" s="9" t="n">
        <v>867.1313026041081</v>
      </c>
      <c r="AX111" s="9" t="n">
        <v>255.838126852888</v>
      </c>
      <c r="AY111" s="9" t="n">
        <v>250.0631990892</v>
      </c>
      <c r="AZ111" s="9" t="n">
        <v>268.2566817088242</v>
      </c>
      <c r="BA111" s="9" t="n">
        <v>266.9431759921101</v>
      </c>
      <c r="BB111" s="9" t="n">
        <v>1258.749502286523</v>
      </c>
      <c r="BC111" s="9" t="n">
        <v>1190.635077281481</v>
      </c>
      <c r="BD111" s="9" t="n">
        <v>1547.585747312757</v>
      </c>
      <c r="BE111" s="9" t="n">
        <v>1236.08091780774</v>
      </c>
      <c r="BF111" s="9" t="n">
        <v>0</v>
      </c>
      <c r="BG111" s="9" t="n">
        <v>0</v>
      </c>
      <c r="BH111" s="9" t="n">
        <v>0</v>
      </c>
      <c r="BI111" s="9" t="n">
        <v>0</v>
      </c>
      <c r="BJ111" s="9" t="n">
        <v>287.6886778106041</v>
      </c>
      <c r="BK111" s="9" t="n">
        <v>279.7093201899996</v>
      </c>
      <c r="BL111" s="9" t="n">
        <v>298.1372283436938</v>
      </c>
      <c r="BM111" s="9" t="n">
        <v>290.3856604067578</v>
      </c>
      <c r="BN111" s="9" t="n">
        <v>1351.690833837019</v>
      </c>
      <c r="BO111" s="9" t="n">
        <v>853.3160999532</v>
      </c>
      <c r="BP111" s="9" t="n">
        <v>909.534572420705</v>
      </c>
      <c r="BQ111" s="9" t="n">
        <v>885.8866735377666</v>
      </c>
      <c r="BR111" s="9" t="n">
        <v>794.6363023205157</v>
      </c>
      <c r="BS111" s="9" t="n">
        <v>79.38934878992265</v>
      </c>
      <c r="BT111" s="9" t="n">
        <v>50.57999811000001</v>
      </c>
      <c r="BU111" s="9" t="n">
        <v>53.91232739724707</v>
      </c>
      <c r="BV111" s="9" t="n">
        <v>52.51060688491863</v>
      </c>
      <c r="BW111" s="9" t="n">
        <v>719.9166847832946</v>
      </c>
      <c r="BX111" s="9" t="n">
        <v>1037.340718551515</v>
      </c>
      <c r="BY111" s="9" t="n">
        <v>722.3458982575189</v>
      </c>
      <c r="BZ111" s="9" t="n">
        <v>693.4811568697661</v>
      </c>
      <c r="CA111" s="9" t="n">
        <v>0.991491412471918</v>
      </c>
      <c r="CB111" s="9" t="n">
        <v>301.9360033187658</v>
      </c>
      <c r="CC111" s="9" t="n">
        <v>0.609</v>
      </c>
      <c r="CD111" s="9" t="n">
        <v>-0.5637444462166148</v>
      </c>
      <c r="CE111" s="9" t="n">
        <v>0.5620000000000001</v>
      </c>
      <c r="CF111" s="9" t="n">
        <v>1.639</v>
      </c>
      <c r="CG111" s="9" t="n">
        <v>1830.489</v>
      </c>
      <c r="CH111" s="9" t="n">
        <v>44.87</v>
      </c>
      <c r="CI111" s="9" t="n">
        <v>10.88</v>
      </c>
      <c r="CJ111" s="9" t="n">
        <v>264.38</v>
      </c>
      <c r="CK111" s="9" t="n">
        <v>219.92</v>
      </c>
      <c r="CL111" s="9" t="n">
        <v>33.58</v>
      </c>
      <c r="CM111" s="9" t="n">
        <v>26.34</v>
      </c>
      <c r="CN111" s="9" t="n">
        <v>356.97</v>
      </c>
      <c r="CO111" s="9" t="n">
        <v>21.38</v>
      </c>
      <c r="CP111" s="9" t="n">
        <v>944.503</v>
      </c>
      <c r="CQ111" s="9" t="n">
        <v>959.826</v>
      </c>
      <c r="CR111" s="9" t="n">
        <v>3</v>
      </c>
      <c r="CS111" s="9" t="n">
        <v>3</v>
      </c>
      <c r="CT111" s="9" t="n">
        <v>0.5</v>
      </c>
      <c r="CU111" s="9" t="n">
        <v>0.3</v>
      </c>
      <c r="CV111" s="9" t="n">
        <v>0.6</v>
      </c>
      <c r="CW111" s="9" t="n">
        <v>0.8</v>
      </c>
      <c r="CX111" s="9" t="n">
        <v>0.8</v>
      </c>
      <c r="CY111" s="9" t="n">
        <v>0.7</v>
      </c>
      <c r="CZ111" s="9" t="n">
        <v>0.5</v>
      </c>
      <c r="DA111" s="9" t="n">
        <v>0.5</v>
      </c>
      <c r="DB111" s="9" t="n">
        <v>1</v>
      </c>
      <c r="DC111" s="9" t="n">
        <v>0.3</v>
      </c>
      <c r="DD111" s="9" t="n">
        <v>0.8</v>
      </c>
      <c r="DE111" s="9" t="n">
        <v>0.5526832093197955</v>
      </c>
      <c r="DF111" s="9" t="n">
        <v>3</v>
      </c>
      <c r="DG111" s="9" t="n">
        <v>3.06</v>
      </c>
      <c r="DH111" s="9" t="n">
        <v>2.863</v>
      </c>
      <c r="DI111" s="9" t="n">
        <v>11.38076</v>
      </c>
      <c r="DJ111" s="9" t="n">
        <v>18.00460059326685</v>
      </c>
      <c r="DK111" s="9" t="n">
        <v>25.07768144687378</v>
      </c>
      <c r="DL111" s="9" t="n">
        <v>15.04682410526479</v>
      </c>
      <c r="DM111" s="9" t="n">
        <v>22.67451753657742</v>
      </c>
      <c r="DN111" s="9" t="n">
        <v>3.757</v>
      </c>
      <c r="DO111" s="9" t="n">
        <v>4.758</v>
      </c>
      <c r="DP111" s="9" t="n">
        <v>12.13244</v>
      </c>
      <c r="DQ111" s="9" t="n">
        <v>13.49474620847193</v>
      </c>
      <c r="DR111" s="9" t="n">
        <v>13.49474620847193</v>
      </c>
      <c r="DS111" s="9" t="n">
        <v>0.11</v>
      </c>
    </row>
    <row r="112">
      <c r="A112" s="9" t="inlineStr">
        <is>
          <t>MKD</t>
        </is>
      </c>
      <c r="B112" s="9" t="inlineStr">
        <is>
          <t>North Macedonia</t>
        </is>
      </c>
      <c r="C112" s="9" t="n">
        <v>0.005</v>
      </c>
      <c r="D112" s="9" t="n">
        <v>0.005</v>
      </c>
      <c r="E112" s="9" t="n">
        <v>0.01</v>
      </c>
      <c r="F112" s="9" t="n">
        <v>0.005</v>
      </c>
      <c r="G112" s="9" t="n">
        <v>0.005</v>
      </c>
      <c r="H112" s="9" t="n">
        <v>0.01</v>
      </c>
      <c r="I112" s="9" t="n">
        <v>0.005</v>
      </c>
      <c r="J112" s="9" t="n">
        <v>0.005</v>
      </c>
      <c r="K112" s="9" t="n">
        <v>0.01</v>
      </c>
      <c r="L112" s="9" t="n">
        <v>0.01</v>
      </c>
      <c r="M112" s="9" t="n">
        <v>0.005</v>
      </c>
      <c r="N112" s="9" t="n">
        <v>9.995941999999999</v>
      </c>
      <c r="O112" s="9" t="n">
        <v>3.067695</v>
      </c>
      <c r="P112" s="9" t="n">
        <v>98.401596</v>
      </c>
      <c r="Q112" s="9" t="n">
        <v>5.511541836896393</v>
      </c>
      <c r="R112" s="9" t="n">
        <v>0.6291725360268621</v>
      </c>
      <c r="S112" s="9" t="n">
        <v>3.057631218094847</v>
      </c>
      <c r="T112" s="9" t="n">
        <v>2.346032997820862</v>
      </c>
      <c r="U112" s="9" t="n">
        <v>0.496063</v>
      </c>
      <c r="V112" s="9" t="n">
        <v>0.133938</v>
      </c>
      <c r="W112" s="9" t="n">
        <v>0.220737</v>
      </c>
      <c r="X112" s="9" t="n">
        <v>4.935345884254583</v>
      </c>
      <c r="Y112" s="9" t="n">
        <v>4.935345884254583</v>
      </c>
      <c r="Z112" s="9" t="n">
        <v>0.06474685576350916</v>
      </c>
      <c r="AA112" s="9" t="n">
        <v>1.24</v>
      </c>
      <c r="AB112" s="9" t="n">
        <v>1.06</v>
      </c>
      <c r="AC112" s="9" t="n">
        <v>0.1</v>
      </c>
      <c r="AD112" s="9" t="n">
        <v>3</v>
      </c>
      <c r="AE112" s="9" t="n">
        <v>0.0039583035</v>
      </c>
      <c r="AF112" s="9" t="n">
        <v>9.271000000000001</v>
      </c>
      <c r="AG112" s="9" t="n">
        <v>4.921184226939921</v>
      </c>
      <c r="AH112" s="9" t="n">
        <v>3.7591518744</v>
      </c>
      <c r="AI112" s="9" t="n">
        <v>4.430374949397415</v>
      </c>
      <c r="AJ112" s="9" t="n">
        <v>4.71391894615885</v>
      </c>
      <c r="AK112" s="9" t="n">
        <v>15.89848698471728</v>
      </c>
      <c r="AL112" s="9" t="n">
        <v>0.0758648714318856</v>
      </c>
      <c r="AM112" s="9" t="n">
        <v>0.0578866968</v>
      </c>
      <c r="AN112" s="9" t="n">
        <v>0.0682227747042056</v>
      </c>
      <c r="AO112" s="9" t="n">
        <v>0.0725890322852747</v>
      </c>
      <c r="AP112" s="9" t="n">
        <v>32.64705882222461</v>
      </c>
      <c r="AQ112" s="9" t="n">
        <v>24.91933365</v>
      </c>
      <c r="AR112" s="9" t="n">
        <v>29.36885639297491</v>
      </c>
      <c r="AS112" s="9" t="n">
        <v>31.2484632021253</v>
      </c>
      <c r="AT112" s="9" t="n">
        <v>14.41430216909852</v>
      </c>
      <c r="AU112" s="9" t="n">
        <v>11.6915050224</v>
      </c>
      <c r="AV112" s="9" t="n">
        <v>13.76630876591311</v>
      </c>
      <c r="AW112" s="9" t="n">
        <v>14.87047574574657</v>
      </c>
      <c r="AX112" s="9" t="n">
        <v>14.72300267262595</v>
      </c>
      <c r="AY112" s="9" t="n">
        <v>11.9404982052</v>
      </c>
      <c r="AZ112" s="9" t="n">
        <v>14.06177252280941</v>
      </c>
      <c r="BA112" s="9" t="n">
        <v>15.18981420620206</v>
      </c>
      <c r="BB112" s="9" t="n">
        <v>4.858854995824015</v>
      </c>
      <c r="BC112" s="9" t="n">
        <v>3.71472408949041</v>
      </c>
      <c r="BD112" s="9" t="n">
        <v>4.101152460534119</v>
      </c>
      <c r="BE112" s="9" t="n">
        <v>4.658201955023861</v>
      </c>
      <c r="BF112" s="9" t="n">
        <v>0</v>
      </c>
      <c r="BG112" s="9" t="n">
        <v>0</v>
      </c>
      <c r="BH112" s="9" t="n">
        <v>0</v>
      </c>
      <c r="BI112" s="9" t="n">
        <v>0</v>
      </c>
      <c r="BJ112" s="9" t="n">
        <v>0.262452943383707</v>
      </c>
      <c r="BK112" s="9" t="n">
        <v>0.1992847799999997</v>
      </c>
      <c r="BL112" s="9" t="n">
        <v>0.2348684827343123</v>
      </c>
      <c r="BM112" s="9" t="n">
        <v>0.2499000656293083</v>
      </c>
      <c r="BN112" s="9" t="n">
        <v>4.043369716613369</v>
      </c>
      <c r="BO112" s="9" t="n">
        <v>2.5976665656</v>
      </c>
      <c r="BP112" s="9" t="n">
        <v>3.061498248446894</v>
      </c>
      <c r="BQ112" s="9" t="n">
        <v>3.257434136347494</v>
      </c>
      <c r="BR112" s="9" t="n">
        <v>17.22309028102378</v>
      </c>
      <c r="BS112" s="9" t="n">
        <v>0.9460058513089672</v>
      </c>
      <c r="BT112" s="9" t="n">
        <v>0.580667292</v>
      </c>
      <c r="BU112" s="9" t="n">
        <v>0.6843495315873195</v>
      </c>
      <c r="BV112" s="9" t="n">
        <v>0.728147901608908</v>
      </c>
      <c r="BW112" s="9" t="n">
        <v>18.45780163076631</v>
      </c>
      <c r="BX112" s="9" t="n">
        <v>13.61735774718331</v>
      </c>
      <c r="BY112" s="9" t="n">
        <v>16.83119720648673</v>
      </c>
      <c r="BZ112" s="9" t="n">
        <v>17.37101912851887</v>
      </c>
      <c r="CA112" s="9" t="n">
        <v>1.019026398816975</v>
      </c>
      <c r="CB112" s="9" t="n">
        <v>8.093695789367908</v>
      </c>
      <c r="CC112" s="9" t="n">
        <v>0</v>
      </c>
      <c r="CD112" s="9" t="n">
        <v>8.66473814830622</v>
      </c>
      <c r="CE112" s="9" t="n">
        <v>3.487</v>
      </c>
      <c r="CF112" s="9" t="n">
        <v>3.1</v>
      </c>
      <c r="CG112" s="9" t="n">
        <v>16.954</v>
      </c>
      <c r="CH112" s="9" t="n">
        <v>1.26</v>
      </c>
      <c r="CI112" s="9" t="n">
        <v>2.07</v>
      </c>
      <c r="CJ112" s="9" t="n">
        <v>3.33</v>
      </c>
      <c r="CK112" s="9" t="n">
        <v>1.09</v>
      </c>
      <c r="CL112" s="9" t="n">
        <v>0.17</v>
      </c>
      <c r="CM112" s="9" t="n">
        <v>2.21</v>
      </c>
      <c r="CN112" s="9" t="n">
        <v>7.1</v>
      </c>
      <c r="CO112" s="9" t="n">
        <v>0.3</v>
      </c>
      <c r="CP112" s="9" t="n">
        <v>12.22</v>
      </c>
      <c r="CQ112" s="9" t="n">
        <v>12.22</v>
      </c>
      <c r="CR112" s="9" t="n">
        <v>3</v>
      </c>
      <c r="CS112" s="9" t="n">
        <v>3</v>
      </c>
      <c r="CT112" s="9" t="n">
        <v>0.5</v>
      </c>
      <c r="CU112" s="9" t="n">
        <v>0.3</v>
      </c>
      <c r="CV112" s="9" t="n">
        <v>0.6</v>
      </c>
      <c r="CW112" s="9" t="n">
        <v>0.8</v>
      </c>
      <c r="CX112" s="9" t="n">
        <v>0.8</v>
      </c>
      <c r="CY112" s="9" t="n">
        <v>0.7</v>
      </c>
      <c r="CZ112" s="9" t="n">
        <v>0.5</v>
      </c>
      <c r="DA112" s="9" t="n">
        <v>0.5</v>
      </c>
      <c r="DB112" s="9" t="n">
        <v>1</v>
      </c>
      <c r="DC112" s="9" t="n">
        <v>0.3</v>
      </c>
      <c r="DD112" s="9" t="n">
        <v>0.8</v>
      </c>
      <c r="DE112" s="9" t="n">
        <v>0.3338584537828365</v>
      </c>
      <c r="DF112" s="9" t="n">
        <v>3</v>
      </c>
      <c r="DG112" s="9" t="n">
        <v>4.418</v>
      </c>
      <c r="DH112" s="9" t="n">
        <v>2.691</v>
      </c>
      <c r="DI112" s="9" t="n">
        <v>8.167960000000001</v>
      </c>
      <c r="DJ112" s="9" t="n">
        <v>21.9429100642737</v>
      </c>
      <c r="DK112" s="9" t="n">
        <v>24.412020220911</v>
      </c>
      <c r="DL112" s="9" t="n">
        <v>15.65611451797798</v>
      </c>
      <c r="DM112" s="9" t="n">
        <v>20.12716325471737</v>
      </c>
      <c r="DN112" s="9" t="n">
        <v>14.265</v>
      </c>
      <c r="DO112" s="9" t="n">
        <v>14.265</v>
      </c>
      <c r="DP112" s="9" t="n">
        <v>29.9071</v>
      </c>
      <c r="DQ112" s="9" t="n">
        <v>13.49474620847193</v>
      </c>
      <c r="DR112" s="9" t="n">
        <v>13.49474620847193</v>
      </c>
      <c r="DS112" s="9" t="n">
        <v>0.105</v>
      </c>
    </row>
    <row r="113">
      <c r="A113" s="9" t="inlineStr">
        <is>
          <t>MLI</t>
        </is>
      </c>
      <c r="B113" s="9" t="inlineStr">
        <is>
          <t>Mali</t>
        </is>
      </c>
      <c r="C113" s="9" t="n">
        <v>0.005</v>
      </c>
      <c r="D113" s="9" t="n">
        <v>0.005</v>
      </c>
      <c r="E113" s="9" t="n">
        <v>0.01</v>
      </c>
      <c r="F113" s="9" t="n">
        <v>0.005</v>
      </c>
      <c r="G113" s="9" t="n">
        <v>0.005</v>
      </c>
      <c r="H113" s="9" t="n">
        <v>0.01</v>
      </c>
      <c r="I113" s="9" t="n">
        <v>0.005</v>
      </c>
      <c r="J113" s="9" t="n">
        <v>0.005</v>
      </c>
      <c r="K113" s="9" t="n">
        <v>0.01</v>
      </c>
      <c r="L113" s="9" t="n">
        <v>0.01</v>
      </c>
      <c r="M113" s="9" t="n">
        <v>0.005</v>
      </c>
      <c r="N113" s="9" t="n">
        <v>0.008718999999999999</v>
      </c>
      <c r="O113" s="9" t="n">
        <v>0.033555</v>
      </c>
      <c r="P113" s="9" t="n">
        <v>0.374338</v>
      </c>
      <c r="Q113" s="9" t="n">
        <v>0.0670327728589129</v>
      </c>
      <c r="R113" s="9" t="n">
        <v>0.0128968645463191</v>
      </c>
      <c r="S113" s="9" t="n">
        <v>0.0299347028854739</v>
      </c>
      <c r="T113" s="9" t="n">
        <v>0.009270864525118799</v>
      </c>
      <c r="U113" s="9" t="n">
        <v>0.000387</v>
      </c>
      <c r="V113" s="9" t="n">
        <v>0.000137</v>
      </c>
      <c r="W113" s="9" t="n">
        <v>0.000719</v>
      </c>
      <c r="X113" s="9" t="n">
        <v>0.158667282560369</v>
      </c>
      <c r="Y113" s="9" t="n">
        <v>0.158667282560369</v>
      </c>
      <c r="Z113" s="9" t="n">
        <v>0.1022606203125802</v>
      </c>
      <c r="AA113" s="9" t="n">
        <v>0.61</v>
      </c>
      <c r="AB113" s="9" t="n">
        <v>0.14</v>
      </c>
      <c r="AC113" s="9" t="n">
        <v>0</v>
      </c>
      <c r="AD113" s="9" t="n">
        <v>0</v>
      </c>
      <c r="AE113" s="9" t="n">
        <v>0</v>
      </c>
      <c r="AF113" s="9" t="n">
        <v>6.997</v>
      </c>
      <c r="AG113" s="9" t="n">
        <v>2.64662938189282</v>
      </c>
      <c r="AH113" s="9" t="n">
        <v>2.3272411536</v>
      </c>
      <c r="AI113" s="9" t="n">
        <v>2.486823404132571</v>
      </c>
      <c r="AJ113" s="9" t="n">
        <v>2.417192348816859</v>
      </c>
      <c r="AK113" s="9" t="n">
        <v>0</v>
      </c>
      <c r="AL113" s="9" t="n">
        <v>0</v>
      </c>
      <c r="AM113" s="9" t="n">
        <v>0</v>
      </c>
      <c r="AN113" s="9" t="n">
        <v>0</v>
      </c>
      <c r="AO113" s="9" t="n">
        <v>0</v>
      </c>
      <c r="AP113" s="9" t="n">
        <v>37.03707546283626</v>
      </c>
      <c r="AQ113" s="9" t="n">
        <v>34.10032757</v>
      </c>
      <c r="AR113" s="9" t="n">
        <v>36.43863574622857</v>
      </c>
      <c r="AS113" s="9" t="n">
        <v>35.41835394533415</v>
      </c>
      <c r="AT113" s="9" t="n">
        <v>8.6630333800162</v>
      </c>
      <c r="AU113" s="9" t="n">
        <v>7.067444004</v>
      </c>
      <c r="AV113" s="9" t="n">
        <v>8.376013876897581</v>
      </c>
      <c r="AW113" s="9" t="n">
        <v>8.281179315221516</v>
      </c>
      <c r="AX113" s="9" t="n">
        <v>5.663700429060593</v>
      </c>
      <c r="AY113" s="9" t="n">
        <v>4.701650796</v>
      </c>
      <c r="AZ113" s="9" t="n">
        <v>5.476053399244042</v>
      </c>
      <c r="BA113" s="9" t="n">
        <v>5.414052651458223</v>
      </c>
      <c r="BB113" s="9" t="n">
        <v>26.52160820486263</v>
      </c>
      <c r="BC113" s="9" t="n">
        <v>24.80167968906953</v>
      </c>
      <c r="BD113" s="9" t="n">
        <v>24.85142841762027</v>
      </c>
      <c r="BE113" s="9" t="n">
        <v>24.94504370395337</v>
      </c>
      <c r="BF113" s="9" t="n">
        <v>0</v>
      </c>
      <c r="BG113" s="9" t="n">
        <v>0</v>
      </c>
      <c r="BH113" s="9" t="n">
        <v>0</v>
      </c>
      <c r="BI113" s="9" t="n">
        <v>0</v>
      </c>
      <c r="BJ113" s="9" t="n">
        <v>0.7915176448356968</v>
      </c>
      <c r="BK113" s="9" t="n">
        <v>0.712739949999999</v>
      </c>
      <c r="BL113" s="9" t="n">
        <v>0.761613546571428</v>
      </c>
      <c r="BM113" s="9" t="n">
        <v>0.7402883672674277</v>
      </c>
      <c r="BN113" s="9" t="n">
        <v>0</v>
      </c>
      <c r="BO113" s="9" t="n">
        <v>0</v>
      </c>
      <c r="BP113" s="9" t="n">
        <v>0</v>
      </c>
      <c r="BQ113" s="9" t="n">
        <v>0</v>
      </c>
      <c r="BR113" s="9" t="n">
        <v>0</v>
      </c>
      <c r="BS113" s="9" t="n">
        <v>0</v>
      </c>
      <c r="BT113" s="9" t="n">
        <v>0</v>
      </c>
      <c r="BU113" s="9" t="n">
        <v>0</v>
      </c>
      <c r="BV113" s="9" t="n">
        <v>0</v>
      </c>
      <c r="BW113" s="9" t="n">
        <v>33.78529738029388</v>
      </c>
      <c r="BX113" s="9" t="n">
        <v>32.23041766515135</v>
      </c>
      <c r="BY113" s="9" t="n">
        <v>34.91820716180368</v>
      </c>
      <c r="BZ113" s="9" t="n">
        <v>34.07866947910613</v>
      </c>
      <c r="CA113" s="9" t="n">
        <v>0.523181906026812</v>
      </c>
      <c r="CB113" s="9" t="n">
        <v>3.979648280299109</v>
      </c>
      <c r="CC113" s="9" t="n">
        <v>1.709</v>
      </c>
      <c r="CD113" s="9" t="n">
        <v>-6.541069055973836</v>
      </c>
      <c r="CE113" s="9" t="n">
        <v>4.9</v>
      </c>
      <c r="CF113" s="9" t="n">
        <v>5.5</v>
      </c>
      <c r="CG113" s="9" t="n">
        <v>26.777</v>
      </c>
      <c r="CH113" s="9" t="n">
        <v>0.99</v>
      </c>
      <c r="CI113" s="9" t="n">
        <v>0</v>
      </c>
      <c r="CJ113" s="9" t="n">
        <v>4.8</v>
      </c>
      <c r="CK113" s="9" t="n">
        <v>0</v>
      </c>
      <c r="CL113" s="9" t="n">
        <v>4.8</v>
      </c>
      <c r="CM113" s="9" t="n">
        <v>0.17</v>
      </c>
      <c r="CN113" s="9" t="n">
        <v>5.96</v>
      </c>
      <c r="CO113" s="9" t="n">
        <v>0</v>
      </c>
      <c r="CP113" s="9" t="n">
        <v>50.869</v>
      </c>
      <c r="CQ113" s="9" t="n">
        <v>50.873</v>
      </c>
      <c r="CR113" s="9" t="n">
        <v>3</v>
      </c>
      <c r="CS113" s="9" t="n">
        <v>1</v>
      </c>
      <c r="CT113" s="9" t="n">
        <v>0.5</v>
      </c>
      <c r="CU113" s="9" t="n">
        <v>0.3</v>
      </c>
      <c r="CV113" s="9" t="n">
        <v>0.6</v>
      </c>
      <c r="CW113" s="9" t="n">
        <v>0.8</v>
      </c>
      <c r="CX113" s="9" t="n">
        <v>0.8</v>
      </c>
      <c r="CY113" s="9" t="n">
        <v>0.7</v>
      </c>
      <c r="CZ113" s="9" t="n">
        <v>0.5</v>
      </c>
      <c r="DA113" s="9" t="n">
        <v>0.5</v>
      </c>
      <c r="DB113" s="9" t="n">
        <v>1</v>
      </c>
      <c r="DC113" s="9" t="n">
        <v>0.3</v>
      </c>
      <c r="DD113" s="9" t="n">
        <v>0.8</v>
      </c>
      <c r="DE113" s="9" t="n">
        <v>0.3287376924399047</v>
      </c>
      <c r="DF113" s="9" t="n">
        <v>2</v>
      </c>
      <c r="DG113" s="9" t="n">
        <v>6.987</v>
      </c>
      <c r="DH113" s="9" t="n">
        <v>5.362</v>
      </c>
      <c r="DI113" s="9" t="n">
        <v>14.38774</v>
      </c>
      <c r="DJ113" s="9" t="n">
        <v>19.32195545859935</v>
      </c>
      <c r="DK113" s="9" t="n">
        <v>22.5297357086441</v>
      </c>
      <c r="DL113" s="9" t="n">
        <v>13.9342068298755</v>
      </c>
      <c r="DM113" s="9" t="n">
        <v>21.3892809076621</v>
      </c>
      <c r="DN113" s="9" t="n">
        <v>12.815</v>
      </c>
      <c r="DO113" s="9" t="n">
        <v>11.492</v>
      </c>
      <c r="DP113" s="9" t="n">
        <v>24.49326</v>
      </c>
      <c r="DQ113" s="9" t="n">
        <v>12.50978071536556</v>
      </c>
      <c r="DR113" s="9" t="n">
        <v>12.50978071536556</v>
      </c>
      <c r="DS113" s="9" t="n">
        <v>0.105</v>
      </c>
    </row>
    <row r="114">
      <c r="A114" s="9" t="inlineStr">
        <is>
          <t>MLT</t>
        </is>
      </c>
      <c r="B114" s="9" t="inlineStr">
        <is>
          <t>Malta</t>
        </is>
      </c>
      <c r="C114" s="9" t="n">
        <v>0.005</v>
      </c>
      <c r="D114" s="9" t="n">
        <v>0.005</v>
      </c>
      <c r="E114" s="9" t="n">
        <v>0.01</v>
      </c>
      <c r="F114" s="9" t="n">
        <v>0.005</v>
      </c>
      <c r="G114" s="9" t="n">
        <v>0.005</v>
      </c>
      <c r="H114" s="9" t="n">
        <v>0.01</v>
      </c>
      <c r="I114" s="9" t="n">
        <v>0.005</v>
      </c>
      <c r="J114" s="9" t="n">
        <v>0.005</v>
      </c>
      <c r="K114" s="9" t="n">
        <v>0.01</v>
      </c>
      <c r="L114" s="9" t="n">
        <v>0.01</v>
      </c>
      <c r="M114" s="9" t="n">
        <v>0.005</v>
      </c>
      <c r="N114" s="9" t="n">
        <v>9.534115</v>
      </c>
      <c r="O114" s="9" t="n">
        <v>-0.294878</v>
      </c>
      <c r="P114" s="9" t="n">
        <v>27.817227</v>
      </c>
      <c r="Q114" s="9" t="n">
        <v>1.932796159504751</v>
      </c>
      <c r="R114" s="9" t="n">
        <v>0.3530194962845019</v>
      </c>
      <c r="S114" s="9" t="n">
        <v>1.592075848419558</v>
      </c>
      <c r="T114" s="9" t="n">
        <v>1.905376006166679</v>
      </c>
      <c r="U114" s="9" t="n">
        <v>0.319686</v>
      </c>
      <c r="V114" s="9" t="n">
        <v>0.027941</v>
      </c>
      <c r="W114" s="9" t="n">
        <v>0.098799</v>
      </c>
      <c r="X114" s="9" t="n">
        <v>0.7492400837454468</v>
      </c>
      <c r="Y114" s="9" t="n">
        <v>0.7492400837454468</v>
      </c>
      <c r="Z114" s="9" t="n">
        <v>0.2105423646246321</v>
      </c>
      <c r="AA114" s="9" t="n">
        <v>0.55</v>
      </c>
      <c r="AB114" s="9" t="n">
        <v>0.25</v>
      </c>
      <c r="AC114" s="9" t="n">
        <v>0</v>
      </c>
      <c r="AD114" s="9" t="n">
        <v>0</v>
      </c>
      <c r="AE114" s="9" t="n">
        <v>0</v>
      </c>
      <c r="AF114" s="9" t="n">
        <v>1.775</v>
      </c>
      <c r="AG114" s="9" t="n">
        <v>0</v>
      </c>
      <c r="AH114" s="9" t="n">
        <v>0</v>
      </c>
      <c r="AI114" s="9" t="n">
        <v>0</v>
      </c>
      <c r="AJ114" s="9" t="n">
        <v>0</v>
      </c>
      <c r="AK114" s="9" t="n">
        <v>0</v>
      </c>
      <c r="AL114" s="9" t="n">
        <v>0</v>
      </c>
      <c r="AM114" s="9" t="n">
        <v>0</v>
      </c>
      <c r="AN114" s="9" t="n">
        <v>0</v>
      </c>
      <c r="AO114" s="9" t="n">
        <v>0</v>
      </c>
      <c r="AP114" s="9" t="n">
        <v>5.976707203243358</v>
      </c>
      <c r="AQ114" s="9" t="n">
        <v>5.246525260000003</v>
      </c>
      <c r="AR114" s="9" t="n">
        <v>5.501402752569138</v>
      </c>
      <c r="AS114" s="9" t="n">
        <v>5.84604077445122</v>
      </c>
      <c r="AT114" s="9" t="n">
        <v>7.414010295157278</v>
      </c>
      <c r="AU114" s="9" t="n">
        <v>5.5945947528</v>
      </c>
      <c r="AV114" s="9" t="n">
        <v>6.147271711895399</v>
      </c>
      <c r="AW114" s="9" t="n">
        <v>7.182245951590823</v>
      </c>
      <c r="AX114" s="9" t="n">
        <v>4.472353046211591</v>
      </c>
      <c r="AY114" s="9" t="n">
        <v>3.4121666376</v>
      </c>
      <c r="AZ114" s="9" t="n">
        <v>3.708195522368541</v>
      </c>
      <c r="BA114" s="9" t="n">
        <v>4.332635620171748</v>
      </c>
      <c r="BB114" s="9" t="n">
        <v>3.792772135849544</v>
      </c>
      <c r="BC114" s="9" t="n">
        <v>3.30317815231852</v>
      </c>
      <c r="BD114" s="9" t="n">
        <v>3.634728304341348</v>
      </c>
      <c r="BE114" s="9" t="n">
        <v>3.680633850547011</v>
      </c>
      <c r="BF114" s="9" t="n">
        <v>0</v>
      </c>
      <c r="BG114" s="9" t="n">
        <v>0</v>
      </c>
      <c r="BH114" s="9" t="n">
        <v>0</v>
      </c>
      <c r="BI114" s="9" t="n">
        <v>0</v>
      </c>
      <c r="BJ114" s="9" t="n">
        <v>0.6290463916972414</v>
      </c>
      <c r="BK114" s="9" t="n">
        <v>0.5351593699999995</v>
      </c>
      <c r="BL114" s="9" t="n">
        <v>0.5611575443327154</v>
      </c>
      <c r="BM114" s="9" t="n">
        <v>0.5963115286420296</v>
      </c>
      <c r="BN114" s="9" t="n">
        <v>0</v>
      </c>
      <c r="BO114" s="9" t="n">
        <v>0</v>
      </c>
      <c r="BP114" s="9" t="n">
        <v>0</v>
      </c>
      <c r="BQ114" s="9" t="n">
        <v>0</v>
      </c>
      <c r="BR114" s="9" t="n">
        <v>13.73444715262256</v>
      </c>
      <c r="BS114" s="9" t="n">
        <v>0</v>
      </c>
      <c r="BT114" s="9" t="n">
        <v>0</v>
      </c>
      <c r="BU114" s="9" t="n">
        <v>0</v>
      </c>
      <c r="BV114" s="9" t="n">
        <v>0</v>
      </c>
      <c r="BW114" s="9" t="n">
        <v>3.626007509386474</v>
      </c>
      <c r="BX114" s="9" t="n">
        <v>2.970416715343083</v>
      </c>
      <c r="BY114" s="9" t="n">
        <v>3.056248661509253</v>
      </c>
      <c r="BZ114" s="9" t="n">
        <v>3.524061682977538</v>
      </c>
      <c r="CA114" s="9" t="n">
        <v>1.032557252091084</v>
      </c>
      <c r="CB114" s="9" t="n">
        <v>3.301767594824686</v>
      </c>
      <c r="CC114" s="9" t="n">
        <v>0</v>
      </c>
      <c r="CD114" s="9" t="n">
        <v>0.9794189663159296</v>
      </c>
      <c r="CE114" s="9" t="n">
        <v>3.962</v>
      </c>
      <c r="CF114" s="9" t="n">
        <v>3.7</v>
      </c>
      <c r="CG114" s="9" t="n">
        <v>25.035</v>
      </c>
      <c r="CH114" s="9" t="n">
        <v>0.01</v>
      </c>
      <c r="CI114" s="9" t="n">
        <v>0</v>
      </c>
      <c r="CJ114" s="9" t="n">
        <v>1.84</v>
      </c>
      <c r="CK114" s="9" t="n">
        <v>1.82</v>
      </c>
      <c r="CL114" s="9" t="n">
        <v>0.02</v>
      </c>
      <c r="CM114" s="9" t="n">
        <v>0.34</v>
      </c>
      <c r="CN114" s="9" t="n">
        <v>2.19</v>
      </c>
      <c r="CO114" s="9" t="n">
        <v>0</v>
      </c>
      <c r="CP114" s="9" t="n">
        <v>2.328</v>
      </c>
      <c r="CQ114" s="9" t="n">
        <v>2.328</v>
      </c>
      <c r="CR114" s="9" t="n">
        <v>1</v>
      </c>
      <c r="CS114" s="9" t="n">
        <v>4</v>
      </c>
      <c r="CT114" s="9" t="n">
        <v>0.5</v>
      </c>
      <c r="CU114" s="9" t="n">
        <v>0.3</v>
      </c>
      <c r="CV114" s="9" t="n">
        <v>0.6</v>
      </c>
      <c r="CW114" s="9" t="n">
        <v>0.8</v>
      </c>
      <c r="CX114" s="9" t="n">
        <v>0.8</v>
      </c>
      <c r="CY114" s="9" t="n">
        <v>0.7</v>
      </c>
      <c r="CZ114" s="9" t="n">
        <v>0.5</v>
      </c>
      <c r="DA114" s="9" t="n">
        <v>0.5</v>
      </c>
      <c r="DB114" s="9" t="n">
        <v>1</v>
      </c>
      <c r="DC114" s="9" t="n">
        <v>0.3</v>
      </c>
      <c r="DD114" s="9" t="n">
        <v>0.8</v>
      </c>
      <c r="DE114" s="9" t="n">
        <v>0.6041118698873096</v>
      </c>
      <c r="DF114" s="9" t="n">
        <v>1</v>
      </c>
      <c r="DG114" s="9" t="n">
        <v>7.124</v>
      </c>
      <c r="DH114" s="9" t="n">
        <v>5.575</v>
      </c>
      <c r="DI114" s="9" t="n">
        <v>14.38774</v>
      </c>
      <c r="DJ114" s="9" t="n">
        <v>21.14516644103436</v>
      </c>
      <c r="DK114" s="9" t="n">
        <v>24.24890776997484</v>
      </c>
      <c r="DL114" s="9" t="n">
        <v>17.27205865604339</v>
      </c>
      <c r="DM114" s="9" t="n">
        <v>21.52939121169862</v>
      </c>
      <c r="DN114" s="9" t="n">
        <v>11.815</v>
      </c>
      <c r="DO114" s="9" t="n">
        <v>10.492</v>
      </c>
      <c r="DP114" s="9" t="n">
        <v>23.31326</v>
      </c>
      <c r="DQ114" s="9" t="n">
        <v>14.11516989415954</v>
      </c>
      <c r="DR114" s="9" t="n">
        <v>14.11516989415954</v>
      </c>
      <c r="DS114" s="9" t="n">
        <v>0.055</v>
      </c>
    </row>
    <row r="115">
      <c r="A115" s="9" t="inlineStr">
        <is>
          <t>MMR</t>
        </is>
      </c>
      <c r="B115" s="9" t="inlineStr">
        <is>
          <t>Myanmar</t>
        </is>
      </c>
      <c r="C115" s="9" t="n">
        <v>0.005</v>
      </c>
      <c r="D115" s="9" t="n">
        <v>0.005</v>
      </c>
      <c r="E115" s="9" t="n">
        <v>0.01</v>
      </c>
      <c r="F115" s="9" t="n">
        <v>0.005</v>
      </c>
      <c r="G115" s="9" t="n">
        <v>0.005</v>
      </c>
      <c r="H115" s="9" t="n">
        <v>0.01</v>
      </c>
      <c r="I115" s="9" t="n">
        <v>0.005</v>
      </c>
      <c r="J115" s="9" t="n">
        <v>0.005</v>
      </c>
      <c r="K115" s="9" t="n">
        <v>0.01</v>
      </c>
      <c r="L115" s="9" t="n">
        <v>0.01</v>
      </c>
      <c r="M115" s="9" t="n">
        <v>0.005</v>
      </c>
      <c r="N115" s="9" t="n">
        <v>0.01018</v>
      </c>
      <c r="O115" s="9" t="n">
        <v>0.260284</v>
      </c>
      <c r="P115" s="9" t="n">
        <v>7.239541</v>
      </c>
      <c r="Q115" s="9" t="n">
        <v>17.1889458131196</v>
      </c>
      <c r="R115" s="9" t="n">
        <v>3.765798659069241</v>
      </c>
      <c r="S115" s="9" t="n">
        <v>2.010605380178499</v>
      </c>
      <c r="T115" s="9" t="n">
        <v>0.400741846899592</v>
      </c>
      <c r="U115" s="9" t="n">
        <v>0.045639</v>
      </c>
      <c r="V115" s="9" t="n">
        <v>0.025915</v>
      </c>
      <c r="W115" s="9" t="n">
        <v>0.027793</v>
      </c>
      <c r="X115" s="9" t="n">
        <v>0.6985438101256729</v>
      </c>
      <c r="Y115" s="9" t="n">
        <v>0.6985438101256729</v>
      </c>
      <c r="Z115" s="9" t="n">
        <v>0.2931404920108057</v>
      </c>
      <c r="AA115" s="9" t="n">
        <v>2.63</v>
      </c>
      <c r="AB115" s="9" t="n">
        <v>0.22</v>
      </c>
      <c r="AC115" s="9" t="n">
        <v>0</v>
      </c>
      <c r="AD115" s="9" t="n">
        <v>0</v>
      </c>
      <c r="AE115" s="9" t="n">
        <v>0</v>
      </c>
      <c r="AF115" s="9" t="n">
        <v>42.531</v>
      </c>
      <c r="AG115" s="9" t="n">
        <v>8.863378037337688</v>
      </c>
      <c r="AH115" s="9" t="n">
        <v>8.7918110784</v>
      </c>
      <c r="AI115" s="9" t="n">
        <v>9.04823890152</v>
      </c>
      <c r="AJ115" s="9" t="n">
        <v>8.822032928982001</v>
      </c>
      <c r="AK115" s="9" t="n">
        <v>55.77834862451421</v>
      </c>
      <c r="AL115" s="9" t="n">
        <v>0</v>
      </c>
      <c r="AM115" s="9" t="n">
        <v>0</v>
      </c>
      <c r="AN115" s="9" t="n">
        <v>0</v>
      </c>
      <c r="AO115" s="9" t="n">
        <v>0</v>
      </c>
      <c r="AP115" s="9" t="n">
        <v>21.93545423552798</v>
      </c>
      <c r="AQ115" s="9" t="n">
        <v>20.03418751</v>
      </c>
      <c r="AR115" s="9" t="n">
        <v>20.61851797904166</v>
      </c>
      <c r="AS115" s="9" t="n">
        <v>20.10305502956562</v>
      </c>
      <c r="AT115" s="9" t="n">
        <v>44.47938606064212</v>
      </c>
      <c r="AU115" s="9" t="n">
        <v>34.7509717236</v>
      </c>
      <c r="AV115" s="9" t="n">
        <v>38.38142408778919</v>
      </c>
      <c r="AW115" s="9" t="n">
        <v>42.20634930584323</v>
      </c>
      <c r="AX115" s="9" t="n">
        <v>31.78377022267381</v>
      </c>
      <c r="AY115" s="9" t="n">
        <v>25.199637444</v>
      </c>
      <c r="AZ115" s="9" t="n">
        <v>27.42633098312324</v>
      </c>
      <c r="BA115" s="9" t="n">
        <v>30.15951943324693</v>
      </c>
      <c r="BB115" s="9" t="n">
        <v>43.25817295070672</v>
      </c>
      <c r="BC115" s="9" t="n">
        <v>36.43935372391291</v>
      </c>
      <c r="BD115" s="9" t="n">
        <v>53.05838962904598</v>
      </c>
      <c r="BE115" s="9" t="n">
        <v>43.49204450386249</v>
      </c>
      <c r="BF115" s="9" t="n">
        <v>0</v>
      </c>
      <c r="BG115" s="9" t="n">
        <v>0</v>
      </c>
      <c r="BH115" s="9" t="n">
        <v>0</v>
      </c>
      <c r="BI115" s="9" t="n">
        <v>0</v>
      </c>
      <c r="BJ115" s="9" t="n">
        <v>0.0481061825633441</v>
      </c>
      <c r="BK115" s="9" t="n">
        <v>0.046223182142857</v>
      </c>
      <c r="BL115" s="9" t="n">
        <v>0.0475713582886904</v>
      </c>
      <c r="BM115" s="9" t="n">
        <v>0.0463820743314731</v>
      </c>
      <c r="BN115" s="9" t="n">
        <v>33.58103311130925</v>
      </c>
      <c r="BO115" s="9" t="n">
        <v>33.1354112076</v>
      </c>
      <c r="BP115" s="9" t="n">
        <v>34.101860701155</v>
      </c>
      <c r="BQ115" s="9" t="n">
        <v>33.24931418362613</v>
      </c>
      <c r="BR115" s="9" t="n">
        <v>98.4231484831144</v>
      </c>
      <c r="BS115" s="9" t="n">
        <v>0.3648260621878391</v>
      </c>
      <c r="BT115" s="9" t="n">
        <v>0.359394912</v>
      </c>
      <c r="BU115" s="9" t="n">
        <v>0.3698772636</v>
      </c>
      <c r="BV115" s="9" t="n">
        <v>0.36063033201</v>
      </c>
      <c r="BW115" s="9" t="n">
        <v>186.3824564864295</v>
      </c>
      <c r="BX115" s="9" t="n">
        <v>158.0471305344173</v>
      </c>
      <c r="BY115" s="9" t="n">
        <v>171.3350731142556</v>
      </c>
      <c r="BZ115" s="9" t="n">
        <v>161.9358944523516</v>
      </c>
      <c r="CA115" s="9" t="n">
        <v>0.3584046619026017</v>
      </c>
      <c r="CB115" s="9" t="n">
        <v>21.18421007869887</v>
      </c>
      <c r="CC115" s="9" t="n">
        <v>1.044</v>
      </c>
      <c r="CD115" s="9" t="n">
        <v>-0.4970731517637716</v>
      </c>
      <c r="CE115" s="9" t="n">
        <v>-1.964</v>
      </c>
      <c r="CF115" s="9" t="n">
        <v>2.995</v>
      </c>
      <c r="CG115" s="9" t="n">
        <v>76.759</v>
      </c>
      <c r="CH115" s="9" t="n">
        <v>10.27</v>
      </c>
      <c r="CI115" s="9" t="n">
        <v>1.2</v>
      </c>
      <c r="CJ115" s="9" t="n">
        <v>11.32</v>
      </c>
      <c r="CK115" s="9" t="n">
        <v>10</v>
      </c>
      <c r="CL115" s="9" t="n">
        <v>0.12</v>
      </c>
      <c r="CM115" s="9" t="n">
        <v>0.12</v>
      </c>
      <c r="CN115" s="9" t="n">
        <v>21.71</v>
      </c>
      <c r="CO115" s="9" t="n">
        <v>0</v>
      </c>
      <c r="CP115" s="9" t="n">
        <v>173.541</v>
      </c>
      <c r="CQ115" s="9" t="n">
        <v>310.039</v>
      </c>
      <c r="CR115" s="9" t="n">
        <v>3</v>
      </c>
      <c r="CS115" s="9" t="n">
        <v>2</v>
      </c>
      <c r="CT115" s="9" t="n">
        <v>0.5</v>
      </c>
      <c r="CU115" s="9" t="n">
        <v>0.3</v>
      </c>
      <c r="CV115" s="9" t="n">
        <v>0.6</v>
      </c>
      <c r="CW115" s="9" t="n">
        <v>0.8</v>
      </c>
      <c r="CX115" s="9" t="n">
        <v>0.8</v>
      </c>
      <c r="CY115" s="9" t="n">
        <v>0.7</v>
      </c>
      <c r="CZ115" s="9" t="n">
        <v>0.5</v>
      </c>
      <c r="DA115" s="9" t="n">
        <v>0.5</v>
      </c>
      <c r="DB115" s="9" t="n">
        <v>1</v>
      </c>
      <c r="DC115" s="9" t="n">
        <v>0.3</v>
      </c>
      <c r="DD115" s="9" t="n">
        <v>0.8</v>
      </c>
      <c r="DE115" s="9" t="n">
        <v>0.279526154025433</v>
      </c>
      <c r="DF115" s="9" t="n">
        <v>2</v>
      </c>
      <c r="DG115" s="9" t="n">
        <v>3.373</v>
      </c>
      <c r="DH115" s="9" t="n">
        <v>2.049</v>
      </c>
      <c r="DI115" s="9" t="n">
        <v>5.358</v>
      </c>
      <c r="DJ115" s="9" t="n">
        <v>19.68082211137683</v>
      </c>
      <c r="DK115" s="9" t="n">
        <v>20.58922943093086</v>
      </c>
      <c r="DL115" s="9" t="n">
        <v>17.27205865604339</v>
      </c>
      <c r="DM115" s="9" t="n">
        <v>19.78301635067195</v>
      </c>
      <c r="DN115" s="9" t="n">
        <v>6.804</v>
      </c>
      <c r="DO115" s="9" t="n">
        <v>6.142</v>
      </c>
      <c r="DP115" s="9" t="n">
        <v>10.774</v>
      </c>
      <c r="DQ115" s="9" t="n">
        <v>14.11516989415954</v>
      </c>
      <c r="DR115" s="9" t="n">
        <v>14.11516989415954</v>
      </c>
      <c r="DS115" s="9" t="n">
        <v>0.105</v>
      </c>
    </row>
    <row r="116">
      <c r="A116" s="9" t="inlineStr">
        <is>
          <t>MNE</t>
        </is>
      </c>
      <c r="B116" s="9" t="inlineStr">
        <is>
          <t>Montenegro</t>
        </is>
      </c>
      <c r="C116" s="9" t="n">
        <v>0.005</v>
      </c>
      <c r="D116" s="9" t="n">
        <v>0.005</v>
      </c>
      <c r="E116" s="9" t="n">
        <v>0.01</v>
      </c>
      <c r="F116" s="9" t="n">
        <v>0.005</v>
      </c>
      <c r="G116" s="9" t="n">
        <v>0.005</v>
      </c>
      <c r="H116" s="9" t="n">
        <v>0.01</v>
      </c>
      <c r="I116" s="9" t="n">
        <v>0.005</v>
      </c>
      <c r="J116" s="9" t="n">
        <v>0.005</v>
      </c>
      <c r="K116" s="9" t="n">
        <v>0.01</v>
      </c>
      <c r="L116" s="9" t="n">
        <v>0.01</v>
      </c>
      <c r="M116" s="9" t="n">
        <v>0.005</v>
      </c>
      <c r="N116" s="9" t="n">
        <v>0</v>
      </c>
      <c r="O116" s="9" t="n">
        <v>0</v>
      </c>
      <c r="P116" s="9" t="n">
        <v>0</v>
      </c>
      <c r="Q116" s="9" t="n">
        <v>0</v>
      </c>
      <c r="R116" s="9" t="n">
        <v>0</v>
      </c>
      <c r="S116" s="9" t="n">
        <v>0</v>
      </c>
      <c r="T116" s="9" t="n">
        <v>0</v>
      </c>
      <c r="U116" s="9" t="n">
        <v>0</v>
      </c>
      <c r="V116" s="9" t="n">
        <v>0</v>
      </c>
      <c r="W116" s="9" t="n">
        <v>0</v>
      </c>
      <c r="X116" s="9" t="n">
        <v>0</v>
      </c>
      <c r="Y116" s="9" t="n">
        <v>0</v>
      </c>
      <c r="Z116" s="9" t="n">
        <v>0.03159053856763877</v>
      </c>
      <c r="AA116" s="9" t="n">
        <v>0.22</v>
      </c>
      <c r="AB116" s="9" t="n">
        <v>0.1</v>
      </c>
      <c r="AC116" s="9" t="n">
        <v>0.12</v>
      </c>
      <c r="AD116" s="9" t="n">
        <v>3</v>
      </c>
      <c r="AE116" s="9" t="n">
        <v>0</v>
      </c>
      <c r="AF116" s="9" t="n">
        <v>0</v>
      </c>
      <c r="AG116" s="9" t="n">
        <v>0.1559761778703312</v>
      </c>
      <c r="AH116" s="9" t="n">
        <v>0.1544008104</v>
      </c>
      <c r="AI116" s="9" t="n">
        <v>0.1544008104</v>
      </c>
      <c r="AJ116" s="9" t="n">
        <v>0.1544008104</v>
      </c>
      <c r="AK116" s="9" t="n">
        <v>15.12612786052575</v>
      </c>
      <c r="AL116" s="9" t="n">
        <v>0.2126736951173065</v>
      </c>
      <c r="AM116" s="9" t="n">
        <v>0.2105457984</v>
      </c>
      <c r="AN116" s="9" t="n">
        <v>0.2105457984</v>
      </c>
      <c r="AO116" s="9" t="n">
        <v>0.2105457984</v>
      </c>
      <c r="AP116" s="9" t="n">
        <v>10.64200696290536</v>
      </c>
      <c r="AQ116" s="9" t="n">
        <v>10.15507674</v>
      </c>
      <c r="AR116" s="9" t="n">
        <v>10.15507674</v>
      </c>
      <c r="AS116" s="9" t="n">
        <v>10.15507674</v>
      </c>
      <c r="AT116" s="9" t="n">
        <v>7.207765941974925</v>
      </c>
      <c r="AU116" s="9" t="n">
        <v>5.9086801152</v>
      </c>
      <c r="AV116" s="9" t="n">
        <v>6.246177179288861</v>
      </c>
      <c r="AW116" s="9" t="n">
        <v>7.047848069410635</v>
      </c>
      <c r="AX116" s="9" t="n">
        <v>5.798924136248785</v>
      </c>
      <c r="AY116" s="9" t="n">
        <v>4.8110393196</v>
      </c>
      <c r="AZ116" s="9" t="n">
        <v>5.02537354869914</v>
      </c>
      <c r="BA116" s="9" t="n">
        <v>5.670480247819542</v>
      </c>
      <c r="BB116" s="9" t="n">
        <v>1.751512521314766</v>
      </c>
      <c r="BC116" s="9" t="n">
        <v>1.67768019</v>
      </c>
      <c r="BD116" s="9" t="n">
        <v>1.690553387632256</v>
      </c>
      <c r="BE116" s="9" t="n">
        <v>1.67768019</v>
      </c>
      <c r="BF116" s="9" t="n">
        <v>0</v>
      </c>
      <c r="BG116" s="9" t="n">
        <v>0</v>
      </c>
      <c r="BH116" s="9" t="n">
        <v>0</v>
      </c>
      <c r="BI116" s="9" t="n">
        <v>0</v>
      </c>
      <c r="BJ116" s="9" t="n">
        <v>0.0865491931188728</v>
      </c>
      <c r="BK116" s="9" t="n">
        <v>0.08317025031860061</v>
      </c>
      <c r="BL116" s="9" t="n">
        <v>0.08317025031860061</v>
      </c>
      <c r="BM116" s="9" t="n">
        <v>0.08317025031860061</v>
      </c>
      <c r="BN116" s="9" t="n">
        <v>0</v>
      </c>
      <c r="BO116" s="9" t="n">
        <v>0</v>
      </c>
      <c r="BP116" s="9" t="n">
        <v>0</v>
      </c>
      <c r="BQ116" s="9" t="n">
        <v>0</v>
      </c>
      <c r="BR116" s="9" t="n">
        <v>0</v>
      </c>
      <c r="BS116" s="9" t="n">
        <v>0</v>
      </c>
      <c r="BT116" s="9" t="n">
        <v>0</v>
      </c>
      <c r="BU116" s="9" t="n">
        <v>0</v>
      </c>
      <c r="BV116" s="9" t="n">
        <v>0</v>
      </c>
      <c r="BW116" s="9" t="n">
        <v>3.994182244497064</v>
      </c>
      <c r="BX116" s="9" t="n">
        <v>3.706693690487105</v>
      </c>
      <c r="BY116" s="9" t="n">
        <v>3.70703156285485</v>
      </c>
      <c r="BZ116" s="9" t="n">
        <v>3.706693690487105</v>
      </c>
      <c r="CA116" s="9" t="n">
        <v>1.000015238272268</v>
      </c>
      <c r="CB116" s="9" t="n">
        <v>3.612969466173253</v>
      </c>
      <c r="CC116" s="9" t="n">
        <v>0.042</v>
      </c>
      <c r="CD116" s="9" t="n">
        <v>7.479183553164836</v>
      </c>
      <c r="CE116" s="9" t="n">
        <v>2.7</v>
      </c>
      <c r="CF116" s="9" t="n">
        <v>2.8</v>
      </c>
      <c r="CG116" s="9" t="n">
        <v>8.272</v>
      </c>
      <c r="CH116" s="9" t="n">
        <v>1.44</v>
      </c>
      <c r="CI116" s="9" t="n">
        <v>0.6</v>
      </c>
      <c r="CJ116" s="9" t="n">
        <v>0.6</v>
      </c>
      <c r="CK116" s="9" t="n">
        <v>0</v>
      </c>
      <c r="CL116" s="9" t="n">
        <v>0</v>
      </c>
      <c r="CM116" s="9" t="n">
        <v>0.14</v>
      </c>
      <c r="CN116" s="9" t="n">
        <v>2.46</v>
      </c>
      <c r="CO116" s="9" t="n">
        <v>0.28</v>
      </c>
      <c r="CP116" s="9" t="n">
        <v>0</v>
      </c>
      <c r="CQ116" s="9" t="n">
        <v>0</v>
      </c>
      <c r="CR116" s="9" t="n">
        <v>3</v>
      </c>
      <c r="CS116" s="9" t="n">
        <v>3</v>
      </c>
      <c r="CT116" s="9" t="n">
        <v>0.5</v>
      </c>
      <c r="CU116" s="9" t="n">
        <v>0.3</v>
      </c>
      <c r="CV116" s="9" t="n">
        <v>0.6</v>
      </c>
      <c r="CW116" s="9" t="n">
        <v>0.8</v>
      </c>
      <c r="CX116" s="9" t="n">
        <v>0.8</v>
      </c>
      <c r="CY116" s="9" t="n">
        <v>0.7</v>
      </c>
      <c r="CZ116" s="9" t="n">
        <v>0.5</v>
      </c>
      <c r="DA116" s="9" t="n">
        <v>0.5</v>
      </c>
      <c r="DB116" s="9" t="n">
        <v>1</v>
      </c>
      <c r="DC116" s="9" t="n">
        <v>0.3</v>
      </c>
      <c r="DD116" s="9" t="n">
        <v>0.8</v>
      </c>
      <c r="DE116" s="9" t="n">
        <v>0.4071667651112424</v>
      </c>
      <c r="DF116" s="9" t="n">
        <v>2</v>
      </c>
      <c r="DG116" s="9" t="n">
        <v>3.373</v>
      </c>
      <c r="DH116" s="9" t="n">
        <v>2.049</v>
      </c>
      <c r="DI116" s="9" t="n">
        <v>6.48318</v>
      </c>
      <c r="DJ116" s="9" t="n">
        <v>21.86576874926767</v>
      </c>
      <c r="DK116" s="9" t="n">
        <v>24.94019114811834</v>
      </c>
      <c r="DL116" s="9" t="n">
        <v>15.65611451797798</v>
      </c>
      <c r="DM116" s="9" t="n">
        <v>20.29528010346993</v>
      </c>
      <c r="DN116" s="9" t="n">
        <v>12.815</v>
      </c>
      <c r="DO116" s="9" t="n">
        <v>11.492</v>
      </c>
      <c r="DP116" s="9" t="n">
        <v>25.11597</v>
      </c>
      <c r="DQ116" s="9" t="n">
        <v>13.49474620847193</v>
      </c>
      <c r="DR116" s="9" t="n">
        <v>13.49474620847193</v>
      </c>
      <c r="DS116" s="9" t="n">
        <v>0.10976</v>
      </c>
    </row>
    <row r="117">
      <c r="A117" s="9" t="inlineStr">
        <is>
          <t>MNG</t>
        </is>
      </c>
      <c r="B117" s="9" t="inlineStr">
        <is>
          <t>Mongolia</t>
        </is>
      </c>
      <c r="C117" s="9" t="n">
        <v>0.005</v>
      </c>
      <c r="D117" s="9" t="n">
        <v>0.005</v>
      </c>
      <c r="E117" s="9" t="n">
        <v>0.01</v>
      </c>
      <c r="F117" s="9" t="n">
        <v>0.005</v>
      </c>
      <c r="G117" s="9" t="n">
        <v>0.005</v>
      </c>
      <c r="H117" s="9" t="n">
        <v>0.01</v>
      </c>
      <c r="I117" s="9" t="n">
        <v>0.005</v>
      </c>
      <c r="J117" s="9" t="n">
        <v>0.005</v>
      </c>
      <c r="K117" s="9" t="n">
        <v>0.01</v>
      </c>
      <c r="L117" s="9" t="n">
        <v>0.01</v>
      </c>
      <c r="M117" s="9" t="n">
        <v>0.005</v>
      </c>
      <c r="N117" s="9" t="n">
        <v>7.127113</v>
      </c>
      <c r="O117" s="9" t="n">
        <v>1.790112</v>
      </c>
      <c r="P117" s="9" t="n">
        <v>25.73394</v>
      </c>
      <c r="Q117" s="9" t="n">
        <v>9.368875718289678</v>
      </c>
      <c r="R117" s="9" t="n">
        <v>2.175137704769896</v>
      </c>
      <c r="S117" s="9" t="n">
        <v>3.260577907303357</v>
      </c>
      <c r="T117" s="9" t="n">
        <v>0.6751051305237149</v>
      </c>
      <c r="U117" s="9" t="n">
        <v>0.257072</v>
      </c>
      <c r="V117" s="9" t="n">
        <v>0.027902</v>
      </c>
      <c r="W117" s="9" t="n">
        <v>0.113416</v>
      </c>
      <c r="X117" s="9" t="n">
        <v>1.358664099878068</v>
      </c>
      <c r="Y117" s="9" t="n">
        <v>1.358664099878068</v>
      </c>
      <c r="Z117" s="9" t="n">
        <v>0.0908724450213932</v>
      </c>
      <c r="AA117" s="9" t="n">
        <v>1.4</v>
      </c>
      <c r="AB117" s="9" t="n">
        <v>0.13</v>
      </c>
      <c r="AC117" s="9" t="n">
        <v>0.16</v>
      </c>
      <c r="AD117" s="9" t="n">
        <v>0</v>
      </c>
      <c r="AE117" s="9" t="n">
        <v>0</v>
      </c>
      <c r="AF117" s="9" t="n">
        <v>24.876</v>
      </c>
      <c r="AG117" s="9" t="n">
        <v>21.83039757361486</v>
      </c>
      <c r="AH117" s="9" t="n">
        <v>21.3563350764</v>
      </c>
      <c r="AI117" s="9" t="n">
        <v>21.3563350764</v>
      </c>
      <c r="AJ117" s="9" t="n">
        <v>21.71227399434</v>
      </c>
      <c r="AK117" s="9" t="n">
        <v>169.5660634722703</v>
      </c>
      <c r="AL117" s="9" t="n">
        <v>15.09091719035973</v>
      </c>
      <c r="AM117" s="9" t="n">
        <v>14.6069245872</v>
      </c>
      <c r="AN117" s="9" t="n">
        <v>14.6069245872</v>
      </c>
      <c r="AO117" s="9" t="n">
        <v>14.85037333032</v>
      </c>
      <c r="AP117" s="9" t="n">
        <v>12.68486535466063</v>
      </c>
      <c r="AQ117" s="9" t="n">
        <v>11.69863921999999</v>
      </c>
      <c r="AR117" s="9" t="n">
        <v>11.69863921999999</v>
      </c>
      <c r="AS117" s="9" t="n">
        <v>11.89361654033333</v>
      </c>
      <c r="AT117" s="9" t="n">
        <v>30.16847245760933</v>
      </c>
      <c r="AU117" s="9" t="n">
        <v>21.1237206552</v>
      </c>
      <c r="AV117" s="9" t="n">
        <v>23.78262850147146</v>
      </c>
      <c r="AW117" s="9" t="n">
        <v>27.3986202325395</v>
      </c>
      <c r="AX117" s="9" t="n">
        <v>9.517336457528408</v>
      </c>
      <c r="AY117" s="9" t="n">
        <v>6.663962088</v>
      </c>
      <c r="AZ117" s="9" t="n">
        <v>7.502775541948839</v>
      </c>
      <c r="BA117" s="9" t="n">
        <v>8.643523055120813</v>
      </c>
      <c r="BB117" s="9" t="n">
        <v>27.27970005173918</v>
      </c>
      <c r="BC117" s="9" t="n">
        <v>21.61224629543539</v>
      </c>
      <c r="BD117" s="9" t="n">
        <v>30.50521958</v>
      </c>
      <c r="BE117" s="9" t="n">
        <v>26.10451425666667</v>
      </c>
      <c r="BF117" s="9" t="n">
        <v>0</v>
      </c>
      <c r="BG117" s="9" t="n">
        <v>0</v>
      </c>
      <c r="BH117" s="9" t="n">
        <v>0</v>
      </c>
      <c r="BI117" s="9" t="n">
        <v>0</v>
      </c>
      <c r="BJ117" s="9" t="n">
        <v>0</v>
      </c>
      <c r="BK117" s="9" t="n">
        <v>0</v>
      </c>
      <c r="BL117" s="9" t="n">
        <v>0</v>
      </c>
      <c r="BM117" s="9" t="n">
        <v>0</v>
      </c>
      <c r="BN117" s="9" t="n">
        <v>0</v>
      </c>
      <c r="BO117" s="9" t="n">
        <v>0</v>
      </c>
      <c r="BP117" s="9" t="n">
        <v>0</v>
      </c>
      <c r="BQ117" s="9" t="n">
        <v>0</v>
      </c>
      <c r="BR117" s="9" t="n">
        <v>0</v>
      </c>
      <c r="BS117" s="9" t="n">
        <v>0</v>
      </c>
      <c r="BT117" s="9" t="n">
        <v>0</v>
      </c>
      <c r="BU117" s="9" t="n">
        <v>0</v>
      </c>
      <c r="BV117" s="9" t="n">
        <v>0</v>
      </c>
      <c r="BW117" s="9" t="n">
        <v>30.2370464384821</v>
      </c>
      <c r="BX117" s="9" t="n">
        <v>31.1008562340873</v>
      </c>
      <c r="BY117" s="9" t="n">
        <v>26.65855226179806</v>
      </c>
      <c r="BZ117" s="9" t="n">
        <v>27.23367532503727</v>
      </c>
      <c r="CA117" s="9" t="n">
        <v>0.4264066634833758</v>
      </c>
      <c r="CB117" s="9" t="n">
        <v>11.02383580976048</v>
      </c>
      <c r="CC117" s="9" t="n">
        <v>2.469</v>
      </c>
      <c r="CD117" s="9" t="n">
        <v>-0.4824394953227506</v>
      </c>
      <c r="CE117" s="9" t="n">
        <v>6.844</v>
      </c>
      <c r="CF117" s="9" t="n">
        <v>5.261</v>
      </c>
      <c r="CG117" s="9" t="n">
        <v>23.795</v>
      </c>
      <c r="CH117" s="9" t="n">
        <v>0.06</v>
      </c>
      <c r="CI117" s="9" t="n">
        <v>8.31</v>
      </c>
      <c r="CJ117" s="9" t="n">
        <v>8.880000000000001</v>
      </c>
      <c r="CK117" s="9" t="n">
        <v>0</v>
      </c>
      <c r="CL117" s="9" t="n">
        <v>0.57</v>
      </c>
      <c r="CM117" s="9" t="n">
        <v>0.21</v>
      </c>
      <c r="CN117" s="9" t="n">
        <v>9.69</v>
      </c>
      <c r="CO117" s="9" t="n">
        <v>0.54</v>
      </c>
      <c r="CP117" s="9" t="n">
        <v>65.161</v>
      </c>
      <c r="CQ117" s="9" t="n">
        <v>86.509</v>
      </c>
      <c r="CR117" s="9" t="n">
        <v>3</v>
      </c>
      <c r="CS117" s="9" t="n">
        <v>2</v>
      </c>
      <c r="CT117" s="9" t="n">
        <v>0.5</v>
      </c>
      <c r="CU117" s="9" t="n">
        <v>0.3</v>
      </c>
      <c r="CV117" s="9" t="n">
        <v>0.6</v>
      </c>
      <c r="CW117" s="9" t="n">
        <v>0.8</v>
      </c>
      <c r="CX117" s="9" t="n">
        <v>0.8</v>
      </c>
      <c r="CY117" s="9" t="n">
        <v>0.7</v>
      </c>
      <c r="CZ117" s="9" t="n">
        <v>0.5</v>
      </c>
      <c r="DA117" s="9" t="n">
        <v>0.5</v>
      </c>
      <c r="DB117" s="9" t="n">
        <v>1</v>
      </c>
      <c r="DC117" s="9" t="n">
        <v>0.3</v>
      </c>
      <c r="DD117" s="9" t="n">
        <v>0.8</v>
      </c>
      <c r="DE117" s="9" t="n">
        <v>0.3521064235931281</v>
      </c>
      <c r="DF117" s="9" t="n">
        <v>2</v>
      </c>
      <c r="DG117" s="9" t="n">
        <v>3.38</v>
      </c>
      <c r="DH117" s="9" t="n">
        <v>2.054</v>
      </c>
      <c r="DI117" s="9" t="n">
        <v>5.907</v>
      </c>
      <c r="DJ117" s="9" t="n">
        <v>19.70361325414886</v>
      </c>
      <c r="DK117" s="9" t="n">
        <v>22.64815237402394</v>
      </c>
      <c r="DL117" s="9" t="n">
        <v>17.27205865604339</v>
      </c>
      <c r="DM117" s="9" t="n">
        <v>19.78301635067195</v>
      </c>
      <c r="DN117" s="9" t="n">
        <v>13.531</v>
      </c>
      <c r="DO117" s="9" t="n">
        <v>12.208</v>
      </c>
      <c r="DP117" s="9" t="n">
        <v>23.6203</v>
      </c>
      <c r="DQ117" s="9" t="n">
        <v>14.11516989415954</v>
      </c>
      <c r="DR117" s="9" t="n">
        <v>14.11516989415954</v>
      </c>
      <c r="DS117" s="9" t="n">
        <v>0.1016</v>
      </c>
    </row>
    <row r="118">
      <c r="A118" s="9" t="inlineStr">
        <is>
          <t>MOZ</t>
        </is>
      </c>
      <c r="B118" s="9" t="inlineStr">
        <is>
          <t>Mozambique</t>
        </is>
      </c>
      <c r="C118" s="9" t="n">
        <v>0.005</v>
      </c>
      <c r="D118" s="9" t="n">
        <v>0.005</v>
      </c>
      <c r="E118" s="9" t="n">
        <v>0.01</v>
      </c>
      <c r="F118" s="9" t="n">
        <v>0.005</v>
      </c>
      <c r="G118" s="9" t="n">
        <v>0.005</v>
      </c>
      <c r="H118" s="9" t="n">
        <v>0.01</v>
      </c>
      <c r="I118" s="9" t="n">
        <v>0.005</v>
      </c>
      <c r="J118" s="9" t="n">
        <v>0.005</v>
      </c>
      <c r="K118" s="9" t="n">
        <v>0.01</v>
      </c>
      <c r="L118" s="9" t="n">
        <v>0.01</v>
      </c>
      <c r="M118" s="9" t="n">
        <v>0.005</v>
      </c>
      <c r="N118" s="9" t="n">
        <v>0.00247</v>
      </c>
      <c r="O118" s="9" t="n">
        <v>0.00343</v>
      </c>
      <c r="P118" s="9" t="n">
        <v>0.125403</v>
      </c>
      <c r="Q118" s="9" t="n">
        <v>0.0188228026187827</v>
      </c>
      <c r="R118" s="9" t="n">
        <v>0.0036031151504129</v>
      </c>
      <c r="S118" s="9" t="n">
        <v>0.0049802868517425</v>
      </c>
      <c r="T118" s="9" t="n">
        <v>0.0015128188974043</v>
      </c>
      <c r="U118" s="9" t="n">
        <v>0.000109</v>
      </c>
      <c r="V118" s="9" t="n">
        <v>0</v>
      </c>
      <c r="W118" s="9" t="n">
        <v>0.000286</v>
      </c>
      <c r="X118" s="9" t="n">
        <v>0.00028345216916</v>
      </c>
      <c r="Y118" s="9" t="n">
        <v>0.00028345216916</v>
      </c>
      <c r="Z118" s="9" t="n">
        <v>0.08686252414421469</v>
      </c>
      <c r="AA118" s="9" t="n">
        <v>0.66</v>
      </c>
      <c r="AB118" s="9" t="n">
        <v>0.18</v>
      </c>
      <c r="AC118" s="9" t="n">
        <v>0</v>
      </c>
      <c r="AD118" s="9" t="n">
        <v>3</v>
      </c>
      <c r="AE118" s="9" t="n">
        <v>0</v>
      </c>
      <c r="AF118" s="9" t="n">
        <v>8.972</v>
      </c>
      <c r="AG118" s="9" t="n">
        <v>0.2979964076731028</v>
      </c>
      <c r="AH118" s="9" t="n">
        <v>0.269671788</v>
      </c>
      <c r="AI118" s="9" t="n">
        <v>0.30251602448</v>
      </c>
      <c r="AJ118" s="9" t="n">
        <v>0.2932078391113846</v>
      </c>
      <c r="AK118" s="9" t="n">
        <v>0</v>
      </c>
      <c r="AL118" s="9" t="n">
        <v>0</v>
      </c>
      <c r="AM118" s="9" t="n">
        <v>0</v>
      </c>
      <c r="AN118" s="9" t="n">
        <v>0</v>
      </c>
      <c r="AO118" s="9" t="n">
        <v>0</v>
      </c>
      <c r="AP118" s="9" t="n">
        <v>44.97609565297707</v>
      </c>
      <c r="AQ118" s="9" t="n">
        <v>40.18048266000002</v>
      </c>
      <c r="AR118" s="9" t="n">
        <v>45.07419914459417</v>
      </c>
      <c r="AS118" s="9" t="n">
        <v>43.68730070937588</v>
      </c>
      <c r="AT118" s="9" t="n">
        <v>41.31547389356541</v>
      </c>
      <c r="AU118" s="9" t="n">
        <v>39.1973784444</v>
      </c>
      <c r="AV118" s="9" t="n">
        <v>41.59233010052871</v>
      </c>
      <c r="AW118" s="9" t="n">
        <v>47.86720312659435</v>
      </c>
      <c r="AX118" s="9" t="n">
        <v>6.056288639753458</v>
      </c>
      <c r="AY118" s="9" t="n">
        <v>5.7449971692</v>
      </c>
      <c r="AZ118" s="9" t="n">
        <v>6.096872008236575</v>
      </c>
      <c r="BA118" s="9" t="n">
        <v>7.016683368056785</v>
      </c>
      <c r="BB118" s="9" t="n">
        <v>18.66843413162309</v>
      </c>
      <c r="BC118" s="9" t="n">
        <v>18.82230424467271</v>
      </c>
      <c r="BD118" s="9" t="n">
        <v>16.20865466</v>
      </c>
      <c r="BE118" s="9" t="n">
        <v>17.93054569197495</v>
      </c>
      <c r="BF118" s="9" t="n">
        <v>0.7579265870067862</v>
      </c>
      <c r="BG118" s="9" t="n">
        <v>0.6630940912437601</v>
      </c>
      <c r="BH118" s="9" t="n">
        <v>0.7438545567815967</v>
      </c>
      <c r="BI118" s="9" t="n">
        <v>0.7209667242652398</v>
      </c>
      <c r="BJ118" s="9" t="n">
        <v>1.310327170773064</v>
      </c>
      <c r="BK118" s="9" t="n">
        <v>1.153268169999999</v>
      </c>
      <c r="BL118" s="9" t="n">
        <v>1.293728589613254</v>
      </c>
      <c r="BM118" s="9" t="n">
        <v>1.253921556086692</v>
      </c>
      <c r="BN118" s="9" t="n">
        <v>11.29380693488159</v>
      </c>
      <c r="BO118" s="9" t="n">
        <v>10.0790259912</v>
      </c>
      <c r="BP118" s="9" t="n">
        <v>11.30658455636604</v>
      </c>
      <c r="BQ118" s="9" t="n">
        <v>10.95868964693939</v>
      </c>
      <c r="BR118" s="9" t="n">
        <v>14.0082520160119</v>
      </c>
      <c r="BS118" s="9" t="n">
        <v>0.3357277140315118</v>
      </c>
      <c r="BT118" s="9" t="n">
        <v>0.298246698</v>
      </c>
      <c r="BU118" s="9" t="n">
        <v>0.3345711691326314</v>
      </c>
      <c r="BV118" s="9" t="n">
        <v>0.3242766716208582</v>
      </c>
      <c r="BW118" s="9" t="n">
        <v>10.23520692843695</v>
      </c>
      <c r="BX118" s="9" t="n">
        <v>10.62972499911935</v>
      </c>
      <c r="BY118" s="9" t="n">
        <v>10.10622967688586</v>
      </c>
      <c r="BZ118" s="9" t="n">
        <v>9.795268441778598</v>
      </c>
      <c r="CA118" s="9" t="n">
        <v>0.9317004478782684</v>
      </c>
      <c r="CB118" s="9" t="n">
        <v>13.15882292592191</v>
      </c>
      <c r="CC118" s="9" t="n">
        <v>0.033</v>
      </c>
      <c r="CD118" s="9" t="n">
        <v>0.1487070586152846</v>
      </c>
      <c r="CE118" s="9" t="n">
        <v>-0.524</v>
      </c>
      <c r="CF118" s="9" t="n">
        <v>0.519</v>
      </c>
      <c r="CG118" s="9" t="n">
        <v>22.745</v>
      </c>
      <c r="CH118" s="9" t="n">
        <v>16.43</v>
      </c>
      <c r="CI118" s="9" t="n">
        <v>0</v>
      </c>
      <c r="CJ118" s="9" t="n">
        <v>3.28</v>
      </c>
      <c r="CK118" s="9" t="n">
        <v>3.13</v>
      </c>
      <c r="CL118" s="9" t="n">
        <v>0.15</v>
      </c>
      <c r="CM118" s="9" t="n">
        <v>0.08</v>
      </c>
      <c r="CN118" s="9" t="n">
        <v>19.79</v>
      </c>
      <c r="CO118" s="9" t="n">
        <v>0</v>
      </c>
      <c r="CP118" s="9" t="n">
        <v>39.193</v>
      </c>
      <c r="CQ118" s="9" t="n">
        <v>104.042</v>
      </c>
      <c r="CR118" s="9" t="n">
        <v>3</v>
      </c>
      <c r="CS118" s="9" t="n">
        <v>1</v>
      </c>
      <c r="CT118" s="9" t="n">
        <v>0.5</v>
      </c>
      <c r="CU118" s="9" t="n">
        <v>0.3</v>
      </c>
      <c r="CV118" s="9" t="n">
        <v>0.6</v>
      </c>
      <c r="CW118" s="9" t="n">
        <v>0.8</v>
      </c>
      <c r="CX118" s="9" t="n">
        <v>0.8</v>
      </c>
      <c r="CY118" s="9" t="n">
        <v>0.7</v>
      </c>
      <c r="CZ118" s="9" t="n">
        <v>0.5</v>
      </c>
      <c r="DA118" s="9" t="n">
        <v>0.5</v>
      </c>
      <c r="DB118" s="9" t="n">
        <v>1</v>
      </c>
      <c r="DC118" s="9" t="n">
        <v>0.3</v>
      </c>
      <c r="DD118" s="9" t="n">
        <v>0.8</v>
      </c>
      <c r="DE118" s="9" t="n">
        <v>0.3844528582536088</v>
      </c>
      <c r="DF118" s="9" t="n">
        <v>2</v>
      </c>
      <c r="DG118" s="9" t="n">
        <v>3.373</v>
      </c>
      <c r="DH118" s="9" t="n">
        <v>2.049</v>
      </c>
      <c r="DI118" s="9" t="n">
        <v>6.26886</v>
      </c>
      <c r="DJ118" s="9" t="n">
        <v>21.23692090052364</v>
      </c>
      <c r="DK118" s="9" t="n">
        <v>24.22322842549016</v>
      </c>
      <c r="DL118" s="9" t="n">
        <v>17.15157809965124</v>
      </c>
      <c r="DM118" s="9" t="n">
        <v>22.25236348374533</v>
      </c>
      <c r="DN118" s="9" t="n">
        <v>4.901</v>
      </c>
      <c r="DO118" s="9" t="n">
        <v>4.239</v>
      </c>
      <c r="DP118" s="9" t="n">
        <v>10.37907</v>
      </c>
      <c r="DQ118" s="9" t="n">
        <v>13.49474620847193</v>
      </c>
      <c r="DR118" s="9" t="n">
        <v>13.49474620847193</v>
      </c>
      <c r="DS118" s="9" t="n">
        <v>0.105</v>
      </c>
    </row>
    <row r="119">
      <c r="A119" s="9" t="inlineStr">
        <is>
          <t>MRT</t>
        </is>
      </c>
      <c r="B119" s="9" t="inlineStr">
        <is>
          <t>Mauritania</t>
        </is>
      </c>
      <c r="C119" s="9" t="n">
        <v>0.005</v>
      </c>
      <c r="D119" s="9" t="n">
        <v>0.005</v>
      </c>
      <c r="E119" s="9" t="n">
        <v>0.01</v>
      </c>
      <c r="F119" s="9" t="n">
        <v>0.005</v>
      </c>
      <c r="G119" s="9" t="n">
        <v>0.005</v>
      </c>
      <c r="H119" s="9" t="n">
        <v>0.01</v>
      </c>
      <c r="I119" s="9" t="n">
        <v>0.005</v>
      </c>
      <c r="J119" s="9" t="n">
        <v>0.005</v>
      </c>
      <c r="K119" s="9" t="n">
        <v>0.01</v>
      </c>
      <c r="L119" s="9" t="n">
        <v>0.01</v>
      </c>
      <c r="M119" s="9" t="n">
        <v>0.005</v>
      </c>
      <c r="N119" s="9" t="n">
        <v>0.026373</v>
      </c>
      <c r="O119" s="9" t="n">
        <v>0.221364</v>
      </c>
      <c r="P119" s="9" t="n">
        <v>1.006191</v>
      </c>
      <c r="Q119" s="9" t="n">
        <v>0.4058164068878587</v>
      </c>
      <c r="R119" s="9" t="n">
        <v>0.08967753263249879</v>
      </c>
      <c r="S119" s="9" t="n">
        <v>0.1072616035250302</v>
      </c>
      <c r="T119" s="9" t="n">
        <v>0.0333595961991723</v>
      </c>
      <c r="U119" s="9" t="n">
        <v>0.001169</v>
      </c>
      <c r="V119" s="9" t="n">
        <v>0.001288</v>
      </c>
      <c r="W119" s="9" t="n">
        <v>0.001877</v>
      </c>
      <c r="X119" s="9" t="n">
        <v>0.1100997353904355</v>
      </c>
      <c r="Y119" s="9" t="n">
        <v>0.1100997353904355</v>
      </c>
      <c r="Z119" s="9" t="n">
        <v>0.0420201518205669</v>
      </c>
      <c r="AA119" s="9" t="n">
        <v>0.42</v>
      </c>
      <c r="AB119" s="9" t="n">
        <v>0.16</v>
      </c>
      <c r="AC119" s="9" t="n">
        <v>0.14</v>
      </c>
      <c r="AD119" s="9" t="n">
        <v>0</v>
      </c>
      <c r="AE119" s="9" t="n">
        <v>0</v>
      </c>
      <c r="AF119" s="9" t="n">
        <v>4.812</v>
      </c>
      <c r="AG119" s="9" t="n">
        <v>0</v>
      </c>
      <c r="AH119" s="9" t="n">
        <v>0</v>
      </c>
      <c r="AI119" s="9" t="n">
        <v>0</v>
      </c>
      <c r="AJ119" s="9" t="n">
        <v>0</v>
      </c>
      <c r="AK119" s="9" t="n">
        <v>0</v>
      </c>
      <c r="AL119" s="9" t="n">
        <v>0</v>
      </c>
      <c r="AM119" s="9" t="n">
        <v>0</v>
      </c>
      <c r="AN119" s="9" t="n">
        <v>0</v>
      </c>
      <c r="AO119" s="9" t="n">
        <v>0</v>
      </c>
      <c r="AP119" s="9" t="n">
        <v>26.14418552576646</v>
      </c>
      <c r="AQ119" s="9" t="n">
        <v>23.16606586</v>
      </c>
      <c r="AR119" s="9" t="n">
        <v>24.49811464695001</v>
      </c>
      <c r="AS119" s="9" t="n">
        <v>23.87035045912191</v>
      </c>
      <c r="AT119" s="9" t="n">
        <v>4.42019948567058</v>
      </c>
      <c r="AU119" s="9" t="n">
        <v>3.4700365872</v>
      </c>
      <c r="AV119" s="9" t="n">
        <v>3.979555538206756</v>
      </c>
      <c r="AW119" s="9" t="n">
        <v>4.231692412590392</v>
      </c>
      <c r="AX119" s="9" t="n">
        <v>2.881823838614879</v>
      </c>
      <c r="AY119" s="9" t="n">
        <v>2.2974939396</v>
      </c>
      <c r="AZ119" s="9" t="n">
        <v>2.594538561952764</v>
      </c>
      <c r="BA119" s="9" t="n">
        <v>2.758923463029773</v>
      </c>
      <c r="BB119" s="9" t="n">
        <v>3.439486071727721</v>
      </c>
      <c r="BC119" s="9" t="n">
        <v>2.789895937477428</v>
      </c>
      <c r="BD119" s="9" t="n">
        <v>3.11889354</v>
      </c>
      <c r="BE119" s="9" t="n">
        <v>2.95570167850336</v>
      </c>
      <c r="BF119" s="9" t="n">
        <v>0</v>
      </c>
      <c r="BG119" s="9" t="n">
        <v>0</v>
      </c>
      <c r="BH119" s="9" t="n">
        <v>0</v>
      </c>
      <c r="BI119" s="9" t="n">
        <v>0</v>
      </c>
      <c r="BJ119" s="9" t="n">
        <v>3.526298084628519</v>
      </c>
      <c r="BK119" s="9" t="n">
        <v>3.252277999999996</v>
      </c>
      <c r="BL119" s="9" t="n">
        <v>3.439283984999997</v>
      </c>
      <c r="BM119" s="9" t="n">
        <v>3.351152332884372</v>
      </c>
      <c r="BN119" s="9" t="n">
        <v>0</v>
      </c>
      <c r="BO119" s="9" t="n">
        <v>0</v>
      </c>
      <c r="BP119" s="9" t="n">
        <v>0</v>
      </c>
      <c r="BQ119" s="9" t="n">
        <v>0</v>
      </c>
      <c r="BR119" s="9" t="n">
        <v>0</v>
      </c>
      <c r="BS119" s="9" t="n">
        <v>0</v>
      </c>
      <c r="BT119" s="9" t="n">
        <v>0</v>
      </c>
      <c r="BU119" s="9" t="n">
        <v>0</v>
      </c>
      <c r="BV119" s="9" t="n">
        <v>0</v>
      </c>
      <c r="BW119" s="9" t="n">
        <v>32.04704581777069</v>
      </c>
      <c r="BX119" s="9" t="n">
        <v>30.76807054599038</v>
      </c>
      <c r="BY119" s="9" t="n">
        <v>32.34029712990342</v>
      </c>
      <c r="BZ119" s="9" t="n">
        <v>31.47560023665348</v>
      </c>
      <c r="CA119" s="9" t="n">
        <v>0.4292463627828365</v>
      </c>
      <c r="CB119" s="9" t="n">
        <v>2.028339812301516</v>
      </c>
      <c r="CC119" s="9" t="n">
        <v>3.256</v>
      </c>
      <c r="CD119" s="9" t="n">
        <v>-1.925232882855344</v>
      </c>
      <c r="CE119" s="9" t="n">
        <v>4.215</v>
      </c>
      <c r="CF119" s="9" t="n">
        <v>4.417</v>
      </c>
      <c r="CG119" s="9" t="n">
        <v>11.003</v>
      </c>
      <c r="CH119" s="9" t="n">
        <v>0.21</v>
      </c>
      <c r="CI119" s="9" t="n">
        <v>0</v>
      </c>
      <c r="CJ119" s="9" t="n">
        <v>1.6</v>
      </c>
      <c r="CK119" s="9" t="n">
        <v>0</v>
      </c>
      <c r="CL119" s="9" t="n">
        <v>1.6</v>
      </c>
      <c r="CM119" s="9" t="n">
        <v>0.16</v>
      </c>
      <c r="CN119" s="9" t="n">
        <v>2.07</v>
      </c>
      <c r="CO119" s="9" t="n">
        <v>0.1</v>
      </c>
      <c r="CP119" s="9" t="n">
        <v>17.744</v>
      </c>
      <c r="CQ119" s="9" t="n">
        <v>16.662</v>
      </c>
      <c r="CR119" s="9" t="n">
        <v>3</v>
      </c>
      <c r="CS119" s="9" t="n">
        <v>2</v>
      </c>
      <c r="CT119" s="9" t="n">
        <v>0.5</v>
      </c>
      <c r="CU119" s="9" t="n">
        <v>0.3</v>
      </c>
      <c r="CV119" s="9" t="n">
        <v>0.6</v>
      </c>
      <c r="CW119" s="9" t="n">
        <v>0.8</v>
      </c>
      <c r="CX119" s="9" t="n">
        <v>0.8</v>
      </c>
      <c r="CY119" s="9" t="n">
        <v>0.7</v>
      </c>
      <c r="CZ119" s="9" t="n">
        <v>0.5</v>
      </c>
      <c r="DA119" s="9" t="n">
        <v>0.5</v>
      </c>
      <c r="DB119" s="9" t="n">
        <v>1</v>
      </c>
      <c r="DC119" s="9" t="n">
        <v>0.3</v>
      </c>
      <c r="DD119" s="9" t="n">
        <v>0.8</v>
      </c>
      <c r="DE119" s="9" t="n">
        <v>0.2884368364484757</v>
      </c>
      <c r="DF119" s="9" t="n">
        <v>1</v>
      </c>
      <c r="DG119" s="9" t="n">
        <v>7.124</v>
      </c>
      <c r="DH119" s="9" t="n">
        <v>5.575</v>
      </c>
      <c r="DI119" s="9" t="n">
        <v>14.14388</v>
      </c>
      <c r="DJ119" s="9" t="n">
        <v>20.90720009738521</v>
      </c>
      <c r="DK119" s="9" t="n">
        <v>24.01619228510135</v>
      </c>
      <c r="DL119" s="9" t="n">
        <v>15.65611451797798</v>
      </c>
      <c r="DM119" s="9" t="n">
        <v>23.0832889607017</v>
      </c>
      <c r="DN119" s="9" t="n">
        <v>8.375999999999999</v>
      </c>
      <c r="DO119" s="9" t="n">
        <v>7.053</v>
      </c>
      <c r="DP119" s="9" t="n">
        <v>18.92888</v>
      </c>
      <c r="DQ119" s="9" t="n">
        <v>13.49474620847193</v>
      </c>
      <c r="DR119" s="9" t="n">
        <v>13.49474620847193</v>
      </c>
      <c r="DS119" s="9" t="n">
        <v>0.105</v>
      </c>
    </row>
    <row r="120">
      <c r="A120" s="9" t="inlineStr">
        <is>
          <t>MUS</t>
        </is>
      </c>
      <c r="B120" s="9" t="inlineStr">
        <is>
          <t>Mauritius</t>
        </is>
      </c>
      <c r="C120" s="9" t="n">
        <v>0.005</v>
      </c>
      <c r="D120" s="9" t="n">
        <v>0.005</v>
      </c>
      <c r="E120" s="9" t="n">
        <v>0.01</v>
      </c>
      <c r="F120" s="9" t="n">
        <v>0.005</v>
      </c>
      <c r="G120" s="9" t="n">
        <v>0.005</v>
      </c>
      <c r="H120" s="9" t="n">
        <v>0.01</v>
      </c>
      <c r="I120" s="9" t="n">
        <v>0.005</v>
      </c>
      <c r="J120" s="9" t="n">
        <v>0.005</v>
      </c>
      <c r="K120" s="9" t="n">
        <v>0.01</v>
      </c>
      <c r="L120" s="9" t="n">
        <v>0.01</v>
      </c>
      <c r="M120" s="9" t="n">
        <v>0.005</v>
      </c>
      <c r="N120" s="9" t="n">
        <v>1.333346</v>
      </c>
      <c r="O120" s="9" t="n">
        <v>1.754665</v>
      </c>
      <c r="P120" s="9" t="n">
        <v>34.977603</v>
      </c>
      <c r="Q120" s="9" t="n">
        <v>3.18215298004917</v>
      </c>
      <c r="R120" s="9" t="n">
        <v>0.7887962564205511</v>
      </c>
      <c r="S120" s="9" t="n">
        <v>1.642567480012224</v>
      </c>
      <c r="T120" s="9" t="n">
        <v>0.5146687469425794</v>
      </c>
      <c r="U120" s="9" t="n">
        <v>0.01966</v>
      </c>
      <c r="V120" s="9" t="n">
        <v>0.013101</v>
      </c>
      <c r="W120" s="9" t="n">
        <v>0.078873</v>
      </c>
      <c r="X120" s="9" t="n">
        <v>2.577448480281723</v>
      </c>
      <c r="Y120" s="9" t="n">
        <v>2.577448480281723</v>
      </c>
      <c r="Z120" s="9" t="n">
        <v>0.05723111834799742</v>
      </c>
      <c r="AA120" s="9" t="n">
        <v>0.65</v>
      </c>
      <c r="AB120" s="9" t="n">
        <v>0.16</v>
      </c>
      <c r="AC120" s="9" t="n">
        <v>0.01</v>
      </c>
      <c r="AD120" s="9" t="n">
        <v>0</v>
      </c>
      <c r="AE120" s="9" t="n">
        <v>0</v>
      </c>
      <c r="AF120" s="9" t="n">
        <v>4.774</v>
      </c>
      <c r="AG120" s="9" t="n">
        <v>1.168627064528483</v>
      </c>
      <c r="AH120" s="9" t="n">
        <v>1.0739393208</v>
      </c>
      <c r="AI120" s="9" t="n">
        <v>1.0739393208</v>
      </c>
      <c r="AJ120" s="9" t="n">
        <v>1.0739393208</v>
      </c>
      <c r="AK120" s="9" t="n">
        <v>30.94575662165338</v>
      </c>
      <c r="AL120" s="9" t="n">
        <v>0</v>
      </c>
      <c r="AM120" s="9" t="n">
        <v>0</v>
      </c>
      <c r="AN120" s="9" t="n">
        <v>0</v>
      </c>
      <c r="AO120" s="9" t="n">
        <v>0</v>
      </c>
      <c r="AP120" s="9" t="n">
        <v>6.947832202663074</v>
      </c>
      <c r="AQ120" s="9" t="n">
        <v>6.663805330000001</v>
      </c>
      <c r="AR120" s="9" t="n">
        <v>6.663805330000001</v>
      </c>
      <c r="AS120" s="9" t="n">
        <v>6.663805330000001</v>
      </c>
      <c r="AT120" s="9" t="n">
        <v>8.221852621760201</v>
      </c>
      <c r="AU120" s="9" t="n">
        <v>6.3625669164</v>
      </c>
      <c r="AV120" s="9" t="n">
        <v>7.158292368815855</v>
      </c>
      <c r="AW120" s="9" t="n">
        <v>7.854009386539357</v>
      </c>
      <c r="AX120" s="9" t="n">
        <v>4.470917782944561</v>
      </c>
      <c r="AY120" s="9" t="n">
        <v>3.5388843264</v>
      </c>
      <c r="AZ120" s="9" t="n">
        <v>3.892569974138437</v>
      </c>
      <c r="BA120" s="9" t="n">
        <v>4.270890254193669</v>
      </c>
      <c r="BB120" s="9" t="n">
        <v>7.896541770357357</v>
      </c>
      <c r="BC120" s="9" t="n">
        <v>6.549451746635181</v>
      </c>
      <c r="BD120" s="9" t="n">
        <v>8.571277690000001</v>
      </c>
      <c r="BE120" s="9" t="n">
        <v>7.492474200000002</v>
      </c>
      <c r="BF120" s="9" t="n">
        <v>0</v>
      </c>
      <c r="BG120" s="9" t="n">
        <v>0</v>
      </c>
      <c r="BH120" s="9" t="n">
        <v>0</v>
      </c>
      <c r="BI120" s="9" t="n">
        <v>0</v>
      </c>
      <c r="BJ120" s="9" t="n">
        <v>2.728865899608014</v>
      </c>
      <c r="BK120" s="9" t="n">
        <v>2.591900479999997</v>
      </c>
      <c r="BL120" s="9" t="n">
        <v>2.591900479999997</v>
      </c>
      <c r="BM120" s="9" t="n">
        <v>2.591900479999997</v>
      </c>
      <c r="BN120" s="9" t="n">
        <v>0</v>
      </c>
      <c r="BO120" s="9" t="n">
        <v>0</v>
      </c>
      <c r="BP120" s="9" t="n">
        <v>0</v>
      </c>
      <c r="BQ120" s="9" t="n">
        <v>0</v>
      </c>
      <c r="BR120" s="9" t="n">
        <v>0</v>
      </c>
      <c r="BS120" s="9" t="n">
        <v>0</v>
      </c>
      <c r="BT120" s="9" t="n">
        <v>0</v>
      </c>
      <c r="BU120" s="9" t="n">
        <v>0</v>
      </c>
      <c r="BV120" s="9" t="n">
        <v>0</v>
      </c>
      <c r="BW120" s="9" t="n">
        <v>5.884476109937484</v>
      </c>
      <c r="BX120" s="9" t="n">
        <v>13.83697543243524</v>
      </c>
      <c r="BY120" s="9" t="n">
        <v>7.962963283722108</v>
      </c>
      <c r="BZ120" s="9" t="n">
        <v>6.740518071559036</v>
      </c>
      <c r="CA120" s="9" t="n">
        <v>0.7219919951445287</v>
      </c>
      <c r="CB120" s="9" t="n">
        <v>3.525769556862434</v>
      </c>
      <c r="CC120" s="9" t="n">
        <v>0.768</v>
      </c>
      <c r="CD120" s="9" t="n">
        <v>-1.172039741464707</v>
      </c>
      <c r="CE120" s="9" t="n">
        <v>3.1</v>
      </c>
      <c r="CF120" s="9" t="n">
        <v>3.4</v>
      </c>
      <c r="CG120" s="9" t="n">
        <v>14.986</v>
      </c>
      <c r="CH120" s="9" t="n">
        <v>0.43</v>
      </c>
      <c r="CI120" s="9" t="n">
        <v>1.34</v>
      </c>
      <c r="CJ120" s="9" t="n">
        <v>2.8</v>
      </c>
      <c r="CK120" s="9" t="n">
        <v>0</v>
      </c>
      <c r="CL120" s="9" t="n">
        <v>1.46</v>
      </c>
      <c r="CM120" s="9" t="n">
        <v>0.17</v>
      </c>
      <c r="CN120" s="9" t="n">
        <v>3.41</v>
      </c>
      <c r="CO120" s="9" t="n">
        <v>0.01</v>
      </c>
      <c r="CP120" s="9" t="n">
        <v>6.966</v>
      </c>
      <c r="CQ120" s="9" t="n">
        <v>6.941</v>
      </c>
      <c r="CR120" s="9" t="n">
        <v>3</v>
      </c>
      <c r="CS120" s="9" t="n">
        <v>3</v>
      </c>
      <c r="CT120" s="9" t="n">
        <v>0.5</v>
      </c>
      <c r="CU120" s="9" t="n">
        <v>0.3</v>
      </c>
      <c r="CV120" s="9" t="n">
        <v>0.6</v>
      </c>
      <c r="CW120" s="9" t="n">
        <v>0.8</v>
      </c>
      <c r="CX120" s="9" t="n">
        <v>0.8</v>
      </c>
      <c r="CY120" s="9" t="n">
        <v>0.7</v>
      </c>
      <c r="CZ120" s="9" t="n">
        <v>0.5</v>
      </c>
      <c r="DA120" s="9" t="n">
        <v>0.5</v>
      </c>
      <c r="DB120" s="9" t="n">
        <v>1</v>
      </c>
      <c r="DC120" s="9" t="n">
        <v>0.3</v>
      </c>
      <c r="DD120" s="9" t="n">
        <v>0.8</v>
      </c>
      <c r="DE120" s="9" t="n">
        <v>0.3817894629573015</v>
      </c>
      <c r="DF120" s="9" t="n">
        <v>2</v>
      </c>
      <c r="DG120" s="9" t="n">
        <v>6.884</v>
      </c>
      <c r="DH120" s="9" t="n">
        <v>5.35</v>
      </c>
      <c r="DI120" s="9" t="n">
        <v>13.52055</v>
      </c>
      <c r="DJ120" s="9" t="n">
        <v>18.66058330846418</v>
      </c>
      <c r="DK120" s="9" t="n">
        <v>23.34123730974265</v>
      </c>
      <c r="DL120" s="9" t="n">
        <v>20.08009273202591</v>
      </c>
      <c r="DM120" s="9" t="n">
        <v>12.64604106568414</v>
      </c>
      <c r="DN120" s="9" t="n">
        <v>5.104</v>
      </c>
      <c r="DO120" s="9" t="n">
        <v>3.781</v>
      </c>
      <c r="DP120" s="9" t="n">
        <v>15.0029</v>
      </c>
      <c r="DQ120" s="9" t="n">
        <v>16.48444654479695</v>
      </c>
      <c r="DR120" s="9" t="n">
        <v>16.48444654479695</v>
      </c>
      <c r="DS120" s="9" t="n">
        <v>0.0669200000000001</v>
      </c>
    </row>
    <row r="121">
      <c r="A121" s="9" t="inlineStr">
        <is>
          <t>MWI</t>
        </is>
      </c>
      <c r="B121" s="9" t="inlineStr">
        <is>
          <t>Malawi</t>
        </is>
      </c>
      <c r="C121" s="9" t="n">
        <v>0.005</v>
      </c>
      <c r="D121" s="9" t="n">
        <v>0.005</v>
      </c>
      <c r="E121" s="9" t="n">
        <v>0.01</v>
      </c>
      <c r="F121" s="9" t="n">
        <v>0.005</v>
      </c>
      <c r="G121" s="9" t="n">
        <v>0.005</v>
      </c>
      <c r="H121" s="9" t="n">
        <v>0.01</v>
      </c>
      <c r="I121" s="9" t="n">
        <v>0.005</v>
      </c>
      <c r="J121" s="9" t="n">
        <v>0.005</v>
      </c>
      <c r="K121" s="9" t="n">
        <v>0.01</v>
      </c>
      <c r="L121" s="9" t="n">
        <v>0.01</v>
      </c>
      <c r="M121" s="9" t="n">
        <v>0.005</v>
      </c>
      <c r="N121" s="9" t="n">
        <v>0.057385</v>
      </c>
      <c r="O121" s="9" t="n">
        <v>0.006138</v>
      </c>
      <c r="P121" s="9" t="n">
        <v>0.11813</v>
      </c>
      <c r="Q121" s="9" t="n">
        <v>0.0163828096867183</v>
      </c>
      <c r="R121" s="9" t="n">
        <v>0.0031455767186144</v>
      </c>
      <c r="S121" s="9" t="n">
        <v>0.0122652809167915</v>
      </c>
      <c r="T121" s="9" t="n">
        <v>0.0038014423575801</v>
      </c>
      <c r="U121" s="9" t="n">
        <v>0.000261</v>
      </c>
      <c r="V121" s="9" t="n">
        <v>0.000453</v>
      </c>
      <c r="W121" s="9" t="n">
        <v>0.000152</v>
      </c>
      <c r="X121" s="9" t="n">
        <v>0.0481121973241471</v>
      </c>
      <c r="Y121" s="9" t="n">
        <v>0.0481121973241471</v>
      </c>
      <c r="Z121" s="9" t="n">
        <v>0.0450256829923188</v>
      </c>
      <c r="AA121" s="9" t="n">
        <v>0.13</v>
      </c>
      <c r="AB121" s="9" t="n">
        <v>0.1</v>
      </c>
      <c r="AC121" s="9" t="n">
        <v>0</v>
      </c>
      <c r="AD121" s="9" t="n">
        <v>0</v>
      </c>
      <c r="AE121" s="9" t="n">
        <v>0</v>
      </c>
      <c r="AF121" s="9" t="n">
        <v>5.956</v>
      </c>
      <c r="AG121" s="9" t="n">
        <v>1.226788393496745</v>
      </c>
      <c r="AH121" s="9" t="n">
        <v>1.061102592</v>
      </c>
      <c r="AI121" s="9" t="n">
        <v>1.15459433388973</v>
      </c>
      <c r="AJ121" s="9" t="n">
        <v>1.124574881208597</v>
      </c>
      <c r="AK121" s="9" t="n">
        <v>0</v>
      </c>
      <c r="AL121" s="9" t="n">
        <v>0.2133618075994787</v>
      </c>
      <c r="AM121" s="9" t="n">
        <v>0.19343016</v>
      </c>
      <c r="AN121" s="9" t="n">
        <v>0.2104729254486486</v>
      </c>
      <c r="AO121" s="9" t="n">
        <v>0.2050006293869838</v>
      </c>
      <c r="AP121" s="9" t="n">
        <v>7.20540404844299</v>
      </c>
      <c r="AQ121" s="9" t="n">
        <v>6.23844072</v>
      </c>
      <c r="AR121" s="9" t="n">
        <v>6.788097929383783</v>
      </c>
      <c r="AS121" s="9" t="n">
        <v>6.611607383219805</v>
      </c>
      <c r="AT121" s="9" t="n">
        <v>4.84815569118583</v>
      </c>
      <c r="AU121" s="9" t="n">
        <v>4.070532659317164</v>
      </c>
      <c r="AV121" s="9" t="n">
        <v>4.340912740825691</v>
      </c>
      <c r="AW121" s="9" t="n">
        <v>4.729246319913246</v>
      </c>
      <c r="AX121" s="9" t="n">
        <v>2.855371227308504</v>
      </c>
      <c r="AY121" s="9" t="n">
        <v>2.3915504016</v>
      </c>
      <c r="AZ121" s="9" t="n">
        <v>2.55662526740738</v>
      </c>
      <c r="BA121" s="9" t="n">
        <v>2.785338328405039</v>
      </c>
      <c r="BB121" s="9" t="n">
        <v>10.27507862418868</v>
      </c>
      <c r="BC121" s="9" t="n">
        <v>10.99633325231738</v>
      </c>
      <c r="BD121" s="9" t="n">
        <v>8.270130139160134</v>
      </c>
      <c r="BE121" s="9" t="n">
        <v>9.688913793889697</v>
      </c>
      <c r="BF121" s="9" t="n">
        <v>0.0463132591309761</v>
      </c>
      <c r="BG121" s="9" t="n">
        <v>0.0406748439999999</v>
      </c>
      <c r="BH121" s="9" t="n">
        <v>0.0442586275524323</v>
      </c>
      <c r="BI121" s="9" t="n">
        <v>0.0431079032360691</v>
      </c>
      <c r="BJ121" s="9" t="n">
        <v>0.0860294757739314</v>
      </c>
      <c r="BK121" s="9" t="n">
        <v>0.07047160999999991</v>
      </c>
      <c r="BL121" s="9" t="n">
        <v>0.0766807302324323</v>
      </c>
      <c r="BM121" s="9" t="n">
        <v>0.07468703124638899</v>
      </c>
      <c r="BN121" s="9" t="n">
        <v>0</v>
      </c>
      <c r="BO121" s="9" t="n">
        <v>0</v>
      </c>
      <c r="BP121" s="9" t="n">
        <v>0</v>
      </c>
      <c r="BQ121" s="9" t="n">
        <v>0</v>
      </c>
      <c r="BR121" s="9" t="n">
        <v>0</v>
      </c>
      <c r="BS121" s="9" t="n">
        <v>0</v>
      </c>
      <c r="BT121" s="9" t="n">
        <v>0</v>
      </c>
      <c r="BU121" s="9" t="n">
        <v>0</v>
      </c>
      <c r="BV121" s="9" t="n">
        <v>0</v>
      </c>
      <c r="BW121" s="9" t="n">
        <v>3.588778832511158</v>
      </c>
      <c r="BX121" s="9" t="n">
        <v>3.063713855889188</v>
      </c>
      <c r="BY121" s="9" t="n">
        <v>3.274712367414103</v>
      </c>
      <c r="BZ121" s="9" t="n">
        <v>3.191065153407894</v>
      </c>
      <c r="CA121" s="9" t="n">
        <v>0.8171540680057596</v>
      </c>
      <c r="CB121" s="9" t="n">
        <v>2.139868588470648</v>
      </c>
      <c r="CC121" s="9" t="n">
        <v>0.03</v>
      </c>
      <c r="CD121" s="9" t="n">
        <v>0</v>
      </c>
      <c r="CE121" s="9" t="n">
        <v>2.087</v>
      </c>
      <c r="CF121" s="9" t="n">
        <v>2.227</v>
      </c>
      <c r="CG121" s="9" t="n">
        <v>11.79</v>
      </c>
      <c r="CH121" s="9" t="n">
        <v>1.74</v>
      </c>
      <c r="CI121" s="9" t="n">
        <v>0</v>
      </c>
      <c r="CJ121" s="9" t="n">
        <v>0.08</v>
      </c>
      <c r="CK121" s="9" t="n">
        <v>0</v>
      </c>
      <c r="CL121" s="9" t="n">
        <v>0.08</v>
      </c>
      <c r="CM121" s="9" t="n">
        <v>0.01</v>
      </c>
      <c r="CN121" s="9" t="n">
        <v>1.83</v>
      </c>
      <c r="CO121" s="9" t="n">
        <v>0</v>
      </c>
      <c r="CP121" s="9" t="n">
        <v>21.3</v>
      </c>
      <c r="CQ121" s="9" t="n">
        <v>29.604</v>
      </c>
      <c r="CR121" s="9" t="n">
        <v>3</v>
      </c>
      <c r="CS121" s="9" t="n">
        <v>1</v>
      </c>
      <c r="CT121" s="9" t="n">
        <v>0.5</v>
      </c>
      <c r="CU121" s="9" t="n">
        <v>0.3</v>
      </c>
      <c r="CV121" s="9" t="n">
        <v>0.6</v>
      </c>
      <c r="CW121" s="9" t="n">
        <v>0.8</v>
      </c>
      <c r="CX121" s="9" t="n">
        <v>0.8</v>
      </c>
      <c r="CY121" s="9" t="n">
        <v>0.7</v>
      </c>
      <c r="CZ121" s="9" t="n">
        <v>0.5</v>
      </c>
      <c r="DA121" s="9" t="n">
        <v>0.5</v>
      </c>
      <c r="DB121" s="9" t="n">
        <v>1</v>
      </c>
      <c r="DC121" s="9" t="n">
        <v>0.3</v>
      </c>
      <c r="DD121" s="9" t="n">
        <v>0.8</v>
      </c>
      <c r="DE121" s="9" t="n">
        <v>0.2926574988829866</v>
      </c>
      <c r="DF121" s="9" t="n">
        <v>2</v>
      </c>
      <c r="DG121" s="9" t="n">
        <v>7.124</v>
      </c>
      <c r="DH121" s="9" t="n">
        <v>5.575</v>
      </c>
      <c r="DI121" s="9" t="n">
        <v>14.204845</v>
      </c>
      <c r="DJ121" s="9" t="n">
        <v>21.01632945159952</v>
      </c>
      <c r="DK121" s="9" t="n">
        <v>24.11971035529575</v>
      </c>
      <c r="DL121" s="9" t="n">
        <v>18.23937341344435</v>
      </c>
      <c r="DM121" s="9" t="n">
        <v>23.18278589587713</v>
      </c>
      <c r="DN121" s="9" t="n">
        <v>12.761</v>
      </c>
      <c r="DO121" s="9" t="n">
        <v>11.438</v>
      </c>
      <c r="DP121" s="9" t="n">
        <v>24.118995</v>
      </c>
      <c r="DQ121" s="9" t="n">
        <v>14.0830083523607</v>
      </c>
      <c r="DR121" s="9" t="n">
        <v>14.0830083523607</v>
      </c>
      <c r="DS121" s="9" t="n">
        <v>0.105</v>
      </c>
    </row>
    <row r="122">
      <c r="A122" s="9" t="inlineStr">
        <is>
          <t>MYS</t>
        </is>
      </c>
      <c r="B122" s="9" t="inlineStr">
        <is>
          <t>Malaysia</t>
        </is>
      </c>
      <c r="C122" s="9" t="n">
        <v>0.005</v>
      </c>
      <c r="D122" s="9" t="n">
        <v>0.005</v>
      </c>
      <c r="E122" s="9" t="n">
        <v>0.01</v>
      </c>
      <c r="F122" s="9" t="n">
        <v>0.005</v>
      </c>
      <c r="G122" s="9" t="n">
        <v>0.005</v>
      </c>
      <c r="H122" s="9" t="n">
        <v>0.01</v>
      </c>
      <c r="I122" s="9" t="n">
        <v>0.005</v>
      </c>
      <c r="J122" s="9" t="n">
        <v>0.005</v>
      </c>
      <c r="K122" s="9" t="n">
        <v>0.01</v>
      </c>
      <c r="L122" s="9" t="n">
        <v>0.01</v>
      </c>
      <c r="M122" s="9" t="n">
        <v>0.005</v>
      </c>
      <c r="N122" s="9" t="n">
        <v>13.695957</v>
      </c>
      <c r="O122" s="9" t="n">
        <v>2.964863</v>
      </c>
      <c r="P122" s="9" t="n">
        <v>67.65701199999999</v>
      </c>
      <c r="Q122" s="9" t="n">
        <v>25.9133148269254</v>
      </c>
      <c r="R122" s="9" t="n">
        <v>2.946547500782105</v>
      </c>
      <c r="S122" s="9" t="n">
        <v>2.344231617470233</v>
      </c>
      <c r="T122" s="9" t="n">
        <v>1.383841388843572</v>
      </c>
      <c r="U122" s="9" t="n">
        <v>0.219266</v>
      </c>
      <c r="V122" s="9" t="n">
        <v>0.244833</v>
      </c>
      <c r="W122" s="9" t="n">
        <v>0.143551</v>
      </c>
      <c r="X122" s="9" t="n">
        <v>6.972485246227687</v>
      </c>
      <c r="Y122" s="9" t="n">
        <v>6.972485246227687</v>
      </c>
      <c r="Z122" s="9" t="n">
        <v>1.61247320210329</v>
      </c>
      <c r="AA122" s="9" t="n">
        <v>31.75999999999999</v>
      </c>
      <c r="AB122" s="9" t="n">
        <v>3.07</v>
      </c>
      <c r="AC122" s="9" t="n">
        <v>0</v>
      </c>
      <c r="AD122" s="9" t="n">
        <v>3</v>
      </c>
      <c r="AE122" s="9" t="n">
        <v>1.759757132336949</v>
      </c>
      <c r="AF122" s="9" t="n">
        <v>276.641</v>
      </c>
      <c r="AG122" s="9" t="n">
        <v>39.45229054774228</v>
      </c>
      <c r="AH122" s="9" t="n">
        <v>32.71377114</v>
      </c>
      <c r="AI122" s="9" t="n">
        <v>35.81676180226957</v>
      </c>
      <c r="AJ122" s="9" t="n">
        <v>36.2772630254416</v>
      </c>
      <c r="AK122" s="9" t="n">
        <v>718.9383521005974</v>
      </c>
      <c r="AL122" s="9" t="n">
        <v>0</v>
      </c>
      <c r="AM122" s="9" t="n">
        <v>0</v>
      </c>
      <c r="AN122" s="9" t="n">
        <v>0</v>
      </c>
      <c r="AO122" s="9" t="n">
        <v>0</v>
      </c>
      <c r="AP122" s="9" t="n">
        <v>249.5784090133232</v>
      </c>
      <c r="AQ122" s="9" t="n">
        <v>244.65409581</v>
      </c>
      <c r="AR122" s="9" t="n">
        <v>267.8602059076583</v>
      </c>
      <c r="AS122" s="9" t="n">
        <v>271.3041228407567</v>
      </c>
      <c r="AT122" s="9" t="n">
        <v>586.5389703227413</v>
      </c>
      <c r="AU122" s="9" t="n">
        <v>426.551184</v>
      </c>
      <c r="AV122" s="9" t="n">
        <v>498.7247993114423</v>
      </c>
      <c r="AW122" s="9" t="n">
        <v>544.7337842293052</v>
      </c>
      <c r="AX122" s="9" t="n">
        <v>181.0957585530427</v>
      </c>
      <c r="AY122" s="9" t="n">
        <v>132.889032</v>
      </c>
      <c r="AZ122" s="9" t="n">
        <v>153.9796944927227</v>
      </c>
      <c r="BA122" s="9" t="n">
        <v>168.1872060823873</v>
      </c>
      <c r="BB122" s="9" t="n">
        <v>500.2409199281281</v>
      </c>
      <c r="BC122" s="9" t="n">
        <v>436.9919663496518</v>
      </c>
      <c r="BD122" s="9" t="n">
        <v>473.8286721265499</v>
      </c>
      <c r="BE122" s="9" t="n">
        <v>482.2513432865512</v>
      </c>
      <c r="BF122" s="9" t="n">
        <v>0.5373568336632155</v>
      </c>
      <c r="BG122" s="9" t="n">
        <v>0.4663727231145456</v>
      </c>
      <c r="BH122" s="9" t="n">
        <v>0.5106094513953824</v>
      </c>
      <c r="BI122" s="9" t="n">
        <v>0.51717443005618</v>
      </c>
      <c r="BJ122" s="9" t="n">
        <v>45.85231933623275</v>
      </c>
      <c r="BK122" s="9" t="n">
        <v>39.83561586638825</v>
      </c>
      <c r="BL122" s="9" t="n">
        <v>43.6141329786517</v>
      </c>
      <c r="BM122" s="9" t="n">
        <v>44.17488611694865</v>
      </c>
      <c r="BN122" s="9" t="n">
        <v>904.8118155151273</v>
      </c>
      <c r="BO122" s="9" t="n">
        <v>776.4001919999999</v>
      </c>
      <c r="BP122" s="9" t="n">
        <v>850.0438736058346</v>
      </c>
      <c r="BQ122" s="9" t="n">
        <v>860.9730091236237</v>
      </c>
      <c r="BR122" s="9" t="n">
        <v>753.3064450734032</v>
      </c>
      <c r="BS122" s="9" t="n">
        <v>0.5892402319167223</v>
      </c>
      <c r="BT122" s="9" t="n">
        <v>0.502416</v>
      </c>
      <c r="BU122" s="9" t="n">
        <v>0.5500715316690042</v>
      </c>
      <c r="BV122" s="9" t="n">
        <v>0.5571438799333199</v>
      </c>
      <c r="BW122" s="9" t="n">
        <v>204.4071338582426</v>
      </c>
      <c r="BX122" s="9" t="n">
        <v>194.9042658814906</v>
      </c>
      <c r="BY122" s="9" t="n">
        <v>212.8263194081814</v>
      </c>
      <c r="BZ122" s="9" t="n">
        <v>218.812546413094</v>
      </c>
      <c r="CA122" s="9" t="n">
        <v>1.001080972320519</v>
      </c>
      <c r="CB122" s="9" t="n">
        <v>213.2318691321622</v>
      </c>
      <c r="CC122" s="9" t="n">
        <v>1.712</v>
      </c>
      <c r="CD122" s="9" t="n">
        <v>0.3928340043035143</v>
      </c>
      <c r="CE122" s="9" t="n">
        <v>5.171</v>
      </c>
      <c r="CF122" s="9" t="n">
        <v>4.7</v>
      </c>
      <c r="CG122" s="9" t="n">
        <v>422.227</v>
      </c>
      <c r="CH122" s="9" t="n">
        <v>37.02</v>
      </c>
      <c r="CI122" s="9" t="n">
        <v>89.59999999999999</v>
      </c>
      <c r="CJ122" s="9" t="n">
        <v>159.56</v>
      </c>
      <c r="CK122" s="9" t="n">
        <v>67.89</v>
      </c>
      <c r="CL122" s="9" t="n">
        <v>2.07</v>
      </c>
      <c r="CM122" s="9" t="n">
        <v>4.51</v>
      </c>
      <c r="CN122" s="9" t="n">
        <v>201.09</v>
      </c>
      <c r="CO122" s="9" t="n">
        <v>0</v>
      </c>
      <c r="CP122" s="9" t="n">
        <v>355.617</v>
      </c>
      <c r="CQ122" s="9" t="n">
        <v>409.34</v>
      </c>
      <c r="CR122" s="9" t="n">
        <v>3</v>
      </c>
      <c r="CS122" s="9" t="n">
        <v>3</v>
      </c>
      <c r="CT122" s="9" t="n">
        <v>0.5</v>
      </c>
      <c r="CU122" s="9" t="n">
        <v>0.3</v>
      </c>
      <c r="CV122" s="9" t="n">
        <v>0.6</v>
      </c>
      <c r="CW122" s="9" t="n">
        <v>0.8</v>
      </c>
      <c r="CX122" s="9" t="n">
        <v>0.8</v>
      </c>
      <c r="CY122" s="9" t="n">
        <v>0.7</v>
      </c>
      <c r="CZ122" s="9" t="n">
        <v>0.5</v>
      </c>
      <c r="DA122" s="9" t="n">
        <v>0.5</v>
      </c>
      <c r="DB122" s="9" t="n">
        <v>1</v>
      </c>
      <c r="DC122" s="9" t="n">
        <v>0.3</v>
      </c>
      <c r="DD122" s="9" t="n">
        <v>0.8</v>
      </c>
      <c r="DE122" s="9" t="n">
        <v>0.3057617412386976</v>
      </c>
      <c r="DF122" s="9" t="n">
        <v>2</v>
      </c>
      <c r="DG122" s="9" t="n">
        <v>6.754</v>
      </c>
      <c r="DH122" s="9" t="n">
        <v>4.558</v>
      </c>
      <c r="DI122" s="9" t="n">
        <v>11.9361</v>
      </c>
      <c r="DJ122" s="9" t="n">
        <v>20.26186218651788</v>
      </c>
      <c r="DK122" s="9" t="n">
        <v>22.61881272208486</v>
      </c>
      <c r="DL122" s="9" t="n">
        <v>17.42663298465997</v>
      </c>
      <c r="DM122" s="9" t="n">
        <v>21.15743171407785</v>
      </c>
      <c r="DN122" s="9" t="n">
        <v>7.43</v>
      </c>
      <c r="DO122" s="9" t="n">
        <v>6.626</v>
      </c>
      <c r="DP122" s="9" t="n">
        <v>13.4838</v>
      </c>
      <c r="DQ122" s="9" t="n">
        <v>14.11516989415954</v>
      </c>
      <c r="DR122" s="9" t="n">
        <v>14.11516989415954</v>
      </c>
      <c r="DS122" s="9" t="n">
        <v>0.06559</v>
      </c>
    </row>
    <row r="123">
      <c r="A123" s="9" t="inlineStr">
        <is>
          <t>NAM</t>
        </is>
      </c>
      <c r="B123" s="9" t="inlineStr">
        <is>
          <t>Namibia</t>
        </is>
      </c>
      <c r="C123" s="9" t="n">
        <v>0.005</v>
      </c>
      <c r="D123" s="9" t="n">
        <v>0.005</v>
      </c>
      <c r="E123" s="9" t="n">
        <v>0.01</v>
      </c>
      <c r="F123" s="9" t="n">
        <v>0.005</v>
      </c>
      <c r="G123" s="9" t="n">
        <v>0.005</v>
      </c>
      <c r="H123" s="9" t="n">
        <v>0.01</v>
      </c>
      <c r="I123" s="9" t="n">
        <v>0.005</v>
      </c>
      <c r="J123" s="9" t="n">
        <v>0.005</v>
      </c>
      <c r="K123" s="9" t="n">
        <v>0.01</v>
      </c>
      <c r="L123" s="9" t="n">
        <v>0.01</v>
      </c>
      <c r="M123" s="9" t="n">
        <v>0.005</v>
      </c>
      <c r="N123" s="9" t="n">
        <v>0.159603</v>
      </c>
      <c r="O123" s="9" t="n">
        <v>0.09112099999999999</v>
      </c>
      <c r="P123" s="9" t="n">
        <v>16.712688</v>
      </c>
      <c r="Q123" s="9" t="n">
        <v>2.294773132942881</v>
      </c>
      <c r="R123" s="9" t="n">
        <v>0.5712081359483943</v>
      </c>
      <c r="S123" s="9" t="n">
        <v>0.6873855490905121</v>
      </c>
      <c r="T123" s="9" t="n">
        <v>0.2220740560933272</v>
      </c>
      <c r="U123" s="9" t="n">
        <v>0.006752</v>
      </c>
      <c r="V123" s="9" t="n">
        <v>0.001267</v>
      </c>
      <c r="W123" s="9" t="n">
        <v>0.047294</v>
      </c>
      <c r="X123" s="9" t="n">
        <v>0.2997535991878358</v>
      </c>
      <c r="Y123" s="9" t="n">
        <v>0.2997535991878358</v>
      </c>
      <c r="Z123" s="9" t="n">
        <v>0.05105965916940648</v>
      </c>
      <c r="AA123" s="9" t="n">
        <v>0.19</v>
      </c>
      <c r="AB123" s="9" t="n">
        <v>0.24</v>
      </c>
      <c r="AC123" s="9" t="n">
        <v>0.01</v>
      </c>
      <c r="AD123" s="9" t="n">
        <v>0</v>
      </c>
      <c r="AE123" s="9" t="n">
        <v>0</v>
      </c>
      <c r="AF123" s="9" t="n">
        <v>4.261</v>
      </c>
      <c r="AG123" s="9" t="n">
        <v>0</v>
      </c>
      <c r="AH123" s="9" t="n">
        <v>0</v>
      </c>
      <c r="AI123" s="9" t="n">
        <v>0</v>
      </c>
      <c r="AJ123" s="9" t="n">
        <v>0</v>
      </c>
      <c r="AK123" s="9" t="n">
        <v>1.19091351469976</v>
      </c>
      <c r="AL123" s="9" t="n">
        <v>0</v>
      </c>
      <c r="AM123" s="9" t="n">
        <v>0</v>
      </c>
      <c r="AN123" s="9" t="n">
        <v>0</v>
      </c>
      <c r="AO123" s="9" t="n">
        <v>0</v>
      </c>
      <c r="AP123" s="9" t="n">
        <v>16.02484548074194</v>
      </c>
      <c r="AQ123" s="9" t="n">
        <v>14.744191</v>
      </c>
      <c r="AR123" s="9" t="n">
        <v>16.1192184553125</v>
      </c>
      <c r="AS123" s="9" t="n">
        <v>15.82907252311687</v>
      </c>
      <c r="AT123" s="9" t="n">
        <v>11.12859929635298</v>
      </c>
      <c r="AU123" s="9" t="n">
        <v>9.0421942788</v>
      </c>
      <c r="AV123" s="9" t="n">
        <v>10.10504918482631</v>
      </c>
      <c r="AW123" s="9" t="n">
        <v>10.88507975822744</v>
      </c>
      <c r="AX123" s="9" t="n">
        <v>4.470526460492507</v>
      </c>
      <c r="AY123" s="9" t="n">
        <v>3.63634047</v>
      </c>
      <c r="AZ123" s="9" t="n">
        <v>4.059350917608183</v>
      </c>
      <c r="BA123" s="9" t="n">
        <v>4.372700983103463</v>
      </c>
      <c r="BB123" s="9" t="n">
        <v>13.36630777398147</v>
      </c>
      <c r="BC123" s="9" t="n">
        <v>15.20878467945792</v>
      </c>
      <c r="BD123" s="9" t="n">
        <v>11.29144450550229</v>
      </c>
      <c r="BE123" s="9" t="n">
        <v>13.45535040343711</v>
      </c>
      <c r="BF123" s="9" t="n">
        <v>0.5279459700404532</v>
      </c>
      <c r="BG123" s="9" t="n">
        <v>0.481703349999999</v>
      </c>
      <c r="BH123" s="9" t="n">
        <v>0.526626488310267</v>
      </c>
      <c r="BI123" s="9" t="n">
        <v>0.517147211520682</v>
      </c>
      <c r="BJ123" s="9" t="n">
        <v>0</v>
      </c>
      <c r="BK123" s="9" t="n">
        <v>0</v>
      </c>
      <c r="BL123" s="9" t="n">
        <v>0</v>
      </c>
      <c r="BM123" s="9" t="n">
        <v>0</v>
      </c>
      <c r="BN123" s="9" t="n">
        <v>0</v>
      </c>
      <c r="BO123" s="9" t="n">
        <v>0</v>
      </c>
      <c r="BP123" s="9" t="n">
        <v>0</v>
      </c>
      <c r="BQ123" s="9" t="n">
        <v>0</v>
      </c>
      <c r="BR123" s="9" t="n">
        <v>0</v>
      </c>
      <c r="BS123" s="9" t="n">
        <v>0</v>
      </c>
      <c r="BT123" s="9" t="n">
        <v>0</v>
      </c>
      <c r="BU123" s="9" t="n">
        <v>0</v>
      </c>
      <c r="BV123" s="9" t="n">
        <v>0</v>
      </c>
      <c r="BW123" s="9" t="n">
        <v>18.73878901956711</v>
      </c>
      <c r="BX123" s="9" t="n">
        <v>17.15535679985875</v>
      </c>
      <c r="BY123" s="9" t="n">
        <v>18.65638661113685</v>
      </c>
      <c r="BZ123" s="9" t="n">
        <v>18.3684183971944</v>
      </c>
      <c r="CA123" s="9" t="n">
        <v>0.9489483108042992</v>
      </c>
      <c r="CB123" s="9" t="n">
        <v>4.333090488012636</v>
      </c>
      <c r="CC123" s="9" t="n">
        <v>0.008999999999999999</v>
      </c>
      <c r="CD123" s="9" t="n">
        <v>0.0699940774242179</v>
      </c>
      <c r="CE123" s="9" t="n">
        <v>2.44</v>
      </c>
      <c r="CF123" s="9" t="n">
        <v>2.396</v>
      </c>
      <c r="CG123" s="9" t="n">
        <v>13.37</v>
      </c>
      <c r="CH123" s="9" t="n">
        <v>1</v>
      </c>
      <c r="CI123" s="9" t="n">
        <v>0.04</v>
      </c>
      <c r="CJ123" s="9" t="n">
        <v>0.04</v>
      </c>
      <c r="CK123" s="9" t="n">
        <v>0</v>
      </c>
      <c r="CL123" s="9" t="n">
        <v>0</v>
      </c>
      <c r="CM123" s="9" t="n">
        <v>0.58</v>
      </c>
      <c r="CN123" s="9" t="n">
        <v>1.64</v>
      </c>
      <c r="CO123" s="9" t="n">
        <v>0.02</v>
      </c>
      <c r="CP123" s="9" t="n">
        <v>13.577</v>
      </c>
      <c r="CQ123" s="9" t="n">
        <v>23.616</v>
      </c>
      <c r="CR123" s="9" t="n">
        <v>3</v>
      </c>
      <c r="CS123" s="9" t="n">
        <v>3</v>
      </c>
      <c r="CT123" s="9" t="n">
        <v>0.5</v>
      </c>
      <c r="CU123" s="9" t="n">
        <v>0.3</v>
      </c>
      <c r="CV123" s="9" t="n">
        <v>0.6</v>
      </c>
      <c r="CW123" s="9" t="n">
        <v>0.8</v>
      </c>
      <c r="CX123" s="9" t="n">
        <v>0.8</v>
      </c>
      <c r="CY123" s="9" t="n">
        <v>0.7</v>
      </c>
      <c r="CZ123" s="9" t="n">
        <v>0.5</v>
      </c>
      <c r="DA123" s="9" t="n">
        <v>0.5</v>
      </c>
      <c r="DB123" s="9" t="n">
        <v>1</v>
      </c>
      <c r="DC123" s="9" t="n">
        <v>0.3</v>
      </c>
      <c r="DD123" s="9" t="n">
        <v>0.8</v>
      </c>
      <c r="DE123" s="9" t="n">
        <v>0.3770126610833827</v>
      </c>
      <c r="DF123" s="9" t="n">
        <v>2</v>
      </c>
      <c r="DG123" s="9" t="n">
        <v>7.124</v>
      </c>
      <c r="DH123" s="9" t="n">
        <v>5.575</v>
      </c>
      <c r="DI123" s="9" t="n">
        <v>14.02195</v>
      </c>
      <c r="DJ123" s="9" t="n">
        <v>21.0339188511977</v>
      </c>
      <c r="DK123" s="9" t="n">
        <v>23.7470453025959</v>
      </c>
      <c r="DL123" s="9" t="n">
        <v>18.00453169567468</v>
      </c>
      <c r="DM123" s="9" t="n">
        <v>19.89938703508767</v>
      </c>
      <c r="DN123" s="9" t="n">
        <v>12.766</v>
      </c>
      <c r="DO123" s="9" t="n">
        <v>11.442</v>
      </c>
      <c r="DP123" s="9" t="n">
        <v>23.81305</v>
      </c>
      <c r="DQ123" s="9" t="n">
        <v>13.49474620847193</v>
      </c>
      <c r="DR123" s="9" t="n">
        <v>13.49474620847193</v>
      </c>
      <c r="DS123" s="9" t="n">
        <v>0.06283999999999999</v>
      </c>
    </row>
    <row r="124">
      <c r="A124" s="9" t="inlineStr">
        <is>
          <t>NER</t>
        </is>
      </c>
      <c r="B124" s="9" t="inlineStr">
        <is>
          <t>Niger</t>
        </is>
      </c>
      <c r="C124" s="9" t="n">
        <v>0.005</v>
      </c>
      <c r="D124" s="9" t="n">
        <v>0.005</v>
      </c>
      <c r="E124" s="9" t="n">
        <v>0.01</v>
      </c>
      <c r="F124" s="9" t="n">
        <v>0.005</v>
      </c>
      <c r="G124" s="9" t="n">
        <v>0.005</v>
      </c>
      <c r="H124" s="9" t="n">
        <v>0.01</v>
      </c>
      <c r="I124" s="9" t="n">
        <v>0.005</v>
      </c>
      <c r="J124" s="9" t="n">
        <v>0.005</v>
      </c>
      <c r="K124" s="9" t="n">
        <v>0.01</v>
      </c>
      <c r="L124" s="9" t="n">
        <v>0.01</v>
      </c>
      <c r="M124" s="9" t="n">
        <v>0.005</v>
      </c>
      <c r="N124" s="9" t="n">
        <v>0.001048</v>
      </c>
      <c r="O124" s="9" t="n">
        <v>0.001886</v>
      </c>
      <c r="P124" s="9" t="n">
        <v>0.113644</v>
      </c>
      <c r="Q124" s="9" t="n">
        <v>0.008017119633925899</v>
      </c>
      <c r="R124" s="9" t="n">
        <v>0.0015441922073198</v>
      </c>
      <c r="S124" s="9" t="n">
        <v>0.0036822333637883</v>
      </c>
      <c r="T124" s="9" t="n">
        <v>0.0013188677567114</v>
      </c>
      <c r="U124" s="9" t="n">
        <v>4.6e-05</v>
      </c>
      <c r="V124" s="9" t="n">
        <v>0</v>
      </c>
      <c r="W124" s="9" t="n">
        <v>0.000186</v>
      </c>
      <c r="X124" s="9" t="n">
        <v>0.0025105032088491</v>
      </c>
      <c r="Y124" s="9" t="n">
        <v>0.0025105032088491</v>
      </c>
      <c r="Z124" s="9" t="n">
        <v>0.07586770299621759</v>
      </c>
      <c r="AA124" s="9" t="n">
        <v>0.44</v>
      </c>
      <c r="AB124" s="9" t="n">
        <v>0.08</v>
      </c>
      <c r="AC124" s="9" t="n">
        <v>0</v>
      </c>
      <c r="AD124" s="9" t="n">
        <v>0</v>
      </c>
      <c r="AE124" s="9" t="n">
        <v>0</v>
      </c>
      <c r="AF124" s="9" t="n">
        <v>2.672</v>
      </c>
      <c r="AG124" s="9" t="n">
        <v>0</v>
      </c>
      <c r="AH124" s="9" t="n">
        <v>0</v>
      </c>
      <c r="AI124" s="9" t="n">
        <v>0</v>
      </c>
      <c r="AJ124" s="9" t="n">
        <v>0</v>
      </c>
      <c r="AK124" s="9" t="n">
        <v>4.779527325851048</v>
      </c>
      <c r="AL124" s="9" t="n">
        <v>0.0222305747061932</v>
      </c>
      <c r="AM124" s="9" t="n">
        <v>0.0218802168</v>
      </c>
      <c r="AN124" s="9" t="n">
        <v>0.0221865398352</v>
      </c>
      <c r="AO124" s="9" t="n">
        <v>0.021151167976224</v>
      </c>
      <c r="AP124" s="9" t="n">
        <v>6.234694776406912</v>
      </c>
      <c r="AQ124" s="9" t="n">
        <v>6.536668160000001</v>
      </c>
      <c r="AR124" s="9" t="n">
        <v>6.628181514240001</v>
      </c>
      <c r="AS124" s="9" t="n">
        <v>6.318866376908802</v>
      </c>
      <c r="AT124" s="9" t="n">
        <v>2.699585741606636</v>
      </c>
      <c r="AU124" s="9" t="n">
        <v>2.1238631568</v>
      </c>
      <c r="AV124" s="9" t="n">
        <v>2.393052439460023</v>
      </c>
      <c r="AW124" s="9" t="n">
        <v>2.500616760264169</v>
      </c>
      <c r="AX124" s="9" t="n">
        <v>3.481375675554731</v>
      </c>
      <c r="AY124" s="9" t="n">
        <v>2.8022712948</v>
      </c>
      <c r="AZ124" s="9" t="n">
        <v>3.08607147558308</v>
      </c>
      <c r="BA124" s="9" t="n">
        <v>3.224786021386783</v>
      </c>
      <c r="BB124" s="9" t="n">
        <v>11.53459602405693</v>
      </c>
      <c r="BC124" s="9" t="n">
        <v>12.33732285924127</v>
      </c>
      <c r="BD124" s="9" t="n">
        <v>9.953202540000005</v>
      </c>
      <c r="BE124" s="9" t="n">
        <v>10.6378935902096</v>
      </c>
      <c r="BF124" s="9" t="n">
        <v>0.2385476027513001</v>
      </c>
      <c r="BG124" s="9" t="n">
        <v>0.2349165399999996</v>
      </c>
      <c r="BH124" s="9" t="n">
        <v>0.2382053715599996</v>
      </c>
      <c r="BI124" s="9" t="n">
        <v>0.2270891208871996</v>
      </c>
      <c r="BJ124" s="9" t="n">
        <v>2.167178984485321</v>
      </c>
      <c r="BK124" s="9" t="n">
        <v>2.052799214637729</v>
      </c>
      <c r="BL124" s="9" t="n">
        <v>2.081538403642658</v>
      </c>
      <c r="BM124" s="9" t="n">
        <v>1.984399944806</v>
      </c>
      <c r="BN124" s="9" t="n">
        <v>0.2055022486791634</v>
      </c>
      <c r="BO124" s="9" t="n">
        <v>0.195021144</v>
      </c>
      <c r="BP124" s="9" t="n">
        <v>0.197751440016</v>
      </c>
      <c r="BQ124" s="9" t="n">
        <v>0.18852303948192</v>
      </c>
      <c r="BR124" s="9" t="n">
        <v>4.941088915101047</v>
      </c>
      <c r="BS124" s="9" t="n">
        <v>0</v>
      </c>
      <c r="BT124" s="9" t="n">
        <v>0</v>
      </c>
      <c r="BU124" s="9" t="n">
        <v>0</v>
      </c>
      <c r="BV124" s="9" t="n">
        <v>0</v>
      </c>
      <c r="BW124" s="9" t="n">
        <v>7.340179369711143</v>
      </c>
      <c r="BX124" s="9" t="n">
        <v>12.09482479433319</v>
      </c>
      <c r="BY124" s="9" t="n">
        <v>8.553160808800079</v>
      </c>
      <c r="BZ124" s="9" t="n">
        <v>7.611579961573035</v>
      </c>
      <c r="CA124" s="9" t="n">
        <v>0.6221182231309527</v>
      </c>
      <c r="CB124" s="9" t="n">
        <v>1.716933726989269</v>
      </c>
      <c r="CC124" s="9" t="n">
        <v>0.869</v>
      </c>
      <c r="CD124" s="9" t="n">
        <v>0.1136644427971308</v>
      </c>
      <c r="CE124" s="9" t="n">
        <v>6.9</v>
      </c>
      <c r="CF124" s="9" t="n">
        <v>6.728</v>
      </c>
      <c r="CG124" s="9" t="n">
        <v>19.866</v>
      </c>
      <c r="CH124" s="9" t="n">
        <v>0</v>
      </c>
      <c r="CI124" s="9" t="n">
        <v>0.17</v>
      </c>
      <c r="CJ124" s="9" t="n">
        <v>0.9199999999999999</v>
      </c>
      <c r="CK124" s="9" t="n">
        <v>0.05</v>
      </c>
      <c r="CL124" s="9" t="n">
        <v>0.7</v>
      </c>
      <c r="CM124" s="9" t="n">
        <v>0.03</v>
      </c>
      <c r="CN124" s="9" t="n">
        <v>0.95</v>
      </c>
      <c r="CO124" s="9" t="n">
        <v>0</v>
      </c>
      <c r="CP124" s="9" t="n">
        <v>44.807</v>
      </c>
      <c r="CQ124" s="9" t="n">
        <v>45.989</v>
      </c>
      <c r="CR124" s="9" t="n">
        <v>3</v>
      </c>
      <c r="CS124" s="9" t="n">
        <v>1</v>
      </c>
      <c r="CT124" s="9" t="n">
        <v>0.5</v>
      </c>
      <c r="CU124" s="9" t="n">
        <v>0.3</v>
      </c>
      <c r="CV124" s="9" t="n">
        <v>0.6</v>
      </c>
      <c r="CW124" s="9" t="n">
        <v>0.8</v>
      </c>
      <c r="CX124" s="9" t="n">
        <v>0.8</v>
      </c>
      <c r="CY124" s="9" t="n">
        <v>0.7</v>
      </c>
      <c r="CZ124" s="9" t="n">
        <v>0.5</v>
      </c>
      <c r="DA124" s="9" t="n">
        <v>0.5</v>
      </c>
      <c r="DB124" s="9" t="n">
        <v>1</v>
      </c>
      <c r="DC124" s="9" t="n">
        <v>0.3</v>
      </c>
      <c r="DD124" s="9" t="n">
        <v>0.8</v>
      </c>
      <c r="DE124" s="9" t="n">
        <v>0.355626364970821</v>
      </c>
      <c r="DF124" s="9" t="n">
        <v>2</v>
      </c>
      <c r="DG124" s="9" t="n">
        <v>3.373</v>
      </c>
      <c r="DH124" s="9" t="n">
        <v>2.049</v>
      </c>
      <c r="DI124" s="9" t="n">
        <v>6.37602</v>
      </c>
      <c r="DJ124" s="9" t="n">
        <v>20.88317555159258</v>
      </c>
      <c r="DK124" s="9" t="n">
        <v>24.63730070626776</v>
      </c>
      <c r="DL124" s="9" t="n">
        <v>18.6307762763938</v>
      </c>
      <c r="DM124" s="9" t="n">
        <v>21.89370903437609</v>
      </c>
      <c r="DN124" s="9" t="n">
        <v>6.853</v>
      </c>
      <c r="DO124" s="9" t="n">
        <v>6.191</v>
      </c>
      <c r="DP124" s="9" t="n">
        <v>12.87937</v>
      </c>
      <c r="DQ124" s="9" t="n">
        <v>13.49474620847193</v>
      </c>
      <c r="DR124" s="9" t="n">
        <v>13.49474620847193</v>
      </c>
      <c r="DS124" s="9" t="n">
        <v>0.105</v>
      </c>
    </row>
    <row r="125">
      <c r="A125" s="9" t="inlineStr">
        <is>
          <t>NGA</t>
        </is>
      </c>
      <c r="B125" s="9" t="inlineStr">
        <is>
          <t>Nigeria</t>
        </is>
      </c>
      <c r="C125" s="9" t="n">
        <v>0.005</v>
      </c>
      <c r="D125" s="9" t="n">
        <v>0.005</v>
      </c>
      <c r="E125" s="9" t="n">
        <v>0.01</v>
      </c>
      <c r="F125" s="9" t="n">
        <v>0.005</v>
      </c>
      <c r="G125" s="9" t="n">
        <v>0.005</v>
      </c>
      <c r="H125" s="9" t="n">
        <v>0.01</v>
      </c>
      <c r="I125" s="9" t="n">
        <v>0.005</v>
      </c>
      <c r="J125" s="9" t="n">
        <v>0.005</v>
      </c>
      <c r="K125" s="9" t="n">
        <v>0.01</v>
      </c>
      <c r="L125" s="9" t="n">
        <v>0.01</v>
      </c>
      <c r="M125" s="9" t="n">
        <v>0.005</v>
      </c>
      <c r="N125" s="9" t="n">
        <v>0.941094</v>
      </c>
      <c r="O125" s="9" t="n">
        <v>0.174824</v>
      </c>
      <c r="P125" s="9" t="n">
        <v>8.014578</v>
      </c>
      <c r="Q125" s="9" t="n">
        <v>1.116605117174628</v>
      </c>
      <c r="R125" s="9" t="n">
        <v>0.2145569283614919</v>
      </c>
      <c r="S125" s="9" t="n">
        <v>0.4653389299878193</v>
      </c>
      <c r="T125" s="9" t="n">
        <v>0.1652463718703186</v>
      </c>
      <c r="U125" s="9" t="n">
        <v>0.012469</v>
      </c>
      <c r="V125" s="9" t="n">
        <v>0.030779</v>
      </c>
      <c r="W125" s="9" t="n">
        <v>0.013579</v>
      </c>
      <c r="X125" s="9" t="n">
        <v>2.021641987261664</v>
      </c>
      <c r="Y125" s="9" t="n">
        <v>2.021641987261664</v>
      </c>
      <c r="Z125" s="9" t="n">
        <v>0.9627972784996185</v>
      </c>
      <c r="AA125" s="9" t="n">
        <v>12.25</v>
      </c>
      <c r="AB125" s="9" t="n">
        <v>0.28</v>
      </c>
      <c r="AC125" s="9" t="n">
        <v>0</v>
      </c>
      <c r="AD125" s="9" t="n">
        <v>3</v>
      </c>
      <c r="AE125" s="9" t="n">
        <v>0.015833214</v>
      </c>
      <c r="AF125" s="9" t="n">
        <v>126.142</v>
      </c>
      <c r="AG125" s="9" t="n">
        <v>36.8267368809622</v>
      </c>
      <c r="AH125" s="9" t="n">
        <v>38.4420001752</v>
      </c>
      <c r="AI125" s="9" t="n">
        <v>37.74305471746909</v>
      </c>
      <c r="AJ125" s="9" t="n">
        <v>36.26586964490608</v>
      </c>
      <c r="AK125" s="9" t="n">
        <v>0</v>
      </c>
      <c r="AL125" s="9" t="n">
        <v>0</v>
      </c>
      <c r="AM125" s="9" t="n">
        <v>0</v>
      </c>
      <c r="AN125" s="9" t="n">
        <v>0</v>
      </c>
      <c r="AO125" s="9" t="n">
        <v>0</v>
      </c>
      <c r="AP125" s="9" t="n">
        <v>165.5828896775983</v>
      </c>
      <c r="AQ125" s="9" t="n">
        <v>169.905338</v>
      </c>
      <c r="AR125" s="9" t="n">
        <v>166.8161500363636</v>
      </c>
      <c r="AS125" s="9" t="n">
        <v>160.2873110608026</v>
      </c>
      <c r="AT125" s="9" t="n">
        <v>68.50314912032182</v>
      </c>
      <c r="AU125" s="9" t="n">
        <v>53.0263160424</v>
      </c>
      <c r="AV125" s="9" t="n">
        <v>56.10117882961933</v>
      </c>
      <c r="AW125" s="9" t="n">
        <v>54.41301524950024</v>
      </c>
      <c r="AX125" s="9" t="n">
        <v>76.20486832543234</v>
      </c>
      <c r="AY125" s="9" t="n">
        <v>59.9717566944</v>
      </c>
      <c r="AZ125" s="9" t="n">
        <v>62.40856078168845</v>
      </c>
      <c r="BA125" s="9" t="n">
        <v>60.53059918449522</v>
      </c>
      <c r="BB125" s="9" t="n">
        <v>670.6044196793347</v>
      </c>
      <c r="BC125" s="9" t="n">
        <v>590.4813966378376</v>
      </c>
      <c r="BD125" s="9" t="n">
        <v>686.5743050400001</v>
      </c>
      <c r="BE125" s="9" t="n">
        <v>606.2105181817496</v>
      </c>
      <c r="BF125" s="9" t="n">
        <v>24.95745505741321</v>
      </c>
      <c r="BG125" s="9" t="n">
        <v>25.54482389720616</v>
      </c>
      <c r="BH125" s="9" t="n">
        <v>25.08037255362059</v>
      </c>
      <c r="BI125" s="9" t="n">
        <v>24.09877866229785</v>
      </c>
      <c r="BJ125" s="9" t="n">
        <v>34.88929195739039</v>
      </c>
      <c r="BK125" s="9" t="n">
        <v>38.52769944999994</v>
      </c>
      <c r="BL125" s="9" t="n">
        <v>37.8271958236363</v>
      </c>
      <c r="BM125" s="9" t="n">
        <v>36.34671764226298</v>
      </c>
      <c r="BN125" s="9" t="n">
        <v>284.1292163989582</v>
      </c>
      <c r="BO125" s="9" t="n">
        <v>296.5644333864</v>
      </c>
      <c r="BP125" s="9" t="n">
        <v>291.1723527793745</v>
      </c>
      <c r="BQ125" s="9" t="n">
        <v>279.7764693171473</v>
      </c>
      <c r="BR125" s="9" t="n">
        <v>335.8329379182787</v>
      </c>
      <c r="BS125" s="9" t="n">
        <v>0.0038941811232685</v>
      </c>
      <c r="BT125" s="9" t="n">
        <v>0.0041281847999999</v>
      </c>
      <c r="BU125" s="9" t="n">
        <v>0.0040531268945454</v>
      </c>
      <c r="BV125" s="9" t="n">
        <v>0.0038944958936727</v>
      </c>
      <c r="BW125" s="9" t="n">
        <v>29.32627580264688</v>
      </c>
      <c r="BX125" s="9" t="n">
        <v>30.22557746075478</v>
      </c>
      <c r="BY125" s="9" t="n">
        <v>29.67602150692287</v>
      </c>
      <c r="BZ125" s="9" t="n">
        <v>28.51456342380709</v>
      </c>
      <c r="CA125" s="9" t="n">
        <v>0.8326525515892262</v>
      </c>
      <c r="CB125" s="9" t="n">
        <v>40.19667151270949</v>
      </c>
      <c r="CC125" s="9" t="n">
        <v>2.834</v>
      </c>
      <c r="CD125" s="9" t="n">
        <v>2.202894694608452</v>
      </c>
      <c r="CE125" s="9" t="n">
        <v>4.013</v>
      </c>
      <c r="CF125" s="9" t="n">
        <v>4.058</v>
      </c>
      <c r="CG125" s="9" t="n">
        <v>252.109</v>
      </c>
      <c r="CH125" s="9" t="n">
        <v>12.88</v>
      </c>
      <c r="CI125" s="9" t="n">
        <v>0</v>
      </c>
      <c r="CJ125" s="9" t="n">
        <v>28.53</v>
      </c>
      <c r="CK125" s="9" t="n">
        <v>28.53</v>
      </c>
      <c r="CL125" s="9" t="n">
        <v>0</v>
      </c>
      <c r="CM125" s="9" t="n">
        <v>0.13</v>
      </c>
      <c r="CN125" s="9" t="n">
        <v>41.54</v>
      </c>
      <c r="CO125" s="9" t="n">
        <v>0</v>
      </c>
      <c r="CP125" s="9" t="n">
        <v>422.553</v>
      </c>
      <c r="CQ125" s="9" t="n">
        <v>468.575</v>
      </c>
      <c r="CR125" s="9" t="n">
        <v>3</v>
      </c>
      <c r="CS125" s="9" t="n">
        <v>2</v>
      </c>
      <c r="CT125" s="9" t="n">
        <v>0.5</v>
      </c>
      <c r="CU125" s="9" t="n">
        <v>0.3</v>
      </c>
      <c r="CV125" s="9" t="n">
        <v>0.6</v>
      </c>
      <c r="CW125" s="9" t="n">
        <v>0.8</v>
      </c>
      <c r="CX125" s="9" t="n">
        <v>0.8</v>
      </c>
      <c r="CY125" s="9" t="n">
        <v>0.7</v>
      </c>
      <c r="CZ125" s="9" t="n">
        <v>0.5</v>
      </c>
      <c r="DA125" s="9" t="n">
        <v>0.5</v>
      </c>
      <c r="DB125" s="9" t="n">
        <v>1</v>
      </c>
      <c r="DC125" s="9" t="n">
        <v>0.3</v>
      </c>
      <c r="DD125" s="9" t="n">
        <v>0.8</v>
      </c>
      <c r="DE125" s="9" t="n">
        <v>0.119068118606693</v>
      </c>
      <c r="DF125" s="9" t="n">
        <v>2</v>
      </c>
      <c r="DG125" s="9" t="n">
        <v>3.373</v>
      </c>
      <c r="DH125" s="9" t="n">
        <v>2.049</v>
      </c>
      <c r="DI125" s="9" t="n">
        <v>5.75985</v>
      </c>
      <c r="DJ125" s="9" t="n">
        <v>23.92474740040204</v>
      </c>
      <c r="DK125" s="9" t="n">
        <v>26.62158769267372</v>
      </c>
      <c r="DL125" s="9" t="n">
        <v>19.96671173348623</v>
      </c>
      <c r="DM125" s="9" t="n">
        <v>21.3865655916924</v>
      </c>
      <c r="DN125" s="9" t="n">
        <v>5.007</v>
      </c>
      <c r="DO125" s="9" t="n">
        <v>4.62</v>
      </c>
      <c r="DP125" s="9" t="n">
        <v>14.457675</v>
      </c>
      <c r="DQ125" s="9" t="n">
        <v>13.49474620847193</v>
      </c>
      <c r="DR125" s="9" t="n">
        <v>13.49474620847193</v>
      </c>
      <c r="DS125" s="9" t="n">
        <v>0.105</v>
      </c>
    </row>
    <row r="126">
      <c r="A126" s="9" t="inlineStr">
        <is>
          <t>NIC</t>
        </is>
      </c>
      <c r="B126" s="9" t="inlineStr">
        <is>
          <t>Nicaragua</t>
        </is>
      </c>
      <c r="C126" s="9" t="n">
        <v>0.005</v>
      </c>
      <c r="D126" s="9" t="n">
        <v>0.005</v>
      </c>
      <c r="E126" s="9" t="n">
        <v>0.01</v>
      </c>
      <c r="F126" s="9" t="n">
        <v>0.005</v>
      </c>
      <c r="G126" s="9" t="n">
        <v>0.005</v>
      </c>
      <c r="H126" s="9" t="n">
        <v>0.01</v>
      </c>
      <c r="I126" s="9" t="n">
        <v>0.005</v>
      </c>
      <c r="J126" s="9" t="n">
        <v>0.005</v>
      </c>
      <c r="K126" s="9" t="n">
        <v>0.01</v>
      </c>
      <c r="L126" s="9" t="n">
        <v>0.01</v>
      </c>
      <c r="M126" s="9" t="n">
        <v>0.005</v>
      </c>
      <c r="N126" s="9" t="n">
        <v>0.725063</v>
      </c>
      <c r="O126" s="9" t="n">
        <v>0.080722</v>
      </c>
      <c r="P126" s="9" t="n">
        <v>1.063703</v>
      </c>
      <c r="Q126" s="9" t="n">
        <v>1.16084674726151</v>
      </c>
      <c r="R126" s="9" t="n">
        <v>0.1958836411137171</v>
      </c>
      <c r="S126" s="9" t="n">
        <v>0.1105729644636888</v>
      </c>
      <c r="T126" s="9" t="n">
        <v>0.09088550452867521</v>
      </c>
      <c r="U126" s="9" t="n">
        <v>0.014237</v>
      </c>
      <c r="V126" s="9" t="n">
        <v>0.002347</v>
      </c>
      <c r="W126" s="9" t="n">
        <v>0.002793</v>
      </c>
      <c r="X126" s="9" t="n">
        <v>0.8113048640415766</v>
      </c>
      <c r="Y126" s="9" t="n">
        <v>0.8113048640415766</v>
      </c>
      <c r="Z126" s="9" t="n">
        <v>0.07522229668360504</v>
      </c>
      <c r="AA126" s="9" t="n">
        <v>0.38</v>
      </c>
      <c r="AB126" s="9" t="n">
        <v>0.04</v>
      </c>
      <c r="AC126" s="9" t="n">
        <v>0.19</v>
      </c>
      <c r="AD126" s="9" t="n">
        <v>0</v>
      </c>
      <c r="AE126" s="9" t="n">
        <v>0</v>
      </c>
      <c r="AF126" s="9" t="n">
        <v>5.756</v>
      </c>
      <c r="AG126" s="9" t="n">
        <v>0</v>
      </c>
      <c r="AH126" s="9" t="n">
        <v>0</v>
      </c>
      <c r="AI126" s="9" t="n">
        <v>0</v>
      </c>
      <c r="AJ126" s="9" t="n">
        <v>0</v>
      </c>
      <c r="AK126" s="9" t="n">
        <v>0</v>
      </c>
      <c r="AL126" s="9" t="n">
        <v>0</v>
      </c>
      <c r="AM126" s="9" t="n">
        <v>0</v>
      </c>
      <c r="AN126" s="9" t="n">
        <v>0</v>
      </c>
      <c r="AO126" s="9" t="n">
        <v>0</v>
      </c>
      <c r="AP126" s="9" t="n">
        <v>19.46153304230552</v>
      </c>
      <c r="AQ126" s="9" t="n">
        <v>18.68663323</v>
      </c>
      <c r="AR126" s="9" t="n">
        <v>19.34238766339378</v>
      </c>
      <c r="AS126" s="9" t="n">
        <v>18.86474911088956</v>
      </c>
      <c r="AT126" s="9" t="n">
        <v>12.7553010127108</v>
      </c>
      <c r="AU126" s="9" t="n">
        <v>9.428673600000002</v>
      </c>
      <c r="AV126" s="9" t="n">
        <v>11.47717912498601</v>
      </c>
      <c r="AW126" s="9" t="n">
        <v>12.09429077584419</v>
      </c>
      <c r="AX126" s="9" t="n">
        <v>5.934618933978489</v>
      </c>
      <c r="AY126" s="9" t="n">
        <v>4.5343044</v>
      </c>
      <c r="AZ126" s="9" t="n">
        <v>5.339951168218582</v>
      </c>
      <c r="BA126" s="9" t="n">
        <v>5.627072772319662</v>
      </c>
      <c r="BB126" s="9" t="n">
        <v>15.79281997816726</v>
      </c>
      <c r="BC126" s="9" t="n">
        <v>15.56103424821521</v>
      </c>
      <c r="BD126" s="9" t="n">
        <v>15.03348081674728</v>
      </c>
      <c r="BE126" s="9" t="n">
        <v>15.17677197392254</v>
      </c>
      <c r="BF126" s="9" t="n">
        <v>0.0904213960139259</v>
      </c>
      <c r="BG126" s="9" t="n">
        <v>0.0825923491086301</v>
      </c>
      <c r="BH126" s="9" t="n">
        <v>0.0854906935255067</v>
      </c>
      <c r="BI126" s="9" t="n">
        <v>0.08337959680783601</v>
      </c>
      <c r="BJ126" s="9" t="n">
        <v>2.963375786722017</v>
      </c>
      <c r="BK126" s="9" t="n">
        <v>2.786345809999991</v>
      </c>
      <c r="BL126" s="9" t="n">
        <v>2.884124719415427</v>
      </c>
      <c r="BM126" s="9" t="n">
        <v>2.812904496752312</v>
      </c>
      <c r="BN126" s="9" t="n">
        <v>0</v>
      </c>
      <c r="BO126" s="9" t="n">
        <v>0</v>
      </c>
      <c r="BP126" s="9" t="n">
        <v>0</v>
      </c>
      <c r="BQ126" s="9" t="n">
        <v>0</v>
      </c>
      <c r="BR126" s="9" t="n">
        <v>0</v>
      </c>
      <c r="BS126" s="9" t="n">
        <v>0</v>
      </c>
      <c r="BT126" s="9" t="n">
        <v>0</v>
      </c>
      <c r="BU126" s="9" t="n">
        <v>0</v>
      </c>
      <c r="BV126" s="9" t="n">
        <v>0</v>
      </c>
      <c r="BW126" s="9" t="n">
        <v>30.73786867629155</v>
      </c>
      <c r="BX126" s="9" t="n">
        <v>28.52711956685514</v>
      </c>
      <c r="BY126" s="9" t="n">
        <v>30.9772266012656</v>
      </c>
      <c r="BZ126" s="9" t="n">
        <v>30.26312501042853</v>
      </c>
      <c r="CA126" s="9" t="n">
        <v>0.8444420687540319</v>
      </c>
      <c r="CB126" s="9" t="n">
        <v>5.191644429635912</v>
      </c>
      <c r="CC126" s="9" t="n">
        <v>0.227</v>
      </c>
      <c r="CD126" s="9" t="n">
        <v>-2.243919870514788</v>
      </c>
      <c r="CE126" s="9" t="n">
        <v>4.924</v>
      </c>
      <c r="CF126" s="9" t="n">
        <v>3.84</v>
      </c>
      <c r="CG126" s="9" t="n">
        <v>19.697</v>
      </c>
      <c r="CH126" s="9" t="n">
        <v>2.23</v>
      </c>
      <c r="CI126" s="9" t="n">
        <v>0</v>
      </c>
      <c r="CJ126" s="9" t="n">
        <v>1.7</v>
      </c>
      <c r="CK126" s="9" t="n">
        <v>0</v>
      </c>
      <c r="CL126" s="9" t="n">
        <v>1.7</v>
      </c>
      <c r="CM126" s="9" t="n">
        <v>0.03</v>
      </c>
      <c r="CN126" s="9" t="n">
        <v>4.52</v>
      </c>
      <c r="CO126" s="9" t="n">
        <v>0.5600000000000001</v>
      </c>
      <c r="CP126" s="9" t="n">
        <v>21.413</v>
      </c>
      <c r="CQ126" s="9" t="n">
        <v>40.391</v>
      </c>
      <c r="CR126" s="9" t="n">
        <v>3</v>
      </c>
      <c r="CS126" s="9" t="n">
        <v>2</v>
      </c>
      <c r="CT126" s="9" t="n">
        <v>0.5</v>
      </c>
      <c r="CU126" s="9" t="n">
        <v>0.3</v>
      </c>
      <c r="CV126" s="9" t="n">
        <v>0.6</v>
      </c>
      <c r="CW126" s="9" t="n">
        <v>0.8</v>
      </c>
      <c r="CX126" s="9" t="n">
        <v>0.8</v>
      </c>
      <c r="CY126" s="9" t="n">
        <v>0.7</v>
      </c>
      <c r="CZ126" s="9" t="n">
        <v>0.5</v>
      </c>
      <c r="DA126" s="9" t="n">
        <v>0.5</v>
      </c>
      <c r="DB126" s="9" t="n">
        <v>1</v>
      </c>
      <c r="DC126" s="9" t="n">
        <v>0.3</v>
      </c>
      <c r="DD126" s="9" t="n">
        <v>0.8</v>
      </c>
      <c r="DE126" s="9" t="n">
        <v>0.3265688468871756</v>
      </c>
      <c r="DF126" s="9" t="n">
        <v>3</v>
      </c>
      <c r="DG126" s="9" t="n">
        <v>7.124</v>
      </c>
      <c r="DH126" s="9" t="n">
        <v>5.575</v>
      </c>
      <c r="DI126" s="9" t="n">
        <v>14.02195</v>
      </c>
      <c r="DJ126" s="9" t="n">
        <v>17.65777302649484</v>
      </c>
      <c r="DK126" s="9" t="n">
        <v>24.58808672869744</v>
      </c>
      <c r="DL126" s="9" t="n">
        <v>16.09072401845505</v>
      </c>
      <c r="DM126" s="9" t="n">
        <v>22.02419936183425</v>
      </c>
      <c r="DN126" s="9" t="n">
        <v>7.414</v>
      </c>
      <c r="DO126" s="9" t="n">
        <v>6.09</v>
      </c>
      <c r="DP126" s="9" t="n">
        <v>17.65825</v>
      </c>
      <c r="DQ126" s="9" t="n">
        <v>13.49474620847193</v>
      </c>
      <c r="DR126" s="9" t="n">
        <v>13.49474620847193</v>
      </c>
      <c r="DS126" s="9" t="n">
        <v>0.105</v>
      </c>
    </row>
    <row r="127">
      <c r="A127" s="9" t="inlineStr">
        <is>
          <t>NLD</t>
        </is>
      </c>
      <c r="B127" s="9" t="inlineStr">
        <is>
          <t>Netherlands</t>
        </is>
      </c>
      <c r="C127" s="9" t="n">
        <v>0.005</v>
      </c>
      <c r="D127" s="9" t="n">
        <v>0.005</v>
      </c>
      <c r="E127" s="9" t="n">
        <v>0.01</v>
      </c>
      <c r="F127" s="9" t="n">
        <v>0.005</v>
      </c>
      <c r="G127" s="9" t="n">
        <v>0.005</v>
      </c>
      <c r="H127" s="9" t="n">
        <v>0.01</v>
      </c>
      <c r="I127" s="9" t="n">
        <v>0.005</v>
      </c>
      <c r="J127" s="9" t="n">
        <v>0.005</v>
      </c>
      <c r="K127" s="9" t="n">
        <v>0.01</v>
      </c>
      <c r="L127" s="9" t="n">
        <v>0.01</v>
      </c>
      <c r="M127" s="9" t="n">
        <v>0.005</v>
      </c>
      <c r="N127" s="9" t="n">
        <v>3.092045</v>
      </c>
      <c r="O127" s="9" t="n">
        <v>1.866565</v>
      </c>
      <c r="P127" s="9" t="n">
        <v>65.873565</v>
      </c>
      <c r="Q127" s="9" t="n">
        <v>6.442546612579263</v>
      </c>
      <c r="R127" s="9" t="n">
        <v>1.783942345582209</v>
      </c>
      <c r="S127" s="9" t="n">
        <v>10.4042960692654</v>
      </c>
      <c r="T127" s="9" t="n">
        <v>6.981775582205379</v>
      </c>
      <c r="U127" s="9" t="n">
        <v>0.327356</v>
      </c>
      <c r="V127" s="9" t="n">
        <v>0.07615</v>
      </c>
      <c r="W127" s="9" t="n">
        <v>0.27827</v>
      </c>
      <c r="X127" s="9" t="n">
        <v>4.974007671476983</v>
      </c>
      <c r="Y127" s="9" t="n">
        <v>4.974007671476983</v>
      </c>
      <c r="Z127" s="9" t="n">
        <v>10.21437010038835</v>
      </c>
      <c r="AA127" s="9" t="n">
        <v>19.5</v>
      </c>
      <c r="AB127" s="9" t="n">
        <v>25.88</v>
      </c>
      <c r="AC127" s="9" t="n">
        <v>11.78</v>
      </c>
      <c r="AD127" s="9" t="n">
        <v>0</v>
      </c>
      <c r="AE127" s="9" t="n">
        <v>0</v>
      </c>
      <c r="AF127" s="9" t="n">
        <v>122.936</v>
      </c>
      <c r="AG127" s="9" t="n">
        <v>35.73861212832949</v>
      </c>
      <c r="AH127" s="9" t="n">
        <v>32.79942888120001</v>
      </c>
      <c r="AI127" s="9" t="n">
        <v>31.38452938015238</v>
      </c>
      <c r="AJ127" s="9" t="n">
        <v>31.69837467395389</v>
      </c>
      <c r="AK127" s="9" t="n">
        <v>99.27592952484642</v>
      </c>
      <c r="AL127" s="9" t="n">
        <v>0.8772737044886124</v>
      </c>
      <c r="AM127" s="9" t="n">
        <v>0.8007296868</v>
      </c>
      <c r="AN127" s="9" t="n">
        <v>0.7661878647935587</v>
      </c>
      <c r="AO127" s="9" t="n">
        <v>0.7738497434414942</v>
      </c>
      <c r="AP127" s="9" t="n">
        <v>189.9138470942869</v>
      </c>
      <c r="AQ127" s="9" t="n">
        <v>195.7676986888096</v>
      </c>
      <c r="AR127" s="9" t="n">
        <v>187.3226852039923</v>
      </c>
      <c r="AS127" s="9" t="n">
        <v>189.1959120560322</v>
      </c>
      <c r="AT127" s="9" t="n">
        <v>241.3767873291139</v>
      </c>
      <c r="AU127" s="9" t="n">
        <v>303.4295335332001</v>
      </c>
      <c r="AV127" s="9" t="n">
        <v>301.0791448963748</v>
      </c>
      <c r="AW127" s="9" t="n">
        <v>376.0620189076577</v>
      </c>
      <c r="AX127" s="9" t="n">
        <v>63.75380779754399</v>
      </c>
      <c r="AY127" s="9" t="n">
        <v>80.8912871136</v>
      </c>
      <c r="AZ127" s="9" t="n">
        <v>79.63791998551193</v>
      </c>
      <c r="BA127" s="9" t="n">
        <v>99.63264945716864</v>
      </c>
      <c r="BB127" s="9" t="n">
        <v>154.1037023106773</v>
      </c>
      <c r="BC127" s="9" t="n">
        <v>159.8833182813423</v>
      </c>
      <c r="BD127" s="9" t="n">
        <v>163.728234767137</v>
      </c>
      <c r="BE127" s="9" t="n">
        <v>154.516145550995</v>
      </c>
      <c r="BF127" s="9" t="n">
        <v>0.5583031731332495</v>
      </c>
      <c r="BG127" s="9" t="n">
        <v>0.5674166324934286</v>
      </c>
      <c r="BH127" s="9" t="n">
        <v>0.5429394529331083</v>
      </c>
      <c r="BI127" s="9" t="n">
        <v>0.5483688474624394</v>
      </c>
      <c r="BJ127" s="9" t="n">
        <v>0.9633502694768896</v>
      </c>
      <c r="BK127" s="9" t="n">
        <v>0.9899419699999988</v>
      </c>
      <c r="BL127" s="9" t="n">
        <v>0.947237921569999</v>
      </c>
      <c r="BM127" s="9" t="n">
        <v>0.9567103007856986</v>
      </c>
      <c r="BN127" s="9" t="n">
        <v>251.7823560857202</v>
      </c>
      <c r="BO127" s="9" t="n">
        <v>230.737750902</v>
      </c>
      <c r="BP127" s="9" t="n">
        <v>220.7842017165378</v>
      </c>
      <c r="BQ127" s="9" t="n">
        <v>222.9920437337032</v>
      </c>
      <c r="BR127" s="9" t="n">
        <v>123.143120511809</v>
      </c>
      <c r="BS127" s="9" t="n">
        <v>591.8996389494978</v>
      </c>
      <c r="BT127" s="9" t="n">
        <v>556.8961865291999</v>
      </c>
      <c r="BU127" s="9" t="n">
        <v>532.8728372413369</v>
      </c>
      <c r="BV127" s="9" t="n">
        <v>538.2015656137502</v>
      </c>
      <c r="BW127" s="9" t="n">
        <v>294.8765393859745</v>
      </c>
      <c r="BX127" s="9" t="n">
        <v>314.0500134655382</v>
      </c>
      <c r="BY127" s="9" t="n">
        <v>286.0326692475248</v>
      </c>
      <c r="BZ127" s="9" t="n">
        <v>288.9043549104549</v>
      </c>
      <c r="CA127" s="9" t="n">
        <v>0.9691391955730774</v>
      </c>
      <c r="CB127" s="9" t="n">
        <v>84.75849864629384</v>
      </c>
      <c r="CC127" s="9" t="n">
        <v>0.042</v>
      </c>
      <c r="CD127" s="9" t="n">
        <v>3.530868455506795</v>
      </c>
      <c r="CE127" s="9" t="n">
        <v>1.856</v>
      </c>
      <c r="CF127" s="9" t="n">
        <v>1.233</v>
      </c>
      <c r="CG127" s="9" t="n">
        <v>1214.562</v>
      </c>
      <c r="CH127" s="9" t="n">
        <v>10.891</v>
      </c>
      <c r="CI127" s="9" t="n">
        <v>9.550000000000001</v>
      </c>
      <c r="CJ127" s="9" t="n">
        <v>61.87</v>
      </c>
      <c r="CK127" s="9" t="n">
        <v>47.09</v>
      </c>
      <c r="CL127" s="9" t="n">
        <v>5.23</v>
      </c>
      <c r="CM127" s="9" t="n">
        <v>28.5</v>
      </c>
      <c r="CN127" s="9" t="n">
        <v>134.961</v>
      </c>
      <c r="CO127" s="9" t="n">
        <v>33.7</v>
      </c>
      <c r="CP127" s="9" t="n">
        <v>151.045</v>
      </c>
      <c r="CQ127" s="9" t="n">
        <v>155.145</v>
      </c>
      <c r="CR127" s="9" t="n">
        <v>1</v>
      </c>
      <c r="CS127" s="9" t="n">
        <v>4</v>
      </c>
      <c r="CT127" s="9" t="n">
        <v>0.5</v>
      </c>
      <c r="CU127" s="9" t="n">
        <v>0.3</v>
      </c>
      <c r="CV127" s="9" t="n">
        <v>0.6</v>
      </c>
      <c r="CW127" s="9" t="n">
        <v>0.8</v>
      </c>
      <c r="CX127" s="9" t="n">
        <v>0.8</v>
      </c>
      <c r="CY127" s="9" t="n">
        <v>0.7</v>
      </c>
      <c r="CZ127" s="9" t="n">
        <v>0.5</v>
      </c>
      <c r="DA127" s="9" t="n">
        <v>0.5</v>
      </c>
      <c r="DB127" s="9" t="n">
        <v>1</v>
      </c>
      <c r="DC127" s="9" t="n">
        <v>0.3</v>
      </c>
      <c r="DD127" s="9" t="n">
        <v>0.8</v>
      </c>
      <c r="DE127" s="9" t="n">
        <v>0.8320416622994415</v>
      </c>
      <c r="DF127" s="9" t="n">
        <v>3</v>
      </c>
      <c r="DG127" s="9" t="n">
        <v>9.912000000000001</v>
      </c>
      <c r="DH127" s="9" t="n">
        <v>6.635</v>
      </c>
      <c r="DI127" s="9" t="n">
        <v>16.03613</v>
      </c>
      <c r="DJ127" s="9" t="n">
        <v>21.70507778617028</v>
      </c>
      <c r="DK127" s="9" t="n">
        <v>25.98558067632187</v>
      </c>
      <c r="DL127" s="9" t="n">
        <v>18.68868535648906</v>
      </c>
      <c r="DM127" s="9" t="n">
        <v>20.89455033798274</v>
      </c>
      <c r="DN127" s="9" t="n">
        <v>12.708</v>
      </c>
      <c r="DO127" s="9" t="n">
        <v>12.708</v>
      </c>
      <c r="DP127" s="9" t="n">
        <v>27.84089</v>
      </c>
      <c r="DQ127" s="9" t="n">
        <v>12.81239453308835</v>
      </c>
      <c r="DR127" s="9" t="n">
        <v>12.81239453308835</v>
      </c>
      <c r="DS127" s="9" t="n">
        <v>0.02327</v>
      </c>
    </row>
    <row r="128">
      <c r="A128" s="9" t="inlineStr">
        <is>
          <t>NOR</t>
        </is>
      </c>
      <c r="B128" s="9" t="inlineStr">
        <is>
          <t>Norway</t>
        </is>
      </c>
      <c r="C128" s="9" t="n">
        <v>0.005</v>
      </c>
      <c r="D128" s="9" t="n">
        <v>0.005</v>
      </c>
      <c r="E128" s="9" t="n">
        <v>0.01</v>
      </c>
      <c r="F128" s="9" t="n">
        <v>0.005</v>
      </c>
      <c r="G128" s="9" t="n">
        <v>0.005</v>
      </c>
      <c r="H128" s="9" t="n">
        <v>0.01</v>
      </c>
      <c r="I128" s="9" t="n">
        <v>0.005</v>
      </c>
      <c r="J128" s="9" t="n">
        <v>0.005</v>
      </c>
      <c r="K128" s="9" t="n">
        <v>0.01</v>
      </c>
      <c r="L128" s="9" t="n">
        <v>0.01</v>
      </c>
      <c r="M128" s="9" t="n">
        <v>0.005</v>
      </c>
      <c r="N128" s="9" t="n">
        <v>1.886535</v>
      </c>
      <c r="O128" s="9" t="n">
        <v>0.00035</v>
      </c>
      <c r="P128" s="9" t="n">
        <v>68.792576</v>
      </c>
      <c r="Q128" s="9" t="n">
        <v>1.398330454946067</v>
      </c>
      <c r="R128" s="9" t="n">
        <v>0.4580245663822493</v>
      </c>
      <c r="S128" s="9" t="n">
        <v>3.455312421383993</v>
      </c>
      <c r="T128" s="9" t="n">
        <v>3.119626517588412</v>
      </c>
      <c r="U128" s="9" t="n">
        <v>0.428294</v>
      </c>
      <c r="V128" s="9" t="n">
        <v>0.010033</v>
      </c>
      <c r="W128" s="9" t="n">
        <v>0.07027799999999999</v>
      </c>
      <c r="X128" s="9" t="n">
        <v>0.3005524118221142</v>
      </c>
      <c r="Y128" s="9" t="n">
        <v>0.3005524118221142</v>
      </c>
      <c r="Z128" s="9" t="n">
        <v>4.212411537742099</v>
      </c>
      <c r="AA128" s="9" t="n">
        <v>0.48</v>
      </c>
      <c r="AB128" s="9" t="n">
        <v>0.9</v>
      </c>
      <c r="AC128" s="9" t="n">
        <v>5.16</v>
      </c>
      <c r="AD128" s="9" t="n">
        <v>0</v>
      </c>
      <c r="AE128" s="9" t="n">
        <v>0</v>
      </c>
      <c r="AF128" s="9" t="n">
        <v>40.74</v>
      </c>
      <c r="AG128" s="9" t="n">
        <v>28.05717385483062</v>
      </c>
      <c r="AH128" s="9" t="n">
        <v>25.677204786</v>
      </c>
      <c r="AI128" s="9" t="n">
        <v>24.983920256778</v>
      </c>
      <c r="AJ128" s="9" t="n">
        <v>24.05951520727721</v>
      </c>
      <c r="AK128" s="9" t="n">
        <v>0</v>
      </c>
      <c r="AL128" s="9" t="n">
        <v>0.0045718894410457</v>
      </c>
      <c r="AM128" s="9" t="n">
        <v>0.003935592</v>
      </c>
      <c r="AN128" s="9" t="n">
        <v>0.0038293310159999</v>
      </c>
      <c r="AO128" s="9" t="n">
        <v>0.003687645768408</v>
      </c>
      <c r="AP128" s="9" t="n">
        <v>135.743481202803</v>
      </c>
      <c r="AQ128" s="9" t="n">
        <v>140.81935522</v>
      </c>
      <c r="AR128" s="9" t="n">
        <v>137.01723262906</v>
      </c>
      <c r="AS128" s="9" t="n">
        <v>131.9475950217848</v>
      </c>
      <c r="AT128" s="9" t="n">
        <v>254.221526346402</v>
      </c>
      <c r="AU128" s="9" t="n">
        <v>290.3326286076</v>
      </c>
      <c r="AV128" s="9" t="n">
        <v>239.5627972746836</v>
      </c>
      <c r="AW128" s="9" t="n">
        <v>241.1758308333074</v>
      </c>
      <c r="AX128" s="9" t="n">
        <v>135.5017070174819</v>
      </c>
      <c r="AY128" s="9" t="n">
        <v>149.6798082144</v>
      </c>
      <c r="AZ128" s="9" t="n">
        <v>127.5976741838983</v>
      </c>
      <c r="BA128" s="9" t="n">
        <v>128.5059459031698</v>
      </c>
      <c r="BB128" s="9" t="n">
        <v>26.31867106701931</v>
      </c>
      <c r="BC128" s="9" t="n">
        <v>26.86615011000001</v>
      </c>
      <c r="BD128" s="9" t="n">
        <v>26.65941605955901</v>
      </c>
      <c r="BE128" s="9" t="n">
        <v>25.17355578691989</v>
      </c>
      <c r="BF128" s="9" t="n">
        <v>0</v>
      </c>
      <c r="BG128" s="9" t="n">
        <v>0</v>
      </c>
      <c r="BH128" s="9" t="n">
        <v>0</v>
      </c>
      <c r="BI128" s="9" t="n">
        <v>0</v>
      </c>
      <c r="BJ128" s="9" t="n">
        <v>0.2115014431046809</v>
      </c>
      <c r="BK128" s="9" t="n">
        <v>0.2194756870110341</v>
      </c>
      <c r="BL128" s="9" t="n">
        <v>0.2135498434617361</v>
      </c>
      <c r="BM128" s="9" t="n">
        <v>0.2056484992536519</v>
      </c>
      <c r="BN128" s="9" t="n">
        <v>190.8643498935866</v>
      </c>
      <c r="BO128" s="9" t="n">
        <v>181.485366138</v>
      </c>
      <c r="BP128" s="9" t="n">
        <v>176.585261252274</v>
      </c>
      <c r="BQ128" s="9" t="n">
        <v>170.0516065859399</v>
      </c>
      <c r="BR128" s="9" t="n">
        <v>0</v>
      </c>
      <c r="BS128" s="9" t="n">
        <v>3.85641088033313</v>
      </c>
      <c r="BT128" s="9" t="n">
        <v>3.6440065008</v>
      </c>
      <c r="BU128" s="9" t="n">
        <v>3.545618325278401</v>
      </c>
      <c r="BV128" s="9" t="n">
        <v>3.414430447243099</v>
      </c>
      <c r="BW128" s="9" t="n">
        <v>124.7532460364414</v>
      </c>
      <c r="BX128" s="9" t="n">
        <v>131.2513589180833</v>
      </c>
      <c r="BY128" s="9" t="n">
        <v>121.7852020917116</v>
      </c>
      <c r="BZ128" s="9" t="n">
        <v>117.2791381637177</v>
      </c>
      <c r="CA128" s="9" t="n">
        <v>1.137436955809608</v>
      </c>
      <c r="CB128" s="9" t="n">
        <v>108.25645371219</v>
      </c>
      <c r="CC128" s="9" t="n">
        <v>0</v>
      </c>
      <c r="CD128" s="9" t="n">
        <v>0.1179006543524368</v>
      </c>
      <c r="CE128" s="9" t="n">
        <v>1.085</v>
      </c>
      <c r="CF128" s="9" t="n">
        <v>1.475</v>
      </c>
      <c r="CG128" s="9" t="n">
        <v>500.886</v>
      </c>
      <c r="CH128" s="9" t="n">
        <v>145.12</v>
      </c>
      <c r="CI128" s="9" t="n">
        <v>0</v>
      </c>
      <c r="CJ128" s="9" t="n">
        <v>1.61</v>
      </c>
      <c r="CK128" s="9" t="n">
        <v>0.9</v>
      </c>
      <c r="CL128" s="9" t="n">
        <v>0.71</v>
      </c>
      <c r="CM128" s="9" t="n">
        <v>0.53</v>
      </c>
      <c r="CN128" s="9" t="n">
        <v>160.84</v>
      </c>
      <c r="CO128" s="9" t="n">
        <v>13.58</v>
      </c>
      <c r="CP128" s="9" t="n">
        <v>49.318</v>
      </c>
      <c r="CQ128" s="9" t="n">
        <v>33.581</v>
      </c>
      <c r="CR128" s="9" t="n">
        <v>1</v>
      </c>
      <c r="CS128" s="9" t="n">
        <v>4</v>
      </c>
      <c r="CT128" s="9" t="n">
        <v>0.5</v>
      </c>
      <c r="CU128" s="9" t="n">
        <v>0.3</v>
      </c>
      <c r="CV128" s="9" t="n">
        <v>0.6</v>
      </c>
      <c r="CW128" s="9" t="n">
        <v>0.8</v>
      </c>
      <c r="CX128" s="9" t="n">
        <v>0.8</v>
      </c>
      <c r="CY128" s="9" t="n">
        <v>0.7</v>
      </c>
      <c r="CZ128" s="9" t="n">
        <v>0.5</v>
      </c>
      <c r="DA128" s="9" t="n">
        <v>0.5</v>
      </c>
      <c r="DB128" s="9" t="n">
        <v>1</v>
      </c>
      <c r="DC128" s="9" t="n">
        <v>0.3</v>
      </c>
      <c r="DD128" s="9" t="n">
        <v>0.8</v>
      </c>
      <c r="DE128" s="9" t="n">
        <v>0.8308358352546984</v>
      </c>
      <c r="DF128" s="9" t="n">
        <v>3</v>
      </c>
      <c r="DG128" s="9" t="n">
        <v>6.94</v>
      </c>
      <c r="DH128" s="9" t="n">
        <v>5.604</v>
      </c>
      <c r="DI128" s="9" t="n">
        <v>15.075</v>
      </c>
      <c r="DJ128" s="9" t="n">
        <v>21.70175296063648</v>
      </c>
      <c r="DK128" s="9" t="n">
        <v>25.35998265929344</v>
      </c>
      <c r="DL128" s="9" t="n">
        <v>15.65611451797798</v>
      </c>
      <c r="DM128" s="9" t="n">
        <v>19.98472553699253</v>
      </c>
      <c r="DN128" s="9" t="n">
        <v>4.058</v>
      </c>
      <c r="DO128" s="9" t="n">
        <v>3.383</v>
      </c>
      <c r="DP128" s="9" t="n">
        <v>10.135</v>
      </c>
      <c r="DQ128" s="9" t="n">
        <v>13.49474620847193</v>
      </c>
      <c r="DR128" s="9" t="n">
        <v>13.49474620847193</v>
      </c>
      <c r="DS128" s="9" t="n">
        <v>0.0478</v>
      </c>
    </row>
    <row r="129">
      <c r="A129" s="9" t="inlineStr">
        <is>
          <t>NPL</t>
        </is>
      </c>
      <c r="B129" s="9" t="inlineStr">
        <is>
          <t>Nepal</t>
        </is>
      </c>
      <c r="C129" s="9" t="n">
        <v>0.005</v>
      </c>
      <c r="D129" s="9" t="n">
        <v>0.005</v>
      </c>
      <c r="E129" s="9" t="n">
        <v>0.01</v>
      </c>
      <c r="F129" s="9" t="n">
        <v>0.005</v>
      </c>
      <c r="G129" s="9" t="n">
        <v>0.005</v>
      </c>
      <c r="H129" s="9" t="n">
        <v>0.01</v>
      </c>
      <c r="I129" s="9" t="n">
        <v>0.005</v>
      </c>
      <c r="J129" s="9" t="n">
        <v>0.005</v>
      </c>
      <c r="K129" s="9" t="n">
        <v>0.01</v>
      </c>
      <c r="L129" s="9" t="n">
        <v>0.01</v>
      </c>
      <c r="M129" s="9" t="n">
        <v>0.005</v>
      </c>
      <c r="N129" s="9" t="n">
        <v>6.65482</v>
      </c>
      <c r="O129" s="9" t="n">
        <v>1.057979</v>
      </c>
      <c r="P129" s="9" t="n">
        <v>2.575872</v>
      </c>
      <c r="Q129" s="9" t="n">
        <v>17.13722332558167</v>
      </c>
      <c r="R129" s="9" t="n">
        <v>6.44076850442697</v>
      </c>
      <c r="S129" s="9" t="n">
        <v>3.854000278398492</v>
      </c>
      <c r="T129" s="9" t="n">
        <v>1.348193169184224</v>
      </c>
      <c r="U129" s="9" t="n">
        <v>0.260329</v>
      </c>
      <c r="V129" s="9" t="n">
        <v>0.030678</v>
      </c>
      <c r="W129" s="9" t="n">
        <v>0.010878</v>
      </c>
      <c r="X129" s="9" t="n">
        <v>1.127594705736546</v>
      </c>
      <c r="Y129" s="9" t="n">
        <v>1.127594705736546</v>
      </c>
      <c r="Z129" s="9" t="n">
        <v>0.1638873757364181</v>
      </c>
      <c r="AA129" s="9" t="n">
        <v>0.05</v>
      </c>
      <c r="AB129" s="9" t="n">
        <v>0.17</v>
      </c>
      <c r="AC129" s="9" t="n">
        <v>0</v>
      </c>
      <c r="AD129" s="9" t="n">
        <v>0</v>
      </c>
      <c r="AE129" s="9" t="n">
        <v>0</v>
      </c>
      <c r="AF129" s="9" t="n">
        <v>17.984</v>
      </c>
      <c r="AG129" s="9" t="n">
        <v>63.47096722316065</v>
      </c>
      <c r="AH129" s="9" t="n">
        <v>57.47498782199999</v>
      </c>
      <c r="AI129" s="9" t="n">
        <v>58.04973770022</v>
      </c>
      <c r="AJ129" s="9" t="n">
        <v>58.04973770022</v>
      </c>
      <c r="AK129" s="9" t="n">
        <v>0</v>
      </c>
      <c r="AL129" s="9" t="n">
        <v>0.6981585301428692</v>
      </c>
      <c r="AM129" s="9" t="n">
        <v>0.6130019484</v>
      </c>
      <c r="AN129" s="9" t="n">
        <v>0.619131967884</v>
      </c>
      <c r="AO129" s="9" t="n">
        <v>0.619131967884</v>
      </c>
      <c r="AP129" s="9" t="n">
        <v>43.66148813931766</v>
      </c>
      <c r="AQ129" s="9" t="n">
        <v>40.52492999000001</v>
      </c>
      <c r="AR129" s="9" t="n">
        <v>40.93017928990002</v>
      </c>
      <c r="AS129" s="9" t="n">
        <v>40.93017928990002</v>
      </c>
      <c r="AT129" s="9" t="n">
        <v>23.52127086838164</v>
      </c>
      <c r="AU129" s="9" t="n">
        <v>18.3815969292</v>
      </c>
      <c r="AV129" s="9" t="n">
        <v>19.69931236083143</v>
      </c>
      <c r="AW129" s="9" t="n">
        <v>26.08674182019341</v>
      </c>
      <c r="AX129" s="9" t="n">
        <v>17.78343807104586</v>
      </c>
      <c r="AY129" s="9" t="n">
        <v>13.9679979732</v>
      </c>
      <c r="AZ129" s="9" t="n">
        <v>14.89361251540025</v>
      </c>
      <c r="BA129" s="9" t="n">
        <v>19.72358471578569</v>
      </c>
      <c r="BB129" s="9" t="n">
        <v>23.1075142725572</v>
      </c>
      <c r="BC129" s="9" t="n">
        <v>20.13240800607836</v>
      </c>
      <c r="BD129" s="9" t="n">
        <v>22.58621676042531</v>
      </c>
      <c r="BE129" s="9" t="n">
        <v>21.4304008466</v>
      </c>
      <c r="BF129" s="9" t="n">
        <v>0.4612686994473304</v>
      </c>
      <c r="BG129" s="9" t="n">
        <v>0.4202052461261445</v>
      </c>
      <c r="BH129" s="9" t="n">
        <v>0.424407298587406</v>
      </c>
      <c r="BI129" s="9" t="n">
        <v>0.424407298587406</v>
      </c>
      <c r="BJ129" s="9" t="n">
        <v>19.43246811897368</v>
      </c>
      <c r="BK129" s="9" t="n">
        <v>18.73781389978492</v>
      </c>
      <c r="BL129" s="9" t="n">
        <v>18.92519203878276</v>
      </c>
      <c r="BM129" s="9" t="n">
        <v>18.92519203878276</v>
      </c>
      <c r="BN129" s="9" t="n">
        <v>0</v>
      </c>
      <c r="BO129" s="9" t="n">
        <v>0</v>
      </c>
      <c r="BP129" s="9" t="n">
        <v>0</v>
      </c>
      <c r="BQ129" s="9" t="n">
        <v>0</v>
      </c>
      <c r="BR129" s="9" t="n">
        <v>0</v>
      </c>
      <c r="BS129" s="9" t="n">
        <v>0</v>
      </c>
      <c r="BT129" s="9" t="n">
        <v>0</v>
      </c>
      <c r="BU129" s="9" t="n">
        <v>0</v>
      </c>
      <c r="BV129" s="9" t="n">
        <v>0</v>
      </c>
      <c r="BW129" s="9" t="n">
        <v>52.33862682167348</v>
      </c>
      <c r="BX129" s="9" t="n">
        <v>37.41851361803489</v>
      </c>
      <c r="BY129" s="9" t="n">
        <v>38.15932211846673</v>
      </c>
      <c r="BZ129" s="9" t="n">
        <v>60.89596316458403</v>
      </c>
      <c r="CA129" s="9" t="n">
        <v>0.9493110021591986</v>
      </c>
      <c r="CB129" s="9" t="n">
        <v>11.47353026095208</v>
      </c>
      <c r="CC129" s="9" t="n">
        <v>0.007</v>
      </c>
      <c r="CD129" s="9" t="n">
        <v>0</v>
      </c>
      <c r="CE129" s="9" t="n">
        <v>4.604</v>
      </c>
      <c r="CF129" s="9" t="n">
        <v>2.956</v>
      </c>
      <c r="CG129" s="9" t="n">
        <v>42.914</v>
      </c>
      <c r="CH129" s="9" t="n">
        <v>11</v>
      </c>
      <c r="CI129" s="9" t="n">
        <v>0</v>
      </c>
      <c r="CJ129" s="9" t="n">
        <v>0</v>
      </c>
      <c r="CK129" s="9" t="n">
        <v>0</v>
      </c>
      <c r="CL129" s="9" t="n">
        <v>0</v>
      </c>
      <c r="CM129" s="9" t="n">
        <v>0.12</v>
      </c>
      <c r="CN129" s="9" t="n">
        <v>11.13</v>
      </c>
      <c r="CO129" s="9" t="n">
        <v>0.01</v>
      </c>
      <c r="CP129" s="9" t="n">
        <v>59.3</v>
      </c>
      <c r="CQ129" s="9" t="n">
        <v>61.605</v>
      </c>
      <c r="CR129" s="9" t="n">
        <v>3</v>
      </c>
      <c r="CS129" s="9" t="n">
        <v>1</v>
      </c>
      <c r="CT129" s="9" t="n">
        <v>0.5</v>
      </c>
      <c r="CU129" s="9" t="n">
        <v>0.3</v>
      </c>
      <c r="CV129" s="9" t="n">
        <v>0.6</v>
      </c>
      <c r="CW129" s="9" t="n">
        <v>0.8</v>
      </c>
      <c r="CX129" s="9" t="n">
        <v>0.8</v>
      </c>
      <c r="CY129" s="9" t="n">
        <v>0.7</v>
      </c>
      <c r="CZ129" s="9" t="n">
        <v>0.5</v>
      </c>
      <c r="DA129" s="9" t="n">
        <v>0.5</v>
      </c>
      <c r="DB129" s="9" t="n">
        <v>1</v>
      </c>
      <c r="DC129" s="9" t="n">
        <v>0.3</v>
      </c>
      <c r="DD129" s="9" t="n">
        <v>0.8</v>
      </c>
      <c r="DE129" s="9" t="n">
        <v>0.2519255154276053</v>
      </c>
      <c r="DF129" s="9" t="n">
        <v>2</v>
      </c>
      <c r="DG129" s="9" t="n">
        <v>7.103</v>
      </c>
      <c r="DH129" s="9" t="n">
        <v>4.817</v>
      </c>
      <c r="DI129" s="9" t="n">
        <v>12.90121</v>
      </c>
      <c r="DJ129" s="9" t="n">
        <v>20.36954363283844</v>
      </c>
      <c r="DK129" s="9" t="n">
        <v>22.89113387746092</v>
      </c>
      <c r="DL129" s="9" t="n">
        <v>17.85962654099898</v>
      </c>
      <c r="DM129" s="9" t="n">
        <v>21.75732259224087</v>
      </c>
      <c r="DN129" s="9" t="n">
        <v>7.785</v>
      </c>
      <c r="DO129" s="9" t="n">
        <v>6.461</v>
      </c>
      <c r="DP129" s="9" t="n">
        <v>17.77038</v>
      </c>
      <c r="DQ129" s="9" t="n">
        <v>14.11516989415954</v>
      </c>
      <c r="DR129" s="9" t="n">
        <v>14.11516989415954</v>
      </c>
      <c r="DS129" s="9" t="n">
        <v>0.105</v>
      </c>
    </row>
    <row r="130">
      <c r="A130" s="9" t="inlineStr">
        <is>
          <t>NRU</t>
        </is>
      </c>
      <c r="B130" s="9" t="inlineStr">
        <is>
          <t>Naoero</t>
        </is>
      </c>
      <c r="C130" s="9" t="n">
        <v>0.005</v>
      </c>
      <c r="D130" s="9" t="n">
        <v>0.005</v>
      </c>
      <c r="E130" s="9" t="n">
        <v>0.01</v>
      </c>
      <c r="F130" s="9" t="n">
        <v>0.005</v>
      </c>
      <c r="G130" s="9" t="n">
        <v>0.005</v>
      </c>
      <c r="H130" s="9" t="n">
        <v>0.01</v>
      </c>
      <c r="I130" s="9" t="n">
        <v>0.005</v>
      </c>
      <c r="J130" s="9" t="n">
        <v>0.005</v>
      </c>
      <c r="K130" s="9" t="n">
        <v>0.01</v>
      </c>
      <c r="L130" s="9" t="n">
        <v>0.01</v>
      </c>
      <c r="M130" s="9" t="n">
        <v>0.005</v>
      </c>
      <c r="N130" s="9" t="n">
        <v>0</v>
      </c>
      <c r="O130" s="9" t="n">
        <v>0</v>
      </c>
      <c r="P130" s="9" t="n">
        <v>0</v>
      </c>
      <c r="Q130" s="9" t="n">
        <v>0</v>
      </c>
      <c r="R130" s="9" t="n">
        <v>0</v>
      </c>
      <c r="S130" s="9" t="n">
        <v>0</v>
      </c>
      <c r="T130" s="9" t="n">
        <v>0</v>
      </c>
      <c r="U130" s="9" t="n">
        <v>0</v>
      </c>
      <c r="V130" s="9" t="n">
        <v>0</v>
      </c>
      <c r="W130" s="9" t="n">
        <v>0</v>
      </c>
      <c r="X130" s="9" t="n">
        <v>0</v>
      </c>
      <c r="Y130" s="9" t="n">
        <v>0</v>
      </c>
      <c r="Z130" s="9" t="n">
        <v>0.000641587340348563</v>
      </c>
      <c r="AA130" s="9" t="n">
        <v>0.02</v>
      </c>
      <c r="AB130" s="9" t="n">
        <v>0</v>
      </c>
      <c r="AC130" s="9" t="n">
        <v>0</v>
      </c>
      <c r="AD130" s="9" t="n">
        <v>0</v>
      </c>
      <c r="AE130" s="9" t="n">
        <v>0</v>
      </c>
      <c r="AF130" s="9" t="n">
        <v>0.101</v>
      </c>
      <c r="AG130" s="9" t="n">
        <v>0</v>
      </c>
      <c r="AH130" s="9" t="n">
        <v>0</v>
      </c>
      <c r="AI130" s="9" t="n">
        <v>0</v>
      </c>
      <c r="AJ130" s="9" t="n">
        <v>0</v>
      </c>
      <c r="AK130" s="9" t="n">
        <v>0</v>
      </c>
      <c r="AL130" s="9" t="n">
        <v>0</v>
      </c>
      <c r="AM130" s="9" t="n">
        <v>0</v>
      </c>
      <c r="AN130" s="9" t="n">
        <v>0</v>
      </c>
      <c r="AO130" s="9" t="n">
        <v>0</v>
      </c>
      <c r="AP130" s="9" t="n">
        <v>0.3034354016448631</v>
      </c>
      <c r="AQ130" s="9" t="n">
        <v>0.289465668749455</v>
      </c>
      <c r="AR130" s="9" t="n">
        <v>0.289465668749455</v>
      </c>
      <c r="AS130" s="9" t="n">
        <v>0.289465668749455</v>
      </c>
      <c r="AT130" s="9" t="n">
        <v>0.06513894288131369</v>
      </c>
      <c r="AU130" s="9" t="n">
        <v>0.06256079855525459</v>
      </c>
      <c r="AV130" s="9" t="n">
        <v>0.0636978778042742</v>
      </c>
      <c r="AW130" s="9" t="n">
        <v>0.06365236746005939</v>
      </c>
      <c r="AX130" s="9" t="n">
        <v>0.0706596560161205</v>
      </c>
      <c r="AY130" s="9" t="n">
        <v>0.068292000274658</v>
      </c>
      <c r="AZ130" s="9" t="n">
        <v>0.06909645652075901</v>
      </c>
      <c r="BA130" s="9" t="n">
        <v>0.0690470890437145</v>
      </c>
      <c r="BB130" s="9" t="n">
        <v>0.1503563636053198</v>
      </c>
      <c r="BC130" s="9" t="n">
        <v>0.1417877237588013</v>
      </c>
      <c r="BD130" s="9" t="n">
        <v>0.1456457620138832</v>
      </c>
      <c r="BE130" s="9" t="n">
        <v>0.143703796520013</v>
      </c>
      <c r="BF130" s="9" t="n">
        <v>0</v>
      </c>
      <c r="BG130" s="9" t="n">
        <v>0</v>
      </c>
      <c r="BH130" s="9" t="n">
        <v>0</v>
      </c>
      <c r="BI130" s="9" t="n">
        <v>0</v>
      </c>
      <c r="BJ130" s="9" t="n">
        <v>0.0006308847278289</v>
      </c>
      <c r="BK130" s="9" t="n">
        <v>0.0006059691655518</v>
      </c>
      <c r="BL130" s="9" t="n">
        <v>0.0006059691655518</v>
      </c>
      <c r="BM130" s="9" t="n">
        <v>0.0006059691655518</v>
      </c>
      <c r="BN130" s="9" t="n">
        <v>0</v>
      </c>
      <c r="BO130" s="9" t="n">
        <v>0</v>
      </c>
      <c r="BP130" s="9" t="n">
        <v>0</v>
      </c>
      <c r="BQ130" s="9" t="n">
        <v>0</v>
      </c>
      <c r="BR130" s="9" t="n">
        <v>0</v>
      </c>
      <c r="BS130" s="9" t="n">
        <v>0</v>
      </c>
      <c r="BT130" s="9" t="n">
        <v>0</v>
      </c>
      <c r="BU130" s="9" t="n">
        <v>0</v>
      </c>
      <c r="BV130" s="9" t="n">
        <v>0</v>
      </c>
      <c r="BW130" s="9" t="n">
        <v>0.8595614715242078</v>
      </c>
      <c r="BX130" s="9" t="n">
        <v>0.8642329609175357</v>
      </c>
      <c r="BY130" s="9" t="n">
        <v>0.8548393413160476</v>
      </c>
      <c r="BZ130" s="9" t="n">
        <v>0.8456885771453768</v>
      </c>
      <c r="CA130" s="9" t="n">
        <v>1.000000004273539</v>
      </c>
      <c r="CB130" s="9" t="n">
        <v>0.03772183302706505</v>
      </c>
      <c r="CC130" s="9" t="n">
        <v>0</v>
      </c>
      <c r="CD130" s="9" t="n">
        <v>6.66666666666667</v>
      </c>
      <c r="CE130" s="9" t="n">
        <v>2.213</v>
      </c>
      <c r="CF130" s="9" t="n">
        <v>2.13</v>
      </c>
      <c r="CG130" s="9" t="n">
        <v>0.168</v>
      </c>
      <c r="CH130" s="9" t="n">
        <v>0</v>
      </c>
      <c r="CI130" s="9" t="n">
        <v>0</v>
      </c>
      <c r="CJ130" s="9" t="n">
        <v>0.04</v>
      </c>
      <c r="CK130" s="9" t="n">
        <v>0</v>
      </c>
      <c r="CL130" s="9" t="n">
        <v>0.04</v>
      </c>
      <c r="CM130" s="9" t="n">
        <v>0.01</v>
      </c>
      <c r="CN130" s="9" t="n">
        <v>0.05</v>
      </c>
      <c r="CO130" s="9" t="n">
        <v>0</v>
      </c>
      <c r="CP130" s="9" t="n">
        <v>0.101</v>
      </c>
      <c r="CQ130" s="9" t="n">
        <v>0.101</v>
      </c>
      <c r="CR130" s="9" t="n">
        <v>3</v>
      </c>
      <c r="CS130" s="9" t="n">
        <v>3</v>
      </c>
      <c r="CT130" s="9" t="n">
        <v>0.5</v>
      </c>
      <c r="CU130" s="9" t="n">
        <v>0.3</v>
      </c>
      <c r="CV130" s="9" t="n">
        <v>0.6</v>
      </c>
      <c r="CW130" s="9" t="n">
        <v>0.8</v>
      </c>
      <c r="CX130" s="9" t="n">
        <v>0.8</v>
      </c>
      <c r="CY130" s="9" t="n">
        <v>0.7</v>
      </c>
      <c r="CZ130" s="9" t="n">
        <v>0.5</v>
      </c>
      <c r="DA130" s="9" t="n">
        <v>0.5</v>
      </c>
      <c r="DB130" s="9" t="n">
        <v>1</v>
      </c>
      <c r="DC130" s="9" t="n">
        <v>0.3</v>
      </c>
      <c r="DD130" s="9" t="n">
        <v>0.8</v>
      </c>
      <c r="DE130" s="9" t="n">
        <v>1.235294117647059</v>
      </c>
      <c r="DF130" s="9" t="n">
        <v>1</v>
      </c>
      <c r="DG130" s="9" t="n">
        <v>7.124</v>
      </c>
      <c r="DH130" s="9" t="n">
        <v>4.833</v>
      </c>
      <c r="DI130" s="9" t="n">
        <v>11.451</v>
      </c>
      <c r="DJ130" s="9" t="n">
        <v>19.68082211137683</v>
      </c>
      <c r="DK130" s="9" t="n">
        <v>20.58922943093086</v>
      </c>
      <c r="DL130" s="9" t="n">
        <v>17.27205865604339</v>
      </c>
      <c r="DM130" s="9" t="n">
        <v>19.78301635067195</v>
      </c>
      <c r="DN130" s="9" t="n">
        <v>13.543</v>
      </c>
      <c r="DO130" s="9" t="n">
        <v>12.219</v>
      </c>
      <c r="DP130" s="9" t="n">
        <v>21.484</v>
      </c>
      <c r="DQ130" s="9" t="n">
        <v>14.11516989415954</v>
      </c>
      <c r="DR130" s="9" t="n">
        <v>14.11516989415954</v>
      </c>
      <c r="DS130" s="9" t="n">
        <v>0.105</v>
      </c>
    </row>
    <row r="131">
      <c r="A131" s="9" t="inlineStr">
        <is>
          <t>NZL</t>
        </is>
      </c>
      <c r="B131" s="9" t="inlineStr">
        <is>
          <t>New Zealand</t>
        </is>
      </c>
      <c r="C131" s="9" t="n">
        <v>0.005</v>
      </c>
      <c r="D131" s="9" t="n">
        <v>0.005</v>
      </c>
      <c r="E131" s="9" t="n">
        <v>0.01</v>
      </c>
      <c r="F131" s="9" t="n">
        <v>0.005</v>
      </c>
      <c r="G131" s="9" t="n">
        <v>0.005</v>
      </c>
      <c r="H131" s="9" t="n">
        <v>0.01</v>
      </c>
      <c r="I131" s="9" t="n">
        <v>0.005</v>
      </c>
      <c r="J131" s="9" t="n">
        <v>0.005</v>
      </c>
      <c r="K131" s="9" t="n">
        <v>0.01</v>
      </c>
      <c r="L131" s="9" t="n">
        <v>0.01</v>
      </c>
      <c r="M131" s="9" t="n">
        <v>0.005</v>
      </c>
      <c r="N131" s="9" t="n">
        <v>0</v>
      </c>
      <c r="O131" s="9" t="n">
        <v>1.342812</v>
      </c>
      <c r="P131" s="9" t="n">
        <v>15.20655</v>
      </c>
      <c r="Q131" s="9" t="n">
        <v>1.237880809830973</v>
      </c>
      <c r="R131" s="9" t="n">
        <v>0.3273401517998132</v>
      </c>
      <c r="S131" s="9" t="n">
        <v>1.895767382825818</v>
      </c>
      <c r="T131" s="9" t="n">
        <v>0.4298733082316599</v>
      </c>
      <c r="U131" s="9" t="n">
        <v>0.094857</v>
      </c>
      <c r="V131" s="9" t="n">
        <v>0.035253</v>
      </c>
      <c r="W131" s="9" t="n">
        <v>0.032759</v>
      </c>
      <c r="X131" s="9" t="n">
        <v>2.378050942230246</v>
      </c>
      <c r="Y131" s="9" t="n">
        <v>2.378050942230246</v>
      </c>
      <c r="Z131" s="9" t="n">
        <v>2.176714543986404</v>
      </c>
      <c r="AA131" s="9" t="n">
        <v>2.17</v>
      </c>
      <c r="AB131" s="9" t="n">
        <v>0.84</v>
      </c>
      <c r="AC131" s="9" t="n">
        <v>1.26</v>
      </c>
      <c r="AD131" s="9" t="n">
        <v>3</v>
      </c>
      <c r="AE131" s="9" t="n">
        <v>0</v>
      </c>
      <c r="AF131" s="9" t="n">
        <v>31.995</v>
      </c>
      <c r="AG131" s="9" t="n">
        <v>7.627516256550086</v>
      </c>
      <c r="AH131" s="9" t="n">
        <v>7.8443340516</v>
      </c>
      <c r="AI131" s="9" t="n">
        <v>7.765890711084001</v>
      </c>
      <c r="AJ131" s="9" t="n">
        <v>7.61057289686232</v>
      </c>
      <c r="AK131" s="9" t="n">
        <v>12.04319304365399</v>
      </c>
      <c r="AL131" s="9" t="n">
        <v>16.73586864111341</v>
      </c>
      <c r="AM131" s="9" t="n">
        <v>17.2105447824</v>
      </c>
      <c r="AN131" s="9" t="n">
        <v>17.038439334576</v>
      </c>
      <c r="AO131" s="9" t="n">
        <v>16.69767054788448</v>
      </c>
      <c r="AP131" s="9" t="n">
        <v>101.4491561618989</v>
      </c>
      <c r="AQ131" s="9" t="n">
        <v>101.701390406266</v>
      </c>
      <c r="AR131" s="9" t="n">
        <v>100.6843765022034</v>
      </c>
      <c r="AS131" s="9" t="n">
        <v>98.67068897215928</v>
      </c>
      <c r="AT131" s="9" t="n">
        <v>95.76802981924538</v>
      </c>
      <c r="AU131" s="9" t="n">
        <v>92.276067168</v>
      </c>
      <c r="AV131" s="9" t="n">
        <v>91.12334276507144</v>
      </c>
      <c r="AW131" s="9" t="n">
        <v>94.46700188645001</v>
      </c>
      <c r="AX131" s="9" t="n">
        <v>49.57908745930074</v>
      </c>
      <c r="AY131" s="9" t="n">
        <v>47.7351847404</v>
      </c>
      <c r="AZ131" s="9" t="n">
        <v>47.17103444537317</v>
      </c>
      <c r="BA131" s="9" t="n">
        <v>48.90475591805628</v>
      </c>
      <c r="BB131" s="9" t="n">
        <v>100.827453314862</v>
      </c>
      <c r="BC131" s="9" t="n">
        <v>103.6462190589366</v>
      </c>
      <c r="BD131" s="9" t="n">
        <v>102.422306132819</v>
      </c>
      <c r="BE131" s="9" t="n">
        <v>100.4656688831996</v>
      </c>
      <c r="BF131" s="9" t="n">
        <v>0</v>
      </c>
      <c r="BG131" s="9" t="n">
        <v>0</v>
      </c>
      <c r="BH131" s="9" t="n">
        <v>0</v>
      </c>
      <c r="BI131" s="9" t="n">
        <v>0</v>
      </c>
      <c r="BJ131" s="9" t="n">
        <v>3.566507560892412</v>
      </c>
      <c r="BK131" s="9" t="n">
        <v>3.648928539999995</v>
      </c>
      <c r="BL131" s="9" t="n">
        <v>3.612439254599995</v>
      </c>
      <c r="BM131" s="9" t="n">
        <v>3.540190469507995</v>
      </c>
      <c r="BN131" s="9" t="n">
        <v>28.68607607577478</v>
      </c>
      <c r="BO131" s="9" t="n">
        <v>33.7755729276</v>
      </c>
      <c r="BP131" s="9" t="n">
        <v>33.437817198324</v>
      </c>
      <c r="BQ131" s="9" t="n">
        <v>32.76906085435752</v>
      </c>
      <c r="BR131" s="9" t="n">
        <v>43.31950337816941</v>
      </c>
      <c r="BS131" s="9" t="n">
        <v>28.18027790280056</v>
      </c>
      <c r="BT131" s="9" t="n">
        <v>32.3486947404</v>
      </c>
      <c r="BU131" s="9" t="n">
        <v>32.025207792996</v>
      </c>
      <c r="BV131" s="9" t="n">
        <v>31.38470363713608</v>
      </c>
      <c r="BW131" s="9" t="n">
        <v>74.58583138216183</v>
      </c>
      <c r="BX131" s="9" t="n">
        <v>71.01268355182263</v>
      </c>
      <c r="BY131" s="9" t="n">
        <v>73.42172670721138</v>
      </c>
      <c r="BZ131" s="9" t="n">
        <v>71.46548819318969</v>
      </c>
      <c r="CA131" s="9" t="n">
        <v>1.022633825579966</v>
      </c>
      <c r="CB131" s="9" t="n">
        <v>40.37419924404059</v>
      </c>
      <c r="CC131" s="9" t="n">
        <v>0.008</v>
      </c>
      <c r="CD131" s="9" t="n">
        <v>0.5320390904734087</v>
      </c>
      <c r="CE131" s="9" t="n">
        <v>0.176</v>
      </c>
      <c r="CF131" s="9" t="n">
        <v>2.131</v>
      </c>
      <c r="CG131" s="9" t="n">
        <v>258.827</v>
      </c>
      <c r="CH131" s="9" t="n">
        <v>33.78</v>
      </c>
      <c r="CI131" s="9" t="n">
        <v>0.49</v>
      </c>
      <c r="CJ131" s="9" t="n">
        <v>4.97</v>
      </c>
      <c r="CK131" s="9" t="n">
        <v>3.84</v>
      </c>
      <c r="CL131" s="9" t="n">
        <v>0.64</v>
      </c>
      <c r="CM131" s="9" t="n">
        <v>0.37</v>
      </c>
      <c r="CN131" s="9" t="n">
        <v>43.34</v>
      </c>
      <c r="CO131" s="9" t="n">
        <v>4.22</v>
      </c>
      <c r="CP131" s="9" t="n">
        <v>75.34399999999999</v>
      </c>
      <c r="CQ131" s="9" t="n">
        <v>54</v>
      </c>
      <c r="CR131" s="9" t="n">
        <v>1</v>
      </c>
      <c r="CS131" s="9" t="n">
        <v>4</v>
      </c>
      <c r="CT131" s="9" t="n">
        <v>0.5</v>
      </c>
      <c r="CU131" s="9" t="n">
        <v>0.3</v>
      </c>
      <c r="CV131" s="9" t="n">
        <v>0.6</v>
      </c>
      <c r="CW131" s="9" t="n">
        <v>0.8</v>
      </c>
      <c r="CX131" s="9" t="n">
        <v>0.8</v>
      </c>
      <c r="CY131" s="9" t="n">
        <v>0.7</v>
      </c>
      <c r="CZ131" s="9" t="n">
        <v>0.5</v>
      </c>
      <c r="DA131" s="9" t="n">
        <v>0.5</v>
      </c>
      <c r="DB131" s="9" t="n">
        <v>1</v>
      </c>
      <c r="DC131" s="9" t="n">
        <v>0.3</v>
      </c>
      <c r="DD131" s="9" t="n">
        <v>0.8</v>
      </c>
      <c r="DE131" s="9" t="n">
        <v>0.8969763130079187</v>
      </c>
      <c r="DF131" s="9" t="n">
        <v>3</v>
      </c>
      <c r="DG131" s="9" t="n">
        <v>3.896</v>
      </c>
      <c r="DH131" s="9" t="n">
        <v>2.437</v>
      </c>
      <c r="DI131" s="9" t="n">
        <v>7.1392</v>
      </c>
      <c r="DJ131" s="9" t="n">
        <v>21.01174440993597</v>
      </c>
      <c r="DK131" s="9" t="n">
        <v>23.59133925502449</v>
      </c>
      <c r="DL131" s="9" t="n">
        <v>17.27205865604339</v>
      </c>
      <c r="DM131" s="9" t="n">
        <v>20.95913606783347</v>
      </c>
      <c r="DN131" s="9" t="n">
        <v>9.364000000000001</v>
      </c>
      <c r="DO131" s="9" t="n">
        <v>9.395</v>
      </c>
      <c r="DP131" s="9" t="n">
        <v>27.6092</v>
      </c>
      <c r="DQ131" s="9" t="n">
        <v>14.11516989415954</v>
      </c>
      <c r="DR131" s="9" t="n">
        <v>14.11516989415954</v>
      </c>
      <c r="DS131" s="9" t="n">
        <v>0.055</v>
      </c>
    </row>
    <row r="132">
      <c r="A132" s="9" t="inlineStr">
        <is>
          <t>OMN</t>
        </is>
      </c>
      <c r="B132" s="9" t="inlineStr">
        <is>
          <t>Oman</t>
        </is>
      </c>
      <c r="C132" s="9" t="n">
        <v>0.005</v>
      </c>
      <c r="D132" s="9" t="n">
        <v>0.005</v>
      </c>
      <c r="E132" s="9" t="n">
        <v>0.01</v>
      </c>
      <c r="F132" s="9" t="n">
        <v>0.005</v>
      </c>
      <c r="G132" s="9" t="n">
        <v>0.005</v>
      </c>
      <c r="H132" s="9" t="n">
        <v>0.01</v>
      </c>
      <c r="I132" s="9" t="n">
        <v>0.005</v>
      </c>
      <c r="J132" s="9" t="n">
        <v>0.005</v>
      </c>
      <c r="K132" s="9" t="n">
        <v>0.01</v>
      </c>
      <c r="L132" s="9" t="n">
        <v>0.01</v>
      </c>
      <c r="M132" s="9" t="n">
        <v>0.005</v>
      </c>
      <c r="N132" s="9" t="n">
        <v>4.488713</v>
      </c>
      <c r="O132" s="9" t="n">
        <v>0.900573</v>
      </c>
      <c r="P132" s="9" t="n">
        <v>44.155648</v>
      </c>
      <c r="Q132" s="9" t="n">
        <v>2.824895113820308</v>
      </c>
      <c r="R132" s="9" t="n">
        <v>0.6464446118272541</v>
      </c>
      <c r="S132" s="9" t="n">
        <v>1.728212519329691</v>
      </c>
      <c r="T132" s="9" t="n">
        <v>2.248204042455382</v>
      </c>
      <c r="U132" s="9" t="n">
        <v>0.24506</v>
      </c>
      <c r="V132" s="9" t="n">
        <v>0.066231</v>
      </c>
      <c r="W132" s="9" t="n">
        <v>0.165269</v>
      </c>
      <c r="X132" s="9" t="n">
        <v>6.230666679895647</v>
      </c>
      <c r="Y132" s="9" t="n">
        <v>6.230666679895647</v>
      </c>
      <c r="Z132" s="9" t="n">
        <v>0.4091532314459762</v>
      </c>
      <c r="AA132" s="9" t="n">
        <v>13.62</v>
      </c>
      <c r="AB132" s="9" t="n">
        <v>1.67</v>
      </c>
      <c r="AC132" s="9" t="n">
        <v>0.05</v>
      </c>
      <c r="AD132" s="9" t="n">
        <v>3</v>
      </c>
      <c r="AE132" s="9" t="n">
        <v>0.1411737106194189</v>
      </c>
      <c r="AF132" s="9" t="n">
        <v>96.53100000000001</v>
      </c>
      <c r="AG132" s="9" t="n">
        <v>0</v>
      </c>
      <c r="AH132" s="9" t="n">
        <v>0</v>
      </c>
      <c r="AI132" s="9" t="n">
        <v>0</v>
      </c>
      <c r="AJ132" s="9" t="n">
        <v>0</v>
      </c>
      <c r="AK132" s="9" t="n">
        <v>0</v>
      </c>
      <c r="AL132" s="9" t="n">
        <v>0</v>
      </c>
      <c r="AM132" s="9" t="n">
        <v>0</v>
      </c>
      <c r="AN132" s="9" t="n">
        <v>0</v>
      </c>
      <c r="AO132" s="9" t="n">
        <v>0</v>
      </c>
      <c r="AP132" s="9" t="n">
        <v>42.28734573016513</v>
      </c>
      <c r="AQ132" s="9" t="n">
        <v>38.15752133</v>
      </c>
      <c r="AR132" s="9" t="n">
        <v>40.45477755734477</v>
      </c>
      <c r="AS132" s="9" t="n">
        <v>41.87840044376753</v>
      </c>
      <c r="AT132" s="9" t="n">
        <v>86.6278646744813</v>
      </c>
      <c r="AU132" s="9" t="n">
        <v>70.5802286664</v>
      </c>
      <c r="AV132" s="9" t="n">
        <v>69.98015542423738</v>
      </c>
      <c r="AW132" s="9" t="n">
        <v>73.15547547710837</v>
      </c>
      <c r="AX132" s="9" t="n">
        <v>71.52468136894048</v>
      </c>
      <c r="AY132" s="9" t="n">
        <v>56.9390229936</v>
      </c>
      <c r="AZ132" s="9" t="n">
        <v>57.77942625823454</v>
      </c>
      <c r="BA132" s="9" t="n">
        <v>60.40114336830558</v>
      </c>
      <c r="BB132" s="9" t="n">
        <v>121.1004497827349</v>
      </c>
      <c r="BC132" s="9" t="n">
        <v>92.22736474076321</v>
      </c>
      <c r="BD132" s="9" t="n">
        <v>135.88612883</v>
      </c>
      <c r="BE132" s="9" t="n">
        <v>119.3253073688511</v>
      </c>
      <c r="BF132" s="9" t="n">
        <v>0.4324065146156865</v>
      </c>
      <c r="BG132" s="9" t="n">
        <v>0.390443024445149</v>
      </c>
      <c r="BH132" s="9" t="n">
        <v>0.4139494692577671</v>
      </c>
      <c r="BI132" s="9" t="n">
        <v>0.4285165481997429</v>
      </c>
      <c r="BJ132" s="9" t="n">
        <v>12.40087199998901</v>
      </c>
      <c r="BK132" s="9" t="n">
        <v>10.94852027999998</v>
      </c>
      <c r="BL132" s="9" t="n">
        <v>11.60767096685725</v>
      </c>
      <c r="BM132" s="9" t="n">
        <v>12.01615043564332</v>
      </c>
      <c r="BN132" s="9" t="n">
        <v>434.9344382068858</v>
      </c>
      <c r="BO132" s="9" t="n">
        <v>395.9223010956</v>
      </c>
      <c r="BP132" s="9" t="n">
        <v>419.7586232683782</v>
      </c>
      <c r="BQ132" s="9" t="n">
        <v>434.5301291062513</v>
      </c>
      <c r="BR132" s="9" t="n">
        <v>301.5664700158725</v>
      </c>
      <c r="BS132" s="9" t="n">
        <v>324.1382764660035</v>
      </c>
      <c r="BT132" s="9" t="n">
        <v>294.8040640187999</v>
      </c>
      <c r="BU132" s="9" t="n">
        <v>312.5526086912045</v>
      </c>
      <c r="BV132" s="9" t="n">
        <v>323.5514838256236</v>
      </c>
      <c r="BW132" s="9" t="n">
        <v>51.24587739846667</v>
      </c>
      <c r="BX132" s="9" t="n">
        <v>59.74338999591188</v>
      </c>
      <c r="BY132" s="9" t="n">
        <v>48.01383484878094</v>
      </c>
      <c r="BZ132" s="9" t="n">
        <v>49.70792928546577</v>
      </c>
      <c r="CA132" s="9" t="n">
        <v>0.9468384195453274</v>
      </c>
      <c r="CB132" s="9" t="n">
        <v>43.93126278983938</v>
      </c>
      <c r="CC132" s="9" t="n">
        <v>3.626</v>
      </c>
      <c r="CD132" s="9" t="n">
        <v>0.0202938501897305</v>
      </c>
      <c r="CE132" s="9" t="n">
        <v>2.396</v>
      </c>
      <c r="CF132" s="9" t="n">
        <v>3.452</v>
      </c>
      <c r="CG132" s="9" t="n">
        <v>107.137</v>
      </c>
      <c r="CH132" s="9" t="n">
        <v>0</v>
      </c>
      <c r="CI132" s="9" t="n">
        <v>0</v>
      </c>
      <c r="CJ132" s="9" t="n">
        <v>50.44</v>
      </c>
      <c r="CK132" s="9" t="n">
        <v>48.54</v>
      </c>
      <c r="CL132" s="9" t="n">
        <v>1.9</v>
      </c>
      <c r="CM132" s="9" t="n">
        <v>2.3</v>
      </c>
      <c r="CN132" s="9" t="n">
        <v>52.84</v>
      </c>
      <c r="CO132" s="9" t="n">
        <v>0.1</v>
      </c>
      <c r="CP132" s="9" t="n">
        <v>145.34</v>
      </c>
      <c r="CQ132" s="9" t="n">
        <v>145.358</v>
      </c>
      <c r="CR132" s="9" t="n">
        <v>3</v>
      </c>
      <c r="CS132" s="9" t="n">
        <v>4</v>
      </c>
      <c r="CT132" s="9" t="n">
        <v>0.5</v>
      </c>
      <c r="CU132" s="9" t="n">
        <v>0.3</v>
      </c>
      <c r="CV132" s="9" t="n">
        <v>0.6</v>
      </c>
      <c r="CW132" s="9" t="n">
        <v>0.8</v>
      </c>
      <c r="CX132" s="9" t="n">
        <v>0.8</v>
      </c>
      <c r="CY132" s="9" t="n">
        <v>0.7</v>
      </c>
      <c r="CZ132" s="9" t="n">
        <v>0.5</v>
      </c>
      <c r="DA132" s="9" t="n">
        <v>0.5</v>
      </c>
      <c r="DB132" s="9" t="n">
        <v>1</v>
      </c>
      <c r="DC132" s="9" t="n">
        <v>0.3</v>
      </c>
      <c r="DD132" s="9" t="n">
        <v>0.8</v>
      </c>
      <c r="DE132" s="9" t="n">
        <v>0.4852834598590401</v>
      </c>
      <c r="DF132" s="9" t="n">
        <v>2</v>
      </c>
      <c r="DG132" s="9" t="n">
        <v>7.124</v>
      </c>
      <c r="DH132" s="9" t="n">
        <v>5.575</v>
      </c>
      <c r="DI132" s="9" t="n">
        <v>12.80265</v>
      </c>
      <c r="DJ132" s="9" t="n">
        <v>19.91396209538013</v>
      </c>
      <c r="DK132" s="9" t="n">
        <v>21.6186909024774</v>
      </c>
      <c r="DL132" s="9" t="n">
        <v>17.70386012244447</v>
      </c>
      <c r="DM132" s="9" t="n">
        <v>20.77216716820555</v>
      </c>
      <c r="DN132" s="9" t="n">
        <v>7.212</v>
      </c>
      <c r="DO132" s="9" t="n">
        <v>6.506</v>
      </c>
      <c r="DP132" s="9" t="n">
        <v>12.01935</v>
      </c>
      <c r="DQ132" s="9" t="n">
        <v>14.11516989415954</v>
      </c>
      <c r="DR132" s="9" t="n">
        <v>14.11516989415954</v>
      </c>
      <c r="DS132" s="9" t="n">
        <v>0.105</v>
      </c>
    </row>
    <row r="133">
      <c r="A133" s="9" t="inlineStr">
        <is>
          <t>PAK</t>
        </is>
      </c>
      <c r="B133" s="9" t="inlineStr">
        <is>
          <t>Pakistan</t>
        </is>
      </c>
      <c r="C133" s="9" t="n">
        <v>0.005</v>
      </c>
      <c r="D133" s="9" t="n">
        <v>0.005</v>
      </c>
      <c r="E133" s="9" t="n">
        <v>0.01</v>
      </c>
      <c r="F133" s="9" t="n">
        <v>0.005</v>
      </c>
      <c r="G133" s="9" t="n">
        <v>0.005</v>
      </c>
      <c r="H133" s="9" t="n">
        <v>0.01</v>
      </c>
      <c r="I133" s="9" t="n">
        <v>0.005</v>
      </c>
      <c r="J133" s="9" t="n">
        <v>0.005</v>
      </c>
      <c r="K133" s="9" t="n">
        <v>0.01</v>
      </c>
      <c r="L133" s="9" t="n">
        <v>0.01</v>
      </c>
      <c r="M133" s="9" t="n">
        <v>0.005</v>
      </c>
      <c r="N133" s="9" t="n">
        <v>13.701737</v>
      </c>
      <c r="O133" s="9" t="n">
        <v>1.36758</v>
      </c>
      <c r="P133" s="9" t="n">
        <v>12.26891</v>
      </c>
      <c r="Q133" s="9" t="n">
        <v>8.880367682803065</v>
      </c>
      <c r="R133" s="9" t="n">
        <v>2.282030120898811</v>
      </c>
      <c r="S133" s="9" t="n">
        <v>2.669354279871491</v>
      </c>
      <c r="T133" s="9" t="n">
        <v>0.946908259090692</v>
      </c>
      <c r="U133" s="9" t="n">
        <v>0.203303</v>
      </c>
      <c r="V133" s="9" t="n">
        <v>0.100463</v>
      </c>
      <c r="W133" s="9" t="n">
        <v>0.056934</v>
      </c>
      <c r="X133" s="9" t="n">
        <v>4.639930646355151</v>
      </c>
      <c r="Y133" s="9" t="n">
        <v>4.639930646355151</v>
      </c>
      <c r="Z133" s="9" t="n">
        <v>1.421585692460537</v>
      </c>
      <c r="AA133" s="9" t="n">
        <v>30.14</v>
      </c>
      <c r="AB133" s="9" t="n">
        <v>3.72</v>
      </c>
      <c r="AC133" s="9" t="n">
        <v>1.85</v>
      </c>
      <c r="AD133" s="9" t="n">
        <v>3</v>
      </c>
      <c r="AE133" s="9" t="n">
        <v>0.05409681449999999</v>
      </c>
      <c r="AF133" s="9" t="n">
        <v>186.695</v>
      </c>
      <c r="AG133" s="9" t="n">
        <v>321.1730231856235</v>
      </c>
      <c r="AH133" s="9" t="n">
        <v>300.8798853768</v>
      </c>
      <c r="AI133" s="9" t="n">
        <v>292.1270159840204</v>
      </c>
      <c r="AJ133" s="9" t="n">
        <v>297.3853022717328</v>
      </c>
      <c r="AK133" s="9" t="n">
        <v>220.3251695200706</v>
      </c>
      <c r="AL133" s="9" t="n">
        <v>0.0398819421128922</v>
      </c>
      <c r="AM133" s="9" t="n">
        <v>0.0383008464</v>
      </c>
      <c r="AN133" s="9" t="n">
        <v>0.0371866399592727</v>
      </c>
      <c r="AO133" s="9" t="n">
        <v>0.0378559994785396</v>
      </c>
      <c r="AP133" s="9" t="n">
        <v>362.9193139005321</v>
      </c>
      <c r="AQ133" s="9" t="n">
        <v>353.4815147</v>
      </c>
      <c r="AR133" s="9" t="n">
        <v>343.1984160905454</v>
      </c>
      <c r="AS133" s="9" t="n">
        <v>349.3759875801754</v>
      </c>
      <c r="AT133" s="9" t="n">
        <v>213.8983313726139</v>
      </c>
      <c r="AU133" s="9" t="n">
        <v>198.2195996184</v>
      </c>
      <c r="AV133" s="9" t="n">
        <v>178.0285960270257</v>
      </c>
      <c r="AW133" s="9" t="n">
        <v>182.05333028712</v>
      </c>
      <c r="AX133" s="9" t="n">
        <v>220.8068037685921</v>
      </c>
      <c r="AY133" s="9" t="n">
        <v>202.3271979228</v>
      </c>
      <c r="AZ133" s="9" t="n">
        <v>183.7785503789601</v>
      </c>
      <c r="BA133" s="9" t="n">
        <v>187.9332752068095</v>
      </c>
      <c r="BB133" s="9" t="n">
        <v>414.9179910941077</v>
      </c>
      <c r="BC133" s="9" t="n">
        <v>375.7559093918211</v>
      </c>
      <c r="BD133" s="9" t="n">
        <v>435.6946695199999</v>
      </c>
      <c r="BE133" s="9" t="n">
        <v>405.864526599145</v>
      </c>
      <c r="BF133" s="9" t="n">
        <v>6.214860690710119</v>
      </c>
      <c r="BG133" s="9" t="n">
        <v>5.728379609934628</v>
      </c>
      <c r="BH133" s="9" t="n">
        <v>5.561735839463802</v>
      </c>
      <c r="BI133" s="9" t="n">
        <v>5.661847084574149</v>
      </c>
      <c r="BJ133" s="9" t="n">
        <v>21.57608220651227</v>
      </c>
      <c r="BK133" s="9" t="n">
        <v>21.69073517671231</v>
      </c>
      <c r="BL133" s="9" t="n">
        <v>21.05973197157158</v>
      </c>
      <c r="BM133" s="9" t="n">
        <v>21.43880714705987</v>
      </c>
      <c r="BN133" s="9" t="n">
        <v>195.9379702452464</v>
      </c>
      <c r="BO133" s="9" t="n">
        <v>310.2177724056</v>
      </c>
      <c r="BP133" s="9" t="n">
        <v>301.1932553901644</v>
      </c>
      <c r="BQ133" s="9" t="n">
        <v>306.6147339871874</v>
      </c>
      <c r="BR133" s="9" t="n">
        <v>472.5229048861483</v>
      </c>
      <c r="BS133" s="9" t="n">
        <v>167.96723048403</v>
      </c>
      <c r="BT133" s="9" t="n">
        <v>310.7242496016</v>
      </c>
      <c r="BU133" s="9" t="n">
        <v>301.6849987040989</v>
      </c>
      <c r="BV133" s="9" t="n">
        <v>307.1153286807727</v>
      </c>
      <c r="BW133" s="9" t="n">
        <v>125.6621608168495</v>
      </c>
      <c r="BX133" s="9" t="n">
        <v>357.2909707563758</v>
      </c>
      <c r="BY133" s="9" t="n">
        <v>119.3508642212162</v>
      </c>
      <c r="BZ133" s="9" t="n">
        <v>121.4910017165779</v>
      </c>
      <c r="CA133" s="9" t="n">
        <v>0.8202336365980794</v>
      </c>
      <c r="CB133" s="9" t="n">
        <v>120.7514264281128</v>
      </c>
      <c r="CC133" s="9" t="n">
        <v>1.029</v>
      </c>
      <c r="CD133" s="9" t="n">
        <v>4.95927470296253</v>
      </c>
      <c r="CE133" s="9" t="n">
        <v>3.093</v>
      </c>
      <c r="CF133" s="9" t="n">
        <v>3.603</v>
      </c>
      <c r="CG133" s="9" t="n">
        <v>372.243</v>
      </c>
      <c r="CH133" s="9" t="n">
        <v>64.03999999999999</v>
      </c>
      <c r="CI133" s="9" t="n">
        <v>24.75</v>
      </c>
      <c r="CJ133" s="9" t="n">
        <v>66.68000000000001</v>
      </c>
      <c r="CK133" s="9" t="n">
        <v>39.34</v>
      </c>
      <c r="CL133" s="9" t="n">
        <v>2.59</v>
      </c>
      <c r="CM133" s="9" t="n">
        <v>36.6</v>
      </c>
      <c r="CN133" s="9" t="n">
        <v>171.06</v>
      </c>
      <c r="CO133" s="9" t="n">
        <v>3.74</v>
      </c>
      <c r="CP133" s="9" t="n">
        <v>540.123</v>
      </c>
      <c r="CQ133" s="9" t="n">
        <v>546.769</v>
      </c>
      <c r="CR133" s="9" t="n">
        <v>3</v>
      </c>
      <c r="CS133" s="9" t="n">
        <v>2</v>
      </c>
      <c r="CT133" s="9" t="n">
        <v>0.5</v>
      </c>
      <c r="CU133" s="9" t="n">
        <v>0.3</v>
      </c>
      <c r="CV133" s="9" t="n">
        <v>0.6</v>
      </c>
      <c r="CW133" s="9" t="n">
        <v>0.8</v>
      </c>
      <c r="CX133" s="9" t="n">
        <v>0.8</v>
      </c>
      <c r="CY133" s="9" t="n">
        <v>0.7</v>
      </c>
      <c r="CZ133" s="9" t="n">
        <v>0.5</v>
      </c>
      <c r="DA133" s="9" t="n">
        <v>0.5</v>
      </c>
      <c r="DB133" s="9" t="n">
        <v>1</v>
      </c>
      <c r="DC133" s="9" t="n">
        <v>0.3</v>
      </c>
      <c r="DD133" s="9" t="n">
        <v>0.8</v>
      </c>
      <c r="DE133" s="9" t="n">
        <v>0.2339529458199411</v>
      </c>
      <c r="DF133" s="9" t="n">
        <v>2</v>
      </c>
      <c r="DG133" s="9" t="n">
        <v>6.276</v>
      </c>
      <c r="DH133" s="9" t="n">
        <v>4.204</v>
      </c>
      <c r="DI133" s="9" t="n">
        <v>11.78658</v>
      </c>
      <c r="DJ133" s="9" t="n">
        <v>21.07958157606919</v>
      </c>
      <c r="DK133" s="9" t="n">
        <v>24.0893984341891</v>
      </c>
      <c r="DL133" s="9" t="n">
        <v>18.59101345424238</v>
      </c>
      <c r="DM133" s="9" t="n">
        <v>20.94521037593172</v>
      </c>
      <c r="DN133" s="9" t="n">
        <v>4.545</v>
      </c>
      <c r="DO133" s="9" t="n">
        <v>3.708</v>
      </c>
      <c r="DP133" s="9" t="n">
        <v>11.18871</v>
      </c>
      <c r="DQ133" s="9" t="n">
        <v>14.11517453802272</v>
      </c>
      <c r="DR133" s="9" t="n">
        <v>14.11517453802272</v>
      </c>
      <c r="DS133" s="9" t="n">
        <v>0.0891200000000001</v>
      </c>
    </row>
    <row r="134">
      <c r="A134" s="9" t="inlineStr">
        <is>
          <t>PAN</t>
        </is>
      </c>
      <c r="B134" s="9" t="inlineStr">
        <is>
          <t>Panama</t>
        </is>
      </c>
      <c r="C134" s="9" t="n">
        <v>0.005</v>
      </c>
      <c r="D134" s="9" t="n">
        <v>0.005</v>
      </c>
      <c r="E134" s="9" t="n">
        <v>0.01</v>
      </c>
      <c r="F134" s="9" t="n">
        <v>0.005</v>
      </c>
      <c r="G134" s="9" t="n">
        <v>0.005</v>
      </c>
      <c r="H134" s="9" t="n">
        <v>0.01</v>
      </c>
      <c r="I134" s="9" t="n">
        <v>0.005</v>
      </c>
      <c r="J134" s="9" t="n">
        <v>0.005</v>
      </c>
      <c r="K134" s="9" t="n">
        <v>0.01</v>
      </c>
      <c r="L134" s="9" t="n">
        <v>0.01</v>
      </c>
      <c r="M134" s="9" t="n">
        <v>0.005</v>
      </c>
      <c r="N134" s="9" t="n">
        <v>4.489198</v>
      </c>
      <c r="O134" s="9" t="n">
        <v>3.809922</v>
      </c>
      <c r="P134" s="9" t="n">
        <v>18.229224</v>
      </c>
      <c r="Q134" s="9" t="n">
        <v>9.783942647832069</v>
      </c>
      <c r="R134" s="9" t="n">
        <v>1.405186312509044</v>
      </c>
      <c r="S134" s="9" t="n">
        <v>0.9145449094824938</v>
      </c>
      <c r="T134" s="9" t="n">
        <v>0.7441905268385125</v>
      </c>
      <c r="U134" s="9" t="n">
        <v>0.099715</v>
      </c>
      <c r="V134" s="9" t="n">
        <v>0.020319</v>
      </c>
      <c r="W134" s="9" t="n">
        <v>0.046553</v>
      </c>
      <c r="X134" s="9" t="n">
        <v>1.734786264177148</v>
      </c>
      <c r="Y134" s="9" t="n">
        <v>1.734786264177148</v>
      </c>
      <c r="Z134" s="9" t="n">
        <v>0.3304327561685659</v>
      </c>
      <c r="AA134" s="9" t="n">
        <v>2.29</v>
      </c>
      <c r="AB134" s="9" t="n">
        <v>0.74</v>
      </c>
      <c r="AC134" s="9" t="n">
        <v>0.34</v>
      </c>
      <c r="AD134" s="9" t="n">
        <v>0</v>
      </c>
      <c r="AE134" s="9" t="n">
        <v>0</v>
      </c>
      <c r="AF134" s="9" t="n">
        <v>13.424</v>
      </c>
      <c r="AG134" s="9" t="n">
        <v>0</v>
      </c>
      <c r="AH134" s="9" t="n">
        <v>0</v>
      </c>
      <c r="AI134" s="9" t="n">
        <v>0</v>
      </c>
      <c r="AJ134" s="9" t="n">
        <v>0</v>
      </c>
      <c r="AK134" s="9" t="n">
        <v>25.55432201618588</v>
      </c>
      <c r="AL134" s="9" t="n">
        <v>0</v>
      </c>
      <c r="AM134" s="9" t="n">
        <v>0</v>
      </c>
      <c r="AN134" s="9" t="n">
        <v>0</v>
      </c>
      <c r="AO134" s="9" t="n">
        <v>0</v>
      </c>
      <c r="AP134" s="9" t="n">
        <v>35.2880520610021</v>
      </c>
      <c r="AQ134" s="9" t="n">
        <v>28.36870506000001</v>
      </c>
      <c r="AR134" s="9" t="n">
        <v>34.07914884832104</v>
      </c>
      <c r="AS134" s="9" t="n">
        <v>33.64541422661515</v>
      </c>
      <c r="AT134" s="9" t="n">
        <v>32.42389105430848</v>
      </c>
      <c r="AU134" s="9" t="n">
        <v>23.2129673496</v>
      </c>
      <c r="AV134" s="9" t="n">
        <v>31.2814944794015</v>
      </c>
      <c r="AW134" s="9" t="n">
        <v>31.03096769528691</v>
      </c>
      <c r="AX134" s="9" t="n">
        <v>16.15895301927128</v>
      </c>
      <c r="AY134" s="9" t="n">
        <v>11.9555999928</v>
      </c>
      <c r="AZ134" s="9" t="n">
        <v>15.58962182603543</v>
      </c>
      <c r="BA134" s="9" t="n">
        <v>15.46476788645748</v>
      </c>
      <c r="BB134" s="9" t="n">
        <v>45.5969960214457</v>
      </c>
      <c r="BC134" s="9" t="n">
        <v>41.81288404166787</v>
      </c>
      <c r="BD134" s="9" t="n">
        <v>39.8881959614135</v>
      </c>
      <c r="BE134" s="9" t="n">
        <v>44.19152747245233</v>
      </c>
      <c r="BF134" s="9" t="n">
        <v>0.0278232358784355</v>
      </c>
      <c r="BG134" s="9" t="n">
        <v>0.0230129188647466</v>
      </c>
      <c r="BH134" s="9" t="n">
        <v>0.0276452762213615</v>
      </c>
      <c r="BI134" s="9" t="n">
        <v>0.0272934272512714</v>
      </c>
      <c r="BJ134" s="9" t="n">
        <v>8.912458355473266</v>
      </c>
      <c r="BK134" s="9" t="n">
        <v>7.169488049999975</v>
      </c>
      <c r="BL134" s="9" t="n">
        <v>8.612661378284573</v>
      </c>
      <c r="BM134" s="9" t="n">
        <v>8.503045688015495</v>
      </c>
      <c r="BN134" s="9" t="n">
        <v>0</v>
      </c>
      <c r="BO134" s="9" t="n">
        <v>0</v>
      </c>
      <c r="BP134" s="9" t="n">
        <v>0</v>
      </c>
      <c r="BQ134" s="9" t="n">
        <v>0</v>
      </c>
      <c r="BR134" s="9" t="n">
        <v>17.93240052437767</v>
      </c>
      <c r="BS134" s="9" t="n">
        <v>0</v>
      </c>
      <c r="BT134" s="9" t="n">
        <v>0</v>
      </c>
      <c r="BU134" s="9" t="n">
        <v>0</v>
      </c>
      <c r="BV134" s="9" t="n">
        <v>0</v>
      </c>
      <c r="BW134" s="9" t="n">
        <v>42.83975797020419</v>
      </c>
      <c r="BX134" s="9" t="n">
        <v>28.4095430659542</v>
      </c>
      <c r="BY134" s="9" t="n">
        <v>38.98987723599561</v>
      </c>
      <c r="BZ134" s="9" t="n">
        <v>39.72294805244537</v>
      </c>
      <c r="CA134" s="9" t="n">
        <v>1.405209460677738</v>
      </c>
      <c r="CB134" s="9" t="n">
        <v>13.49523446488327</v>
      </c>
      <c r="CC134" s="9" t="n">
        <v>0.068</v>
      </c>
      <c r="CD134" s="9" t="n">
        <v>-3.46095268428583</v>
      </c>
      <c r="CE134" s="9" t="n">
        <v>4.35</v>
      </c>
      <c r="CF134" s="9" t="n">
        <v>3.84</v>
      </c>
      <c r="CG134" s="9" t="n">
        <v>86.524</v>
      </c>
      <c r="CH134" s="9" t="n">
        <v>7.18</v>
      </c>
      <c r="CI134" s="9" t="n">
        <v>0.5</v>
      </c>
      <c r="CJ134" s="9" t="n">
        <v>4.3</v>
      </c>
      <c r="CK134" s="9" t="n">
        <v>2.8</v>
      </c>
      <c r="CL134" s="9" t="n">
        <v>1</v>
      </c>
      <c r="CM134" s="9" t="n">
        <v>0.99</v>
      </c>
      <c r="CN134" s="9" t="n">
        <v>13.43</v>
      </c>
      <c r="CO134" s="9" t="n">
        <v>0.96</v>
      </c>
      <c r="CP134" s="9" t="n">
        <v>20.839</v>
      </c>
      <c r="CQ134" s="9" t="n">
        <v>24.855</v>
      </c>
      <c r="CR134" s="9" t="n">
        <v>3</v>
      </c>
      <c r="CS134" s="9" t="n">
        <v>4</v>
      </c>
      <c r="CT134" s="9" t="n">
        <v>0.5</v>
      </c>
      <c r="CU134" s="9" t="n">
        <v>0.3</v>
      </c>
      <c r="CV134" s="9" t="n">
        <v>0.6</v>
      </c>
      <c r="CW134" s="9" t="n">
        <v>0.8</v>
      </c>
      <c r="CX134" s="9" t="n">
        <v>0.8</v>
      </c>
      <c r="CY134" s="9" t="n">
        <v>0.7</v>
      </c>
      <c r="CZ134" s="9" t="n">
        <v>0.5</v>
      </c>
      <c r="DA134" s="9" t="n">
        <v>0.5</v>
      </c>
      <c r="DB134" s="9" t="n">
        <v>1</v>
      </c>
      <c r="DC134" s="9" t="n">
        <v>0.3</v>
      </c>
      <c r="DD134" s="9" t="n">
        <v>0.8</v>
      </c>
      <c r="DE134" s="9" t="n">
        <v>0.4625022717796855</v>
      </c>
      <c r="DF134" s="9" t="n">
        <v>3</v>
      </c>
      <c r="DG134" s="9" t="n">
        <v>7.124</v>
      </c>
      <c r="DH134" s="9" t="n">
        <v>5.575</v>
      </c>
      <c r="DI134" s="9" t="n">
        <v>13.04651</v>
      </c>
      <c r="DJ134" s="9" t="n">
        <v>17.83495405171552</v>
      </c>
      <c r="DK134" s="9" t="n">
        <v>23.07114665422162</v>
      </c>
      <c r="DL134" s="9" t="n">
        <v>15.06383125504574</v>
      </c>
      <c r="DM134" s="9" t="n">
        <v>21.78315688418116</v>
      </c>
      <c r="DN134" s="9" t="n">
        <v>8.176</v>
      </c>
      <c r="DO134" s="9" t="n">
        <v>6.853</v>
      </c>
      <c r="DP134" s="9" t="n">
        <v>17.24626</v>
      </c>
      <c r="DQ134" s="9" t="n">
        <v>13.49474620847193</v>
      </c>
      <c r="DR134" s="9" t="n">
        <v>13.49474620847193</v>
      </c>
      <c r="DS134" s="9" t="n">
        <v>0.105</v>
      </c>
    </row>
    <row r="135">
      <c r="A135" s="9" t="inlineStr">
        <is>
          <t>PER</t>
        </is>
      </c>
      <c r="B135" s="9" t="inlineStr">
        <is>
          <t>Peru</t>
        </is>
      </c>
      <c r="C135" s="9" t="n">
        <v>0.005</v>
      </c>
      <c r="D135" s="9" t="n">
        <v>0.005</v>
      </c>
      <c r="E135" s="9" t="n">
        <v>0.01</v>
      </c>
      <c r="F135" s="9" t="n">
        <v>0.005</v>
      </c>
      <c r="G135" s="9" t="n">
        <v>0.005</v>
      </c>
      <c r="H135" s="9" t="n">
        <v>0.01</v>
      </c>
      <c r="I135" s="9" t="n">
        <v>0.005</v>
      </c>
      <c r="J135" s="9" t="n">
        <v>0.005</v>
      </c>
      <c r="K135" s="9" t="n">
        <v>0.01</v>
      </c>
      <c r="L135" s="9" t="n">
        <v>0.01</v>
      </c>
      <c r="M135" s="9" t="n">
        <v>0.005</v>
      </c>
      <c r="N135" s="9" t="n">
        <v>66.147154</v>
      </c>
      <c r="O135" s="9" t="n">
        <v>1.740443</v>
      </c>
      <c r="P135" s="9" t="n">
        <v>25.324755</v>
      </c>
      <c r="Q135" s="9" t="n">
        <v>9.704870788967694</v>
      </c>
      <c r="R135" s="9" t="n">
        <v>1.968130160533078</v>
      </c>
      <c r="S135" s="9" t="n">
        <v>12.99664133914745</v>
      </c>
      <c r="T135" s="9" t="n">
        <v>1.841178178597341</v>
      </c>
      <c r="U135" s="9" t="n">
        <v>0.6586959999999999</v>
      </c>
      <c r="V135" s="9" t="n">
        <v>0.046316</v>
      </c>
      <c r="W135" s="9" t="n">
        <v>0.058886</v>
      </c>
      <c r="X135" s="9" t="n">
        <v>60.56255205191405</v>
      </c>
      <c r="Y135" s="9" t="n">
        <v>60.56255205191405</v>
      </c>
      <c r="Z135" s="9" t="n">
        <v>1.127436991772041</v>
      </c>
      <c r="AA135" s="9" t="n">
        <v>7.890000000000001</v>
      </c>
      <c r="AB135" s="9" t="n">
        <v>1.02</v>
      </c>
      <c r="AC135" s="9" t="n">
        <v>1.34</v>
      </c>
      <c r="AD135" s="9" t="n">
        <v>0</v>
      </c>
      <c r="AE135" s="9" t="n">
        <v>0</v>
      </c>
      <c r="AF135" s="9" t="n">
        <v>61.093</v>
      </c>
      <c r="AG135" s="9" t="n">
        <v>25.14988326106715</v>
      </c>
      <c r="AH135" s="9" t="n">
        <v>21.7361238912</v>
      </c>
      <c r="AI135" s="9" t="n">
        <v>23.95265609484612</v>
      </c>
      <c r="AJ135" s="9" t="n">
        <v>23.86053049448133</v>
      </c>
      <c r="AK135" s="9" t="n">
        <v>0.2856394952494263</v>
      </c>
      <c r="AL135" s="9" t="n">
        <v>0.0047565219973699</v>
      </c>
      <c r="AM135" s="9" t="n">
        <v>0.004103064</v>
      </c>
      <c r="AN135" s="9" t="n">
        <v>0.0045214722468035</v>
      </c>
      <c r="AO135" s="9" t="n">
        <v>0.0045040819689311</v>
      </c>
      <c r="AP135" s="9" t="n">
        <v>237.5692096531812</v>
      </c>
      <c r="AQ135" s="9" t="n">
        <v>209.7965263</v>
      </c>
      <c r="AR135" s="9" t="n">
        <v>231.1904399105729</v>
      </c>
      <c r="AS135" s="9" t="n">
        <v>230.3012459109169</v>
      </c>
      <c r="AT135" s="9" t="n">
        <v>158.6732296006552</v>
      </c>
      <c r="AU135" s="9" t="n">
        <v>141.031897452</v>
      </c>
      <c r="AV135" s="9" t="n">
        <v>163.1457427117255</v>
      </c>
      <c r="AW135" s="9" t="n">
        <v>138.6264623695518</v>
      </c>
      <c r="AX135" s="9" t="n">
        <v>42.6337156756934</v>
      </c>
      <c r="AY135" s="9" t="n">
        <v>38.1021031908</v>
      </c>
      <c r="AZ135" s="9" t="n">
        <v>43.83542974436827</v>
      </c>
      <c r="BA135" s="9" t="n">
        <v>37.2473743470479</v>
      </c>
      <c r="BB135" s="9" t="n">
        <v>106.1175021026397</v>
      </c>
      <c r="BC135" s="9" t="n">
        <v>104.1476423702104</v>
      </c>
      <c r="BD135" s="9" t="n">
        <v>88.9051798</v>
      </c>
      <c r="BE135" s="9" t="n">
        <v>100.6237408978429</v>
      </c>
      <c r="BF135" s="9" t="n">
        <v>0</v>
      </c>
      <c r="BG135" s="9" t="n">
        <v>0</v>
      </c>
      <c r="BH135" s="9" t="n">
        <v>0</v>
      </c>
      <c r="BI135" s="9" t="n">
        <v>0</v>
      </c>
      <c r="BJ135" s="9" t="n">
        <v>42.81030923984474</v>
      </c>
      <c r="BK135" s="9" t="n">
        <v>38.20325517999996</v>
      </c>
      <c r="BL135" s="9" t="n">
        <v>42.09901625563788</v>
      </c>
      <c r="BM135" s="9" t="n">
        <v>41.93709696234696</v>
      </c>
      <c r="BN135" s="9" t="n">
        <v>135.7833757463484</v>
      </c>
      <c r="BO135" s="9" t="n">
        <v>121.9453983144</v>
      </c>
      <c r="BP135" s="9" t="n">
        <v>134.380729645933</v>
      </c>
      <c r="BQ135" s="9" t="n">
        <v>133.8638806857563</v>
      </c>
      <c r="BR135" s="9" t="n">
        <v>191.2074537517019</v>
      </c>
      <c r="BS135" s="9" t="n">
        <v>18.96766942095587</v>
      </c>
      <c r="BT135" s="9" t="n">
        <v>17.131799448</v>
      </c>
      <c r="BU135" s="9" t="n">
        <v>18.87880757939331</v>
      </c>
      <c r="BV135" s="9" t="n">
        <v>18.80619678101103</v>
      </c>
      <c r="BW135" s="9" t="n">
        <v>126.816607649079</v>
      </c>
      <c r="BX135" s="9" t="n">
        <v>116.254356591679</v>
      </c>
      <c r="BY135" s="9" t="n">
        <v>123.1730079580593</v>
      </c>
      <c r="BZ135" s="9" t="n">
        <v>122.6992672123396</v>
      </c>
      <c r="CA135" s="9" t="n">
        <v>1.229903619680865</v>
      </c>
      <c r="CB135" s="9" t="n">
        <v>55.91859591009682</v>
      </c>
      <c r="CC135" s="9" t="n">
        <v>0</v>
      </c>
      <c r="CD135" s="9" t="n">
        <v>2.799451347449056</v>
      </c>
      <c r="CE135" s="9" t="n">
        <v>3.439</v>
      </c>
      <c r="CF135" s="9" t="n">
        <v>2.82</v>
      </c>
      <c r="CG135" s="9" t="n">
        <v>295.22</v>
      </c>
      <c r="CH135" s="9" t="n">
        <v>34.53</v>
      </c>
      <c r="CI135" s="9" t="n">
        <v>0.019</v>
      </c>
      <c r="CJ135" s="9" t="n">
        <v>21.979</v>
      </c>
      <c r="CK135" s="9" t="n">
        <v>21.83</v>
      </c>
      <c r="CL135" s="9" t="n">
        <v>0.13</v>
      </c>
      <c r="CM135" s="9" t="n">
        <v>1.83</v>
      </c>
      <c r="CN135" s="9" t="n">
        <v>60.449</v>
      </c>
      <c r="CO135" s="9" t="n">
        <v>2.11</v>
      </c>
      <c r="CP135" s="9" t="n">
        <v>104.947</v>
      </c>
      <c r="CQ135" s="9" t="n">
        <v>190.373</v>
      </c>
      <c r="CR135" s="9" t="n">
        <v>3</v>
      </c>
      <c r="CS135" s="9" t="n">
        <v>3</v>
      </c>
      <c r="CT135" s="9" t="n">
        <v>0.5</v>
      </c>
      <c r="CU135" s="9" t="n">
        <v>0.3</v>
      </c>
      <c r="CV135" s="9" t="n">
        <v>0.6</v>
      </c>
      <c r="CW135" s="9" t="n">
        <v>0.8</v>
      </c>
      <c r="CX135" s="9" t="n">
        <v>0.8</v>
      </c>
      <c r="CY135" s="9" t="n">
        <v>0.7</v>
      </c>
      <c r="CZ135" s="9" t="n">
        <v>0.5</v>
      </c>
      <c r="DA135" s="9" t="n">
        <v>0.5</v>
      </c>
      <c r="DB135" s="9" t="n">
        <v>1</v>
      </c>
      <c r="DC135" s="9" t="n">
        <v>0.3</v>
      </c>
      <c r="DD135" s="9" t="n">
        <v>0.8</v>
      </c>
      <c r="DE135" s="9" t="n">
        <v>0.4751114472858362</v>
      </c>
      <c r="DF135" s="9" t="n">
        <v>3</v>
      </c>
      <c r="DG135" s="9" t="n">
        <v>5.097</v>
      </c>
      <c r="DH135" s="9" t="n">
        <v>3.67</v>
      </c>
      <c r="DI135" s="9" t="n">
        <v>10.03118</v>
      </c>
      <c r="DJ135" s="9" t="n">
        <v>18.51316483439285</v>
      </c>
      <c r="DK135" s="9" t="n">
        <v>25.51005526492333</v>
      </c>
      <c r="DL135" s="9" t="n">
        <v>15.04682410526479</v>
      </c>
      <c r="DM135" s="9" t="n">
        <v>22.28133978416485</v>
      </c>
      <c r="DN135" s="9" t="n">
        <v>5.917</v>
      </c>
      <c r="DO135" s="9" t="n">
        <v>5.255</v>
      </c>
      <c r="DP135" s="9" t="n">
        <v>11.66784</v>
      </c>
      <c r="DQ135" s="9" t="n">
        <v>13.49474620847193</v>
      </c>
      <c r="DR135" s="9" t="n">
        <v>13.49474620847193</v>
      </c>
      <c r="DS135" s="9" t="n">
        <v>0.07592</v>
      </c>
    </row>
    <row r="136">
      <c r="A136" s="9" t="inlineStr">
        <is>
          <t>PHL</t>
        </is>
      </c>
      <c r="B136" s="9" t="inlineStr">
        <is>
          <t>Philippines</t>
        </is>
      </c>
      <c r="C136" s="9" t="n">
        <v>0.005</v>
      </c>
      <c r="D136" s="9" t="n">
        <v>0.005</v>
      </c>
      <c r="E136" s="9" t="n">
        <v>0.01</v>
      </c>
      <c r="F136" s="9" t="n">
        <v>0.005</v>
      </c>
      <c r="G136" s="9" t="n">
        <v>0.005</v>
      </c>
      <c r="H136" s="9" t="n">
        <v>0.01</v>
      </c>
      <c r="I136" s="9" t="n">
        <v>0.005</v>
      </c>
      <c r="J136" s="9" t="n">
        <v>0.005</v>
      </c>
      <c r="K136" s="9" t="n">
        <v>0.01</v>
      </c>
      <c r="L136" s="9" t="n">
        <v>0.01</v>
      </c>
      <c r="M136" s="9" t="n">
        <v>0.005</v>
      </c>
      <c r="N136" s="9" t="n">
        <v>20.416182</v>
      </c>
      <c r="O136" s="9" t="n">
        <v>3.977256</v>
      </c>
      <c r="P136" s="9" t="n">
        <v>22.972325</v>
      </c>
      <c r="Q136" s="9" t="n">
        <v>6.829218459538617</v>
      </c>
      <c r="R136" s="9" t="n">
        <v>1.12048302332245</v>
      </c>
      <c r="S136" s="9" t="n">
        <v>3.557938119594902</v>
      </c>
      <c r="T136" s="9" t="n">
        <v>2.435095361627024</v>
      </c>
      <c r="U136" s="9" t="n">
        <v>0.699686</v>
      </c>
      <c r="V136" s="9" t="n">
        <v>0.156576</v>
      </c>
      <c r="W136" s="9" t="n">
        <v>0.048826</v>
      </c>
      <c r="X136" s="9" t="n">
        <v>36.04342302050623</v>
      </c>
      <c r="Y136" s="9" t="n">
        <v>36.04342302050623</v>
      </c>
      <c r="Z136" s="9" t="n">
        <v>1.762902519581445</v>
      </c>
      <c r="AA136" s="9" t="n">
        <v>21.02</v>
      </c>
      <c r="AB136" s="9" t="n">
        <v>3.89</v>
      </c>
      <c r="AC136" s="9" t="n">
        <v>0.52</v>
      </c>
      <c r="AD136" s="9" t="n">
        <v>0</v>
      </c>
      <c r="AE136" s="9" t="n">
        <v>0</v>
      </c>
      <c r="AF136" s="9" t="n">
        <v>157.056</v>
      </c>
      <c r="AG136" s="9" t="n">
        <v>90.79135713717008</v>
      </c>
      <c r="AH136" s="9" t="n">
        <v>73.90328763960001</v>
      </c>
      <c r="AI136" s="9" t="n">
        <v>80.86308237915699</v>
      </c>
      <c r="AJ136" s="9" t="n">
        <v>82.5958627158532</v>
      </c>
      <c r="AK136" s="9" t="n">
        <v>598.3634416740668</v>
      </c>
      <c r="AL136" s="9" t="n">
        <v>9.488625558222068</v>
      </c>
      <c r="AM136" s="9" t="n">
        <v>7.7236495416</v>
      </c>
      <c r="AN136" s="9" t="n">
        <v>8.451019286122781</v>
      </c>
      <c r="AO136" s="9" t="n">
        <v>8.632112556539695</v>
      </c>
      <c r="AP136" s="9" t="n">
        <v>277.4960744522943</v>
      </c>
      <c r="AQ136" s="9" t="n">
        <v>226.31563901</v>
      </c>
      <c r="AR136" s="9" t="n">
        <v>247.6287692396391</v>
      </c>
      <c r="AS136" s="9" t="n">
        <v>252.93510000906</v>
      </c>
      <c r="AT136" s="9" t="n">
        <v>245.1595077593824</v>
      </c>
      <c r="AU136" s="9" t="n">
        <v>188.7722738244</v>
      </c>
      <c r="AV136" s="9" t="n">
        <v>214.5196504855974</v>
      </c>
      <c r="AW136" s="9" t="n">
        <v>243.5513038396927</v>
      </c>
      <c r="AX136" s="9" t="n">
        <v>162.8948223099288</v>
      </c>
      <c r="AY136" s="9" t="n">
        <v>125.9303903676</v>
      </c>
      <c r="AZ136" s="9" t="n">
        <v>142.5463003978896</v>
      </c>
      <c r="BA136" s="9" t="n">
        <v>161.8351845206976</v>
      </c>
      <c r="BB136" s="9" t="n">
        <v>244.3768160804968</v>
      </c>
      <c r="BC136" s="9" t="n">
        <v>198.0822127915562</v>
      </c>
      <c r="BD136" s="9" t="n">
        <v>219.6129502972389</v>
      </c>
      <c r="BE136" s="9" t="n">
        <v>222.8450445450265</v>
      </c>
      <c r="BF136" s="9" t="n">
        <v>9.736225911687477</v>
      </c>
      <c r="BG136" s="9" t="n">
        <v>7.981017774296568</v>
      </c>
      <c r="BH136" s="9" t="n">
        <v>8.732625007153914</v>
      </c>
      <c r="BI136" s="9" t="n">
        <v>8.919752685878642</v>
      </c>
      <c r="BJ136" s="9" t="n">
        <v>62.94929856828879</v>
      </c>
      <c r="BK136" s="9" t="n">
        <v>52.27261529241065</v>
      </c>
      <c r="BL136" s="9" t="n">
        <v>57.19535532948669</v>
      </c>
      <c r="BM136" s="9" t="n">
        <v>58.42097008654713</v>
      </c>
      <c r="BN136" s="9" t="n">
        <v>5.568760872653232</v>
      </c>
      <c r="BO136" s="9" t="n">
        <v>5.1409465992</v>
      </c>
      <c r="BP136" s="9" t="n">
        <v>5.62509194970107</v>
      </c>
      <c r="BQ136" s="9" t="n">
        <v>5.745629634337522</v>
      </c>
      <c r="BR136" s="9" t="n">
        <v>242.4413354845902</v>
      </c>
      <c r="BS136" s="9" t="n">
        <v>0</v>
      </c>
      <c r="BT136" s="9" t="n">
        <v>0</v>
      </c>
      <c r="BU136" s="9" t="n">
        <v>0</v>
      </c>
      <c r="BV136" s="9" t="n">
        <v>0</v>
      </c>
      <c r="BW136" s="9" t="n">
        <v>250.9676746914942</v>
      </c>
      <c r="BX136" s="9" t="n">
        <v>216.1618751150723</v>
      </c>
      <c r="BY136" s="9" t="n">
        <v>219.0860998399962</v>
      </c>
      <c r="BZ136" s="9" t="n">
        <v>223.7920017937031</v>
      </c>
      <c r="CA136" s="9" t="n">
        <v>0.9516816039723728</v>
      </c>
      <c r="CB136" s="9" t="n">
        <v>113.3484250192531</v>
      </c>
      <c r="CC136" s="9" t="n">
        <v>0.146</v>
      </c>
      <c r="CD136" s="9" t="n">
        <v>0.3854511542883224</v>
      </c>
      <c r="CE136" s="9" t="n">
        <v>4.403</v>
      </c>
      <c r="CF136" s="9" t="n">
        <v>4.066</v>
      </c>
      <c r="CG136" s="9" t="n">
        <v>461.617</v>
      </c>
      <c r="CH136" s="9" t="n">
        <v>24.25</v>
      </c>
      <c r="CI136" s="9" t="n">
        <v>72.23</v>
      </c>
      <c r="CJ136" s="9" t="n">
        <v>94.42</v>
      </c>
      <c r="CK136" s="9" t="n">
        <v>21.25</v>
      </c>
      <c r="CL136" s="9" t="n">
        <v>0.9399999999999999</v>
      </c>
      <c r="CM136" s="9" t="n">
        <v>3</v>
      </c>
      <c r="CN136" s="9" t="n">
        <v>123.13</v>
      </c>
      <c r="CO136" s="9" t="n">
        <v>1.46</v>
      </c>
      <c r="CP136" s="9" t="n">
        <v>270.619</v>
      </c>
      <c r="CQ136" s="9" t="n">
        <v>273.064</v>
      </c>
      <c r="CR136" s="9" t="n">
        <v>3</v>
      </c>
      <c r="CS136" s="9" t="n">
        <v>2</v>
      </c>
      <c r="CT136" s="9" t="n">
        <v>0.5</v>
      </c>
      <c r="CU136" s="9" t="n">
        <v>0.3</v>
      </c>
      <c r="CV136" s="9" t="n">
        <v>0.6</v>
      </c>
      <c r="CW136" s="9" t="n">
        <v>0.8</v>
      </c>
      <c r="CX136" s="9" t="n">
        <v>0.8</v>
      </c>
      <c r="CY136" s="9" t="n">
        <v>0.7</v>
      </c>
      <c r="CZ136" s="9" t="n">
        <v>0.5</v>
      </c>
      <c r="DA136" s="9" t="n">
        <v>0.5</v>
      </c>
      <c r="DB136" s="9" t="n">
        <v>1</v>
      </c>
      <c r="DC136" s="9" t="n">
        <v>0.3</v>
      </c>
      <c r="DD136" s="9" t="n">
        <v>0.8</v>
      </c>
      <c r="DE136" s="9" t="n">
        <v>0.3373754530392272</v>
      </c>
      <c r="DF136" s="9" t="n">
        <v>3</v>
      </c>
      <c r="DG136" s="9" t="n">
        <v>2.649</v>
      </c>
      <c r="DH136" s="9" t="n">
        <v>4.479</v>
      </c>
      <c r="DI136" s="9" t="n">
        <v>11.44304</v>
      </c>
      <c r="DJ136" s="9" t="n">
        <v>21.32870217312206</v>
      </c>
      <c r="DK136" s="9" t="n">
        <v>26.77105977911188</v>
      </c>
      <c r="DL136" s="9" t="n">
        <v>29.74759774699601</v>
      </c>
      <c r="DM136" s="9" t="n">
        <v>31.2861421344812</v>
      </c>
      <c r="DN136" s="9" t="n">
        <v>7.805</v>
      </c>
      <c r="DO136" s="9" t="n">
        <v>7.034</v>
      </c>
      <c r="DP136" s="9" t="n">
        <v>13.91824</v>
      </c>
      <c r="DQ136" s="9" t="n">
        <v>26.62789178053968</v>
      </c>
      <c r="DR136" s="9" t="n">
        <v>26.62789178053968</v>
      </c>
      <c r="DS136" s="9" t="n">
        <v>0.0781399999999999</v>
      </c>
    </row>
    <row r="137">
      <c r="A137" s="9" t="inlineStr">
        <is>
          <t>PLW</t>
        </is>
      </c>
      <c r="B137" s="9" t="inlineStr">
        <is>
          <t>Palau</t>
        </is>
      </c>
      <c r="C137" s="9" t="n">
        <v>0.005</v>
      </c>
      <c r="D137" s="9" t="n">
        <v>0.005</v>
      </c>
      <c r="E137" s="9" t="n">
        <v>0.01</v>
      </c>
      <c r="F137" s="9" t="n">
        <v>0.005</v>
      </c>
      <c r="G137" s="9" t="n">
        <v>0.005</v>
      </c>
      <c r="H137" s="9" t="n">
        <v>0.01</v>
      </c>
      <c r="I137" s="9" t="n">
        <v>0.005</v>
      </c>
      <c r="J137" s="9" t="n">
        <v>0.005</v>
      </c>
      <c r="K137" s="9" t="n">
        <v>0.01</v>
      </c>
      <c r="L137" s="9" t="n">
        <v>0.01</v>
      </c>
      <c r="M137" s="9" t="n">
        <v>0.005</v>
      </c>
      <c r="N137" s="9" t="n">
        <v>0</v>
      </c>
      <c r="O137" s="9" t="n">
        <v>0</v>
      </c>
      <c r="P137" s="9" t="n">
        <v>0</v>
      </c>
      <c r="Q137" s="9" t="n">
        <v>0</v>
      </c>
      <c r="R137" s="9" t="n">
        <v>0</v>
      </c>
      <c r="S137" s="9" t="n">
        <v>0</v>
      </c>
      <c r="T137" s="9" t="n">
        <v>0</v>
      </c>
      <c r="U137" s="9" t="n">
        <v>0</v>
      </c>
      <c r="V137" s="9" t="n">
        <v>0</v>
      </c>
      <c r="W137" s="9" t="n">
        <v>0</v>
      </c>
      <c r="X137" s="9" t="n">
        <v>0</v>
      </c>
      <c r="Y137" s="9" t="n">
        <v>0</v>
      </c>
      <c r="Z137" s="9" t="n">
        <v>0.001229709069001412</v>
      </c>
      <c r="AA137" s="9" t="n">
        <v>0</v>
      </c>
      <c r="AB137" s="9" t="n">
        <v>0</v>
      </c>
      <c r="AC137" s="9" t="n">
        <v>0</v>
      </c>
      <c r="AD137" s="9" t="n">
        <v>0</v>
      </c>
      <c r="AE137" s="9" t="n">
        <v>0</v>
      </c>
      <c r="AF137" s="9" t="n">
        <v>1.341</v>
      </c>
      <c r="AG137" s="9" t="n">
        <v>0</v>
      </c>
      <c r="AH137" s="9" t="n">
        <v>0</v>
      </c>
      <c r="AI137" s="9" t="n">
        <v>0</v>
      </c>
      <c r="AJ137" s="9" t="n">
        <v>0</v>
      </c>
      <c r="AK137" s="9" t="n">
        <v>0</v>
      </c>
      <c r="AL137" s="9" t="n">
        <v>0</v>
      </c>
      <c r="AM137" s="9" t="n">
        <v>0</v>
      </c>
      <c r="AN137" s="9" t="n">
        <v>0</v>
      </c>
      <c r="AO137" s="9" t="n">
        <v>0</v>
      </c>
      <c r="AP137" s="9" t="n">
        <v>1.042836615618294</v>
      </c>
      <c r="AQ137" s="9" t="n">
        <v>0.9887792357510414</v>
      </c>
      <c r="AR137" s="9" t="n">
        <v>0.9887792357510414</v>
      </c>
      <c r="AS137" s="9" t="n">
        <v>0.9887792357510414</v>
      </c>
      <c r="AT137" s="9" t="n">
        <v>0.2229972383580507</v>
      </c>
      <c r="AU137" s="9" t="n">
        <v>0.2123999999999997</v>
      </c>
      <c r="AV137" s="9" t="n">
        <v>0.2088286122786063</v>
      </c>
      <c r="AW137" s="9" t="n">
        <v>0.2089076844584861</v>
      </c>
      <c r="AX137" s="9" t="n">
        <v>0.106067785768942</v>
      </c>
      <c r="AY137" s="9" t="n">
        <v>0.1007999999999996</v>
      </c>
      <c r="AZ137" s="9" t="n">
        <v>0.0993285328225815</v>
      </c>
      <c r="BA137" s="9" t="n">
        <v>0.0993661432033088</v>
      </c>
      <c r="BB137" s="9" t="n">
        <v>0.5945934322329578</v>
      </c>
      <c r="BC137" s="9" t="n">
        <v>0</v>
      </c>
      <c r="BD137" s="9" t="n">
        <v>0</v>
      </c>
      <c r="BE137" s="9" t="n">
        <v>0.5591944738655553</v>
      </c>
      <c r="BF137" s="9" t="n">
        <v>0.0119621466454705</v>
      </c>
      <c r="BG137" s="9" t="n">
        <v>0.0115445066482215</v>
      </c>
      <c r="BH137" s="9" t="n">
        <v>0.0115445066482215</v>
      </c>
      <c r="BI137" s="9" t="n">
        <v>0.0115445066482215</v>
      </c>
      <c r="BJ137" s="9" t="n">
        <v>0.0525553461314749</v>
      </c>
      <c r="BK137" s="9" t="n">
        <v>0.0505639471433267</v>
      </c>
      <c r="BL137" s="9" t="n">
        <v>0.0505639471433267</v>
      </c>
      <c r="BM137" s="9" t="n">
        <v>0.0505639471433267</v>
      </c>
      <c r="BN137" s="9" t="n">
        <v>0</v>
      </c>
      <c r="BO137" s="9" t="n">
        <v>0</v>
      </c>
      <c r="BP137" s="9" t="n">
        <v>0</v>
      </c>
      <c r="BQ137" s="9" t="n">
        <v>0</v>
      </c>
      <c r="BR137" s="9" t="n">
        <v>0</v>
      </c>
      <c r="BS137" s="9" t="n">
        <v>0</v>
      </c>
      <c r="BT137" s="9" t="n">
        <v>0</v>
      </c>
      <c r="BU137" s="9" t="n">
        <v>0</v>
      </c>
      <c r="BV137" s="9" t="n">
        <v>0</v>
      </c>
      <c r="BW137" s="9" t="n">
        <v>1.151657683232076</v>
      </c>
      <c r="BX137" s="9" t="n">
        <v>1.203395373209117</v>
      </c>
      <c r="BY137" s="9" t="n">
        <v>1.17771161712647</v>
      </c>
      <c r="BZ137" s="9" t="n">
        <v>1.152950742053655</v>
      </c>
      <c r="CA137" s="9" t="n">
        <v>1.00000101006927</v>
      </c>
      <c r="CB137" s="9" t="n">
        <v>0.09140695114638685</v>
      </c>
      <c r="CC137" s="9" t="n">
        <v>0</v>
      </c>
      <c r="CD137" s="9" t="n">
        <v>0</v>
      </c>
      <c r="CE137" s="9" t="n">
        <v>6.324</v>
      </c>
      <c r="CF137" s="9" t="n">
        <v>3.3</v>
      </c>
      <c r="CG137" s="9" t="n">
        <v>0.322</v>
      </c>
      <c r="CH137" s="9" t="n">
        <v>0.02010952925220511</v>
      </c>
      <c r="CI137" s="9" t="n">
        <v>0</v>
      </c>
      <c r="CJ137" s="9" t="n">
        <v>0.08043811700882043</v>
      </c>
      <c r="CK137" s="9" t="n">
        <v>0</v>
      </c>
      <c r="CL137" s="9" t="n">
        <v>0.08043811700882043</v>
      </c>
      <c r="CM137" s="9" t="n">
        <v>0</v>
      </c>
      <c r="CN137" s="9" t="n">
        <v>0.1005476462610255</v>
      </c>
      <c r="CO137" s="9" t="n">
        <v>0</v>
      </c>
      <c r="CP137" s="9" t="n">
        <v>1.403</v>
      </c>
      <c r="CQ137" s="9" t="n">
        <v>1.403</v>
      </c>
      <c r="CR137" s="9" t="n">
        <v>3</v>
      </c>
      <c r="CS137" s="9" t="n">
        <v>4</v>
      </c>
      <c r="CT137" s="9" t="n">
        <v>0.5</v>
      </c>
      <c r="CU137" s="9" t="n">
        <v>0.3</v>
      </c>
      <c r="CV137" s="9" t="n">
        <v>0.6</v>
      </c>
      <c r="CW137" s="9" t="n">
        <v>0.8</v>
      </c>
      <c r="CX137" s="9" t="n">
        <v>0.8</v>
      </c>
      <c r="CY137" s="9" t="n">
        <v>0.7</v>
      </c>
      <c r="CZ137" s="9" t="n">
        <v>0.5</v>
      </c>
      <c r="DA137" s="9" t="n">
        <v>0.5</v>
      </c>
      <c r="DB137" s="9" t="n">
        <v>1</v>
      </c>
      <c r="DC137" s="9" t="n">
        <v>0.3</v>
      </c>
      <c r="DD137" s="9" t="n">
        <v>0.8</v>
      </c>
      <c r="DE137" s="9" t="n">
        <v>1.035369774919614</v>
      </c>
      <c r="DF137" s="9" t="n">
        <v>1</v>
      </c>
      <c r="DG137" s="9" t="n">
        <v>7.124</v>
      </c>
      <c r="DH137" s="9" t="n">
        <v>4.833</v>
      </c>
      <c r="DI137" s="9" t="n">
        <v>11.451</v>
      </c>
      <c r="DJ137" s="9" t="n">
        <v>19.68082211137683</v>
      </c>
      <c r="DK137" s="9" t="n">
        <v>20.58922943093086</v>
      </c>
      <c r="DL137" s="9" t="n">
        <v>17.27205865604339</v>
      </c>
      <c r="DM137" s="9" t="n">
        <v>19.78301635067195</v>
      </c>
      <c r="DN137" s="9" t="n">
        <v>6.34</v>
      </c>
      <c r="DO137" s="9" t="n">
        <v>5.017</v>
      </c>
      <c r="DP137" s="9" t="n">
        <v>14.282</v>
      </c>
      <c r="DQ137" s="9" t="n">
        <v>14.11516989415954</v>
      </c>
      <c r="DR137" s="9" t="n">
        <v>14.11516989415954</v>
      </c>
      <c r="DS137" s="9" t="n">
        <v>0.105</v>
      </c>
    </row>
    <row r="138">
      <c r="A138" s="9" t="inlineStr">
        <is>
          <t>PNG</t>
        </is>
      </c>
      <c r="B138" s="9" t="inlineStr">
        <is>
          <t>Papua New Guinea</t>
        </is>
      </c>
      <c r="C138" s="9" t="n">
        <v>0.005</v>
      </c>
      <c r="D138" s="9" t="n">
        <v>0.005</v>
      </c>
      <c r="E138" s="9" t="n">
        <v>0.01</v>
      </c>
      <c r="F138" s="9" t="n">
        <v>0.005</v>
      </c>
      <c r="G138" s="9" t="n">
        <v>0.005</v>
      </c>
      <c r="H138" s="9" t="n">
        <v>0.01</v>
      </c>
      <c r="I138" s="9" t="n">
        <v>0.005</v>
      </c>
      <c r="J138" s="9" t="n">
        <v>0.005</v>
      </c>
      <c r="K138" s="9" t="n">
        <v>0.01</v>
      </c>
      <c r="L138" s="9" t="n">
        <v>0.01</v>
      </c>
      <c r="M138" s="9" t="n">
        <v>0.005</v>
      </c>
      <c r="N138" s="9" t="n">
        <v>0.014791</v>
      </c>
      <c r="O138" s="9" t="n">
        <v>0.002521</v>
      </c>
      <c r="P138" s="9" t="n">
        <v>0.588575</v>
      </c>
      <c r="Q138" s="9" t="n">
        <v>0.0569510438209324</v>
      </c>
      <c r="R138" s="9" t="n">
        <v>0.0143266721456893</v>
      </c>
      <c r="S138" s="9" t="n">
        <v>0.0353653348248741</v>
      </c>
      <c r="T138" s="9" t="n">
        <v>0.0074477238026059</v>
      </c>
      <c r="U138" s="9" t="n">
        <v>0.000803</v>
      </c>
      <c r="V138" s="9" t="n">
        <v>0.001512</v>
      </c>
      <c r="W138" s="9" t="n">
        <v>0.005634</v>
      </c>
      <c r="X138" s="9" t="n">
        <v>0.0169739015263351</v>
      </c>
      <c r="Y138" s="9" t="n">
        <v>0.0169739015263351</v>
      </c>
      <c r="Z138" s="9" t="n">
        <v>0.1174563109509548</v>
      </c>
      <c r="AA138" s="9" t="n">
        <v>0.75</v>
      </c>
      <c r="AB138" s="9" t="n">
        <v>0</v>
      </c>
      <c r="AC138" s="9" t="n">
        <v>0</v>
      </c>
      <c r="AD138" s="9" t="n">
        <v>0</v>
      </c>
      <c r="AE138" s="9" t="n">
        <v>0</v>
      </c>
      <c r="AF138" s="9" t="n">
        <v>4.547</v>
      </c>
      <c r="AG138" s="9" t="n">
        <v>0</v>
      </c>
      <c r="AH138" s="9" t="n">
        <v>0</v>
      </c>
      <c r="AI138" s="9" t="n">
        <v>0</v>
      </c>
      <c r="AJ138" s="9" t="n">
        <v>0</v>
      </c>
      <c r="AK138" s="9" t="n">
        <v>0</v>
      </c>
      <c r="AL138" s="9" t="n">
        <v>0</v>
      </c>
      <c r="AM138" s="9" t="n">
        <v>0</v>
      </c>
      <c r="AN138" s="9" t="n">
        <v>0</v>
      </c>
      <c r="AO138" s="9" t="n">
        <v>0</v>
      </c>
      <c r="AP138" s="9" t="n">
        <v>15.31620952381674</v>
      </c>
      <c r="AQ138" s="9" t="n">
        <v>13.873772132</v>
      </c>
      <c r="AR138" s="9" t="n">
        <v>14.29438966806539</v>
      </c>
      <c r="AS138" s="9" t="n">
        <v>14.36586161640572</v>
      </c>
      <c r="AT138" s="9" t="n">
        <v>15.7479166794171</v>
      </c>
      <c r="AU138" s="9" t="n">
        <v>12.60226799353479</v>
      </c>
      <c r="AV138" s="9" t="n">
        <v>13.98327006647724</v>
      </c>
      <c r="AW138" s="9" t="n">
        <v>14.86152704065319</v>
      </c>
      <c r="AX138" s="9" t="n">
        <v>2.111613471457649</v>
      </c>
      <c r="AY138" s="9" t="n">
        <v>1.70030595348</v>
      </c>
      <c r="AZ138" s="9" t="n">
        <v>1.874994772228931</v>
      </c>
      <c r="BA138" s="9" t="n">
        <v>1.9927588737177</v>
      </c>
      <c r="BB138" s="9" t="n">
        <v>4.79297023839132</v>
      </c>
      <c r="BC138" s="9" t="n">
        <v>4.50165296539037</v>
      </c>
      <c r="BD138" s="9" t="n">
        <v>4.579837635803216</v>
      </c>
      <c r="BE138" s="9" t="n">
        <v>4.631936942477846</v>
      </c>
      <c r="BF138" s="9" t="n">
        <v>3.8110985246842</v>
      </c>
      <c r="BG138" s="9" t="n">
        <v>3.306680110709676</v>
      </c>
      <c r="BH138" s="9" t="n">
        <v>3.406930253748653</v>
      </c>
      <c r="BI138" s="9" t="n">
        <v>3.423964905017393</v>
      </c>
      <c r="BJ138" s="9" t="n">
        <v>0.128691929690257</v>
      </c>
      <c r="BK138" s="9" t="n">
        <v>0.1145642918849839</v>
      </c>
      <c r="BL138" s="9" t="n">
        <v>0.1180375902580048</v>
      </c>
      <c r="BM138" s="9" t="n">
        <v>0.1186277782092949</v>
      </c>
      <c r="BN138" s="9" t="n">
        <v>27.70035855459792</v>
      </c>
      <c r="BO138" s="9" t="n">
        <v>23.09931624491996</v>
      </c>
      <c r="BP138" s="9" t="n">
        <v>23.79962884853578</v>
      </c>
      <c r="BQ138" s="9" t="n">
        <v>23.91862699277846</v>
      </c>
      <c r="BR138" s="9" t="n">
        <v>26.45785268408056</v>
      </c>
      <c r="BS138" s="9" t="n">
        <v>0</v>
      </c>
      <c r="BT138" s="9" t="n">
        <v>0</v>
      </c>
      <c r="BU138" s="9" t="n">
        <v>0</v>
      </c>
      <c r="BV138" s="9" t="n">
        <v>0</v>
      </c>
      <c r="BW138" s="9" t="n">
        <v>38.37675014973111</v>
      </c>
      <c r="BX138" s="9" t="n">
        <v>55.73239410866798</v>
      </c>
      <c r="BY138" s="9" t="n">
        <v>44.08176114475503</v>
      </c>
      <c r="BZ138" s="9" t="n">
        <v>37.94937648619207</v>
      </c>
      <c r="CA138" s="9" t="n">
        <v>1.062150842058526</v>
      </c>
      <c r="CB138" s="9" t="n">
        <v>4.960980597465208</v>
      </c>
      <c r="CC138" s="9" t="n">
        <v>0</v>
      </c>
      <c r="CD138" s="9" t="n">
        <v>-0.348471625231217</v>
      </c>
      <c r="CE138" s="9" t="n">
        <v>5.637</v>
      </c>
      <c r="CF138" s="9" t="n">
        <v>3.753</v>
      </c>
      <c r="CG138" s="9" t="n">
        <v>30.756</v>
      </c>
      <c r="CH138" s="9" t="n">
        <v>1.11</v>
      </c>
      <c r="CI138" s="9" t="n">
        <v>0</v>
      </c>
      <c r="CJ138" s="9" t="n">
        <v>3.61</v>
      </c>
      <c r="CK138" s="9" t="n">
        <v>0.91</v>
      </c>
      <c r="CL138" s="9" t="n">
        <v>2.7</v>
      </c>
      <c r="CM138" s="9" t="n">
        <v>0.01</v>
      </c>
      <c r="CN138" s="9" t="n">
        <v>4.73</v>
      </c>
      <c r="CO138" s="9" t="n">
        <v>0</v>
      </c>
      <c r="CP138" s="9" t="n">
        <v>8.856999999999999</v>
      </c>
      <c r="CQ138" s="9" t="n">
        <v>41.144</v>
      </c>
      <c r="CR138" s="9" t="n">
        <v>3</v>
      </c>
      <c r="CS138" s="9" t="n">
        <v>2</v>
      </c>
      <c r="CT138" s="9" t="n">
        <v>0.5</v>
      </c>
      <c r="CU138" s="9" t="n">
        <v>0.3</v>
      </c>
      <c r="CV138" s="9" t="n">
        <v>0.6</v>
      </c>
      <c r="CW138" s="9" t="n">
        <v>0.8</v>
      </c>
      <c r="CX138" s="9" t="n">
        <v>0.8</v>
      </c>
      <c r="CY138" s="9" t="n">
        <v>0.7</v>
      </c>
      <c r="CZ138" s="9" t="n">
        <v>0.5</v>
      </c>
      <c r="DA138" s="9" t="n">
        <v>0.5</v>
      </c>
      <c r="DB138" s="9" t="n">
        <v>1</v>
      </c>
      <c r="DC138" s="9" t="n">
        <v>0.3</v>
      </c>
      <c r="DD138" s="9" t="n">
        <v>0.8</v>
      </c>
      <c r="DE138" s="9" t="n">
        <v>0.684348716123003</v>
      </c>
      <c r="DF138" s="9" t="n">
        <v>2</v>
      </c>
      <c r="DG138" s="9" t="n">
        <v>7.124</v>
      </c>
      <c r="DH138" s="9" t="n">
        <v>4.833</v>
      </c>
      <c r="DI138" s="9" t="n">
        <v>12.5961</v>
      </c>
      <c r="DJ138" s="9" t="n">
        <v>19.84237109396681</v>
      </c>
      <c r="DK138" s="9" t="n">
        <v>22.64815237402394</v>
      </c>
      <c r="DL138" s="9" t="n">
        <v>18.27958658068341</v>
      </c>
      <c r="DM138" s="9" t="n">
        <v>20.77216716820555</v>
      </c>
      <c r="DN138" s="9" t="n">
        <v>13.196</v>
      </c>
      <c r="DO138" s="9" t="n">
        <v>11.872</v>
      </c>
      <c r="DP138" s="9" t="n">
        <v>23.2507</v>
      </c>
      <c r="DQ138" s="9" t="n">
        <v>14.11516989415954</v>
      </c>
      <c r="DR138" s="9" t="n">
        <v>14.11516989415954</v>
      </c>
      <c r="DS138" s="9" t="n">
        <v>0.105</v>
      </c>
    </row>
    <row r="139">
      <c r="A139" s="9" t="inlineStr">
        <is>
          <t>POL</t>
        </is>
      </c>
      <c r="B139" s="9" t="inlineStr">
        <is>
          <t>Poland</t>
        </is>
      </c>
      <c r="C139" s="9" t="n">
        <v>0.005</v>
      </c>
      <c r="D139" s="9" t="n">
        <v>0.005</v>
      </c>
      <c r="E139" s="9" t="n">
        <v>0.01</v>
      </c>
      <c r="F139" s="9" t="n">
        <v>0.005</v>
      </c>
      <c r="G139" s="9" t="n">
        <v>0.005</v>
      </c>
      <c r="H139" s="9" t="n">
        <v>0.01</v>
      </c>
      <c r="I139" s="9" t="n">
        <v>0.005</v>
      </c>
      <c r="J139" s="9" t="n">
        <v>0.005</v>
      </c>
      <c r="K139" s="9" t="n">
        <v>0.01</v>
      </c>
      <c r="L139" s="9" t="n">
        <v>0.01</v>
      </c>
      <c r="M139" s="9" t="n">
        <v>0.005</v>
      </c>
      <c r="N139" s="9" t="n">
        <v>2.212037</v>
      </c>
      <c r="O139" s="9" t="n">
        <v>5.917777</v>
      </c>
      <c r="P139" s="9" t="n">
        <v>93.061052</v>
      </c>
      <c r="Q139" s="9" t="n">
        <v>12.34765126548491</v>
      </c>
      <c r="R139" s="9" t="n">
        <v>2.645944751090514</v>
      </c>
      <c r="S139" s="9" t="n">
        <v>5.523853372545264</v>
      </c>
      <c r="T139" s="9" t="n">
        <v>5.104444910982888</v>
      </c>
      <c r="U139" s="9" t="n">
        <v>0.07384499999999999</v>
      </c>
      <c r="V139" s="9" t="n">
        <v>0.227125</v>
      </c>
      <c r="W139" s="9" t="n">
        <v>0.271583</v>
      </c>
      <c r="X139" s="9" t="n">
        <v>1.556160101277639</v>
      </c>
      <c r="Y139" s="9" t="n">
        <v>1.556160101277639</v>
      </c>
      <c r="Z139" s="9" t="n">
        <v>3.5043767857897</v>
      </c>
      <c r="AA139" s="9" t="n">
        <v>32.46</v>
      </c>
      <c r="AB139" s="9" t="n">
        <v>25.42</v>
      </c>
      <c r="AC139" s="9" t="n">
        <v>10.6</v>
      </c>
      <c r="AD139" s="9" t="n">
        <v>0</v>
      </c>
      <c r="AE139" s="9" t="n">
        <v>0</v>
      </c>
      <c r="AF139" s="9" t="n">
        <v>353.737</v>
      </c>
      <c r="AG139" s="9" t="n">
        <v>312.7144142201975</v>
      </c>
      <c r="AH139" s="9" t="n">
        <v>261.2383711884</v>
      </c>
      <c r="AI139" s="9" t="n">
        <v>272.1072767798705</v>
      </c>
      <c r="AJ139" s="9" t="n">
        <v>269.3862040120719</v>
      </c>
      <c r="AK139" s="9" t="n">
        <v>1173.495367947093</v>
      </c>
      <c r="AL139" s="9" t="n">
        <v>308.4290993233192</v>
      </c>
      <c r="AM139" s="9" t="n">
        <v>278.4310885764</v>
      </c>
      <c r="AN139" s="9" t="n">
        <v>290.0153026476354</v>
      </c>
      <c r="AO139" s="9" t="n">
        <v>287.115149621159</v>
      </c>
      <c r="AP139" s="9" t="n">
        <v>669.9991902182435</v>
      </c>
      <c r="AQ139" s="9" t="n">
        <v>647.9011680691477</v>
      </c>
      <c r="AR139" s="9" t="n">
        <v>674.857302408496</v>
      </c>
      <c r="AS139" s="9" t="n">
        <v>668.1087293844112</v>
      </c>
      <c r="AT139" s="9" t="n">
        <v>573.1081281553959</v>
      </c>
      <c r="AU139" s="9" t="n">
        <v>407.149050384</v>
      </c>
      <c r="AV139" s="9" t="n">
        <v>427.2384839080328</v>
      </c>
      <c r="AW139" s="9" t="n">
        <v>720.2935868294493</v>
      </c>
      <c r="AX139" s="9" t="n">
        <v>155.2815651332712</v>
      </c>
      <c r="AY139" s="9" t="n">
        <v>110.1240020088</v>
      </c>
      <c r="AZ139" s="9" t="n">
        <v>115.5399457601936</v>
      </c>
      <c r="BA139" s="9" t="n">
        <v>195.4584641423685</v>
      </c>
      <c r="BB139" s="9" t="n">
        <v>221.8626134173088</v>
      </c>
      <c r="BC139" s="9" t="n">
        <v>214.1878034513416</v>
      </c>
      <c r="BD139" s="9" t="n">
        <v>228.2979094532521</v>
      </c>
      <c r="BE139" s="9" t="n">
        <v>220.8758795285405</v>
      </c>
      <c r="BF139" s="9" t="n">
        <v>0</v>
      </c>
      <c r="BG139" s="9" t="n">
        <v>0</v>
      </c>
      <c r="BH139" s="9" t="n">
        <v>0</v>
      </c>
      <c r="BI139" s="9" t="n">
        <v>0</v>
      </c>
      <c r="BJ139" s="9" t="n">
        <v>22.86733580189784</v>
      </c>
      <c r="BK139" s="9" t="n">
        <v>21.86594701705452</v>
      </c>
      <c r="BL139" s="9" t="n">
        <v>22.77568670313251</v>
      </c>
      <c r="BM139" s="9" t="n">
        <v>22.54792983610119</v>
      </c>
      <c r="BN139" s="9" t="n">
        <v>288.0105502331421</v>
      </c>
      <c r="BO139" s="9" t="n">
        <v>221.6024003232</v>
      </c>
      <c r="BP139" s="9" t="n">
        <v>230.8222387297835</v>
      </c>
      <c r="BQ139" s="9" t="n">
        <v>228.5140163424857</v>
      </c>
      <c r="BR139" s="9" t="n">
        <v>312.4550985231755</v>
      </c>
      <c r="BS139" s="9" t="n">
        <v>335.2669647205956</v>
      </c>
      <c r="BT139" s="9" t="n">
        <v>298.4240634084</v>
      </c>
      <c r="BU139" s="9" t="n">
        <v>310.840091561744</v>
      </c>
      <c r="BV139" s="9" t="n">
        <v>307.7316906461267</v>
      </c>
      <c r="BW139" s="9" t="n">
        <v>347.6788990092844</v>
      </c>
      <c r="BX139" s="9" t="n">
        <v>306.3235569411993</v>
      </c>
      <c r="BY139" s="9" t="n">
        <v>365.6741374420532</v>
      </c>
      <c r="BZ139" s="9" t="n">
        <v>425.0732985674474</v>
      </c>
      <c r="CA139" s="9" t="n">
        <v>1</v>
      </c>
      <c r="CB139" s="9" t="n">
        <v>202.3304703579631</v>
      </c>
      <c r="CC139" s="9" t="n">
        <v>3.985</v>
      </c>
      <c r="CD139" s="9" t="n">
        <v>3.384015532058075</v>
      </c>
      <c r="CE139" s="9" t="n">
        <v>3.573</v>
      </c>
      <c r="CF139" s="9" t="n">
        <v>3.324</v>
      </c>
      <c r="CG139" s="9" t="n">
        <v>917.623</v>
      </c>
      <c r="CH139" s="9" t="n">
        <v>10.41</v>
      </c>
      <c r="CI139" s="9" t="n">
        <v>87.40000000000001</v>
      </c>
      <c r="CJ139" s="9" t="n">
        <v>118.64</v>
      </c>
      <c r="CK139" s="9" t="n">
        <v>24.81</v>
      </c>
      <c r="CL139" s="9" t="n">
        <v>6.43</v>
      </c>
      <c r="CM139" s="9" t="n">
        <v>19.55</v>
      </c>
      <c r="CN139" s="9" t="n">
        <v>172.58</v>
      </c>
      <c r="CO139" s="9" t="n">
        <v>23.98</v>
      </c>
      <c r="CP139" s="9" t="n">
        <v>423.937</v>
      </c>
      <c r="CQ139" s="9" t="n">
        <v>403.79</v>
      </c>
      <c r="CR139" s="9" t="n">
        <v>3</v>
      </c>
      <c r="CS139" s="9" t="n">
        <v>4</v>
      </c>
      <c r="CT139" s="9" t="n">
        <v>0.5</v>
      </c>
      <c r="CU139" s="9" t="n">
        <v>0.3</v>
      </c>
      <c r="CV139" s="9" t="n">
        <v>0.6</v>
      </c>
      <c r="CW139" s="9" t="n">
        <v>0.8</v>
      </c>
      <c r="CX139" s="9" t="n">
        <v>0.8</v>
      </c>
      <c r="CY139" s="9" t="n">
        <v>0.7</v>
      </c>
      <c r="CZ139" s="9" t="n">
        <v>0.5</v>
      </c>
      <c r="DA139" s="9" t="n">
        <v>0.5</v>
      </c>
      <c r="DB139" s="9" t="n">
        <v>1</v>
      </c>
      <c r="DC139" s="9" t="n">
        <v>0.3</v>
      </c>
      <c r="DD139" s="9" t="n">
        <v>0.8</v>
      </c>
      <c r="DE139" s="9" t="n">
        <v>0.4799700183174899</v>
      </c>
      <c r="DF139" s="9" t="n">
        <v>3</v>
      </c>
      <c r="DG139" s="9" t="n">
        <v>8.462</v>
      </c>
      <c r="DH139" s="9" t="n">
        <v>6.682</v>
      </c>
      <c r="DI139" s="9" t="n">
        <v>16.27536</v>
      </c>
      <c r="DJ139" s="9" t="n">
        <v>24.14064655522602</v>
      </c>
      <c r="DK139" s="9" t="n">
        <v>27.74776135024167</v>
      </c>
      <c r="DL139" s="9" t="n">
        <v>15.65611451797798</v>
      </c>
      <c r="DM139" s="9" t="n">
        <v>20.77065434930815</v>
      </c>
      <c r="DN139" s="9" t="n">
        <v>21.653</v>
      </c>
      <c r="DO139" s="9" t="n">
        <v>21.212</v>
      </c>
      <c r="DP139" s="9" t="n">
        <v>28.66392</v>
      </c>
      <c r="DQ139" s="9" t="n">
        <v>13.49474620847193</v>
      </c>
      <c r="DR139" s="9" t="n">
        <v>13.49474620847193</v>
      </c>
      <c r="DS139" s="9" t="n">
        <v>0.05799</v>
      </c>
    </row>
    <row r="140">
      <c r="A140" s="9" t="inlineStr">
        <is>
          <t>PRI</t>
        </is>
      </c>
      <c r="B140" s="9" t="inlineStr">
        <is>
          <t>Puerto Rico (US)</t>
        </is>
      </c>
      <c r="C140" s="9" t="n">
        <v>0.005</v>
      </c>
      <c r="D140" s="9" t="n">
        <v>0.005</v>
      </c>
      <c r="E140" s="9" t="n">
        <v>0.01</v>
      </c>
      <c r="F140" s="9" t="n">
        <v>0.005</v>
      </c>
      <c r="G140" s="9" t="n">
        <v>0.005</v>
      </c>
      <c r="H140" s="9" t="n">
        <v>0.01</v>
      </c>
      <c r="I140" s="9" t="n">
        <v>0.005</v>
      </c>
      <c r="J140" s="9" t="n">
        <v>0.005</v>
      </c>
      <c r="K140" s="9" t="n">
        <v>0.01</v>
      </c>
      <c r="L140" s="9" t="n">
        <v>0.01</v>
      </c>
      <c r="M140" s="9" t="n">
        <v>0.005</v>
      </c>
      <c r="N140" s="9" t="n">
        <v>0</v>
      </c>
      <c r="O140" s="9" t="n">
        <v>0</v>
      </c>
      <c r="P140" s="9" t="n">
        <v>0</v>
      </c>
      <c r="Q140" s="9" t="n">
        <v>0</v>
      </c>
      <c r="R140" s="9" t="n">
        <v>0</v>
      </c>
      <c r="S140" s="9" t="n">
        <v>0</v>
      </c>
      <c r="T140" s="9" t="n">
        <v>0</v>
      </c>
      <c r="U140" s="9" t="n">
        <v>0</v>
      </c>
      <c r="V140" s="9" t="n">
        <v>0</v>
      </c>
      <c r="W140" s="9" t="n">
        <v>0</v>
      </c>
      <c r="X140" s="9" t="n">
        <v>0</v>
      </c>
      <c r="Y140" s="9" t="n">
        <v>0</v>
      </c>
      <c r="Z140" s="9" t="n">
        <v>1.058321240227399</v>
      </c>
      <c r="AA140" s="9" t="n">
        <v>5.42</v>
      </c>
      <c r="AB140" s="9" t="n">
        <v>1.36</v>
      </c>
      <c r="AC140" s="9" t="n">
        <v>0.13</v>
      </c>
      <c r="AD140" s="9" t="n">
        <v>0</v>
      </c>
      <c r="AE140" s="9" t="n">
        <v>0</v>
      </c>
      <c r="AF140" s="9" t="n">
        <v>13.541</v>
      </c>
      <c r="AG140" s="9" t="n">
        <v>0</v>
      </c>
      <c r="AH140" s="9" t="n">
        <v>0</v>
      </c>
      <c r="AI140" s="9" t="n">
        <v>0</v>
      </c>
      <c r="AJ140" s="9" t="n">
        <v>0</v>
      </c>
      <c r="AK140" s="9" t="n">
        <v>0</v>
      </c>
      <c r="AL140" s="9" t="n">
        <v>0</v>
      </c>
      <c r="AM140" s="9" t="n">
        <v>0</v>
      </c>
      <c r="AN140" s="9" t="n">
        <v>0</v>
      </c>
      <c r="AO140" s="9" t="n">
        <v>0</v>
      </c>
      <c r="AP140" s="9" t="n">
        <v>25.85041137988169</v>
      </c>
      <c r="AQ140" s="9" t="n">
        <v>24.38981182769097</v>
      </c>
      <c r="AR140" s="9" t="n">
        <v>24.38981182769097</v>
      </c>
      <c r="AS140" s="9" t="n">
        <v>24.38981182769097</v>
      </c>
      <c r="AT140" s="9" t="n">
        <v>0</v>
      </c>
      <c r="AU140" s="9" t="n">
        <v>0</v>
      </c>
      <c r="AV140" s="9" t="n">
        <v>0</v>
      </c>
      <c r="AW140" s="9" t="n">
        <v>0</v>
      </c>
      <c r="AX140" s="9" t="n">
        <v>0</v>
      </c>
      <c r="AY140" s="9" t="n">
        <v>0</v>
      </c>
      <c r="AZ140" s="9" t="n">
        <v>0</v>
      </c>
      <c r="BA140" s="9" t="n">
        <v>0</v>
      </c>
      <c r="BB140" s="9" t="n">
        <v>78.04477428581188</v>
      </c>
      <c r="BC140" s="9" t="n">
        <v>75.69190322679303</v>
      </c>
      <c r="BD140" s="9" t="n">
        <v>65.60274696980858</v>
      </c>
      <c r="BE140" s="9" t="n">
        <v>75.69190322679303</v>
      </c>
      <c r="BF140" s="9" t="n">
        <v>0.0394421691858429</v>
      </c>
      <c r="BG140" s="9" t="n">
        <v>0.039475482764644</v>
      </c>
      <c r="BH140" s="9" t="n">
        <v>0.039475482764644</v>
      </c>
      <c r="BI140" s="9" t="n">
        <v>0.039475482764644</v>
      </c>
      <c r="BJ140" s="9" t="n">
        <v>6.803944024774972</v>
      </c>
      <c r="BK140" s="9" t="n">
        <v>6.596302545231794</v>
      </c>
      <c r="BL140" s="9" t="n">
        <v>6.596302545231794</v>
      </c>
      <c r="BM140" s="9" t="n">
        <v>6.596302545231794</v>
      </c>
      <c r="BN140" s="9" t="n">
        <v>0</v>
      </c>
      <c r="BO140" s="9" t="n">
        <v>0</v>
      </c>
      <c r="BP140" s="9" t="n">
        <v>0</v>
      </c>
      <c r="BQ140" s="9" t="n">
        <v>0</v>
      </c>
      <c r="BR140" s="9" t="n">
        <v>0</v>
      </c>
      <c r="BS140" s="9" t="n">
        <v>0</v>
      </c>
      <c r="BT140" s="9" t="n">
        <v>0</v>
      </c>
      <c r="BU140" s="9" t="n">
        <v>0</v>
      </c>
      <c r="BV140" s="9" t="n">
        <v>0</v>
      </c>
      <c r="BW140" s="9" t="n">
        <v>16.55587661946038</v>
      </c>
      <c r="BX140" s="9" t="n">
        <v>105.5946835648988</v>
      </c>
      <c r="BY140" s="9" t="n">
        <v>14.48241592763209</v>
      </c>
      <c r="BZ140" s="9" t="n">
        <v>14.51391540839353</v>
      </c>
      <c r="CA140" s="9" t="n">
        <v>1</v>
      </c>
      <c r="CB140" s="9" t="n">
        <v>0</v>
      </c>
      <c r="CC140" s="9" t="n">
        <v>0</v>
      </c>
      <c r="CD140" s="9" t="n">
        <v>0.2506061119352217</v>
      </c>
      <c r="CE140" s="9" t="n">
        <v>-0.8</v>
      </c>
      <c r="CF140" s="9" t="n">
        <v>-0.1</v>
      </c>
      <c r="CG140" s="9" t="n">
        <v>125.842</v>
      </c>
      <c r="CH140" s="9" t="n">
        <v>0.02</v>
      </c>
      <c r="CI140" s="9" t="n">
        <v>3.06</v>
      </c>
      <c r="CJ140" s="9" t="n">
        <v>18.38</v>
      </c>
      <c r="CK140" s="9" t="n">
        <v>5.75</v>
      </c>
      <c r="CL140" s="9" t="n">
        <v>9.57</v>
      </c>
      <c r="CM140" s="9" t="n">
        <v>0.95</v>
      </c>
      <c r="CN140" s="9" t="n">
        <v>19.58</v>
      </c>
      <c r="CO140" s="9" t="n">
        <v>0.23</v>
      </c>
      <c r="CP140" s="9" t="n">
        <v>16.167</v>
      </c>
      <c r="CQ140" s="9" t="n">
        <v>13.542</v>
      </c>
      <c r="CR140" s="9" t="n">
        <v>1</v>
      </c>
      <c r="CS140" s="9" t="n">
        <v>4</v>
      </c>
      <c r="CT140" s="9" t="n">
        <v>0.5</v>
      </c>
      <c r="CU140" s="9" t="n">
        <v>0.3</v>
      </c>
      <c r="CV140" s="9" t="n">
        <v>0.6</v>
      </c>
      <c r="CW140" s="9" t="n">
        <v>0.8</v>
      </c>
      <c r="CX140" s="9" t="n">
        <v>0.8</v>
      </c>
      <c r="CY140" s="9" t="n">
        <v>0.7</v>
      </c>
      <c r="CZ140" s="9" t="n">
        <v>0.5</v>
      </c>
      <c r="DA140" s="9" t="n">
        <v>0.5</v>
      </c>
      <c r="DB140" s="9" t="n">
        <v>1</v>
      </c>
      <c r="DC140" s="9" t="n">
        <v>0.3</v>
      </c>
      <c r="DD140" s="9" t="n">
        <v>0.8</v>
      </c>
      <c r="DE140" s="9" t="n">
        <v>0.7821325576770088</v>
      </c>
      <c r="DF140" s="9" t="n">
        <v>1</v>
      </c>
      <c r="DG140" s="9" t="n">
        <v>7.124</v>
      </c>
      <c r="DH140" s="9" t="n">
        <v>5.575</v>
      </c>
      <c r="DI140" s="9" t="n">
        <v>13.595195</v>
      </c>
      <c r="DJ140" s="9" t="n">
        <v>18.2239854522795</v>
      </c>
      <c r="DK140" s="9" t="n">
        <v>23.9640900961803</v>
      </c>
      <c r="DL140" s="9" t="n">
        <v>16.69641167046698</v>
      </c>
      <c r="DM140" s="9" t="n">
        <v>22.6936023288216</v>
      </c>
      <c r="DN140" s="9" t="n">
        <v>12.771</v>
      </c>
      <c r="DO140" s="9" t="n">
        <v>11.447</v>
      </c>
      <c r="DP140" s="9" t="n">
        <v>23.09388</v>
      </c>
      <c r="DQ140" s="9" t="n">
        <v>13.49474620847193</v>
      </c>
      <c r="DR140" s="9" t="n">
        <v>13.49474620847193</v>
      </c>
      <c r="DS140" s="9" t="n">
        <v>0.055</v>
      </c>
    </row>
    <row r="141">
      <c r="A141" s="9" t="inlineStr">
        <is>
          <t>PRT</t>
        </is>
      </c>
      <c r="B141" s="9" t="inlineStr">
        <is>
          <t>Portugal</t>
        </is>
      </c>
      <c r="C141" s="9" t="n">
        <v>0.005</v>
      </c>
      <c r="D141" s="9" t="n">
        <v>0.005</v>
      </c>
      <c r="E141" s="9" t="n">
        <v>0.01</v>
      </c>
      <c r="F141" s="9" t="n">
        <v>0.005</v>
      </c>
      <c r="G141" s="9" t="n">
        <v>0.005</v>
      </c>
      <c r="H141" s="9" t="n">
        <v>0.01</v>
      </c>
      <c r="I141" s="9" t="n">
        <v>0.005</v>
      </c>
      <c r="J141" s="9" t="n">
        <v>0.005</v>
      </c>
      <c r="K141" s="9" t="n">
        <v>0.01</v>
      </c>
      <c r="L141" s="9" t="n">
        <v>0.01</v>
      </c>
      <c r="M141" s="9" t="n">
        <v>0.005</v>
      </c>
      <c r="N141" s="9" t="n">
        <v>4.248694</v>
      </c>
      <c r="O141" s="9" t="n">
        <v>1.086916</v>
      </c>
      <c r="P141" s="9" t="n">
        <v>42.953438</v>
      </c>
      <c r="Q141" s="9" t="n">
        <v>3.558394527551676</v>
      </c>
      <c r="R141" s="9" t="n">
        <v>0.6004334032795211</v>
      </c>
      <c r="S141" s="9" t="n">
        <v>6.171317154159308</v>
      </c>
      <c r="T141" s="9" t="n">
        <v>6.013804229235442</v>
      </c>
      <c r="U141" s="9" t="n">
        <v>0.346974</v>
      </c>
      <c r="V141" s="9" t="n">
        <v>0.453177</v>
      </c>
      <c r="W141" s="9" t="n">
        <v>0.098275</v>
      </c>
      <c r="X141" s="9" t="n">
        <v>2.248131654787683</v>
      </c>
      <c r="Y141" s="9" t="n">
        <v>2.248131654787683</v>
      </c>
      <c r="Z141" s="9" t="n">
        <v>2.63703155328256</v>
      </c>
      <c r="AA141" s="9" t="n">
        <v>4.66</v>
      </c>
      <c r="AB141" s="9" t="n">
        <v>6.95</v>
      </c>
      <c r="AC141" s="9" t="n">
        <v>5.61</v>
      </c>
      <c r="AD141" s="9" t="n">
        <v>0</v>
      </c>
      <c r="AE141" s="9" t="n">
        <v>0</v>
      </c>
      <c r="AF141" s="9" t="n">
        <v>45.198</v>
      </c>
      <c r="AG141" s="9" t="n">
        <v>0.5173963310024577</v>
      </c>
      <c r="AH141" s="9" t="n">
        <v>0.4178342664</v>
      </c>
      <c r="AI141" s="9" t="n">
        <v>0.4509749873356009</v>
      </c>
      <c r="AJ141" s="9" t="n">
        <v>0.4586415621203061</v>
      </c>
      <c r="AK141" s="9" t="n">
        <v>55.75629763677975</v>
      </c>
      <c r="AL141" s="9" t="n">
        <v>0</v>
      </c>
      <c r="AM141" s="9" t="n">
        <v>0</v>
      </c>
      <c r="AN141" s="9" t="n">
        <v>0</v>
      </c>
      <c r="AO141" s="9" t="n">
        <v>0</v>
      </c>
      <c r="AP141" s="9" t="n">
        <v>183.8407443143018</v>
      </c>
      <c r="AQ141" s="9" t="n">
        <v>165.3572276606929</v>
      </c>
      <c r="AR141" s="9" t="n">
        <v>178.4726137773058</v>
      </c>
      <c r="AS141" s="9" t="n">
        <v>181.5066482115199</v>
      </c>
      <c r="AT141" s="9" t="n">
        <v>146.5458916544472</v>
      </c>
      <c r="AU141" s="9" t="n">
        <v>118.9543651416</v>
      </c>
      <c r="AV141" s="9" t="n">
        <v>133.4281245560267</v>
      </c>
      <c r="AW141" s="9" t="n">
        <v>144.4722214705653</v>
      </c>
      <c r="AX141" s="9" t="n">
        <v>62.8837060250168</v>
      </c>
      <c r="AY141" s="9" t="n">
        <v>51.4005020532</v>
      </c>
      <c r="AZ141" s="9" t="n">
        <v>57.24434248202423</v>
      </c>
      <c r="BA141" s="9" t="n">
        <v>61.99212167276667</v>
      </c>
      <c r="BB141" s="9" t="n">
        <v>48.58732169570616</v>
      </c>
      <c r="BC141" s="9" t="n">
        <v>43.50450884504305</v>
      </c>
      <c r="BD141" s="9" t="n">
        <v>47.35807767125363</v>
      </c>
      <c r="BE141" s="9" t="n">
        <v>47.7533211139047</v>
      </c>
      <c r="BF141" s="9" t="n">
        <v>0.1914784516352695</v>
      </c>
      <c r="BG141" s="9" t="n">
        <v>0.1677381909313826</v>
      </c>
      <c r="BH141" s="9" t="n">
        <v>0.1810424242672329</v>
      </c>
      <c r="BI141" s="9" t="n">
        <v>0.1841201454797759</v>
      </c>
      <c r="BJ141" s="9" t="n">
        <v>15.30115071220251</v>
      </c>
      <c r="BK141" s="9" t="n">
        <v>13.99838836236784</v>
      </c>
      <c r="BL141" s="9" t="n">
        <v>15.10867710498926</v>
      </c>
      <c r="BM141" s="9" t="n">
        <v>15.36552461577407</v>
      </c>
      <c r="BN141" s="9" t="n">
        <v>69.98514409054455</v>
      </c>
      <c r="BO141" s="9" t="n">
        <v>51.7934206728</v>
      </c>
      <c r="BP141" s="9" t="n">
        <v>55.90144014091666</v>
      </c>
      <c r="BQ141" s="9" t="n">
        <v>56.85176462331224</v>
      </c>
      <c r="BR141" s="9" t="n">
        <v>54.41644505169419</v>
      </c>
      <c r="BS141" s="9" t="n">
        <v>39.84723810358403</v>
      </c>
      <c r="BT141" s="9" t="n">
        <v>30.08037861</v>
      </c>
      <c r="BU141" s="9" t="n">
        <v>32.46621795663916</v>
      </c>
      <c r="BV141" s="9" t="n">
        <v>33.01814366190203</v>
      </c>
      <c r="BW141" s="9" t="n">
        <v>83.28510311606595</v>
      </c>
      <c r="BX141" s="9" t="n">
        <v>82.76256679231813</v>
      </c>
      <c r="BY141" s="9" t="n">
        <v>78.74419039183621</v>
      </c>
      <c r="BZ141" s="9" t="n">
        <v>79.98426834667069</v>
      </c>
      <c r="CA141" s="9" t="n">
        <v>1.190118123269697</v>
      </c>
      <c r="CB141" s="9" t="n">
        <v>58.17488824429555</v>
      </c>
      <c r="CC141" s="9" t="n">
        <v>0</v>
      </c>
      <c r="CD141" s="9" t="n">
        <v>7.100455115840314</v>
      </c>
      <c r="CE141" s="9" t="n">
        <v>1.864</v>
      </c>
      <c r="CF141" s="9" t="n">
        <v>1.93</v>
      </c>
      <c r="CG141" s="9" t="n">
        <v>313.562</v>
      </c>
      <c r="CH141" s="9" t="n">
        <v>18.83</v>
      </c>
      <c r="CI141" s="9" t="n">
        <v>0</v>
      </c>
      <c r="CJ141" s="9" t="n">
        <v>9.77</v>
      </c>
      <c r="CK141" s="9" t="n">
        <v>8.42</v>
      </c>
      <c r="CL141" s="9" t="n">
        <v>1.35</v>
      </c>
      <c r="CM141" s="9" t="n">
        <v>8.859999999999999</v>
      </c>
      <c r="CN141" s="9" t="n">
        <v>51.14</v>
      </c>
      <c r="CO141" s="9" t="n">
        <v>13.68</v>
      </c>
      <c r="CP141" s="9" t="n">
        <v>62.361</v>
      </c>
      <c r="CQ141" s="9" t="n">
        <v>55.863</v>
      </c>
      <c r="CR141" s="9" t="n">
        <v>1</v>
      </c>
      <c r="CS141" s="9" t="n">
        <v>4</v>
      </c>
      <c r="CT141" s="9" t="n">
        <v>0.5</v>
      </c>
      <c r="CU141" s="9" t="n">
        <v>0.3</v>
      </c>
      <c r="CV141" s="9" t="n">
        <v>0.6</v>
      </c>
      <c r="CW141" s="9" t="n">
        <v>0.8</v>
      </c>
      <c r="CX141" s="9" t="n">
        <v>0.8</v>
      </c>
      <c r="CY141" s="9" t="n">
        <v>0.7</v>
      </c>
      <c r="CZ141" s="9" t="n">
        <v>0.5</v>
      </c>
      <c r="DA141" s="9" t="n">
        <v>0.5</v>
      </c>
      <c r="DB141" s="9" t="n">
        <v>1</v>
      </c>
      <c r="DC141" s="9" t="n">
        <v>0.3</v>
      </c>
      <c r="DD141" s="9" t="n">
        <v>0.8</v>
      </c>
      <c r="DE141" s="9" t="n">
        <v>0.6067282240213</v>
      </c>
      <c r="DF141" s="9" t="n">
        <v>3</v>
      </c>
      <c r="DG141" s="9" t="n">
        <v>8.81</v>
      </c>
      <c r="DH141" s="9" t="n">
        <v>4.039</v>
      </c>
      <c r="DI141" s="9" t="n">
        <v>31.9431</v>
      </c>
      <c r="DJ141" s="9" t="n">
        <v>23.02640099165604</v>
      </c>
      <c r="DK141" s="9" t="n">
        <v>25.4565518645549</v>
      </c>
      <c r="DL141" s="9" t="n">
        <v>15.77765470987051</v>
      </c>
      <c r="DM141" s="9" t="n">
        <v>23.09709828191902</v>
      </c>
      <c r="DN141" s="9" t="n">
        <v>14.363</v>
      </c>
      <c r="DO141" s="9" t="n">
        <v>14.363</v>
      </c>
      <c r="DP141" s="9" t="n">
        <v>32.19279</v>
      </c>
      <c r="DQ141" s="9" t="n">
        <v>13.49474620847193</v>
      </c>
      <c r="DR141" s="9" t="n">
        <v>13.49474620847193</v>
      </c>
      <c r="DS141" s="9" t="n">
        <v>0.1003</v>
      </c>
    </row>
    <row r="142">
      <c r="A142" s="9" t="inlineStr">
        <is>
          <t>PRY</t>
        </is>
      </c>
      <c r="B142" s="9" t="inlineStr">
        <is>
          <t>Paraguay</t>
        </is>
      </c>
      <c r="C142" s="9" t="n">
        <v>0.005</v>
      </c>
      <c r="D142" s="9" t="n">
        <v>0.005</v>
      </c>
      <c r="E142" s="9" t="n">
        <v>0.01</v>
      </c>
      <c r="F142" s="9" t="n">
        <v>0.005</v>
      </c>
      <c r="G142" s="9" t="n">
        <v>0.005</v>
      </c>
      <c r="H142" s="9" t="n">
        <v>0.01</v>
      </c>
      <c r="I142" s="9" t="n">
        <v>0.005</v>
      </c>
      <c r="J142" s="9" t="n">
        <v>0.005</v>
      </c>
      <c r="K142" s="9" t="n">
        <v>0.01</v>
      </c>
      <c r="L142" s="9" t="n">
        <v>0.01</v>
      </c>
      <c r="M142" s="9" t="n">
        <v>0.005</v>
      </c>
      <c r="N142" s="9" t="n">
        <v>3.814733</v>
      </c>
      <c r="O142" s="9" t="n">
        <v>1.058418</v>
      </c>
      <c r="P142" s="9" t="n">
        <v>9.398788</v>
      </c>
      <c r="Q142" s="9" t="n">
        <v>4.07698687149737</v>
      </c>
      <c r="R142" s="9" t="n">
        <v>0.5584256560100247</v>
      </c>
      <c r="S142" s="9" t="n">
        <v>0.3803561628580843</v>
      </c>
      <c r="T142" s="9" t="n">
        <v>0.2316552424435546</v>
      </c>
      <c r="U142" s="9" t="n">
        <v>0.045466</v>
      </c>
      <c r="V142" s="9" t="n">
        <v>0.002491</v>
      </c>
      <c r="W142" s="9" t="n">
        <v>0.019358</v>
      </c>
      <c r="X142" s="9" t="n">
        <v>0.1891446571988124</v>
      </c>
      <c r="Y142" s="9" t="n">
        <v>0.1891446571988124</v>
      </c>
      <c r="Z142" s="9" t="n">
        <v>0.1708570001181808</v>
      </c>
      <c r="AA142" s="9" t="n">
        <v>0.03</v>
      </c>
      <c r="AB142" s="9" t="n">
        <v>0</v>
      </c>
      <c r="AC142" s="9" t="n">
        <v>0</v>
      </c>
      <c r="AD142" s="9" t="n">
        <v>0</v>
      </c>
      <c r="AE142" s="9" t="n">
        <v>0</v>
      </c>
      <c r="AF142" s="9" t="n">
        <v>19.121</v>
      </c>
      <c r="AG142" s="9" t="n">
        <v>0.0253446603047532</v>
      </c>
      <c r="AH142" s="9" t="n">
        <v>0.023739156</v>
      </c>
      <c r="AI142" s="9" t="n">
        <v>0.023739156</v>
      </c>
      <c r="AJ142" s="9" t="n">
        <v>0.023169416256</v>
      </c>
      <c r="AK142" s="9" t="n">
        <v>0</v>
      </c>
      <c r="AL142" s="9" t="n">
        <v>0</v>
      </c>
      <c r="AM142" s="9" t="n">
        <v>0</v>
      </c>
      <c r="AN142" s="9" t="n">
        <v>0</v>
      </c>
      <c r="AO142" s="9" t="n">
        <v>0</v>
      </c>
      <c r="AP142" s="9" t="n">
        <v>62.51420500147348</v>
      </c>
      <c r="AQ142" s="9" t="n">
        <v>60.92953863999999</v>
      </c>
      <c r="AR142" s="9" t="n">
        <v>60.92953863999999</v>
      </c>
      <c r="AS142" s="9" t="n">
        <v>59.46722971264001</v>
      </c>
      <c r="AT142" s="9" t="n">
        <v>40.14127999040177</v>
      </c>
      <c r="AU142" s="9" t="n">
        <v>27.9358033536</v>
      </c>
      <c r="AV142" s="9" t="n">
        <v>29.86690877389032</v>
      </c>
      <c r="AW142" s="9" t="n">
        <v>38.99062202404788</v>
      </c>
      <c r="AX142" s="9" t="n">
        <v>31.32544558282512</v>
      </c>
      <c r="AY142" s="9" t="n">
        <v>22.2300909288</v>
      </c>
      <c r="AZ142" s="9" t="n">
        <v>23.30753343559085</v>
      </c>
      <c r="BA142" s="9" t="n">
        <v>30.42749530525345</v>
      </c>
      <c r="BB142" s="9" t="n">
        <v>38.00481795639574</v>
      </c>
      <c r="BC142" s="9" t="n">
        <v>38.2631312458977</v>
      </c>
      <c r="BD142" s="9" t="n">
        <v>27.65196225510675</v>
      </c>
      <c r="BE142" s="9" t="n">
        <v>31.74702610368</v>
      </c>
      <c r="BF142" s="9" t="n">
        <v>0.2132112631751018</v>
      </c>
      <c r="BG142" s="9" t="n">
        <v>0.2116424866666663</v>
      </c>
      <c r="BH142" s="9" t="n">
        <v>0.2116424866666663</v>
      </c>
      <c r="BI142" s="9" t="n">
        <v>0.2065630669866663</v>
      </c>
      <c r="BJ142" s="9" t="n">
        <v>3.433066257196041</v>
      </c>
      <c r="BK142" s="9" t="n">
        <v>3.358833889999995</v>
      </c>
      <c r="BL142" s="9" t="n">
        <v>3.358833889999995</v>
      </c>
      <c r="BM142" s="9" t="n">
        <v>3.278221876639996</v>
      </c>
      <c r="BN142" s="9" t="n">
        <v>0</v>
      </c>
      <c r="BO142" s="9" t="n">
        <v>0</v>
      </c>
      <c r="BP142" s="9" t="n">
        <v>0</v>
      </c>
      <c r="BQ142" s="9" t="n">
        <v>0</v>
      </c>
      <c r="BR142" s="9" t="n">
        <v>0</v>
      </c>
      <c r="BS142" s="9" t="n">
        <v>0</v>
      </c>
      <c r="BT142" s="9" t="n">
        <v>0</v>
      </c>
      <c r="BU142" s="9" t="n">
        <v>0</v>
      </c>
      <c r="BV142" s="9" t="n">
        <v>0</v>
      </c>
      <c r="BW142" s="9" t="n">
        <v>104.5919305501833</v>
      </c>
      <c r="BX142" s="9" t="n">
        <v>14.5149150635214</v>
      </c>
      <c r="BY142" s="9" t="n">
        <v>14.49371375280834</v>
      </c>
      <c r="BZ142" s="9" t="n">
        <v>103.5959863385595</v>
      </c>
      <c r="CA142" s="9" t="n">
        <v>0.2632799991147624</v>
      </c>
      <c r="CB142" s="9" t="n">
        <v>19.85186821478525</v>
      </c>
      <c r="CC142" s="9" t="n">
        <v>0.991</v>
      </c>
      <c r="CD142" s="9" t="n">
        <v>0</v>
      </c>
      <c r="CE142" s="9" t="n">
        <v>6</v>
      </c>
      <c r="CF142" s="9" t="n">
        <v>4.2</v>
      </c>
      <c r="CG142" s="9" t="n">
        <v>44.739</v>
      </c>
      <c r="CH142" s="9" t="n">
        <v>45.35</v>
      </c>
      <c r="CI142" s="9" t="n">
        <v>0</v>
      </c>
      <c r="CJ142" s="9" t="n">
        <v>0</v>
      </c>
      <c r="CK142" s="9" t="n">
        <v>0</v>
      </c>
      <c r="CL142" s="9" t="n">
        <v>0</v>
      </c>
      <c r="CM142" s="9" t="n">
        <v>0</v>
      </c>
      <c r="CN142" s="9" t="n">
        <v>45.35</v>
      </c>
      <c r="CO142" s="9" t="n">
        <v>0</v>
      </c>
      <c r="CP142" s="9" t="n">
        <v>56.773</v>
      </c>
      <c r="CQ142" s="9" t="n">
        <v>100.565</v>
      </c>
      <c r="CR142" s="9" t="n">
        <v>3</v>
      </c>
      <c r="CS142" s="9" t="n">
        <v>3</v>
      </c>
      <c r="CT142" s="9" t="n">
        <v>0.5</v>
      </c>
      <c r="CU142" s="9" t="n">
        <v>0.3</v>
      </c>
      <c r="CV142" s="9" t="n">
        <v>0.6</v>
      </c>
      <c r="CW142" s="9" t="n">
        <v>0.8</v>
      </c>
      <c r="CX142" s="9" t="n">
        <v>0.8</v>
      </c>
      <c r="CY142" s="9" t="n">
        <v>0.7</v>
      </c>
      <c r="CZ142" s="9" t="n">
        <v>0.5</v>
      </c>
      <c r="DA142" s="9" t="n">
        <v>0.5</v>
      </c>
      <c r="DB142" s="9" t="n">
        <v>1</v>
      </c>
      <c r="DC142" s="9" t="n">
        <v>0.3</v>
      </c>
      <c r="DD142" s="9" t="n">
        <v>0.8</v>
      </c>
      <c r="DE142" s="9" t="n">
        <v>0.3465426294141796</v>
      </c>
      <c r="DF142" s="9" t="n">
        <v>1</v>
      </c>
      <c r="DG142" s="9" t="n">
        <v>7.124</v>
      </c>
      <c r="DH142" s="9" t="n">
        <v>5.575</v>
      </c>
      <c r="DI142" s="9" t="n">
        <v>13.4123</v>
      </c>
      <c r="DJ142" s="9" t="n">
        <v>18.13850526032982</v>
      </c>
      <c r="DK142" s="9" t="n">
        <v>23.77638495453498</v>
      </c>
      <c r="DL142" s="9" t="n">
        <v>16.04995454257828</v>
      </c>
      <c r="DM142" s="9" t="n">
        <v>22.4646236121196</v>
      </c>
      <c r="DN142" s="9" t="n">
        <v>12.771</v>
      </c>
      <c r="DO142" s="9" t="n">
        <v>11.447</v>
      </c>
      <c r="DP142" s="9" t="n">
        <v>22.7832</v>
      </c>
      <c r="DQ142" s="9" t="n">
        <v>13.49474620847193</v>
      </c>
      <c r="DR142" s="9" t="n">
        <v>13.49474620847193</v>
      </c>
      <c r="DS142" s="9" t="n">
        <v>0.105</v>
      </c>
    </row>
    <row r="143">
      <c r="A143" s="9" t="inlineStr">
        <is>
          <t>QAT</t>
        </is>
      </c>
      <c r="B143" s="9" t="inlineStr">
        <is>
          <t>Qatar</t>
        </is>
      </c>
      <c r="C143" s="9" t="n">
        <v>0.005</v>
      </c>
      <c r="D143" s="9" t="n">
        <v>0.005</v>
      </c>
      <c r="E143" s="9" t="n">
        <v>0.01</v>
      </c>
      <c r="F143" s="9" t="n">
        <v>0.005</v>
      </c>
      <c r="G143" s="9" t="n">
        <v>0.005</v>
      </c>
      <c r="H143" s="9" t="n">
        <v>0.01</v>
      </c>
      <c r="I143" s="9" t="n">
        <v>0.005</v>
      </c>
      <c r="J143" s="9" t="n">
        <v>0.005</v>
      </c>
      <c r="K143" s="9" t="n">
        <v>0.01</v>
      </c>
      <c r="L143" s="9" t="n">
        <v>0.01</v>
      </c>
      <c r="M143" s="9" t="n">
        <v>0.005</v>
      </c>
      <c r="N143" s="9" t="n">
        <v>1.235423</v>
      </c>
      <c r="O143" s="9" t="n">
        <v>0.772585</v>
      </c>
      <c r="P143" s="9" t="n">
        <v>19.467601</v>
      </c>
      <c r="Q143" s="9" t="n">
        <v>2.210740848886948</v>
      </c>
      <c r="R143" s="9" t="n">
        <v>0.4637152006277428</v>
      </c>
      <c r="S143" s="9" t="n">
        <v>1.109041005575547</v>
      </c>
      <c r="T143" s="9" t="n">
        <v>1.4770930972887</v>
      </c>
      <c r="U143" s="9" t="n">
        <v>0.153003</v>
      </c>
      <c r="V143" s="9" t="n">
        <v>-0.002774</v>
      </c>
      <c r="W143" s="9" t="n">
        <v>0.07237399999999999</v>
      </c>
      <c r="X143" s="9" t="n">
        <v>1.670784607601653</v>
      </c>
      <c r="Y143" s="9" t="n">
        <v>1.670784607601653</v>
      </c>
      <c r="Z143" s="9" t="n">
        <v>0.8369774182905484</v>
      </c>
      <c r="AA143" s="9" t="n">
        <v>0</v>
      </c>
      <c r="AB143" s="9" t="n">
        <v>1.68</v>
      </c>
      <c r="AC143" s="9" t="n">
        <v>0</v>
      </c>
      <c r="AD143" s="9" t="n">
        <v>3</v>
      </c>
      <c r="AE143" s="9" t="n">
        <v>0.05646948424776756</v>
      </c>
      <c r="AF143" s="9" t="n">
        <v>106.894</v>
      </c>
      <c r="AG143" s="9" t="n">
        <v>0</v>
      </c>
      <c r="AH143" s="9" t="n">
        <v>0</v>
      </c>
      <c r="AI143" s="9" t="n">
        <v>0</v>
      </c>
      <c r="AJ143" s="9" t="n">
        <v>0</v>
      </c>
      <c r="AK143" s="9" t="n">
        <v>0</v>
      </c>
      <c r="AL143" s="9" t="n">
        <v>0</v>
      </c>
      <c r="AM143" s="9" t="n">
        <v>0</v>
      </c>
      <c r="AN143" s="9" t="n">
        <v>0</v>
      </c>
      <c r="AO143" s="9" t="n">
        <v>0</v>
      </c>
      <c r="AP143" s="9" t="n">
        <v>88.2949557972524</v>
      </c>
      <c r="AQ143" s="9" t="n">
        <v>87.89017744000002</v>
      </c>
      <c r="AR143" s="9" t="n">
        <v>83.75052626409973</v>
      </c>
      <c r="AS143" s="9" t="n">
        <v>87.12148494622976</v>
      </c>
      <c r="AT143" s="9" t="n">
        <v>94.31754021803415</v>
      </c>
      <c r="AU143" s="9" t="n">
        <v>86.82878916000001</v>
      </c>
      <c r="AV143" s="9" t="n">
        <v>86.13422451603033</v>
      </c>
      <c r="AW143" s="9" t="n">
        <v>92.43800976878742</v>
      </c>
      <c r="AX143" s="9" t="n">
        <v>82.58634858052076</v>
      </c>
      <c r="AY143" s="9" t="n">
        <v>76.625934372</v>
      </c>
      <c r="AZ143" s="9" t="n">
        <v>75.42087160192463</v>
      </c>
      <c r="BA143" s="9" t="n">
        <v>80.94059364999178</v>
      </c>
      <c r="BB143" s="9" t="n">
        <v>82.79938439735828</v>
      </c>
      <c r="BC143" s="9" t="n">
        <v>83.01217737075275</v>
      </c>
      <c r="BD143" s="9" t="n">
        <v>77.10198332000002</v>
      </c>
      <c r="BE143" s="9" t="n">
        <v>81.23908133880794</v>
      </c>
      <c r="BF143" s="9" t="n">
        <v>0</v>
      </c>
      <c r="BG143" s="9" t="n">
        <v>0</v>
      </c>
      <c r="BH143" s="9" t="n">
        <v>0</v>
      </c>
      <c r="BI143" s="9" t="n">
        <v>0</v>
      </c>
      <c r="BJ143" s="9" t="n">
        <v>6.510368744965118</v>
      </c>
      <c r="BK143" s="9" t="n">
        <v>6.328701699999988</v>
      </c>
      <c r="BL143" s="9" t="n">
        <v>6.030618134834676</v>
      </c>
      <c r="BM143" s="9" t="n">
        <v>6.273350514761771</v>
      </c>
      <c r="BN143" s="9" t="n">
        <v>805.1451970016309</v>
      </c>
      <c r="BO143" s="9" t="n">
        <v>807.2404999308</v>
      </c>
      <c r="BP143" s="9" t="n">
        <v>769.2192536196962</v>
      </c>
      <c r="BQ143" s="9" t="n">
        <v>800.180328577889</v>
      </c>
      <c r="BR143" s="9" t="n">
        <v>438.3287865876049</v>
      </c>
      <c r="BS143" s="9" t="n">
        <v>0</v>
      </c>
      <c r="BT143" s="9" t="n">
        <v>0</v>
      </c>
      <c r="BU143" s="9" t="n">
        <v>0</v>
      </c>
      <c r="BV143" s="9" t="n">
        <v>0</v>
      </c>
      <c r="BW143" s="9" t="n">
        <v>43.53742743948941</v>
      </c>
      <c r="BX143" s="9" t="n">
        <v>42.69539718507499</v>
      </c>
      <c r="BY143" s="9" t="n">
        <v>40.68443442188808</v>
      </c>
      <c r="BZ143" s="9" t="n">
        <v>42.32198118560322</v>
      </c>
      <c r="CA143" s="9" t="n">
        <v>0.4966700412869057</v>
      </c>
      <c r="CB143" s="9" t="n">
        <v>49.1399691107097</v>
      </c>
      <c r="CC143" s="9" t="n">
        <v>1.724</v>
      </c>
      <c r="CD143" s="9" t="n">
        <v>0.8908496351512177</v>
      </c>
      <c r="CE143" s="9" t="n">
        <v>2.798</v>
      </c>
      <c r="CF143" s="9" t="n">
        <v>-8.646000000000001</v>
      </c>
      <c r="CG143" s="9" t="n">
        <v>219.163</v>
      </c>
      <c r="CH143" s="9" t="n">
        <v>0.13</v>
      </c>
      <c r="CI143" s="9" t="n">
        <v>0</v>
      </c>
      <c r="CJ143" s="9" t="n">
        <v>54.897</v>
      </c>
      <c r="CK143" s="9" t="n">
        <v>54.897</v>
      </c>
      <c r="CL143" s="9" t="n">
        <v>0</v>
      </c>
      <c r="CM143" s="9" t="n">
        <v>2.15</v>
      </c>
      <c r="CN143" s="9" t="n">
        <v>57.177</v>
      </c>
      <c r="CO143" s="9" t="n">
        <v>0</v>
      </c>
      <c r="CP143" s="9" t="n">
        <v>208.241</v>
      </c>
      <c r="CQ143" s="9" t="n">
        <v>208.241</v>
      </c>
      <c r="CR143" s="9" t="n">
        <v>3</v>
      </c>
      <c r="CS143" s="9" t="n">
        <v>4</v>
      </c>
      <c r="CT143" s="9" t="n">
        <v>0.5</v>
      </c>
      <c r="CU143" s="9" t="n">
        <v>0.3</v>
      </c>
      <c r="CV143" s="9" t="n">
        <v>0.6</v>
      </c>
      <c r="CW143" s="9" t="n">
        <v>0.8</v>
      </c>
      <c r="CX143" s="9" t="n">
        <v>0.8</v>
      </c>
      <c r="CY143" s="9" t="n">
        <v>0.7</v>
      </c>
      <c r="CZ143" s="9" t="n">
        <v>0.5</v>
      </c>
      <c r="DA143" s="9" t="n">
        <v>0.5</v>
      </c>
      <c r="DB143" s="9" t="n">
        <v>1</v>
      </c>
      <c r="DC143" s="9" t="n">
        <v>0.3</v>
      </c>
      <c r="DD143" s="9" t="n">
        <v>0.8</v>
      </c>
      <c r="DE143" s="9" t="n">
        <v>0.6075356003337575</v>
      </c>
      <c r="DF143" s="9" t="n">
        <v>2</v>
      </c>
      <c r="DG143" s="9" t="n">
        <v>7.124</v>
      </c>
      <c r="DH143" s="9" t="n">
        <v>5.575</v>
      </c>
      <c r="DI143" s="9" t="n">
        <v>12.193</v>
      </c>
      <c r="DJ143" s="9" t="n">
        <v>19.68082211137683</v>
      </c>
      <c r="DK143" s="9" t="n">
        <v>20.58922943093086</v>
      </c>
      <c r="DL143" s="9" t="n">
        <v>17.27205865604339</v>
      </c>
      <c r="DM143" s="9" t="n">
        <v>19.78301635067195</v>
      </c>
      <c r="DN143" s="9" t="n">
        <v>2.086</v>
      </c>
      <c r="DO143" s="9" t="n">
        <v>2.086</v>
      </c>
      <c r="DP143" s="9" t="n">
        <v>6.057</v>
      </c>
      <c r="DQ143" s="9" t="n">
        <v>14.11516989415954</v>
      </c>
      <c r="DR143" s="9" t="n">
        <v>14.11516989415954</v>
      </c>
      <c r="DS143" s="9" t="n">
        <v>0.105</v>
      </c>
    </row>
    <row r="144">
      <c r="A144" s="9" t="inlineStr">
        <is>
          <t>ROU</t>
        </is>
      </c>
      <c r="B144" s="9" t="inlineStr">
        <is>
          <t>Romania</t>
        </is>
      </c>
      <c r="C144" s="9" t="n">
        <v>0.005</v>
      </c>
      <c r="D144" s="9" t="n">
        <v>0.005</v>
      </c>
      <c r="E144" s="9" t="n">
        <v>0.01</v>
      </c>
      <c r="F144" s="9" t="n">
        <v>0.005</v>
      </c>
      <c r="G144" s="9" t="n">
        <v>0.005</v>
      </c>
      <c r="H144" s="9" t="n">
        <v>0.01</v>
      </c>
      <c r="I144" s="9" t="n">
        <v>0.005</v>
      </c>
      <c r="J144" s="9" t="n">
        <v>0.005</v>
      </c>
      <c r="K144" s="9" t="n">
        <v>0.01</v>
      </c>
      <c r="L144" s="9" t="n">
        <v>0.01</v>
      </c>
      <c r="M144" s="9" t="n">
        <v>0.005</v>
      </c>
      <c r="N144" s="9" t="n">
        <v>35.708605</v>
      </c>
      <c r="O144" s="9" t="n">
        <v>13.012126</v>
      </c>
      <c r="P144" s="9" t="n">
        <v>81.64617699999999</v>
      </c>
      <c r="Q144" s="9" t="n">
        <v>15.53213698602956</v>
      </c>
      <c r="R144" s="9" t="n">
        <v>2.025007906836024</v>
      </c>
      <c r="S144" s="9" t="n">
        <v>24.9758471617264</v>
      </c>
      <c r="T144" s="9" t="n">
        <v>25.29522413984751</v>
      </c>
      <c r="U144" s="9" t="n">
        <v>1.511315</v>
      </c>
      <c r="V144" s="9" t="n">
        <v>0.190196</v>
      </c>
      <c r="W144" s="9" t="n">
        <v>0.511022</v>
      </c>
      <c r="X144" s="9" t="n">
        <v>3.655503969321749</v>
      </c>
      <c r="Y144" s="9" t="n">
        <v>3.655503969321749</v>
      </c>
      <c r="Z144" s="9" t="n">
        <v>1.461329736811772</v>
      </c>
      <c r="AA144" s="9" t="n">
        <v>7.300000000000001</v>
      </c>
      <c r="AB144" s="9" t="n">
        <v>6.24</v>
      </c>
      <c r="AC144" s="9" t="n">
        <v>3.28</v>
      </c>
      <c r="AD144" s="9" t="n">
        <v>0</v>
      </c>
      <c r="AE144" s="9" t="n">
        <v>0</v>
      </c>
      <c r="AF144" s="9" t="n">
        <v>90.142</v>
      </c>
      <c r="AG144" s="9" t="n">
        <v>38.01760797424929</v>
      </c>
      <c r="AH144" s="9" t="n">
        <v>26.6202103104</v>
      </c>
      <c r="AI144" s="9" t="n">
        <v>29.71013251319653</v>
      </c>
      <c r="AJ144" s="9" t="n">
        <v>31.51902250428846</v>
      </c>
      <c r="AK144" s="9" t="n">
        <v>61.50608495359379</v>
      </c>
      <c r="AL144" s="9" t="n">
        <v>3.55325548542446</v>
      </c>
      <c r="AM144" s="9" t="n">
        <v>2.7562918572</v>
      </c>
      <c r="AN144" s="9" t="n">
        <v>3.076226497371578</v>
      </c>
      <c r="AO144" s="9" t="n">
        <v>3.263521364500009</v>
      </c>
      <c r="AP144" s="9" t="n">
        <v>241.4912369857693</v>
      </c>
      <c r="AQ144" s="9" t="n">
        <v>201.5294049</v>
      </c>
      <c r="AR144" s="9" t="n">
        <v>224.9217889366356</v>
      </c>
      <c r="AS144" s="9" t="n">
        <v>238.6160655476623</v>
      </c>
      <c r="AT144" s="9" t="n">
        <v>137.0177213502704</v>
      </c>
      <c r="AU144" s="9" t="n">
        <v>114.4945606608</v>
      </c>
      <c r="AV144" s="9" t="n">
        <v>126.2313795933864</v>
      </c>
      <c r="AW144" s="9" t="n">
        <v>112.4469662090148</v>
      </c>
      <c r="AX144" s="9" t="n">
        <v>61.46180408151879</v>
      </c>
      <c r="AY144" s="9" t="n">
        <v>51.2791685892</v>
      </c>
      <c r="AZ144" s="9" t="n">
        <v>56.63001075776701</v>
      </c>
      <c r="BA144" s="9" t="n">
        <v>50.37391102796215</v>
      </c>
      <c r="BB144" s="9" t="n">
        <v>65.5759559844833</v>
      </c>
      <c r="BC144" s="9" t="n">
        <v>55.64073878485364</v>
      </c>
      <c r="BD144" s="9" t="n">
        <v>56.65568245364616</v>
      </c>
      <c r="BE144" s="9" t="n">
        <v>66.03141373445592</v>
      </c>
      <c r="BF144" s="9" t="n">
        <v>0</v>
      </c>
      <c r="BG144" s="9" t="n">
        <v>0</v>
      </c>
      <c r="BH144" s="9" t="n">
        <v>0</v>
      </c>
      <c r="BI144" s="9" t="n">
        <v>0</v>
      </c>
      <c r="BJ144" s="9" t="n">
        <v>13.58572361757196</v>
      </c>
      <c r="BK144" s="9" t="n">
        <v>10.75943814999998</v>
      </c>
      <c r="BL144" s="9" t="n">
        <v>12.00833237140711</v>
      </c>
      <c r="BM144" s="9" t="n">
        <v>12.73945506925086</v>
      </c>
      <c r="BN144" s="9" t="n">
        <v>163.7968521085941</v>
      </c>
      <c r="BO144" s="9" t="n">
        <v>114.921610074</v>
      </c>
      <c r="BP144" s="9" t="n">
        <v>128.2610551951397</v>
      </c>
      <c r="BQ144" s="9" t="n">
        <v>136.0701802095207</v>
      </c>
      <c r="BR144" s="9" t="n">
        <v>84.86305259262771</v>
      </c>
      <c r="BS144" s="9" t="n">
        <v>233.7832705153166</v>
      </c>
      <c r="BT144" s="9" t="n">
        <v>183.8064317616</v>
      </c>
      <c r="BU144" s="9" t="n">
        <v>205.1416341471006</v>
      </c>
      <c r="BV144" s="9" t="n">
        <v>217.6316036415183</v>
      </c>
      <c r="BW144" s="9" t="n">
        <v>210.9602257049968</v>
      </c>
      <c r="BX144" s="9" t="n">
        <v>124.0303930360387</v>
      </c>
      <c r="BY144" s="9" t="n">
        <v>177.7748009385928</v>
      </c>
      <c r="BZ144" s="9" t="n">
        <v>172.5781837909836</v>
      </c>
      <c r="CA144" s="9" t="n">
        <v>1.137632921828898</v>
      </c>
      <c r="CB144" s="9" t="n">
        <v>55.13320150883033</v>
      </c>
      <c r="CC144" s="9" t="n">
        <v>0.368</v>
      </c>
      <c r="CD144" s="9" t="n">
        <v>1.369411110995309</v>
      </c>
      <c r="CE144" s="9" t="n">
        <v>0.665</v>
      </c>
      <c r="CF144" s="9" t="n">
        <v>0.694</v>
      </c>
      <c r="CG144" s="9" t="n">
        <v>382.65</v>
      </c>
      <c r="CH144" s="9" t="n">
        <v>22.77</v>
      </c>
      <c r="CI144" s="9" t="n">
        <v>7.56</v>
      </c>
      <c r="CJ144" s="9" t="n">
        <v>16.17</v>
      </c>
      <c r="CK144" s="9" t="n">
        <v>8.43</v>
      </c>
      <c r="CL144" s="9" t="n">
        <v>0.18</v>
      </c>
      <c r="CM144" s="9" t="n">
        <v>4.87</v>
      </c>
      <c r="CN144" s="9" t="n">
        <v>49.78</v>
      </c>
      <c r="CO144" s="9" t="n">
        <v>5.97</v>
      </c>
      <c r="CP144" s="9" t="n">
        <v>130.282</v>
      </c>
      <c r="CQ144" s="9" t="n">
        <v>81.01300000000001</v>
      </c>
      <c r="CR144" s="9" t="n">
        <v>3</v>
      </c>
      <c r="CS144" s="9" t="n">
        <v>3</v>
      </c>
      <c r="CT144" s="9" t="n">
        <v>0.5</v>
      </c>
      <c r="CU144" s="9" t="n">
        <v>0.3</v>
      </c>
      <c r="CV144" s="9" t="n">
        <v>0.6</v>
      </c>
      <c r="CW144" s="9" t="n">
        <v>0.8</v>
      </c>
      <c r="CX144" s="9" t="n">
        <v>0.8</v>
      </c>
      <c r="CY144" s="9" t="n">
        <v>0.7</v>
      </c>
      <c r="CZ144" s="9" t="n">
        <v>0.5</v>
      </c>
      <c r="DA144" s="9" t="n">
        <v>0.5</v>
      </c>
      <c r="DB144" s="9" t="n">
        <v>1</v>
      </c>
      <c r="DC144" s="9" t="n">
        <v>0.3</v>
      </c>
      <c r="DD144" s="9" t="n">
        <v>0.8</v>
      </c>
      <c r="DE144" s="9" t="n">
        <v>0.4317162823547463</v>
      </c>
      <c r="DF144" s="9" t="n">
        <v>3</v>
      </c>
      <c r="DG144" s="9" t="n">
        <v>3.936</v>
      </c>
      <c r="DH144" s="9" t="n">
        <v>3.141</v>
      </c>
      <c r="DI144" s="9" t="n">
        <v>8.265739999999999</v>
      </c>
      <c r="DJ144" s="9" t="n">
        <v>21.95106124945335</v>
      </c>
      <c r="DK144" s="9" t="n">
        <v>24.44221775740969</v>
      </c>
      <c r="DL144" s="9" t="n">
        <v>15.65611451797798</v>
      </c>
      <c r="DM144" s="9" t="n">
        <v>21.8056164262734</v>
      </c>
      <c r="DN144" s="9" t="n">
        <v>14.578</v>
      </c>
      <c r="DO144" s="9" t="n">
        <v>14.578</v>
      </c>
      <c r="DP144" s="9" t="n">
        <v>21.38311</v>
      </c>
      <c r="DQ144" s="9" t="n">
        <v>13.52222862984503</v>
      </c>
      <c r="DR144" s="9" t="n">
        <v>13.52222862984503</v>
      </c>
      <c r="DS144" s="9" t="n">
        <v>0.07191</v>
      </c>
    </row>
    <row r="145">
      <c r="A145" s="9" t="inlineStr">
        <is>
          <t>RUS</t>
        </is>
      </c>
      <c r="B145" s="9" t="inlineStr">
        <is>
          <t>Russian Federation</t>
        </is>
      </c>
      <c r="C145" s="9" t="n">
        <v>0.005</v>
      </c>
      <c r="D145" s="9" t="n">
        <v>0.005</v>
      </c>
      <c r="E145" s="9" t="n">
        <v>0.01</v>
      </c>
      <c r="F145" s="9" t="n">
        <v>0.005</v>
      </c>
      <c r="G145" s="9" t="n">
        <v>0.005</v>
      </c>
      <c r="H145" s="9" t="n">
        <v>0.01</v>
      </c>
      <c r="I145" s="9" t="n">
        <v>0.005</v>
      </c>
      <c r="J145" s="9" t="n">
        <v>0.005</v>
      </c>
      <c r="K145" s="9" t="n">
        <v>0.01</v>
      </c>
      <c r="L145" s="9" t="n">
        <v>0.01</v>
      </c>
      <c r="M145" s="9" t="n">
        <v>0.005</v>
      </c>
      <c r="N145" s="9" t="n">
        <v>4.482255</v>
      </c>
      <c r="O145" s="9" t="n">
        <v>13.272426</v>
      </c>
      <c r="P145" s="9" t="n">
        <v>311.393501</v>
      </c>
      <c r="Q145" s="9" t="n">
        <v>31.11403910262959</v>
      </c>
      <c r="R145" s="9" t="n">
        <v>8.073408609843824</v>
      </c>
      <c r="S145" s="9" t="n">
        <v>10.71272947253582</v>
      </c>
      <c r="T145" s="9" t="n">
        <v>7.303307783246005</v>
      </c>
      <c r="U145" s="9" t="n">
        <v>0.213649</v>
      </c>
      <c r="V145" s="9" t="n">
        <v>1.406916</v>
      </c>
      <c r="W145" s="9" t="n">
        <v>0.765285</v>
      </c>
      <c r="X145" s="9" t="n">
        <v>10.60497607119122</v>
      </c>
      <c r="Y145" s="9" t="n">
        <v>10.60497607119122</v>
      </c>
      <c r="Z145" s="9" t="n">
        <v>8.347692885275155</v>
      </c>
      <c r="AA145" s="9" t="n">
        <v>151.52</v>
      </c>
      <c r="AB145" s="9" t="n">
        <v>2.43</v>
      </c>
      <c r="AC145" s="9" t="n">
        <v>2.88</v>
      </c>
      <c r="AD145" s="9" t="n">
        <v>3</v>
      </c>
      <c r="AE145" s="9" t="n">
        <v>35.91824402091009</v>
      </c>
      <c r="AF145" s="9" t="n">
        <v>1982.113</v>
      </c>
      <c r="AG145" s="9" t="n">
        <v>2302.846322739339</v>
      </c>
      <c r="AH145" s="9" t="n">
        <v>1817.363501442</v>
      </c>
      <c r="AI145" s="9" t="n">
        <v>1799.18986642758</v>
      </c>
      <c r="AJ145" s="9" t="n">
        <v>1882.381247398761</v>
      </c>
      <c r="AK145" s="9" t="n">
        <v>3853.554974880714</v>
      </c>
      <c r="AL145" s="9" t="n">
        <v>127.5545731974145</v>
      </c>
      <c r="AM145" s="9" t="n">
        <v>113.7131572428</v>
      </c>
      <c r="AN145" s="9" t="n">
        <v>112.576025670372</v>
      </c>
      <c r="AO145" s="9" t="n">
        <v>117.781343471745</v>
      </c>
      <c r="AP145" s="9" t="n">
        <v>892.9811738257384</v>
      </c>
      <c r="AQ145" s="9" t="n">
        <v>815.12818527</v>
      </c>
      <c r="AR145" s="9" t="n">
        <v>806.9769034173002</v>
      </c>
      <c r="AS145" s="9" t="n">
        <v>844.2900987947459</v>
      </c>
      <c r="AT145" s="9" t="n">
        <v>2630.153245873408</v>
      </c>
      <c r="AU145" s="9" t="n">
        <v>2274.6681382068</v>
      </c>
      <c r="AV145" s="9" t="n">
        <v>2252.785277683268</v>
      </c>
      <c r="AW145" s="9" t="n">
        <v>2300.62091964549</v>
      </c>
      <c r="AX145" s="9" t="n">
        <v>731.5343780820275</v>
      </c>
      <c r="AY145" s="9" t="n">
        <v>632.766240216</v>
      </c>
      <c r="AZ145" s="9" t="n">
        <v>626.3893077978513</v>
      </c>
      <c r="BA145" s="9" t="n">
        <v>638.9386408871428</v>
      </c>
      <c r="BB145" s="9" t="n">
        <v>1690.744849351537</v>
      </c>
      <c r="BC145" s="9" t="n">
        <v>1505.908062393276</v>
      </c>
      <c r="BD145" s="9" t="n">
        <v>1584.254030124706</v>
      </c>
      <c r="BE145" s="9" t="n">
        <v>1607.902933489526</v>
      </c>
      <c r="BF145" s="9" t="n">
        <v>0</v>
      </c>
      <c r="BG145" s="9" t="n">
        <v>0</v>
      </c>
      <c r="BH145" s="9" t="n">
        <v>0</v>
      </c>
      <c r="BI145" s="9" t="n">
        <v>0</v>
      </c>
      <c r="BJ145" s="9" t="n">
        <v>607.5365171440856</v>
      </c>
      <c r="BK145" s="9" t="n">
        <v>529.1356513859025</v>
      </c>
      <c r="BL145" s="9" t="n">
        <v>523.8442948720433</v>
      </c>
      <c r="BM145" s="9" t="n">
        <v>548.0659354656567</v>
      </c>
      <c r="BN145" s="9" t="n">
        <v>5789.174294376862</v>
      </c>
      <c r="BO145" s="9" t="n">
        <v>5260.6187744544</v>
      </c>
      <c r="BP145" s="9" t="n">
        <v>5208.012586709856</v>
      </c>
      <c r="BQ145" s="9" t="n">
        <v>5448.821946126692</v>
      </c>
      <c r="BR145" s="9" t="n">
        <v>6829.402469824747</v>
      </c>
      <c r="BS145" s="9" t="n">
        <v>3231.264205662455</v>
      </c>
      <c r="BT145" s="9" t="n">
        <v>3008.132398944</v>
      </c>
      <c r="BU145" s="9" t="n">
        <v>2978.05107495456</v>
      </c>
      <c r="BV145" s="9" t="n">
        <v>3115.750928733807</v>
      </c>
      <c r="BW145" s="9" t="n">
        <v>1558.480202380447</v>
      </c>
      <c r="BX145" s="9" t="n">
        <v>1514.938291368882</v>
      </c>
      <c r="BY145" s="9" t="n">
        <v>1397.482743944686</v>
      </c>
      <c r="BZ145" s="9" t="n">
        <v>1458.922586499088</v>
      </c>
      <c r="CA145" s="9" t="n">
        <v>0.4542520499482712</v>
      </c>
      <c r="CB145" s="9" t="n">
        <v>933.8021177653986</v>
      </c>
      <c r="CC145" s="9" t="n">
        <v>3.712</v>
      </c>
      <c r="CD145" s="9" t="n">
        <v>-0.3545024871905777</v>
      </c>
      <c r="CE145" s="9" t="n">
        <v>0.981</v>
      </c>
      <c r="CF145" s="9" t="n">
        <v>1.091</v>
      </c>
      <c r="CG145" s="9" t="n">
        <v>2185.848</v>
      </c>
      <c r="CH145" s="9" t="n">
        <v>419.14</v>
      </c>
      <c r="CI145" s="9" t="n">
        <v>219.52</v>
      </c>
      <c r="CJ145" s="9" t="n">
        <v>767.16</v>
      </c>
      <c r="CK145" s="9" t="n">
        <v>533.17</v>
      </c>
      <c r="CL145" s="9" t="n">
        <v>14.47</v>
      </c>
      <c r="CM145" s="9" t="n">
        <v>2.84</v>
      </c>
      <c r="CN145" s="9" t="n">
        <v>1192.78</v>
      </c>
      <c r="CO145" s="9" t="n">
        <v>3.64</v>
      </c>
      <c r="CP145" s="9" t="n">
        <v>2446.295</v>
      </c>
      <c r="CQ145" s="9" t="n">
        <v>1907.973</v>
      </c>
      <c r="CR145" s="9" t="n">
        <v>3</v>
      </c>
      <c r="CS145" s="9" t="n">
        <v>3</v>
      </c>
      <c r="CT145" s="9" t="n">
        <v>0.5</v>
      </c>
      <c r="CU145" s="9" t="n">
        <v>0.3</v>
      </c>
      <c r="CV145" s="9" t="n">
        <v>0.6</v>
      </c>
      <c r="CW145" s="9" t="n">
        <v>0.8</v>
      </c>
      <c r="CX145" s="9" t="n">
        <v>0.8</v>
      </c>
      <c r="CY145" s="9" t="n">
        <v>0.7</v>
      </c>
      <c r="CZ145" s="9" t="n">
        <v>0.5</v>
      </c>
      <c r="DA145" s="9" t="n">
        <v>0.5</v>
      </c>
      <c r="DB145" s="9" t="n">
        <v>1</v>
      </c>
      <c r="DC145" s="9" t="n">
        <v>0.3</v>
      </c>
      <c r="DD145" s="9" t="n">
        <v>0.8</v>
      </c>
      <c r="DE145" s="9" t="n">
        <v>0.3136704084915595</v>
      </c>
      <c r="DF145" s="9" t="n">
        <v>3</v>
      </c>
      <c r="DG145" s="9" t="n">
        <v>4.347</v>
      </c>
      <c r="DH145" s="9" t="n">
        <v>1.376</v>
      </c>
      <c r="DI145" s="9" t="n">
        <v>3.1116</v>
      </c>
      <c r="DJ145" s="9" t="n">
        <v>18.40349921799568</v>
      </c>
      <c r="DK145" s="9" t="n">
        <v>18.84849587100161</v>
      </c>
      <c r="DL145" s="9" t="n">
        <v>20.68938314473909</v>
      </c>
      <c r="DM145" s="9" t="n">
        <v>19.89678808980238</v>
      </c>
      <c r="DN145" s="9" t="n">
        <v>2.456</v>
      </c>
      <c r="DO145" s="9" t="n">
        <v>2.456</v>
      </c>
      <c r="DP145" s="9" t="n">
        <v>7.7652</v>
      </c>
      <c r="DQ145" s="9" t="n">
        <v>11.05834593133739</v>
      </c>
      <c r="DR145" s="9" t="n">
        <v>11.05834593133739</v>
      </c>
      <c r="DS145" s="9" t="n">
        <v>0.105</v>
      </c>
    </row>
    <row r="146">
      <c r="A146" s="9" t="inlineStr">
        <is>
          <t>RWA</t>
        </is>
      </c>
      <c r="B146" s="9" t="inlineStr">
        <is>
          <t>Rwanda</t>
        </is>
      </c>
      <c r="C146" s="9" t="n">
        <v>0.005</v>
      </c>
      <c r="D146" s="9" t="n">
        <v>0.005</v>
      </c>
      <c r="E146" s="9" t="n">
        <v>0.01</v>
      </c>
      <c r="F146" s="9" t="n">
        <v>0.005</v>
      </c>
      <c r="G146" s="9" t="n">
        <v>0.005</v>
      </c>
      <c r="H146" s="9" t="n">
        <v>0.01</v>
      </c>
      <c r="I146" s="9" t="n">
        <v>0.005</v>
      </c>
      <c r="J146" s="9" t="n">
        <v>0.005</v>
      </c>
      <c r="K146" s="9" t="n">
        <v>0.01</v>
      </c>
      <c r="L146" s="9" t="n">
        <v>0.01</v>
      </c>
      <c r="M146" s="9" t="n">
        <v>0.005</v>
      </c>
      <c r="N146" s="9" t="n">
        <v>0.294223</v>
      </c>
      <c r="O146" s="9" t="n">
        <v>0.000394</v>
      </c>
      <c r="P146" s="9" t="n">
        <v>0.672668</v>
      </c>
      <c r="Q146" s="9" t="n">
        <v>0.6834125258511889</v>
      </c>
      <c r="R146" s="9" t="n">
        <v>0.1466982596953823</v>
      </c>
      <c r="S146" s="9" t="n">
        <v>0.156587636067289</v>
      </c>
      <c r="T146" s="9" t="n">
        <v>0.045811259431654</v>
      </c>
      <c r="U146" s="9" t="n">
        <v>0.002795</v>
      </c>
      <c r="V146" s="9" t="n">
        <v>0.000947</v>
      </c>
      <c r="W146" s="9" t="n">
        <v>0.001078</v>
      </c>
      <c r="X146" s="9" t="n">
        <v>0.5935817981092033</v>
      </c>
      <c r="Y146" s="9" t="n">
        <v>0.5935817981092033</v>
      </c>
      <c r="Z146" s="9" t="n">
        <v>0.05770848988099486</v>
      </c>
      <c r="AA146" s="9" t="n">
        <v>0.22</v>
      </c>
      <c r="AB146" s="9" t="n">
        <v>0.02</v>
      </c>
      <c r="AC146" s="9" t="n">
        <v>0</v>
      </c>
      <c r="AD146" s="9" t="n">
        <v>0</v>
      </c>
      <c r="AE146" s="9" t="n">
        <v>0</v>
      </c>
      <c r="AF146" s="9" t="n">
        <v>1.886</v>
      </c>
      <c r="AG146" s="9" t="n">
        <v>0.7657624233211692</v>
      </c>
      <c r="AH146" s="9" t="n">
        <v>0.7225663175999999</v>
      </c>
      <c r="AI146" s="9" t="n">
        <v>0.7111256842379999</v>
      </c>
      <c r="AJ146" s="9" t="n">
        <v>0.6873987022735205</v>
      </c>
      <c r="AK146" s="9" t="n">
        <v>3.897059099180655</v>
      </c>
      <c r="AL146" s="9" t="n">
        <v>0</v>
      </c>
      <c r="AM146" s="9" t="n">
        <v>0</v>
      </c>
      <c r="AN146" s="9" t="n">
        <v>0</v>
      </c>
      <c r="AO146" s="9" t="n">
        <v>0</v>
      </c>
      <c r="AP146" s="9" t="n">
        <v>4.353486311000228</v>
      </c>
      <c r="AQ146" s="9" t="n">
        <v>4.177907659999999</v>
      </c>
      <c r="AR146" s="9" t="n">
        <v>4.111757455383334</v>
      </c>
      <c r="AS146" s="9" t="n">
        <v>3.974567086439293</v>
      </c>
      <c r="AT146" s="9" t="n">
        <v>3.198208649477248</v>
      </c>
      <c r="AU146" s="9" t="n">
        <v>2.3560212168</v>
      </c>
      <c r="AV146" s="9" t="n">
        <v>2.641596284602373</v>
      </c>
      <c r="AW146" s="9" t="n">
        <v>2.827731192410793</v>
      </c>
      <c r="AX146" s="9" t="n">
        <v>0.7285231404586542</v>
      </c>
      <c r="AY146" s="9" t="n">
        <v>0.5529548627999999</v>
      </c>
      <c r="AZ146" s="9" t="n">
        <v>0.6017318542981837</v>
      </c>
      <c r="BA146" s="9" t="n">
        <v>0.6441317107327339</v>
      </c>
      <c r="BB146" s="9" t="n">
        <v>5.24328580093019</v>
      </c>
      <c r="BC146" s="9" t="n">
        <v>4.161213578608354</v>
      </c>
      <c r="BD146" s="9" t="n">
        <v>5.494669490183507</v>
      </c>
      <c r="BE146" s="9" t="n">
        <v>4.585400561307896</v>
      </c>
      <c r="BF146" s="9" t="n">
        <v>0</v>
      </c>
      <c r="BG146" s="9" t="n">
        <v>0</v>
      </c>
      <c r="BH146" s="9" t="n">
        <v>0</v>
      </c>
      <c r="BI146" s="9" t="n">
        <v>0</v>
      </c>
      <c r="BJ146" s="9" t="n">
        <v>1.052812433952316</v>
      </c>
      <c r="BK146" s="9" t="n">
        <v>1.021911669999999</v>
      </c>
      <c r="BL146" s="9" t="n">
        <v>1.005731401891665</v>
      </c>
      <c r="BM146" s="9" t="n">
        <v>0.97217478684778</v>
      </c>
      <c r="BN146" s="9" t="n">
        <v>0</v>
      </c>
      <c r="BO146" s="9" t="n">
        <v>0</v>
      </c>
      <c r="BP146" s="9" t="n">
        <v>0</v>
      </c>
      <c r="BQ146" s="9" t="n">
        <v>0</v>
      </c>
      <c r="BR146" s="9" t="n">
        <v>2.850839768125347</v>
      </c>
      <c r="BS146" s="9" t="n">
        <v>0</v>
      </c>
      <c r="BT146" s="9" t="n">
        <v>0</v>
      </c>
      <c r="BU146" s="9" t="n">
        <v>0</v>
      </c>
      <c r="BV146" s="9" t="n">
        <v>0</v>
      </c>
      <c r="BW146" s="9" t="n">
        <v>4.711141499208484</v>
      </c>
      <c r="BX146" s="9" t="n">
        <v>5.963091937311164</v>
      </c>
      <c r="BY146" s="9" t="n">
        <v>4.39527982771222</v>
      </c>
      <c r="BZ146" s="9" t="n">
        <v>4.203880874698423</v>
      </c>
      <c r="CA146" s="9" t="n">
        <v>1.013475722883611</v>
      </c>
      <c r="CB146" s="9" t="n">
        <v>1.090758830537751</v>
      </c>
      <c r="CC146" s="9" t="n">
        <v>0.1</v>
      </c>
      <c r="CD146" s="9" t="n">
        <v>-3.147492625368731</v>
      </c>
      <c r="CE146" s="9" t="n">
        <v>6.978</v>
      </c>
      <c r="CF146" s="9" t="n">
        <v>7.233</v>
      </c>
      <c r="CG146" s="9" t="n">
        <v>15.111</v>
      </c>
      <c r="CH146" s="9" t="n">
        <v>0.52</v>
      </c>
      <c r="CI146" s="9" t="n">
        <v>0.17</v>
      </c>
      <c r="CJ146" s="9" t="n">
        <v>0.57</v>
      </c>
      <c r="CK146" s="9" t="n">
        <v>0.3</v>
      </c>
      <c r="CL146" s="9" t="n">
        <v>0.1</v>
      </c>
      <c r="CM146" s="9" t="n">
        <v>0.04</v>
      </c>
      <c r="CN146" s="9" t="n">
        <v>1.13</v>
      </c>
      <c r="CO146" s="9" t="n">
        <v>0</v>
      </c>
      <c r="CP146" s="9" t="n">
        <v>9.76</v>
      </c>
      <c r="CQ146" s="9" t="n">
        <v>10.949</v>
      </c>
      <c r="CR146" s="9" t="n">
        <v>3</v>
      </c>
      <c r="CS146" s="9" t="n">
        <v>1</v>
      </c>
      <c r="CT146" s="9" t="n">
        <v>0.5</v>
      </c>
      <c r="CU146" s="9" t="n">
        <v>0.3</v>
      </c>
      <c r="CV146" s="9" t="n">
        <v>0.6</v>
      </c>
      <c r="CW146" s="9" t="n">
        <v>0.8</v>
      </c>
      <c r="CX146" s="9" t="n">
        <v>0.8</v>
      </c>
      <c r="CY146" s="9" t="n">
        <v>0.7</v>
      </c>
      <c r="CZ146" s="9" t="n">
        <v>0.5</v>
      </c>
      <c r="DA146" s="9" t="n">
        <v>0.5</v>
      </c>
      <c r="DB146" s="9" t="n">
        <v>1</v>
      </c>
      <c r="DC146" s="9" t="n">
        <v>0.3</v>
      </c>
      <c r="DD146" s="9" t="n">
        <v>0.8</v>
      </c>
      <c r="DE146" s="9" t="n">
        <v>0.2801290250820311</v>
      </c>
      <c r="DF146" s="9" t="n">
        <v>2</v>
      </c>
      <c r="DG146" s="9" t="n">
        <v>2.618</v>
      </c>
      <c r="DH146" s="9" t="n">
        <v>4.268</v>
      </c>
      <c r="DI146" s="9" t="n">
        <v>3.20842</v>
      </c>
      <c r="DJ146" s="9" t="n">
        <v>21.05156187701417</v>
      </c>
      <c r="DK146" s="9" t="n">
        <v>24.25479857728425</v>
      </c>
      <c r="DL146" s="9" t="n">
        <v>15.65611451797798</v>
      </c>
      <c r="DM146" s="9" t="n">
        <v>22.22757652796479</v>
      </c>
      <c r="DN146" s="9" t="n">
        <v>12.805</v>
      </c>
      <c r="DO146" s="9" t="n">
        <v>11.482</v>
      </c>
      <c r="DP146" s="9" t="n">
        <v>24.48146</v>
      </c>
      <c r="DQ146" s="9" t="n">
        <v>13.49474620847193</v>
      </c>
      <c r="DR146" s="9" t="n">
        <v>13.49474620847193</v>
      </c>
      <c r="DS146" s="9" t="n">
        <v>0.07712000000000011</v>
      </c>
    </row>
    <row r="147">
      <c r="A147" s="9" t="inlineStr">
        <is>
          <t>SAU</t>
        </is>
      </c>
      <c r="B147" s="9" t="inlineStr">
        <is>
          <t>Saudi Arabia</t>
        </is>
      </c>
      <c r="C147" s="9" t="n">
        <v>0.005</v>
      </c>
      <c r="D147" s="9" t="n">
        <v>0.005</v>
      </c>
      <c r="E147" s="9" t="n">
        <v>0.01</v>
      </c>
      <c r="F147" s="9" t="n">
        <v>0.005</v>
      </c>
      <c r="G147" s="9" t="n">
        <v>0.005</v>
      </c>
      <c r="H147" s="9" t="n">
        <v>0.01</v>
      </c>
      <c r="I147" s="9" t="n">
        <v>0.005</v>
      </c>
      <c r="J147" s="9" t="n">
        <v>0.005</v>
      </c>
      <c r="K147" s="9" t="n">
        <v>0.01</v>
      </c>
      <c r="L147" s="9" t="n">
        <v>0.01</v>
      </c>
      <c r="M147" s="9" t="n">
        <v>0.005</v>
      </c>
      <c r="N147" s="9" t="n">
        <v>0.405995</v>
      </c>
      <c r="O147" s="9" t="n">
        <v>1.205327</v>
      </c>
      <c r="P147" s="9" t="n">
        <v>30.71804</v>
      </c>
      <c r="Q147" s="9" t="n">
        <v>8.799981981590657</v>
      </c>
      <c r="R147" s="9" t="n">
        <v>2.005390946572665</v>
      </c>
      <c r="S147" s="9" t="n">
        <v>1.228541399129859</v>
      </c>
      <c r="T147" s="9" t="n">
        <v>1.09477660875493</v>
      </c>
      <c r="U147" s="9" t="n">
        <v>0.171478</v>
      </c>
      <c r="V147" s="9" t="n">
        <v>0.067898</v>
      </c>
      <c r="W147" s="9" t="n">
        <v>0.056407</v>
      </c>
      <c r="X147" s="9" t="n">
        <v>6.967604969174156</v>
      </c>
      <c r="Y147" s="9" t="n">
        <v>6.967604969174156</v>
      </c>
      <c r="Z147" s="9" t="n">
        <v>4.789529694119567</v>
      </c>
      <c r="AA147" s="9" t="n">
        <v>97.75</v>
      </c>
      <c r="AB147" s="9" t="n">
        <v>6.2</v>
      </c>
      <c r="AC147" s="9" t="n">
        <v>0.4</v>
      </c>
      <c r="AD147" s="9" t="n">
        <v>3</v>
      </c>
      <c r="AE147" s="9" t="n">
        <v>22.58124553762555</v>
      </c>
      <c r="AF147" s="9" t="n">
        <v>558.375</v>
      </c>
      <c r="AG147" s="9" t="n">
        <v>0</v>
      </c>
      <c r="AH147" s="9" t="n">
        <v>0</v>
      </c>
      <c r="AI147" s="9" t="n">
        <v>0</v>
      </c>
      <c r="AJ147" s="9" t="n">
        <v>0</v>
      </c>
      <c r="AK147" s="9" t="n">
        <v>0</v>
      </c>
      <c r="AL147" s="9" t="n">
        <v>0</v>
      </c>
      <c r="AM147" s="9" t="n">
        <v>0</v>
      </c>
      <c r="AN147" s="9" t="n">
        <v>0</v>
      </c>
      <c r="AO147" s="9" t="n">
        <v>0</v>
      </c>
      <c r="AP147" s="9" t="n">
        <v>782.7745751213741</v>
      </c>
      <c r="AQ147" s="9" t="n">
        <v>839.0700170600002</v>
      </c>
      <c r="AR147" s="9" t="n">
        <v>879.3453778788803</v>
      </c>
      <c r="AS147" s="9" t="n">
        <v>932.1061005516128</v>
      </c>
      <c r="AT147" s="9" t="n">
        <v>686.9313808723483</v>
      </c>
      <c r="AU147" s="9" t="n">
        <v>614.9000174328</v>
      </c>
      <c r="AV147" s="9" t="n">
        <v>688.6492405988529</v>
      </c>
      <c r="AW147" s="9" t="n">
        <v>671.4613380609387</v>
      </c>
      <c r="AX147" s="9" t="n">
        <v>562.2590440735438</v>
      </c>
      <c r="AY147" s="9" t="n">
        <v>512.9388016704</v>
      </c>
      <c r="AZ147" s="9" t="n">
        <v>563.6651265361768</v>
      </c>
      <c r="BA147" s="9" t="n">
        <v>549.5966854666708</v>
      </c>
      <c r="BB147" s="9" t="n">
        <v>1044.419048452465</v>
      </c>
      <c r="BC147" s="9" t="n">
        <v>898.2258165718137</v>
      </c>
      <c r="BD147" s="9" t="n">
        <v>990.21012162</v>
      </c>
      <c r="BE147" s="9" t="n">
        <v>1023.394205975374</v>
      </c>
      <c r="BF147" s="9" t="n">
        <v>44.6601462585885</v>
      </c>
      <c r="BG147" s="9" t="n">
        <v>45.20609819131264</v>
      </c>
      <c r="BH147" s="9" t="n">
        <v>47.37599090449562</v>
      </c>
      <c r="BI147" s="9" t="n">
        <v>50.21855035876537</v>
      </c>
      <c r="BJ147" s="9" t="n">
        <v>72.15598307719802</v>
      </c>
      <c r="BK147" s="9" t="n">
        <v>66.32774608999988</v>
      </c>
      <c r="BL147" s="9" t="n">
        <v>69.51147790231987</v>
      </c>
      <c r="BM147" s="9" t="n">
        <v>73.68216657645907</v>
      </c>
      <c r="BN147" s="9" t="n">
        <v>1094.090543078482</v>
      </c>
      <c r="BO147" s="9" t="n">
        <v>976.4683810488</v>
      </c>
      <c r="BP147" s="9" t="n">
        <v>1023.338863339142</v>
      </c>
      <c r="BQ147" s="9" t="n">
        <v>1084.739195139491</v>
      </c>
      <c r="BR147" s="9" t="n">
        <v>3676.820885516163</v>
      </c>
      <c r="BS147" s="9" t="n">
        <v>0</v>
      </c>
      <c r="BT147" s="9" t="n">
        <v>0</v>
      </c>
      <c r="BU147" s="9" t="n">
        <v>0</v>
      </c>
      <c r="BV147" s="9" t="n">
        <v>0</v>
      </c>
      <c r="BW147" s="9" t="n">
        <v>964.0616319872508</v>
      </c>
      <c r="BX147" s="9" t="n">
        <v>2450.629638842882</v>
      </c>
      <c r="BY147" s="9" t="n">
        <v>1714.91606769025</v>
      </c>
      <c r="BZ147" s="9" t="n">
        <v>1376.187767685911</v>
      </c>
      <c r="CA147" s="9" t="n">
        <v>0.5455972576308711</v>
      </c>
      <c r="CB147" s="9" t="n">
        <v>346.9973402627478</v>
      </c>
      <c r="CC147" s="9" t="n">
        <v>4.58</v>
      </c>
      <c r="CD147" s="9" t="n">
        <v>0.6351551422581296</v>
      </c>
      <c r="CE147" s="9" t="n">
        <v>4.502</v>
      </c>
      <c r="CF147" s="9" t="n">
        <v>3.115</v>
      </c>
      <c r="CG147" s="9" t="n">
        <v>1254.141</v>
      </c>
      <c r="CH147" s="9" t="n">
        <v>0</v>
      </c>
      <c r="CI147" s="9" t="n">
        <v>0</v>
      </c>
      <c r="CJ147" s="9" t="n">
        <v>444.8200000000001</v>
      </c>
      <c r="CK147" s="9" t="n">
        <v>287.98</v>
      </c>
      <c r="CL147" s="9" t="n">
        <v>156.84</v>
      </c>
      <c r="CM147" s="9" t="n">
        <v>8.23</v>
      </c>
      <c r="CN147" s="9" t="n">
        <v>454.64</v>
      </c>
      <c r="CO147" s="9" t="n">
        <v>1.59</v>
      </c>
      <c r="CP147" s="9" t="n">
        <v>764.069</v>
      </c>
      <c r="CQ147" s="9" t="n">
        <v>764.069</v>
      </c>
      <c r="CR147" s="9" t="n">
        <v>3</v>
      </c>
      <c r="CS147" s="9" t="n">
        <v>4</v>
      </c>
      <c r="CT147" s="9" t="n">
        <v>0.5</v>
      </c>
      <c r="CU147" s="9" t="n">
        <v>0.3</v>
      </c>
      <c r="CV147" s="9" t="n">
        <v>0.6</v>
      </c>
      <c r="CW147" s="9" t="n">
        <v>0.8</v>
      </c>
      <c r="CX147" s="9" t="n">
        <v>0.8</v>
      </c>
      <c r="CY147" s="9" t="n">
        <v>0.7</v>
      </c>
      <c r="CZ147" s="9" t="n">
        <v>0.5</v>
      </c>
      <c r="DA147" s="9" t="n">
        <v>0.5</v>
      </c>
      <c r="DB147" s="9" t="n">
        <v>1</v>
      </c>
      <c r="DC147" s="9" t="n">
        <v>0.3</v>
      </c>
      <c r="DD147" s="9" t="n">
        <v>0.8</v>
      </c>
      <c r="DE147" s="9" t="n">
        <v>0.4938791856871474</v>
      </c>
      <c r="DF147" s="9" t="n">
        <v>2</v>
      </c>
      <c r="DG147" s="9" t="n">
        <v>7.124</v>
      </c>
      <c r="DH147" s="9" t="n">
        <v>5.575</v>
      </c>
      <c r="DI147" s="9" t="n">
        <v>14.02195</v>
      </c>
      <c r="DJ147" s="9" t="n">
        <v>21.04574343233001</v>
      </c>
      <c r="DK147" s="9" t="n">
        <v>23.67761384557048</v>
      </c>
      <c r="DL147" s="9" t="n">
        <v>19.8628674544499</v>
      </c>
      <c r="DM147" s="9" t="n">
        <v>22.61675888687909</v>
      </c>
      <c r="DN147" s="9" t="n">
        <v>5.307</v>
      </c>
      <c r="DO147" s="9" t="n">
        <v>4.646</v>
      </c>
      <c r="DP147" s="9" t="n">
        <v>10.6697</v>
      </c>
      <c r="DQ147" s="9" t="n">
        <v>14.11516989415954</v>
      </c>
      <c r="DR147" s="9" t="n">
        <v>14.11516989415954</v>
      </c>
      <c r="DS147" s="9" t="n">
        <v>0.042</v>
      </c>
    </row>
    <row r="148">
      <c r="A148" s="9" t="inlineStr">
        <is>
          <t>SDN</t>
        </is>
      </c>
      <c r="B148" s="9" t="inlineStr">
        <is>
          <t>Sudan</t>
        </is>
      </c>
      <c r="C148" s="9" t="n">
        <v>0.005</v>
      </c>
      <c r="D148" s="9" t="n">
        <v>0.005</v>
      </c>
      <c r="E148" s="9" t="n">
        <v>0.01</v>
      </c>
      <c r="F148" s="9" t="n">
        <v>0.005</v>
      </c>
      <c r="G148" s="9" t="n">
        <v>0.005</v>
      </c>
      <c r="H148" s="9" t="n">
        <v>0.01</v>
      </c>
      <c r="I148" s="9" t="n">
        <v>0.005</v>
      </c>
      <c r="J148" s="9" t="n">
        <v>0.005</v>
      </c>
      <c r="K148" s="9" t="n">
        <v>0.01</v>
      </c>
      <c r="L148" s="9" t="n">
        <v>0.01</v>
      </c>
      <c r="M148" s="9" t="n">
        <v>0.005</v>
      </c>
      <c r="N148" s="9" t="n">
        <v>0.001821</v>
      </c>
      <c r="O148" s="9" t="n">
        <v>0.123093</v>
      </c>
      <c r="P148" s="9" t="n">
        <v>0.967977</v>
      </c>
      <c r="Q148" s="9" t="n">
        <v>0.909339783494869</v>
      </c>
      <c r="R148" s="9" t="n">
        <v>0.2691755786574335</v>
      </c>
      <c r="S148" s="9" t="n">
        <v>0.2654651837303847</v>
      </c>
      <c r="T148" s="9" t="n">
        <v>0.06547790509791029</v>
      </c>
      <c r="U148" s="9" t="n">
        <v>0.00083</v>
      </c>
      <c r="V148" s="9" t="n">
        <v>0.004772</v>
      </c>
      <c r="W148" s="9" t="n">
        <v>0.00199</v>
      </c>
      <c r="X148" s="9" t="n">
        <v>1.923742475380973</v>
      </c>
      <c r="Y148" s="9" t="n">
        <v>1.923742475380973</v>
      </c>
      <c r="Z148" s="9" t="n">
        <v>0.1113459553285875</v>
      </c>
      <c r="AA148" s="9" t="n">
        <v>2.15</v>
      </c>
      <c r="AB148" s="9" t="n">
        <v>0.19</v>
      </c>
      <c r="AC148" s="9" t="n">
        <v>0</v>
      </c>
      <c r="AD148" s="9" t="n">
        <v>0</v>
      </c>
      <c r="AE148" s="9" t="n">
        <v>0</v>
      </c>
      <c r="AF148" s="9" t="n">
        <v>21.145</v>
      </c>
      <c r="AG148" s="9" t="n">
        <v>0</v>
      </c>
      <c r="AH148" s="9" t="n">
        <v>0</v>
      </c>
      <c r="AI148" s="9" t="n">
        <v>0</v>
      </c>
      <c r="AJ148" s="9" t="n">
        <v>0</v>
      </c>
      <c r="AK148" s="9" t="n">
        <v>0</v>
      </c>
      <c r="AL148" s="9" t="n">
        <v>0</v>
      </c>
      <c r="AM148" s="9" t="n">
        <v>0</v>
      </c>
      <c r="AN148" s="9" t="n">
        <v>0</v>
      </c>
      <c r="AO148" s="9" t="n">
        <v>0</v>
      </c>
      <c r="AP148" s="9" t="n">
        <v>113.6892478315946</v>
      </c>
      <c r="AQ148" s="9" t="n">
        <v>112.11389148</v>
      </c>
      <c r="AR148" s="9" t="n">
        <v>104.0767341608704</v>
      </c>
      <c r="AS148" s="9" t="n">
        <v>110.9160624057276</v>
      </c>
      <c r="AT148" s="9" t="n">
        <v>14.4392133450014</v>
      </c>
      <c r="AU148" s="9" t="n">
        <v>18.2123999676</v>
      </c>
      <c r="AV148" s="9" t="n">
        <v>15.15889127948411</v>
      </c>
      <c r="AW148" s="9" t="n">
        <v>13.79778835009025</v>
      </c>
      <c r="AX148" s="9" t="n">
        <v>25.05943991217427</v>
      </c>
      <c r="AY148" s="9" t="n">
        <v>31.1054412276</v>
      </c>
      <c r="AZ148" s="9" t="n">
        <v>26.30845019579408</v>
      </c>
      <c r="BA148" s="9" t="n">
        <v>23.94623860860692</v>
      </c>
      <c r="BB148" s="9" t="n">
        <v>57.79860118170841</v>
      </c>
      <c r="BC148" s="9" t="n">
        <v>54.69008175122401</v>
      </c>
      <c r="BD148" s="9" t="n">
        <v>56.00379559</v>
      </c>
      <c r="BE148" s="9" t="n">
        <v>56.82650140919199</v>
      </c>
      <c r="BF148" s="9" t="n">
        <v>1.93656794545414</v>
      </c>
      <c r="BG148" s="9" t="n">
        <v>2.038728299999996</v>
      </c>
      <c r="BH148" s="9" t="n">
        <v>1.892577097309965</v>
      </c>
      <c r="BI148" s="9" t="n">
        <v>2.016946449418906</v>
      </c>
      <c r="BJ148" s="9" t="n">
        <v>7.371504371693549</v>
      </c>
      <c r="BK148" s="9" t="n">
        <v>7.336300329999991</v>
      </c>
      <c r="BL148" s="9" t="n">
        <v>6.810379776228912</v>
      </c>
      <c r="BM148" s="9" t="n">
        <v>7.257919018666811</v>
      </c>
      <c r="BN148" s="9" t="n">
        <v>0</v>
      </c>
      <c r="BO148" s="9" t="n">
        <v>0</v>
      </c>
      <c r="BP148" s="9" t="n">
        <v>0</v>
      </c>
      <c r="BQ148" s="9" t="n">
        <v>0</v>
      </c>
      <c r="BR148" s="9" t="n">
        <v>0</v>
      </c>
      <c r="BS148" s="9" t="n">
        <v>0</v>
      </c>
      <c r="BT148" s="9" t="n">
        <v>0</v>
      </c>
      <c r="BU148" s="9" t="n">
        <v>0</v>
      </c>
      <c r="BV148" s="9" t="n">
        <v>0</v>
      </c>
      <c r="BW148" s="9" t="n">
        <v>64.07558126668516</v>
      </c>
      <c r="BX148" s="9" t="n">
        <v>103.1203154291601</v>
      </c>
      <c r="BY148" s="9" t="n">
        <v>69.28933439464299</v>
      </c>
      <c r="BZ148" s="9" t="n">
        <v>55.88501597096997</v>
      </c>
      <c r="CA148" s="9" t="n">
        <v>1.000001015175025</v>
      </c>
      <c r="CB148" s="9" t="n">
        <v>10.97184812699324</v>
      </c>
      <c r="CC148" s="9" t="n">
        <v>0</v>
      </c>
      <c r="CD148" s="9" t="n">
        <v>5.677730218657202</v>
      </c>
      <c r="CE148" s="9" t="n">
        <v>3.225</v>
      </c>
      <c r="CF148" s="9" t="n">
        <v>0.713</v>
      </c>
      <c r="CG148" s="9" t="n">
        <v>29.156</v>
      </c>
      <c r="CH148" s="9" t="n">
        <v>11.61</v>
      </c>
      <c r="CI148" s="9" t="n">
        <v>0</v>
      </c>
      <c r="CJ148" s="9" t="n">
        <v>3</v>
      </c>
      <c r="CK148" s="9" t="n">
        <v>0</v>
      </c>
      <c r="CL148" s="9" t="n">
        <v>3</v>
      </c>
      <c r="CM148" s="9" t="n">
        <v>0.16</v>
      </c>
      <c r="CN148" s="9" t="n">
        <v>14.77</v>
      </c>
      <c r="CO148" s="9" t="n">
        <v>0</v>
      </c>
      <c r="CP148" s="9" t="n">
        <v>143.551</v>
      </c>
      <c r="CQ148" s="9" t="n">
        <v>163.544</v>
      </c>
      <c r="CR148" s="9" t="n">
        <v>3</v>
      </c>
      <c r="CS148" s="9" t="n">
        <v>2</v>
      </c>
      <c r="CT148" s="9" t="n">
        <v>0.5</v>
      </c>
      <c r="CU148" s="9" t="n">
        <v>0.3</v>
      </c>
      <c r="CV148" s="9" t="n">
        <v>0.6</v>
      </c>
      <c r="CW148" s="9" t="n">
        <v>0.8</v>
      </c>
      <c r="CX148" s="9" t="n">
        <v>0.8</v>
      </c>
      <c r="CY148" s="9" t="n">
        <v>0.7</v>
      </c>
      <c r="CZ148" s="9" t="n">
        <v>0.5</v>
      </c>
      <c r="DA148" s="9" t="n">
        <v>0.5</v>
      </c>
      <c r="DB148" s="9" t="n">
        <v>1</v>
      </c>
      <c r="DC148" s="9" t="n">
        <v>0.3</v>
      </c>
      <c r="DD148" s="9" t="n">
        <v>0.8</v>
      </c>
      <c r="DE148" s="9" t="n">
        <v>0.2528883183568678</v>
      </c>
      <c r="DF148" s="9" t="n">
        <v>1</v>
      </c>
      <c r="DG148" s="9" t="n">
        <v>7.124</v>
      </c>
      <c r="DH148" s="9" t="n">
        <v>5.575</v>
      </c>
      <c r="DI148" s="9" t="n">
        <v>14.26581</v>
      </c>
      <c r="DJ148" s="9" t="n">
        <v>21.82412799076771</v>
      </c>
      <c r="DK148" s="9" t="n">
        <v>24.22322842549016</v>
      </c>
      <c r="DL148" s="9" t="n">
        <v>18.31765398603424</v>
      </c>
      <c r="DM148" s="9" t="n">
        <v>21.579042703716</v>
      </c>
      <c r="DN148" s="9" t="n">
        <v>12.442</v>
      </c>
      <c r="DO148" s="9" t="n">
        <v>11.119</v>
      </c>
      <c r="DP148" s="9" t="n">
        <v>23.84928</v>
      </c>
      <c r="DQ148" s="9" t="n">
        <v>13.49474620847193</v>
      </c>
      <c r="DR148" s="9" t="n">
        <v>13.49474620847193</v>
      </c>
      <c r="DS148" s="9" t="n">
        <v>0.105</v>
      </c>
    </row>
    <row r="149">
      <c r="A149" s="9" t="inlineStr">
        <is>
          <t>SEN</t>
        </is>
      </c>
      <c r="B149" s="9" t="inlineStr">
        <is>
          <t>Senegal</t>
        </is>
      </c>
      <c r="C149" s="9" t="n">
        <v>0.005</v>
      </c>
      <c r="D149" s="9" t="n">
        <v>0.005</v>
      </c>
      <c r="E149" s="9" t="n">
        <v>0.01</v>
      </c>
      <c r="F149" s="9" t="n">
        <v>0.005</v>
      </c>
      <c r="G149" s="9" t="n">
        <v>0.005</v>
      </c>
      <c r="H149" s="9" t="n">
        <v>0.01</v>
      </c>
      <c r="I149" s="9" t="n">
        <v>0.005</v>
      </c>
      <c r="J149" s="9" t="n">
        <v>0.005</v>
      </c>
      <c r="K149" s="9" t="n">
        <v>0.01</v>
      </c>
      <c r="L149" s="9" t="n">
        <v>0.01</v>
      </c>
      <c r="M149" s="9" t="n">
        <v>0.005</v>
      </c>
      <c r="N149" s="9" t="n">
        <v>0.06443</v>
      </c>
      <c r="O149" s="9" t="n">
        <v>6.1e-05</v>
      </c>
      <c r="P149" s="9" t="n">
        <v>0.391467</v>
      </c>
      <c r="Q149" s="9" t="n">
        <v>0.1976930537155059</v>
      </c>
      <c r="R149" s="9" t="n">
        <v>0.044667189404325</v>
      </c>
      <c r="S149" s="9" t="n">
        <v>0.0410343847518576</v>
      </c>
      <c r="T149" s="9" t="n">
        <v>0.0132662580233917</v>
      </c>
      <c r="U149" s="9" t="n">
        <v>0.000911</v>
      </c>
      <c r="V149" s="9" t="n">
        <v>0</v>
      </c>
      <c r="W149" s="9" t="n">
        <v>0.000736</v>
      </c>
      <c r="X149" s="9" t="n">
        <v>0.1241722326884698</v>
      </c>
      <c r="Y149" s="9" t="n">
        <v>0.1241722326884698</v>
      </c>
      <c r="Z149" s="9" t="n">
        <v>0.1253730404541844</v>
      </c>
      <c r="AA149" s="9" t="n">
        <v>1.45</v>
      </c>
      <c r="AB149" s="9" t="n">
        <v>0.27</v>
      </c>
      <c r="AC149" s="9" t="n">
        <v>0.16</v>
      </c>
      <c r="AD149" s="9" t="n">
        <v>0</v>
      </c>
      <c r="AE149" s="9" t="n">
        <v>0</v>
      </c>
      <c r="AF149" s="9" t="n">
        <v>12.667</v>
      </c>
      <c r="AG149" s="9" t="n">
        <v>16.10747661941253</v>
      </c>
      <c r="AH149" s="9" t="n">
        <v>14.7834819432</v>
      </c>
      <c r="AI149" s="9" t="n">
        <v>15.47512988359446</v>
      </c>
      <c r="AJ149" s="9" t="n">
        <v>14.31249577153888</v>
      </c>
      <c r="AK149" s="9" t="n">
        <v>11.95975178216963</v>
      </c>
      <c r="AL149" s="9" t="n">
        <v>0</v>
      </c>
      <c r="AM149" s="9" t="n">
        <v>0</v>
      </c>
      <c r="AN149" s="9" t="n">
        <v>0</v>
      </c>
      <c r="AO149" s="9" t="n">
        <v>0</v>
      </c>
      <c r="AP149" s="9" t="n">
        <v>44.80647199747909</v>
      </c>
      <c r="AQ149" s="9" t="n">
        <v>43.47851965000001</v>
      </c>
      <c r="AR149" s="9" t="n">
        <v>45.51267024340296</v>
      </c>
      <c r="AS149" s="9" t="n">
        <v>42.09333978519384</v>
      </c>
      <c r="AT149" s="9" t="n">
        <v>12.81660490684731</v>
      </c>
      <c r="AU149" s="9" t="n">
        <v>10.4307548724</v>
      </c>
      <c r="AV149" s="9" t="n">
        <v>11.48260299127706</v>
      </c>
      <c r="AW149" s="9" t="n">
        <v>11.9625487362475</v>
      </c>
      <c r="AX149" s="9" t="n">
        <v>11.0005505805083</v>
      </c>
      <c r="AY149" s="9" t="n">
        <v>9.010223873999999</v>
      </c>
      <c r="AZ149" s="9" t="n">
        <v>9.855570638208183</v>
      </c>
      <c r="BA149" s="9" t="n">
        <v>10.26751026510784</v>
      </c>
      <c r="BB149" s="9" t="n">
        <v>19.59946778481635</v>
      </c>
      <c r="BC149" s="9" t="n">
        <v>12.68467948811015</v>
      </c>
      <c r="BD149" s="9" t="n">
        <v>16.45456995</v>
      </c>
      <c r="BE149" s="9" t="n">
        <v>13.67076662777704</v>
      </c>
      <c r="BF149" s="9" t="n">
        <v>0.3801948850904248</v>
      </c>
      <c r="BG149" s="9" t="n">
        <v>0.3649406199999994</v>
      </c>
      <c r="BH149" s="9" t="n">
        <v>0.3820144344882959</v>
      </c>
      <c r="BI149" s="9" t="n">
        <v>0.3533139960315846</v>
      </c>
      <c r="BJ149" s="9" t="n">
        <v>9.043608059838521</v>
      </c>
      <c r="BK149" s="9" t="n">
        <v>8.76800237999999</v>
      </c>
      <c r="BL149" s="9" t="n">
        <v>9.178214995052434</v>
      </c>
      <c r="BM149" s="9" t="n">
        <v>8.488663054532667</v>
      </c>
      <c r="BN149" s="9" t="n">
        <v>0</v>
      </c>
      <c r="BO149" s="9" t="n">
        <v>0</v>
      </c>
      <c r="BP149" s="9" t="n">
        <v>0</v>
      </c>
      <c r="BQ149" s="9" t="n">
        <v>0</v>
      </c>
      <c r="BR149" s="9" t="n">
        <v>44.77520588580011</v>
      </c>
      <c r="BS149" s="9" t="n">
        <v>0</v>
      </c>
      <c r="BT149" s="9" t="n">
        <v>0</v>
      </c>
      <c r="BU149" s="9" t="n">
        <v>0</v>
      </c>
      <c r="BV149" s="9" t="n">
        <v>0</v>
      </c>
      <c r="BW149" s="9" t="n">
        <v>10.75751941531321</v>
      </c>
      <c r="BX149" s="9" t="n">
        <v>46.61119515239199</v>
      </c>
      <c r="BY149" s="9" t="n">
        <v>11.51484652259478</v>
      </c>
      <c r="BZ149" s="9" t="n">
        <v>10.60836056430629</v>
      </c>
      <c r="CA149" s="9" t="n">
        <v>1.166700981401414</v>
      </c>
      <c r="CB149" s="9" t="n">
        <v>6.615876524265447</v>
      </c>
      <c r="CC149" s="9" t="n">
        <v>0.044</v>
      </c>
      <c r="CD149" s="9" t="n">
        <v>-0.1599896095308972</v>
      </c>
      <c r="CE149" s="9" t="n">
        <v>7.881</v>
      </c>
      <c r="CF149" s="9" t="n">
        <v>2.173</v>
      </c>
      <c r="CG149" s="9" t="n">
        <v>32.829</v>
      </c>
      <c r="CH149" s="9" t="n">
        <v>0.42</v>
      </c>
      <c r="CI149" s="9" t="n">
        <v>0.1</v>
      </c>
      <c r="CJ149" s="9" t="n">
        <v>6.12</v>
      </c>
      <c r="CK149" s="9" t="n">
        <v>0.02</v>
      </c>
      <c r="CL149" s="9" t="n">
        <v>6</v>
      </c>
      <c r="CM149" s="9" t="n">
        <v>0.68</v>
      </c>
      <c r="CN149" s="9" t="n">
        <v>7.63</v>
      </c>
      <c r="CO149" s="9" t="n">
        <v>0.41</v>
      </c>
      <c r="CP149" s="9" t="n">
        <v>32.036</v>
      </c>
      <c r="CQ149" s="9" t="n">
        <v>36.347</v>
      </c>
      <c r="CR149" s="9" t="n">
        <v>3</v>
      </c>
      <c r="CS149" s="9" t="n">
        <v>1</v>
      </c>
      <c r="CT149" s="9" t="n">
        <v>0.5</v>
      </c>
      <c r="CU149" s="9" t="n">
        <v>0.3</v>
      </c>
      <c r="CV149" s="9" t="n">
        <v>0.6</v>
      </c>
      <c r="CW149" s="9" t="n">
        <v>0.8</v>
      </c>
      <c r="CX149" s="9" t="n">
        <v>0.8</v>
      </c>
      <c r="CY149" s="9" t="n">
        <v>0.7</v>
      </c>
      <c r="CZ149" s="9" t="n">
        <v>0.5</v>
      </c>
      <c r="DA149" s="9" t="n">
        <v>0.5</v>
      </c>
      <c r="DB149" s="9" t="n">
        <v>1</v>
      </c>
      <c r="DC149" s="9" t="n">
        <v>0.3</v>
      </c>
      <c r="DD149" s="9" t="n">
        <v>0.8</v>
      </c>
      <c r="DE149" s="9" t="n">
        <v>0.349148107970136</v>
      </c>
      <c r="DF149" s="9" t="n">
        <v>2</v>
      </c>
      <c r="DG149" s="9" t="n">
        <v>7.124</v>
      </c>
      <c r="DH149" s="9" t="n">
        <v>5.575</v>
      </c>
      <c r="DI149" s="9" t="n">
        <v>14.38774</v>
      </c>
      <c r="DJ149" s="9" t="n">
        <v>22.38406614901278</v>
      </c>
      <c r="DK149" s="9" t="n">
        <v>23.71158607413152</v>
      </c>
      <c r="DL149" s="9" t="n">
        <v>18.47421513121402</v>
      </c>
      <c r="DM149" s="9" t="n">
        <v>23.19772013371048</v>
      </c>
      <c r="DN149" s="9" t="n">
        <v>6.274</v>
      </c>
      <c r="DO149" s="9" t="n">
        <v>5.613</v>
      </c>
      <c r="DP149" s="9" t="n">
        <v>12.0891</v>
      </c>
      <c r="DQ149" s="9" t="n">
        <v>13.49474620847193</v>
      </c>
      <c r="DR149" s="9" t="n">
        <v>13.49474620847193</v>
      </c>
      <c r="DS149" s="9" t="n">
        <v>0.07693</v>
      </c>
    </row>
    <row r="150">
      <c r="A150" s="9" t="inlineStr">
        <is>
          <t>SGP</t>
        </is>
      </c>
      <c r="B150" s="9" t="inlineStr">
        <is>
          <t>Singapore</t>
        </is>
      </c>
      <c r="C150" s="9" t="n">
        <v>0.005</v>
      </c>
      <c r="D150" s="9" t="n">
        <v>0.005</v>
      </c>
      <c r="E150" s="9" t="n">
        <v>0.01</v>
      </c>
      <c r="F150" s="9" t="n">
        <v>0.005</v>
      </c>
      <c r="G150" s="9" t="n">
        <v>0.005</v>
      </c>
      <c r="H150" s="9" t="n">
        <v>0.01</v>
      </c>
      <c r="I150" s="9" t="n">
        <v>0.005</v>
      </c>
      <c r="J150" s="9" t="n">
        <v>0.005</v>
      </c>
      <c r="K150" s="9" t="n">
        <v>0.01</v>
      </c>
      <c r="L150" s="9" t="n">
        <v>0.01</v>
      </c>
      <c r="M150" s="9" t="n">
        <v>0.005</v>
      </c>
      <c r="N150" s="9" t="n">
        <v>14.543047</v>
      </c>
      <c r="O150" s="9" t="n">
        <v>0.016078</v>
      </c>
      <c r="P150" s="9" t="n">
        <v>200.268372</v>
      </c>
      <c r="Q150" s="9" t="n">
        <v>19.08487394755195</v>
      </c>
      <c r="R150" s="9" t="n">
        <v>6.10502108394286</v>
      </c>
      <c r="S150" s="9" t="n">
        <v>41.32485733339682</v>
      </c>
      <c r="T150" s="9" t="n">
        <v>7.828837794067385</v>
      </c>
      <c r="U150" s="9" t="n">
        <v>0.548776</v>
      </c>
      <c r="V150" s="9" t="n">
        <v>0.380099</v>
      </c>
      <c r="W150" s="9" t="n">
        <v>0.407341</v>
      </c>
      <c r="X150" s="9" t="n">
        <v>7.562689186225628</v>
      </c>
      <c r="Y150" s="9" t="n">
        <v>7.562689186225628</v>
      </c>
      <c r="Z150" s="9" t="n">
        <v>4.817850138568617</v>
      </c>
      <c r="AA150" s="9" t="n">
        <v>11.91</v>
      </c>
      <c r="AB150" s="9" t="n">
        <v>1.52</v>
      </c>
      <c r="AC150" s="9" t="n">
        <v>0</v>
      </c>
      <c r="AD150" s="9" t="n">
        <v>0</v>
      </c>
      <c r="AE150" s="9" t="n">
        <v>0</v>
      </c>
      <c r="AF150" s="9" t="n">
        <v>56.66</v>
      </c>
      <c r="AG150" s="9" t="n">
        <v>7.900764934499285</v>
      </c>
      <c r="AH150" s="9" t="n">
        <v>7.7288286132</v>
      </c>
      <c r="AI150" s="9" t="n">
        <v>7.677303089111999</v>
      </c>
      <c r="AJ150" s="9" t="n">
        <v>8.054368346545814</v>
      </c>
      <c r="AK150" s="9" t="n">
        <v>44.77909501946736</v>
      </c>
      <c r="AL150" s="9" t="n">
        <v>0</v>
      </c>
      <c r="AM150" s="9" t="n">
        <v>0</v>
      </c>
      <c r="AN150" s="9" t="n">
        <v>0</v>
      </c>
      <c r="AO150" s="9" t="n">
        <v>0</v>
      </c>
      <c r="AP150" s="9" t="n">
        <v>51.72750339257185</v>
      </c>
      <c r="AQ150" s="9" t="n">
        <v>49.73625532000001</v>
      </c>
      <c r="AR150" s="9" t="n">
        <v>49.40468028453334</v>
      </c>
      <c r="AS150" s="9" t="n">
        <v>51.83115586765084</v>
      </c>
      <c r="AT150" s="9" t="n">
        <v>162.6281623120145</v>
      </c>
      <c r="AU150" s="9" t="n">
        <v>162.7408783188</v>
      </c>
      <c r="AV150" s="9" t="n">
        <v>163.9172687949776</v>
      </c>
      <c r="AW150" s="9" t="n">
        <v>165.1993034460441</v>
      </c>
      <c r="AX150" s="9" t="n">
        <v>29.667175206629</v>
      </c>
      <c r="AY150" s="9" t="n">
        <v>29.7997206588</v>
      </c>
      <c r="AZ150" s="9" t="n">
        <v>29.92874071994113</v>
      </c>
      <c r="BA150" s="9" t="n">
        <v>30.14769973003569</v>
      </c>
      <c r="BB150" s="9" t="n">
        <v>36.90155872702192</v>
      </c>
      <c r="BC150" s="9" t="n">
        <v>35.43641911912425</v>
      </c>
      <c r="BD150" s="9" t="n">
        <v>35.03244334999999</v>
      </c>
      <c r="BE150" s="9" t="n">
        <v>36.84091724626713</v>
      </c>
      <c r="BF150" s="9" t="n">
        <v>0</v>
      </c>
      <c r="BG150" s="9" t="n">
        <v>0</v>
      </c>
      <c r="BH150" s="9" t="n">
        <v>0</v>
      </c>
      <c r="BI150" s="9" t="n">
        <v>0</v>
      </c>
      <c r="BJ150" s="9" t="n">
        <v>1.191776354596756</v>
      </c>
      <c r="BK150" s="9" t="n">
        <v>1.120078435535306</v>
      </c>
      <c r="BL150" s="9" t="n">
        <v>1.112611245965071</v>
      </c>
      <c r="BM150" s="9" t="n">
        <v>1.167256352588327</v>
      </c>
      <c r="BN150" s="9" t="n">
        <v>60.55899789972196</v>
      </c>
      <c r="BO150" s="9" t="n">
        <v>59.33933636759999</v>
      </c>
      <c r="BP150" s="9" t="n">
        <v>58.94374079181598</v>
      </c>
      <c r="BQ150" s="9" t="n">
        <v>61.83872051813404</v>
      </c>
      <c r="BR150" s="9" t="n">
        <v>289.8720006254356</v>
      </c>
      <c r="BS150" s="9" t="n">
        <v>6.754288267478205</v>
      </c>
      <c r="BT150" s="9" t="n">
        <v>6.6789927</v>
      </c>
      <c r="BU150" s="9" t="n">
        <v>6.634466082</v>
      </c>
      <c r="BV150" s="9" t="n">
        <v>6.960313144713086</v>
      </c>
      <c r="BW150" s="9" t="n">
        <v>218.3038496433056</v>
      </c>
      <c r="BX150" s="9" t="n">
        <v>208.1944178142488</v>
      </c>
      <c r="BY150" s="9" t="n">
        <v>211.1134678857448</v>
      </c>
      <c r="BZ150" s="9" t="n">
        <v>220.1744005725289</v>
      </c>
      <c r="CA150" s="9" t="n">
        <v>1.000880062515716</v>
      </c>
      <c r="CB150" s="9" t="n">
        <v>53.41537153295651</v>
      </c>
      <c r="CC150" s="9" t="n">
        <v>0.005</v>
      </c>
      <c r="CD150" s="9" t="n">
        <v>0.4642732592271881</v>
      </c>
      <c r="CE150" s="9" t="n">
        <v>5.023</v>
      </c>
      <c r="CF150" s="9" t="n">
        <v>3.507</v>
      </c>
      <c r="CG150" s="9" t="n">
        <v>572.877</v>
      </c>
      <c r="CH150" s="9" t="n">
        <v>1.66</v>
      </c>
      <c r="CI150" s="9" t="n">
        <v>0.57</v>
      </c>
      <c r="CJ150" s="9" t="n">
        <v>56.85</v>
      </c>
      <c r="CK150" s="9" t="n">
        <v>54.81</v>
      </c>
      <c r="CL150" s="9" t="n">
        <v>1.47</v>
      </c>
      <c r="CM150" s="9" t="n">
        <v>1.64</v>
      </c>
      <c r="CN150" s="9" t="n">
        <v>60.15</v>
      </c>
      <c r="CO150" s="9" t="n">
        <v>0</v>
      </c>
      <c r="CP150" s="9" t="n">
        <v>74.39</v>
      </c>
      <c r="CQ150" s="9" t="n">
        <v>74.42100000000001</v>
      </c>
      <c r="CR150" s="9" t="n">
        <v>1</v>
      </c>
      <c r="CS150" s="9" t="n">
        <v>4</v>
      </c>
      <c r="CT150" s="9" t="n">
        <v>0.5</v>
      </c>
      <c r="CU150" s="9" t="n">
        <v>0.3</v>
      </c>
      <c r="CV150" s="9" t="n">
        <v>0.6</v>
      </c>
      <c r="CW150" s="9" t="n">
        <v>0.8</v>
      </c>
      <c r="CX150" s="9" t="n">
        <v>0.8</v>
      </c>
      <c r="CY150" s="9" t="n">
        <v>0.7</v>
      </c>
      <c r="CZ150" s="9" t="n">
        <v>0.5</v>
      </c>
      <c r="DA150" s="9" t="n">
        <v>0.5</v>
      </c>
      <c r="DB150" s="9" t="n">
        <v>1</v>
      </c>
      <c r="DC150" s="9" t="n">
        <v>0.3</v>
      </c>
      <c r="DD150" s="9" t="n">
        <v>0.8</v>
      </c>
      <c r="DE150" s="9" t="n">
        <v>0.6195863778536294</v>
      </c>
      <c r="DF150" s="9" t="n">
        <v>3</v>
      </c>
      <c r="DG150" s="9" t="n">
        <v>7.124</v>
      </c>
      <c r="DH150" s="9" t="n">
        <v>4.833</v>
      </c>
      <c r="DI150" s="9" t="n">
        <v>12.25257</v>
      </c>
      <c r="DJ150" s="9" t="n">
        <v>20.20314147749348</v>
      </c>
      <c r="DK150" s="9" t="n">
        <v>22.12226913897558</v>
      </c>
      <c r="DL150" s="9" t="n">
        <v>17.48398575611754</v>
      </c>
      <c r="DM150" s="9" t="n">
        <v>20.10540193673162</v>
      </c>
      <c r="DN150" s="9" t="n">
        <v>48.488</v>
      </c>
      <c r="DO150" s="9" t="n">
        <v>48.488</v>
      </c>
      <c r="DP150" s="9" t="n">
        <v>56.86194</v>
      </c>
      <c r="DQ150" s="9" t="n">
        <v>11.60945558812334</v>
      </c>
      <c r="DR150" s="9" t="n">
        <v>11.60945558812334</v>
      </c>
      <c r="DS150" s="9" t="n">
        <v>0.0546</v>
      </c>
    </row>
    <row r="151">
      <c r="A151" s="9" t="inlineStr">
        <is>
          <t>SLB</t>
        </is>
      </c>
      <c r="B151" s="9" t="inlineStr">
        <is>
          <t>Solomon Islands</t>
        </is>
      </c>
      <c r="C151" s="9" t="n">
        <v>0.005</v>
      </c>
      <c r="D151" s="9" t="n">
        <v>0.005</v>
      </c>
      <c r="E151" s="9" t="n">
        <v>0.01</v>
      </c>
      <c r="F151" s="9" t="n">
        <v>0.005</v>
      </c>
      <c r="G151" s="9" t="n">
        <v>0.005</v>
      </c>
      <c r="H151" s="9" t="n">
        <v>0.01</v>
      </c>
      <c r="I151" s="9" t="n">
        <v>0.005</v>
      </c>
      <c r="J151" s="9" t="n">
        <v>0.005</v>
      </c>
      <c r="K151" s="9" t="n">
        <v>0.01</v>
      </c>
      <c r="L151" s="9" t="n">
        <v>0.01</v>
      </c>
      <c r="M151" s="9" t="n">
        <v>0.005</v>
      </c>
      <c r="N151" s="9" t="n">
        <v>0.005114</v>
      </c>
      <c r="O151" s="9" t="n">
        <v>0.001244</v>
      </c>
      <c r="P151" s="9" t="n">
        <v>0.151444</v>
      </c>
      <c r="Q151" s="9" t="n">
        <v>0.0196808221113768</v>
      </c>
      <c r="R151" s="9" t="n">
        <v>0.0049471342938208</v>
      </c>
      <c r="S151" s="9" t="n">
        <v>0.009324792403262601</v>
      </c>
      <c r="T151" s="9" t="n">
        <v>0.0015903993536814</v>
      </c>
      <c r="U151" s="9" t="n">
        <v>0.000278</v>
      </c>
      <c r="V151" s="9" t="n">
        <v>0.00016</v>
      </c>
      <c r="W151" s="9" t="n">
        <v>0.00087</v>
      </c>
      <c r="X151" s="9" t="n">
        <v>2.60413466650085e-05</v>
      </c>
      <c r="Y151" s="9" t="n">
        <v>2.60413466650085e-05</v>
      </c>
      <c r="Z151" s="9" t="n">
        <v>0.006049252066143596</v>
      </c>
      <c r="AA151" s="9" t="n">
        <v>0.06</v>
      </c>
      <c r="AB151" s="9" t="n">
        <v>0.01</v>
      </c>
      <c r="AC151" s="9" t="n">
        <v>0</v>
      </c>
      <c r="AD151" s="9" t="n">
        <v>0</v>
      </c>
      <c r="AE151" s="9" t="n">
        <v>0</v>
      </c>
      <c r="AF151" s="9" t="n">
        <v>0.332</v>
      </c>
      <c r="AG151" s="9" t="n">
        <v>0</v>
      </c>
      <c r="AH151" s="9" t="n">
        <v>0</v>
      </c>
      <c r="AI151" s="9" t="n">
        <v>0</v>
      </c>
      <c r="AJ151" s="9" t="n">
        <v>0</v>
      </c>
      <c r="AK151" s="9" t="n">
        <v>0</v>
      </c>
      <c r="AL151" s="9" t="n">
        <v>0</v>
      </c>
      <c r="AM151" s="9" t="n">
        <v>0</v>
      </c>
      <c r="AN151" s="9" t="n">
        <v>0</v>
      </c>
      <c r="AO151" s="9" t="n">
        <v>0</v>
      </c>
      <c r="AP151" s="9" t="n">
        <v>1.738696796436911</v>
      </c>
      <c r="AQ151" s="9" t="n">
        <v>1.58091633</v>
      </c>
      <c r="AR151" s="9" t="n">
        <v>1.626085368</v>
      </c>
      <c r="AS151" s="9" t="n">
        <v>1.64234622168</v>
      </c>
      <c r="AT151" s="9" t="n">
        <v>0.2504245271769196</v>
      </c>
      <c r="AU151" s="9" t="n">
        <v>0.2188293822</v>
      </c>
      <c r="AV151" s="9" t="n">
        <v>0.2299420685348586</v>
      </c>
      <c r="AW151" s="9" t="n">
        <v>0.2376762749552644</v>
      </c>
      <c r="AX151" s="9" t="n">
        <v>0.107814362555533</v>
      </c>
      <c r="AY151" s="9" t="n">
        <v>0.09451366056</v>
      </c>
      <c r="AZ151" s="9" t="n">
        <v>0.09899612399496351</v>
      </c>
      <c r="BA151" s="9" t="n">
        <v>0.1023259038072255</v>
      </c>
      <c r="BB151" s="9" t="n">
        <v>1.05557131409755</v>
      </c>
      <c r="BC151" s="9" t="n">
        <v>1.029954158599369</v>
      </c>
      <c r="BD151" s="9" t="n">
        <v>0.9203712276458708</v>
      </c>
      <c r="BE151" s="9" t="n">
        <v>0.9973074488914286</v>
      </c>
      <c r="BF151" s="9" t="n">
        <v>0</v>
      </c>
      <c r="BG151" s="9" t="n">
        <v>0</v>
      </c>
      <c r="BH151" s="9" t="n">
        <v>0</v>
      </c>
      <c r="BI151" s="9" t="n">
        <v>0</v>
      </c>
      <c r="BJ151" s="9" t="n">
        <v>0.0146565616165556</v>
      </c>
      <c r="BK151" s="9" t="n">
        <v>0.0134765392971245</v>
      </c>
      <c r="BL151" s="9" t="n">
        <v>0.0138615832770424</v>
      </c>
      <c r="BM151" s="9" t="n">
        <v>0.0140001991098128</v>
      </c>
      <c r="BN151" s="9" t="n">
        <v>0</v>
      </c>
      <c r="BO151" s="9" t="n">
        <v>0</v>
      </c>
      <c r="BP151" s="9" t="n">
        <v>0</v>
      </c>
      <c r="BQ151" s="9" t="n">
        <v>0</v>
      </c>
      <c r="BR151" s="9" t="n">
        <v>0</v>
      </c>
      <c r="BS151" s="9" t="n">
        <v>0</v>
      </c>
      <c r="BT151" s="9" t="n">
        <v>0</v>
      </c>
      <c r="BU151" s="9" t="n">
        <v>0</v>
      </c>
      <c r="BV151" s="9" t="n">
        <v>0</v>
      </c>
      <c r="BW151" s="9" t="n">
        <v>1.449105212245239</v>
      </c>
      <c r="BX151" s="9" t="n">
        <v>1.449044650922398</v>
      </c>
      <c r="BY151" s="9" t="n">
        <v>1.436735553635297</v>
      </c>
      <c r="BZ151" s="9" t="n">
        <v>1.415885305137817</v>
      </c>
      <c r="CA151" s="9" t="n">
        <v>1.000000533028604</v>
      </c>
      <c r="CB151" s="9" t="n">
        <v>0.09951080270345905</v>
      </c>
      <c r="CC151" s="9" t="n">
        <v>0</v>
      </c>
      <c r="CD151" s="9" t="n">
        <v>3.030303030303028</v>
      </c>
      <c r="CE151" s="9" t="n">
        <v>2.679</v>
      </c>
      <c r="CF151" s="9" t="n">
        <v>2.785</v>
      </c>
      <c r="CG151" s="9" t="n">
        <v>1.584</v>
      </c>
      <c r="CH151" s="9" t="n">
        <v>0</v>
      </c>
      <c r="CI151" s="9" t="n">
        <v>0</v>
      </c>
      <c r="CJ151" s="9" t="n">
        <v>0.1</v>
      </c>
      <c r="CK151" s="9" t="n">
        <v>0</v>
      </c>
      <c r="CL151" s="9" t="n">
        <v>0.1</v>
      </c>
      <c r="CM151" s="9" t="n">
        <v>0.01</v>
      </c>
      <c r="CN151" s="9" t="n">
        <v>0.11</v>
      </c>
      <c r="CO151" s="9" t="n">
        <v>0</v>
      </c>
      <c r="CP151" s="9" t="n">
        <v>0.615</v>
      </c>
      <c r="CQ151" s="9" t="n">
        <v>43.755</v>
      </c>
      <c r="CR151" s="9" t="n">
        <v>3</v>
      </c>
      <c r="CS151" s="9" t="n">
        <v>2</v>
      </c>
      <c r="CT151" s="9" t="n">
        <v>0.5</v>
      </c>
      <c r="CU151" s="9" t="n">
        <v>0.3</v>
      </c>
      <c r="CV151" s="9" t="n">
        <v>0.6</v>
      </c>
      <c r="CW151" s="9" t="n">
        <v>0.8</v>
      </c>
      <c r="CX151" s="9" t="n">
        <v>0.8</v>
      </c>
      <c r="CY151" s="9" t="n">
        <v>0.7</v>
      </c>
      <c r="CZ151" s="9" t="n">
        <v>0.5</v>
      </c>
      <c r="DA151" s="9" t="n">
        <v>0.5</v>
      </c>
      <c r="DB151" s="9" t="n">
        <v>1</v>
      </c>
      <c r="DC151" s="9" t="n">
        <v>0.3</v>
      </c>
      <c r="DD151" s="9" t="n">
        <v>0.8</v>
      </c>
      <c r="DE151" s="9" t="n">
        <v>0.8073394495412844</v>
      </c>
      <c r="DF151" s="9" t="n">
        <v>1</v>
      </c>
      <c r="DG151" s="9" t="n">
        <v>7.124</v>
      </c>
      <c r="DH151" s="9" t="n">
        <v>4.833</v>
      </c>
      <c r="DI151" s="9" t="n">
        <v>11.451</v>
      </c>
      <c r="DJ151" s="9" t="n">
        <v>19.68082211137683</v>
      </c>
      <c r="DK151" s="9" t="n">
        <v>20.58922943093086</v>
      </c>
      <c r="DL151" s="9" t="n">
        <v>17.27205865604339</v>
      </c>
      <c r="DM151" s="9" t="n">
        <v>19.78301635067195</v>
      </c>
      <c r="DN151" s="9" t="n">
        <v>8.257</v>
      </c>
      <c r="DO151" s="9" t="n">
        <v>6.934</v>
      </c>
      <c r="DP151" s="9" t="n">
        <v>16.199</v>
      </c>
      <c r="DQ151" s="9" t="n">
        <v>14.11516989415954</v>
      </c>
      <c r="DR151" s="9" t="n">
        <v>14.11516989415954</v>
      </c>
      <c r="DS151" s="9" t="n">
        <v>0.105</v>
      </c>
    </row>
    <row r="152">
      <c r="A152" s="9" t="inlineStr">
        <is>
          <t>SLE</t>
        </is>
      </c>
      <c r="B152" s="9" t="inlineStr">
        <is>
          <t>Sierra Leone</t>
        </is>
      </c>
      <c r="C152" s="9" t="n">
        <v>0.005</v>
      </c>
      <c r="D152" s="9" t="n">
        <v>0.005</v>
      </c>
      <c r="E152" s="9" t="n">
        <v>0.01</v>
      </c>
      <c r="F152" s="9" t="n">
        <v>0.005</v>
      </c>
      <c r="G152" s="9" t="n">
        <v>0.005</v>
      </c>
      <c r="H152" s="9" t="n">
        <v>0.01</v>
      </c>
      <c r="I152" s="9" t="n">
        <v>0.005</v>
      </c>
      <c r="J152" s="9" t="n">
        <v>0.005</v>
      </c>
      <c r="K152" s="9" t="n">
        <v>0.01</v>
      </c>
      <c r="L152" s="9" t="n">
        <v>0.01</v>
      </c>
      <c r="M152" s="9" t="n">
        <v>0.005</v>
      </c>
      <c r="N152" s="9" t="n">
        <v>0.129678</v>
      </c>
      <c r="O152" s="9" t="n">
        <v>0.055888</v>
      </c>
      <c r="P152" s="9" t="n">
        <v>0.342129</v>
      </c>
      <c r="Q152" s="9" t="n">
        <v>0.0480759046944123</v>
      </c>
      <c r="R152" s="9" t="n">
        <v>0.0092651532439188</v>
      </c>
      <c r="S152" s="9" t="n">
        <v>0.0256696699964816</v>
      </c>
      <c r="T152" s="9" t="n">
        <v>0.008262318593515901</v>
      </c>
      <c r="U152" s="9" t="n">
        <v>0.001348</v>
      </c>
      <c r="V152" s="9" t="n">
        <v>0.000201</v>
      </c>
      <c r="W152" s="9" t="n">
        <v>0.000685</v>
      </c>
      <c r="X152" s="9" t="n">
        <v>0.0898914022426909</v>
      </c>
      <c r="Y152" s="9" t="n">
        <v>0.0898914022426909</v>
      </c>
      <c r="Z152" s="9" t="n">
        <v>0.02661823667993741</v>
      </c>
      <c r="AA152" s="9" t="n">
        <v>0.14</v>
      </c>
      <c r="AB152" s="9" t="n">
        <v>0.02</v>
      </c>
      <c r="AC152" s="9" t="n">
        <v>0</v>
      </c>
      <c r="AD152" s="9" t="n">
        <v>0</v>
      </c>
      <c r="AE152" s="9" t="n">
        <v>0</v>
      </c>
      <c r="AF152" s="9" t="n">
        <v>1.009</v>
      </c>
      <c r="AG152" s="9" t="n">
        <v>0</v>
      </c>
      <c r="AH152" s="9" t="n">
        <v>0</v>
      </c>
      <c r="AI152" s="9" t="n">
        <v>0</v>
      </c>
      <c r="AJ152" s="9" t="n">
        <v>0</v>
      </c>
      <c r="AK152" s="9" t="n">
        <v>0</v>
      </c>
      <c r="AL152" s="9" t="n">
        <v>0</v>
      </c>
      <c r="AM152" s="9" t="n">
        <v>0</v>
      </c>
      <c r="AN152" s="9" t="n">
        <v>0</v>
      </c>
      <c r="AO152" s="9" t="n">
        <v>0</v>
      </c>
      <c r="AP152" s="9" t="n">
        <v>3.244311931327477</v>
      </c>
      <c r="AQ152" s="9" t="n">
        <v>3.1959225</v>
      </c>
      <c r="AR152" s="9" t="n">
        <v>3.332475552272728</v>
      </c>
      <c r="AS152" s="9" t="n">
        <v>3.242498712361364</v>
      </c>
      <c r="AT152" s="9" t="n">
        <v>0.93280746461844</v>
      </c>
      <c r="AU152" s="9" t="n">
        <v>0.849752928</v>
      </c>
      <c r="AV152" s="9" t="n">
        <v>0.9186640604261856</v>
      </c>
      <c r="AW152" s="9" t="n">
        <v>0.9177427974836848</v>
      </c>
      <c r="AX152" s="9" t="n">
        <v>0.4003285656546885</v>
      </c>
      <c r="AY152" s="9" t="n">
        <v>0.367266096</v>
      </c>
      <c r="AZ152" s="9" t="n">
        <v>0.3942587078024303</v>
      </c>
      <c r="BA152" s="9" t="n">
        <v>0.393863333744705</v>
      </c>
      <c r="BB152" s="9" t="n">
        <v>7.16386779208154</v>
      </c>
      <c r="BC152" s="9" t="n">
        <v>8.999846708586963</v>
      </c>
      <c r="BD152" s="9" t="n">
        <v>7.127639167999998</v>
      </c>
      <c r="BE152" s="9" t="n">
        <v>7.957719297112755</v>
      </c>
      <c r="BF152" s="9" t="n">
        <v>0.0288690675965417</v>
      </c>
      <c r="BG152" s="9" t="n">
        <v>0.0305090659999999</v>
      </c>
      <c r="BH152" s="9" t="n">
        <v>0.0318126351836363</v>
      </c>
      <c r="BI152" s="9" t="n">
        <v>0.0309536940336781</v>
      </c>
      <c r="BJ152" s="9" t="n">
        <v>0.2272137791542699</v>
      </c>
      <c r="BK152" s="9" t="n">
        <v>0.2123827199999997</v>
      </c>
      <c r="BL152" s="9" t="n">
        <v>0.2214572543999997</v>
      </c>
      <c r="BM152" s="9" t="n">
        <v>0.2154779085311997</v>
      </c>
      <c r="BN152" s="9" t="n">
        <v>0</v>
      </c>
      <c r="BO152" s="9" t="n">
        <v>0</v>
      </c>
      <c r="BP152" s="9" t="n">
        <v>0</v>
      </c>
      <c r="BQ152" s="9" t="n">
        <v>0</v>
      </c>
      <c r="BR152" s="9" t="n">
        <v>0</v>
      </c>
      <c r="BS152" s="9" t="n">
        <v>0</v>
      </c>
      <c r="BT152" s="9" t="n">
        <v>0</v>
      </c>
      <c r="BU152" s="9" t="n">
        <v>0</v>
      </c>
      <c r="BV152" s="9" t="n">
        <v>0</v>
      </c>
      <c r="BW152" s="9" t="n">
        <v>9.457969752332991</v>
      </c>
      <c r="BX152" s="9" t="n">
        <v>9.69140245843052</v>
      </c>
      <c r="BY152" s="9" t="n">
        <v>9.87211858890088</v>
      </c>
      <c r="BZ152" s="9" t="n">
        <v>9.600577584654353</v>
      </c>
      <c r="CA152" s="9" t="n">
        <v>1.165775913140731</v>
      </c>
      <c r="CB152" s="9" t="n">
        <v>0.3703155639647579</v>
      </c>
      <c r="CC152" s="9" t="n">
        <v>0.095</v>
      </c>
      <c r="CD152" s="9" t="n">
        <v>0.079365079365079</v>
      </c>
      <c r="CE152" s="9" t="n">
        <v>4.377</v>
      </c>
      <c r="CF152" s="9" t="n">
        <v>4.55</v>
      </c>
      <c r="CG152" s="9" t="n">
        <v>6.97</v>
      </c>
      <c r="CH152" s="9" t="n">
        <v>0.18</v>
      </c>
      <c r="CI152" s="9" t="n">
        <v>0</v>
      </c>
      <c r="CJ152" s="9" t="n">
        <v>0.01</v>
      </c>
      <c r="CK152" s="9" t="n">
        <v>0</v>
      </c>
      <c r="CL152" s="9" t="n">
        <v>0.01</v>
      </c>
      <c r="CM152" s="9" t="n">
        <v>0.02</v>
      </c>
      <c r="CN152" s="9" t="n">
        <v>0.21</v>
      </c>
      <c r="CO152" s="9" t="n">
        <v>0</v>
      </c>
      <c r="CP152" s="9" t="n">
        <v>7.191</v>
      </c>
      <c r="CQ152" s="9" t="n">
        <v>10.373</v>
      </c>
      <c r="CR152" s="9" t="n">
        <v>3</v>
      </c>
      <c r="CS152" s="9" t="n">
        <v>1</v>
      </c>
      <c r="CT152" s="9" t="n">
        <v>0.5</v>
      </c>
      <c r="CU152" s="9" t="n">
        <v>0.3</v>
      </c>
      <c r="CV152" s="9" t="n">
        <v>0.6</v>
      </c>
      <c r="CW152" s="9" t="n">
        <v>0.8</v>
      </c>
      <c r="CX152" s="9" t="n">
        <v>0.8</v>
      </c>
      <c r="CY152" s="9" t="n">
        <v>0.7</v>
      </c>
      <c r="CZ152" s="9" t="n">
        <v>0.5</v>
      </c>
      <c r="DA152" s="9" t="n">
        <v>0.5</v>
      </c>
      <c r="DB152" s="9" t="n">
        <v>1</v>
      </c>
      <c r="DC152" s="9" t="n">
        <v>0.3</v>
      </c>
      <c r="DD152" s="9" t="n">
        <v>0.8</v>
      </c>
      <c r="DE152" s="9" t="n">
        <v>0.2286445348379477</v>
      </c>
      <c r="DF152" s="9" t="n">
        <v>2</v>
      </c>
      <c r="DG152" s="9" t="n">
        <v>7.124</v>
      </c>
      <c r="DH152" s="9" t="n">
        <v>5.575</v>
      </c>
      <c r="DI152" s="9" t="n">
        <v>14.02195</v>
      </c>
      <c r="DJ152" s="9" t="n">
        <v>29.35761957507121</v>
      </c>
      <c r="DK152" s="9" t="n">
        <v>29.20239040953693</v>
      </c>
      <c r="DL152" s="9" t="n">
        <v>30.40359159438804</v>
      </c>
      <c r="DM152" s="9" t="n">
        <v>22.88429509035081</v>
      </c>
      <c r="DN152" s="9" t="n">
        <v>12.815</v>
      </c>
      <c r="DO152" s="9" t="n">
        <v>11.492</v>
      </c>
      <c r="DP152" s="9" t="n">
        <v>23.87055</v>
      </c>
      <c r="DQ152" s="9" t="n">
        <v>22.69146128671711</v>
      </c>
      <c r="DR152" s="9" t="n">
        <v>22.69146128671711</v>
      </c>
      <c r="DS152" s="9" t="n">
        <v>0.105</v>
      </c>
    </row>
    <row r="153">
      <c r="A153" s="9" t="inlineStr">
        <is>
          <t>SLV</t>
        </is>
      </c>
      <c r="B153" s="9" t="inlineStr">
        <is>
          <t>El Salvador</t>
        </is>
      </c>
      <c r="C153" s="9" t="n">
        <v>0.005</v>
      </c>
      <c r="D153" s="9" t="n">
        <v>0.005</v>
      </c>
      <c r="E153" s="9" t="n">
        <v>0.01</v>
      </c>
      <c r="F153" s="9" t="n">
        <v>0.005</v>
      </c>
      <c r="G153" s="9" t="n">
        <v>0.005</v>
      </c>
      <c r="H153" s="9" t="n">
        <v>0.01</v>
      </c>
      <c r="I153" s="9" t="n">
        <v>0.005</v>
      </c>
      <c r="J153" s="9" t="n">
        <v>0.005</v>
      </c>
      <c r="K153" s="9" t="n">
        <v>0.01</v>
      </c>
      <c r="L153" s="9" t="n">
        <v>0.01</v>
      </c>
      <c r="M153" s="9" t="n">
        <v>0.005</v>
      </c>
      <c r="N153" s="9" t="n">
        <v>10.910903</v>
      </c>
      <c r="O153" s="9" t="n">
        <v>1.22407</v>
      </c>
      <c r="P153" s="9" t="n">
        <v>21.148397</v>
      </c>
      <c r="Q153" s="9" t="n">
        <v>4.597214815100822</v>
      </c>
      <c r="R153" s="9" t="n">
        <v>0.7446723939039868</v>
      </c>
      <c r="S153" s="9" t="n">
        <v>1.097199578858904</v>
      </c>
      <c r="T153" s="9" t="n">
        <v>0.9195999384811372</v>
      </c>
      <c r="U153" s="9" t="n">
        <v>0.251366</v>
      </c>
      <c r="V153" s="9" t="n">
        <v>0.009369000000000001</v>
      </c>
      <c r="W153" s="9" t="n">
        <v>0.08438900000000001</v>
      </c>
      <c r="X153" s="9" t="n">
        <v>4.435480042991445</v>
      </c>
      <c r="Y153" s="9" t="n">
        <v>4.435480042991445</v>
      </c>
      <c r="Z153" s="9" t="n">
        <v>0.1350579541156365</v>
      </c>
      <c r="AA153" s="9" t="n">
        <v>0</v>
      </c>
      <c r="AB153" s="9" t="n">
        <v>0</v>
      </c>
      <c r="AC153" s="9" t="n">
        <v>0</v>
      </c>
      <c r="AD153" s="9" t="n">
        <v>0</v>
      </c>
      <c r="AE153" s="9" t="n">
        <v>0</v>
      </c>
      <c r="AF153" s="9" t="n">
        <v>9.461</v>
      </c>
      <c r="AG153" s="9" t="n">
        <v>0.0169313836697183</v>
      </c>
      <c r="AH153" s="9" t="n">
        <v>0.0148338324</v>
      </c>
      <c r="AI153" s="9" t="n">
        <v>0.0158917100167346</v>
      </c>
      <c r="AJ153" s="9" t="n">
        <v>0.0155209034496775</v>
      </c>
      <c r="AK153" s="9" t="n">
        <v>0</v>
      </c>
      <c r="AL153" s="9" t="n">
        <v>0</v>
      </c>
      <c r="AM153" s="9" t="n">
        <v>0</v>
      </c>
      <c r="AN153" s="9" t="n">
        <v>0</v>
      </c>
      <c r="AO153" s="9" t="n">
        <v>0</v>
      </c>
      <c r="AP153" s="9" t="n">
        <v>23.11840681121576</v>
      </c>
      <c r="AQ153" s="9" t="n">
        <v>20.40858915</v>
      </c>
      <c r="AR153" s="9" t="n">
        <v>21.86403161886054</v>
      </c>
      <c r="AS153" s="9" t="n">
        <v>21.35387088108714</v>
      </c>
      <c r="AT153" s="9" t="n">
        <v>24.29554228425234</v>
      </c>
      <c r="AU153" s="9" t="n">
        <v>15.2453069172</v>
      </c>
      <c r="AV153" s="9" t="n">
        <v>22.015816492814</v>
      </c>
      <c r="AW153" s="9" t="n">
        <v>22.14017929028048</v>
      </c>
      <c r="AX153" s="9" t="n">
        <v>12.60242963628949</v>
      </c>
      <c r="AY153" s="9" t="n">
        <v>8.415999723599999</v>
      </c>
      <c r="AZ153" s="9" t="n">
        <v>11.41990542978364</v>
      </c>
      <c r="BA153" s="9" t="n">
        <v>11.48441223380116</v>
      </c>
      <c r="BB153" s="9" t="n">
        <v>39.66634945058833</v>
      </c>
      <c r="BC153" s="9" t="n">
        <v>35.35188495029441</v>
      </c>
      <c r="BD153" s="9" t="n">
        <v>36.77909513</v>
      </c>
      <c r="BE153" s="9" t="n">
        <v>36.45119790623184</v>
      </c>
      <c r="BF153" s="9" t="n">
        <v>0.0014155033577178</v>
      </c>
      <c r="BG153" s="9" t="n">
        <v>0.0013156599999999</v>
      </c>
      <c r="BH153" s="9" t="n">
        <v>0.0014094865464852</v>
      </c>
      <c r="BI153" s="9" t="n">
        <v>0.0013765985270672</v>
      </c>
      <c r="BJ153" s="9" t="n">
        <v>10.85867056289495</v>
      </c>
      <c r="BK153" s="9" t="n">
        <v>10.11071720999997</v>
      </c>
      <c r="BL153" s="9" t="n">
        <v>10.8317649566088</v>
      </c>
      <c r="BM153" s="9" t="n">
        <v>10.57902377428793</v>
      </c>
      <c r="BN153" s="9" t="n">
        <v>0</v>
      </c>
      <c r="BO153" s="9" t="n">
        <v>0</v>
      </c>
      <c r="BP153" s="9" t="n">
        <v>0</v>
      </c>
      <c r="BQ153" s="9" t="n">
        <v>0</v>
      </c>
      <c r="BR153" s="9" t="n">
        <v>0</v>
      </c>
      <c r="BS153" s="9" t="n">
        <v>0</v>
      </c>
      <c r="BT153" s="9" t="n">
        <v>0</v>
      </c>
      <c r="BU153" s="9" t="n">
        <v>0</v>
      </c>
      <c r="BV153" s="9" t="n">
        <v>0</v>
      </c>
      <c r="BW153" s="9" t="n">
        <v>46.22715905578406</v>
      </c>
      <c r="BX153" s="9" t="n">
        <v>30.05290874718122</v>
      </c>
      <c r="BY153" s="9" t="n">
        <v>44.76844609472089</v>
      </c>
      <c r="BZ153" s="9" t="n">
        <v>43.97927305580336</v>
      </c>
      <c r="CA153" s="9" t="n">
        <v>0.9933088246678612</v>
      </c>
      <c r="CB153" s="9" t="n">
        <v>10.24943664459495</v>
      </c>
      <c r="CC153" s="9" t="n">
        <v>0.721</v>
      </c>
      <c r="CD153" s="9" t="n">
        <v>0.0769987339559574</v>
      </c>
      <c r="CE153" s="9" t="n">
        <v>3.7</v>
      </c>
      <c r="CF153" s="9" t="n">
        <v>3.3</v>
      </c>
      <c r="CG153" s="9" t="n">
        <v>35.365</v>
      </c>
      <c r="CH153" s="9" t="n">
        <v>4.5</v>
      </c>
      <c r="CI153" s="9" t="n">
        <v>0</v>
      </c>
      <c r="CJ153" s="9" t="n">
        <v>0.605</v>
      </c>
      <c r="CK153" s="9" t="n">
        <v>0</v>
      </c>
      <c r="CL153" s="9" t="n">
        <v>0.605</v>
      </c>
      <c r="CM153" s="9" t="n">
        <v>1.45</v>
      </c>
      <c r="CN153" s="9" t="n">
        <v>6.745</v>
      </c>
      <c r="CO153" s="9" t="n">
        <v>0.19</v>
      </c>
      <c r="CP153" s="9" t="n">
        <v>14.79</v>
      </c>
      <c r="CQ153" s="9" t="n">
        <v>15.819</v>
      </c>
      <c r="CR153" s="9" t="n">
        <v>3</v>
      </c>
      <c r="CS153" s="9" t="n">
        <v>2</v>
      </c>
      <c r="CT153" s="9" t="n">
        <v>0.5</v>
      </c>
      <c r="CU153" s="9" t="n">
        <v>0.3</v>
      </c>
      <c r="CV153" s="9" t="n">
        <v>0.6</v>
      </c>
      <c r="CW153" s="9" t="n">
        <v>0.8</v>
      </c>
      <c r="CX153" s="9" t="n">
        <v>0.8</v>
      </c>
      <c r="CY153" s="9" t="n">
        <v>0.7</v>
      </c>
      <c r="CZ153" s="9" t="n">
        <v>0.5</v>
      </c>
      <c r="DA153" s="9" t="n">
        <v>0.5</v>
      </c>
      <c r="DB153" s="9" t="n">
        <v>1</v>
      </c>
      <c r="DC153" s="9" t="n">
        <v>0.3</v>
      </c>
      <c r="DD153" s="9" t="n">
        <v>0.8</v>
      </c>
      <c r="DE153" s="9" t="n">
        <v>0.4200517863930065</v>
      </c>
      <c r="DF153" s="9" t="n">
        <v>3</v>
      </c>
      <c r="DG153" s="9" t="n">
        <v>7.124</v>
      </c>
      <c r="DH153" s="9" t="n">
        <v>5.575</v>
      </c>
      <c r="DI153" s="9" t="n">
        <v>13.77809</v>
      </c>
      <c r="DJ153" s="9" t="n">
        <v>18.0475283810057</v>
      </c>
      <c r="DK153" s="9" t="n">
        <v>24.42912071979946</v>
      </c>
      <c r="DL153" s="9" t="n">
        <v>15.81940434858512</v>
      </c>
      <c r="DM153" s="9" t="n">
        <v>22.52948087356729</v>
      </c>
      <c r="DN153" s="9" t="n">
        <v>12.771</v>
      </c>
      <c r="DO153" s="9" t="n">
        <v>11.447</v>
      </c>
      <c r="DP153" s="9" t="n">
        <v>23.40456</v>
      </c>
      <c r="DQ153" s="9" t="n">
        <v>13.49474620847193</v>
      </c>
      <c r="DR153" s="9" t="n">
        <v>13.49474620847193</v>
      </c>
      <c r="DS153" s="9" t="n">
        <v>0.048</v>
      </c>
    </row>
    <row r="154">
      <c r="A154" s="9" t="inlineStr">
        <is>
          <t>SOM</t>
        </is>
      </c>
      <c r="B154" s="9" t="inlineStr">
        <is>
          <t>Somalia, Fed. Rep.</t>
        </is>
      </c>
      <c r="C154" s="9" t="n">
        <v>0.005</v>
      </c>
      <c r="D154" s="9" t="n">
        <v>0.005</v>
      </c>
      <c r="E154" s="9" t="n">
        <v>0.01</v>
      </c>
      <c r="F154" s="9" t="n">
        <v>0.005</v>
      </c>
      <c r="G154" s="9" t="n">
        <v>0.005</v>
      </c>
      <c r="H154" s="9" t="n">
        <v>0.01</v>
      </c>
      <c r="I154" s="9" t="n">
        <v>0.005</v>
      </c>
      <c r="J154" s="9" t="n">
        <v>0.005</v>
      </c>
      <c r="K154" s="9" t="n">
        <v>0.01</v>
      </c>
      <c r="L154" s="9" t="n">
        <v>0.01</v>
      </c>
      <c r="M154" s="9" t="n">
        <v>0.005</v>
      </c>
      <c r="N154" s="9" t="n">
        <v>0.002473</v>
      </c>
      <c r="O154" s="9" t="n">
        <v>0.014505</v>
      </c>
      <c r="P154" s="9" t="n">
        <v>0.124227</v>
      </c>
      <c r="Q154" s="9" t="n">
        <v>0.0172944553975995</v>
      </c>
      <c r="R154" s="9" t="n">
        <v>0.0033457497825262</v>
      </c>
      <c r="S154" s="9" t="n">
        <v>0.005616068151965</v>
      </c>
      <c r="T154" s="9" t="n">
        <v>0.00162918958182</v>
      </c>
      <c r="U154" s="9" t="n">
        <v>0.000101</v>
      </c>
      <c r="V154" s="9" t="n">
        <v>5.3e-05</v>
      </c>
      <c r="W154" s="9" t="n">
        <v>0.000248</v>
      </c>
      <c r="X154" s="9" t="n">
        <v>0.0016637119683432</v>
      </c>
      <c r="Y154" s="9" t="n">
        <v>0.0016637119683432</v>
      </c>
      <c r="Z154" s="9" t="n">
        <v>0.04644252170225521</v>
      </c>
      <c r="AA154" s="9" t="n">
        <v>0.06</v>
      </c>
      <c r="AB154" s="9" t="n">
        <v>0.05</v>
      </c>
      <c r="AC154" s="9" t="n">
        <v>0</v>
      </c>
      <c r="AD154" s="9" t="n">
        <v>0</v>
      </c>
      <c r="AE154" s="9" t="n">
        <v>0</v>
      </c>
      <c r="AF154" s="9" t="n">
        <v>0.9429999999999999</v>
      </c>
      <c r="AG154" s="9" t="n">
        <v>0</v>
      </c>
      <c r="AH154" s="9" t="n">
        <v>0</v>
      </c>
      <c r="AI154" s="9" t="n">
        <v>0</v>
      </c>
      <c r="AJ154" s="9" t="n">
        <v>0</v>
      </c>
      <c r="AK154" s="9" t="n">
        <v>0</v>
      </c>
      <c r="AL154" s="9" t="n">
        <v>0</v>
      </c>
      <c r="AM154" s="9" t="n">
        <v>0</v>
      </c>
      <c r="AN154" s="9" t="n">
        <v>0</v>
      </c>
      <c r="AO154" s="9" t="n">
        <v>0</v>
      </c>
      <c r="AP154" s="9" t="n">
        <v>3.40981418309877</v>
      </c>
      <c r="AQ154" s="9" t="n">
        <v>3.2385348</v>
      </c>
      <c r="AR154" s="9" t="n">
        <v>3.3486449832</v>
      </c>
      <c r="AS154" s="9" t="n">
        <v>3.2615802136368</v>
      </c>
      <c r="AT154" s="9" t="n">
        <v>0.4504933020765596</v>
      </c>
      <c r="AU154" s="9" t="n">
        <v>0.39607128</v>
      </c>
      <c r="AV154" s="9" t="n">
        <v>0.425696049142006</v>
      </c>
      <c r="AW154" s="9" t="n">
        <v>0.4355321065187011</v>
      </c>
      <c r="AX154" s="9" t="n">
        <v>1.493344342447242</v>
      </c>
      <c r="AY154" s="9" t="n">
        <v>1.31294028672</v>
      </c>
      <c r="AZ154" s="9" t="n">
        <v>1.411143703264918</v>
      </c>
      <c r="BA154" s="9" t="n">
        <v>1.443749339281628</v>
      </c>
      <c r="BB154" s="9" t="n">
        <v>4.084911594535184</v>
      </c>
      <c r="BC154" s="9" t="n">
        <v>3.756356087794945</v>
      </c>
      <c r="BD154" s="9" t="n">
        <v>3.88405458</v>
      </c>
      <c r="BE154" s="9" t="n">
        <v>3.78307773930812</v>
      </c>
      <c r="BF154" s="9" t="n">
        <v>2.425309332714971</v>
      </c>
      <c r="BG154" s="9" t="n">
        <v>2.293568289999997</v>
      </c>
      <c r="BH154" s="9" t="n">
        <v>2.371549611859996</v>
      </c>
      <c r="BI154" s="9" t="n">
        <v>2.309889321951636</v>
      </c>
      <c r="BJ154" s="9" t="n">
        <v>0.5043761465587914</v>
      </c>
      <c r="BK154" s="9" t="n">
        <v>0.4747269999999996</v>
      </c>
      <c r="BL154" s="9" t="n">
        <v>0.4908677179999993</v>
      </c>
      <c r="BM154" s="9" t="n">
        <v>0.4781051573319993</v>
      </c>
      <c r="BN154" s="9" t="n">
        <v>0</v>
      </c>
      <c r="BO154" s="9" t="n">
        <v>0</v>
      </c>
      <c r="BP154" s="9" t="n">
        <v>0</v>
      </c>
      <c r="BQ154" s="9" t="n">
        <v>0</v>
      </c>
      <c r="BR154" s="9" t="n">
        <v>0</v>
      </c>
      <c r="BS154" s="9" t="n">
        <v>0</v>
      </c>
      <c r="BT154" s="9" t="n">
        <v>0</v>
      </c>
      <c r="BU154" s="9" t="n">
        <v>0</v>
      </c>
      <c r="BV154" s="9" t="n">
        <v>0</v>
      </c>
      <c r="BW154" s="9" t="n">
        <v>6.495444901356563</v>
      </c>
      <c r="BX154" s="9" t="n">
        <v>6.889598575604303</v>
      </c>
      <c r="BY154" s="9" t="n">
        <v>6.785814627748044</v>
      </c>
      <c r="BZ154" s="9" t="n">
        <v>6.596281022687905</v>
      </c>
      <c r="CA154" s="9" t="n">
        <v>0.2819339678715413</v>
      </c>
      <c r="CB154" s="9" t="n">
        <v>0.5399549012566115</v>
      </c>
      <c r="CC154" s="9" t="n">
        <v>0.844</v>
      </c>
      <c r="CD154" s="9" t="n">
        <v>3.467972256221948</v>
      </c>
      <c r="CE154" s="9" t="n">
        <v>3</v>
      </c>
      <c r="CF154" s="9" t="n">
        <v>2.6</v>
      </c>
      <c r="CG154" s="9" t="n">
        <v>12.161</v>
      </c>
      <c r="CH154" s="9" t="n">
        <v>0</v>
      </c>
      <c r="CI154" s="9" t="n">
        <v>0</v>
      </c>
      <c r="CJ154" s="9" t="n">
        <v>0.34</v>
      </c>
      <c r="CK154" s="9" t="n">
        <v>0</v>
      </c>
      <c r="CL154" s="9" t="n">
        <v>0.34</v>
      </c>
      <c r="CM154" s="9" t="n">
        <v>0.08</v>
      </c>
      <c r="CN154" s="9" t="n">
        <v>0.43</v>
      </c>
      <c r="CO154" s="9" t="n">
        <v>0.01</v>
      </c>
      <c r="CP154" s="9" t="n">
        <v>35.479</v>
      </c>
      <c r="CQ154" s="9" t="n">
        <v>51.964</v>
      </c>
      <c r="CR154" s="9" t="n">
        <v>3</v>
      </c>
      <c r="CS154" s="9" t="n">
        <v>1</v>
      </c>
      <c r="CT154" s="9" t="n">
        <v>0.5</v>
      </c>
      <c r="CU154" s="9" t="n">
        <v>0.3</v>
      </c>
      <c r="CV154" s="9" t="n">
        <v>0.6</v>
      </c>
      <c r="CW154" s="9" t="n">
        <v>0.8</v>
      </c>
      <c r="CX154" s="9" t="n">
        <v>0.8</v>
      </c>
      <c r="CY154" s="9" t="n">
        <v>0.7</v>
      </c>
      <c r="CZ154" s="9" t="n">
        <v>0.5</v>
      </c>
      <c r="DA154" s="9" t="n">
        <v>0.5</v>
      </c>
      <c r="DB154" s="9" t="n">
        <v>1</v>
      </c>
      <c r="DC154" s="9" t="n">
        <v>0.3</v>
      </c>
      <c r="DD154" s="9" t="n">
        <v>0.8</v>
      </c>
      <c r="DE154" s="9" t="n">
        <v>0.3985775621906853</v>
      </c>
      <c r="DF154" s="9" t="n">
        <v>1</v>
      </c>
      <c r="DG154" s="9" t="n">
        <v>7.124</v>
      </c>
      <c r="DH154" s="9" t="n">
        <v>5.575</v>
      </c>
      <c r="DI154" s="9" t="n">
        <v>12.193</v>
      </c>
      <c r="DJ154" s="9" t="n">
        <v>20.10983185767387</v>
      </c>
      <c r="DK154" s="9" t="n">
        <v>20.70361403888047</v>
      </c>
      <c r="DL154" s="9" t="n">
        <v>15.65611451797798</v>
      </c>
      <c r="DM154" s="9" t="n">
        <v>19.89938703508767</v>
      </c>
      <c r="DN154" s="9" t="n">
        <v>12.815</v>
      </c>
      <c r="DO154" s="9" t="n">
        <v>11.492</v>
      </c>
      <c r="DP154" s="9" t="n">
        <v>20.757</v>
      </c>
      <c r="DQ154" s="9" t="n">
        <v>13.49474620847193</v>
      </c>
      <c r="DR154" s="9" t="n">
        <v>13.49474620847193</v>
      </c>
      <c r="DS154" s="9" t="n">
        <v>0.105</v>
      </c>
    </row>
    <row r="155">
      <c r="A155" s="9" t="inlineStr">
        <is>
          <t>SRB</t>
        </is>
      </c>
      <c r="B155" s="9" t="inlineStr">
        <is>
          <t>Serbia</t>
        </is>
      </c>
      <c r="C155" s="9" t="n">
        <v>0.005</v>
      </c>
      <c r="D155" s="9" t="n">
        <v>0.005</v>
      </c>
      <c r="E155" s="9" t="n">
        <v>0.01</v>
      </c>
      <c r="F155" s="9" t="n">
        <v>0.005</v>
      </c>
      <c r="G155" s="9" t="n">
        <v>0.005</v>
      </c>
      <c r="H155" s="9" t="n">
        <v>0.01</v>
      </c>
      <c r="I155" s="9" t="n">
        <v>0.005</v>
      </c>
      <c r="J155" s="9" t="n">
        <v>0.005</v>
      </c>
      <c r="K155" s="9" t="n">
        <v>0.01</v>
      </c>
      <c r="L155" s="9" t="n">
        <v>0.01</v>
      </c>
      <c r="M155" s="9" t="n">
        <v>0.005</v>
      </c>
      <c r="N155" s="9" t="n">
        <v>136.507591</v>
      </c>
      <c r="O155" s="9" t="n">
        <v>1.182514</v>
      </c>
      <c r="P155" s="9" t="n">
        <v>125.561351</v>
      </c>
      <c r="Q155" s="9" t="n">
        <v>11.42238449515876</v>
      </c>
      <c r="R155" s="9" t="n">
        <v>1.224201266580764</v>
      </c>
      <c r="S155" s="9" t="n">
        <v>11.56070278170752</v>
      </c>
      <c r="T155" s="9" t="n">
        <v>12.41143776590206</v>
      </c>
      <c r="U155" s="9" t="n">
        <v>3.380072</v>
      </c>
      <c r="V155" s="9" t="n">
        <v>1.5e-05</v>
      </c>
      <c r="W155" s="9" t="n">
        <v>0.805097</v>
      </c>
      <c r="X155" s="9" t="n">
        <v>32.21005497340797</v>
      </c>
      <c r="Y155" s="9" t="n">
        <v>32.21005497340797</v>
      </c>
      <c r="Z155" s="9" t="n">
        <v>0.3440435733173889</v>
      </c>
      <c r="AA155" s="9" t="n">
        <v>5.41</v>
      </c>
      <c r="AB155" s="9" t="n">
        <v>0.43</v>
      </c>
      <c r="AC155" s="9" t="n">
        <v>0.8</v>
      </c>
      <c r="AD155" s="9" t="n">
        <v>3</v>
      </c>
      <c r="AE155" s="9" t="n">
        <v>0.0118749105</v>
      </c>
      <c r="AF155" s="9" t="n">
        <v>55.378</v>
      </c>
      <c r="AG155" s="9" t="n">
        <v>17.80328346750857</v>
      </c>
      <c r="AH155" s="9" t="n">
        <v>14.6346286428</v>
      </c>
      <c r="AI155" s="9" t="n">
        <v>16.36898782451056</v>
      </c>
      <c r="AJ155" s="9" t="n">
        <v>17.19289354501092</v>
      </c>
      <c r="AK155" s="9" t="n">
        <v>195.3852120115356</v>
      </c>
      <c r="AL155" s="9" t="n">
        <v>8.646025743168199</v>
      </c>
      <c r="AM155" s="9" t="n">
        <v>7.2222551208</v>
      </c>
      <c r="AN155" s="9" t="n">
        <v>8.078169185116087</v>
      </c>
      <c r="AO155" s="9" t="n">
        <v>8.484770367433596</v>
      </c>
      <c r="AP155" s="9" t="n">
        <v>94.37771156271371</v>
      </c>
      <c r="AQ155" s="9" t="n">
        <v>79.35200074999999</v>
      </c>
      <c r="AR155" s="9" t="n">
        <v>88.75605700909577</v>
      </c>
      <c r="AS155" s="9" t="n">
        <v>93.22344521188695</v>
      </c>
      <c r="AT155" s="9" t="n">
        <v>64.41651888047448</v>
      </c>
      <c r="AU155" s="9" t="n">
        <v>55.1629363788</v>
      </c>
      <c r="AV155" s="9" t="n">
        <v>60.12441736978122</v>
      </c>
      <c r="AW155" s="9" t="n">
        <v>68.33487315523197</v>
      </c>
      <c r="AX155" s="9" t="n">
        <v>58.55977921914799</v>
      </c>
      <c r="AY155" s="9" t="n">
        <v>49.9558843944</v>
      </c>
      <c r="AZ155" s="9" t="n">
        <v>54.67450312231016</v>
      </c>
      <c r="BA155" s="9" t="n">
        <v>62.15402890354432</v>
      </c>
      <c r="BB155" s="9" t="n">
        <v>23.23417152675126</v>
      </c>
      <c r="BC155" s="9" t="n">
        <v>19.4133761402319</v>
      </c>
      <c r="BD155" s="9" t="n">
        <v>20.58370168037042</v>
      </c>
      <c r="BE155" s="9" t="n">
        <v>22.80700424838722</v>
      </c>
      <c r="BF155" s="9" t="n">
        <v>0</v>
      </c>
      <c r="BG155" s="9" t="n">
        <v>0</v>
      </c>
      <c r="BH155" s="9" t="n">
        <v>0</v>
      </c>
      <c r="BI155" s="9" t="n">
        <v>0</v>
      </c>
      <c r="BJ155" s="9" t="n">
        <v>1.564061109755197</v>
      </c>
      <c r="BK155" s="9" t="n">
        <v>1.283204259999998</v>
      </c>
      <c r="BL155" s="9" t="n">
        <v>1.435277615919147</v>
      </c>
      <c r="BM155" s="9" t="n">
        <v>1.507519922587077</v>
      </c>
      <c r="BN155" s="9" t="n">
        <v>55.66149504210389</v>
      </c>
      <c r="BO155" s="9" t="n">
        <v>46.9188675972</v>
      </c>
      <c r="BP155" s="9" t="n">
        <v>52.47925254435754</v>
      </c>
      <c r="BQ155" s="9" t="n">
        <v>55.12070825575688</v>
      </c>
      <c r="BR155" s="9" t="n">
        <v>4.515610910118203</v>
      </c>
      <c r="BS155" s="9" t="n">
        <v>33.36530310399891</v>
      </c>
      <c r="BT155" s="9" t="n">
        <v>28.75544481599999</v>
      </c>
      <c r="BU155" s="9" t="n">
        <v>32.16327093568341</v>
      </c>
      <c r="BV155" s="9" t="n">
        <v>33.78215557277947</v>
      </c>
      <c r="BW155" s="9" t="n">
        <v>44.7598727241066</v>
      </c>
      <c r="BX155" s="9" t="n">
        <v>30.56173807470558</v>
      </c>
      <c r="BY155" s="9" t="n">
        <v>39.62805775528525</v>
      </c>
      <c r="BZ155" s="9" t="n">
        <v>42.96503196056912</v>
      </c>
      <c r="CA155" s="9" t="n">
        <v>1.1695476423682</v>
      </c>
      <c r="CB155" s="9" t="n">
        <v>34.16008280545069</v>
      </c>
      <c r="CC155" s="9" t="n">
        <v>0.288</v>
      </c>
      <c r="CD155" s="9" t="n">
        <v>-0.1234466629742803</v>
      </c>
      <c r="CE155" s="9" t="n">
        <v>2.03</v>
      </c>
      <c r="CF155" s="9" t="n">
        <v>2.835</v>
      </c>
      <c r="CG155" s="9" t="n">
        <v>90.08799999999999</v>
      </c>
      <c r="CH155" s="9" t="n">
        <v>8.57</v>
      </c>
      <c r="CI155" s="9" t="n">
        <v>23.85</v>
      </c>
      <c r="CJ155" s="9" t="n">
        <v>26.47</v>
      </c>
      <c r="CK155" s="9" t="n">
        <v>2.51</v>
      </c>
      <c r="CL155" s="9" t="n">
        <v>0.11</v>
      </c>
      <c r="CM155" s="9" t="n">
        <v>0.16</v>
      </c>
      <c r="CN155" s="9" t="n">
        <v>36.67</v>
      </c>
      <c r="CO155" s="9" t="n">
        <v>1.47</v>
      </c>
      <c r="CP155" s="9" t="n">
        <v>68.85299999999999</v>
      </c>
      <c r="CQ155" s="9" t="n">
        <v>68.85299999999999</v>
      </c>
      <c r="CR155" s="9" t="n">
        <v>3</v>
      </c>
      <c r="CS155" s="9" t="n">
        <v>3</v>
      </c>
      <c r="CT155" s="9" t="n">
        <v>0.5</v>
      </c>
      <c r="CU155" s="9" t="n">
        <v>0.3</v>
      </c>
      <c r="CV155" s="9" t="n">
        <v>0.6</v>
      </c>
      <c r="CW155" s="9" t="n">
        <v>0.8</v>
      </c>
      <c r="CX155" s="9" t="n">
        <v>0.8</v>
      </c>
      <c r="CY155" s="9" t="n">
        <v>0.7</v>
      </c>
      <c r="CZ155" s="9" t="n">
        <v>0.5</v>
      </c>
      <c r="DA155" s="9" t="n">
        <v>0.5</v>
      </c>
      <c r="DB155" s="9" t="n">
        <v>1</v>
      </c>
      <c r="DC155" s="9" t="n">
        <v>0.3</v>
      </c>
      <c r="DD155" s="9" t="n">
        <v>0.8</v>
      </c>
      <c r="DE155" s="9" t="n">
        <v>0.4416944498921357</v>
      </c>
      <c r="DF155" s="9" t="n">
        <v>2</v>
      </c>
      <c r="DG155" s="9" t="n">
        <v>4.044</v>
      </c>
      <c r="DH155" s="9" t="n">
        <v>2.461</v>
      </c>
      <c r="DI155" s="9" t="n">
        <v>8.572800000000001</v>
      </c>
      <c r="DJ155" s="9" t="n">
        <v>21.74352778468216</v>
      </c>
      <c r="DK155" s="9" t="n">
        <v>24.82480567484917</v>
      </c>
      <c r="DL155" s="9" t="n">
        <v>15.65611451797798</v>
      </c>
      <c r="DM155" s="9" t="n">
        <v>20.69869847611109</v>
      </c>
      <c r="DN155" s="9" t="n">
        <v>14.922</v>
      </c>
      <c r="DO155" s="9" t="n">
        <v>14.922</v>
      </c>
      <c r="DP155" s="9" t="n">
        <v>22.4376</v>
      </c>
      <c r="DQ155" s="9" t="n">
        <v>13.49474620847193</v>
      </c>
      <c r="DR155" s="9" t="n">
        <v>13.49474620847193</v>
      </c>
      <c r="DS155" s="9" t="n">
        <v>0.105</v>
      </c>
    </row>
    <row r="156">
      <c r="A156" s="9" t="inlineStr">
        <is>
          <t>STP</t>
        </is>
      </c>
      <c r="B156" s="9" t="inlineStr">
        <is>
          <t>São Tomé and Principe</t>
        </is>
      </c>
      <c r="C156" s="9" t="n">
        <v>0.005</v>
      </c>
      <c r="D156" s="9" t="n">
        <v>0.005</v>
      </c>
      <c r="E156" s="9" t="n">
        <v>0.01</v>
      </c>
      <c r="F156" s="9" t="n">
        <v>0.005</v>
      </c>
      <c r="G156" s="9" t="n">
        <v>0.005</v>
      </c>
      <c r="H156" s="9" t="n">
        <v>0.01</v>
      </c>
      <c r="I156" s="9" t="n">
        <v>0.005</v>
      </c>
      <c r="J156" s="9" t="n">
        <v>0.005</v>
      </c>
      <c r="K156" s="9" t="n">
        <v>0.01</v>
      </c>
      <c r="L156" s="9" t="n">
        <v>0.01</v>
      </c>
      <c r="M156" s="9" t="n">
        <v>0.005</v>
      </c>
      <c r="N156" s="9" t="n">
        <v>0</v>
      </c>
      <c r="O156" s="9" t="n">
        <v>0</v>
      </c>
      <c r="P156" s="9" t="n">
        <v>0</v>
      </c>
      <c r="Q156" s="9" t="n">
        <v>0</v>
      </c>
      <c r="R156" s="9" t="n">
        <v>0</v>
      </c>
      <c r="S156" s="9" t="n">
        <v>0</v>
      </c>
      <c r="T156" s="9" t="n">
        <v>0</v>
      </c>
      <c r="U156" s="9" t="n">
        <v>0</v>
      </c>
      <c r="V156" s="9" t="n">
        <v>0</v>
      </c>
      <c r="W156" s="9" t="n">
        <v>0</v>
      </c>
      <c r="X156" s="9" t="n">
        <v>0</v>
      </c>
      <c r="Y156" s="9" t="n">
        <v>0</v>
      </c>
      <c r="Z156" s="9" t="n">
        <v>0.003162109034575061</v>
      </c>
      <c r="AA156" s="9" t="n">
        <v>0.03</v>
      </c>
      <c r="AB156" s="9" t="n">
        <v>0</v>
      </c>
      <c r="AC156" s="9" t="n">
        <v>0</v>
      </c>
      <c r="AD156" s="9" t="n">
        <v>0</v>
      </c>
      <c r="AE156" s="9" t="n">
        <v>0</v>
      </c>
      <c r="AF156" s="9" t="n">
        <v>0.153</v>
      </c>
      <c r="AG156" s="9" t="n">
        <v>0</v>
      </c>
      <c r="AH156" s="9" t="n">
        <v>0</v>
      </c>
      <c r="AI156" s="9" t="n">
        <v>0</v>
      </c>
      <c r="AJ156" s="9" t="n">
        <v>0</v>
      </c>
      <c r="AK156" s="9" t="n">
        <v>0</v>
      </c>
      <c r="AL156" s="9" t="n">
        <v>0</v>
      </c>
      <c r="AM156" s="9" t="n">
        <v>0</v>
      </c>
      <c r="AN156" s="9" t="n">
        <v>0</v>
      </c>
      <c r="AO156" s="9" t="n">
        <v>0</v>
      </c>
      <c r="AP156" s="9" t="n">
        <v>0.1998638558050741</v>
      </c>
      <c r="AQ156" s="9" t="n">
        <v>0.23436765</v>
      </c>
      <c r="AR156" s="9" t="n">
        <v>0.197845357875</v>
      </c>
      <c r="AS156" s="9" t="n">
        <v>0.192899223928125</v>
      </c>
      <c r="AT156" s="9" t="n">
        <v>0.1150107091184299</v>
      </c>
      <c r="AU156" s="9" t="n">
        <v>0.1249424856</v>
      </c>
      <c r="AV156" s="9" t="n">
        <v>0.1060406747318869</v>
      </c>
      <c r="AW156" s="9" t="n">
        <v>0.1118212233949809</v>
      </c>
      <c r="AX156" s="9" t="n">
        <v>0.0990560141947059</v>
      </c>
      <c r="AY156" s="9" t="n">
        <v>0.10801944</v>
      </c>
      <c r="AZ156" s="9" t="n">
        <v>0.0913303349050891</v>
      </c>
      <c r="BA156" s="9" t="n">
        <v>0.09630898528307261</v>
      </c>
      <c r="BB156" s="9" t="n">
        <v>0.2841970532374741</v>
      </c>
      <c r="BC156" s="9" t="n">
        <v>0.2802956024483333</v>
      </c>
      <c r="BD156" s="9" t="n">
        <v>0.3980935759999999</v>
      </c>
      <c r="BE156" s="9" t="n">
        <v>0.273288212387125</v>
      </c>
      <c r="BF156" s="9" t="n">
        <v>0.195340534277556</v>
      </c>
      <c r="BG156" s="9" t="n">
        <v>0.2334290899999996</v>
      </c>
      <c r="BH156" s="9" t="n">
        <v>0.197053056808333</v>
      </c>
      <c r="BI156" s="9" t="n">
        <v>0.1921267303881247</v>
      </c>
      <c r="BJ156" s="9" t="n">
        <v>0.004085987732192</v>
      </c>
      <c r="BK156" s="9" t="n">
        <v>0.0046089999999999</v>
      </c>
      <c r="BL156" s="9" t="n">
        <v>0.0038907641666666</v>
      </c>
      <c r="BM156" s="9" t="n">
        <v>0.0037934950624999</v>
      </c>
      <c r="BN156" s="9" t="n">
        <v>0</v>
      </c>
      <c r="BO156" s="9" t="n">
        <v>0</v>
      </c>
      <c r="BP156" s="9" t="n">
        <v>0</v>
      </c>
      <c r="BQ156" s="9" t="n">
        <v>0</v>
      </c>
      <c r="BR156" s="9" t="n">
        <v>0</v>
      </c>
      <c r="BS156" s="9" t="n">
        <v>0</v>
      </c>
      <c r="BT156" s="9" t="n">
        <v>0</v>
      </c>
      <c r="BU156" s="9" t="n">
        <v>0</v>
      </c>
      <c r="BV156" s="9" t="n">
        <v>0</v>
      </c>
      <c r="BW156" s="9" t="n">
        <v>1.15282997567641</v>
      </c>
      <c r="BX156" s="9" t="n">
        <v>1.267106242752665</v>
      </c>
      <c r="BY156" s="9" t="n">
        <v>1.064111470367318</v>
      </c>
      <c r="BZ156" s="9" t="n">
        <v>1.116018043844813</v>
      </c>
      <c r="CA156" s="9" t="n">
        <v>0.4478363958529181</v>
      </c>
      <c r="CB156" s="9" t="n">
        <v>0.05946297869809328</v>
      </c>
      <c r="CC156" s="9" t="n">
        <v>1.098</v>
      </c>
      <c r="CD156" s="9" t="n">
        <v>0.6734006734006741</v>
      </c>
      <c r="CE156" s="9" t="n">
        <v>2.1</v>
      </c>
      <c r="CF156" s="9" t="n">
        <v>3.4</v>
      </c>
      <c r="CG156" s="9" t="n">
        <v>0.828</v>
      </c>
      <c r="CH156" s="9" t="n">
        <v>0.01</v>
      </c>
      <c r="CI156" s="9" t="n">
        <v>0</v>
      </c>
      <c r="CJ156" s="9" t="n">
        <v>0.08</v>
      </c>
      <c r="CK156" s="9" t="n">
        <v>0</v>
      </c>
      <c r="CL156" s="9" t="n">
        <v>0.08</v>
      </c>
      <c r="CM156" s="9" t="n">
        <v>0</v>
      </c>
      <c r="CN156" s="9" t="n">
        <v>0.09</v>
      </c>
      <c r="CO156" s="9" t="n">
        <v>0</v>
      </c>
      <c r="CP156" s="9" t="n">
        <v>0.257</v>
      </c>
      <c r="CQ156" s="9" t="n">
        <v>0.461</v>
      </c>
      <c r="CR156" s="9" t="n">
        <v>3</v>
      </c>
      <c r="CS156" s="9" t="n">
        <v>2</v>
      </c>
      <c r="CT156" s="9" t="n">
        <v>0.5</v>
      </c>
      <c r="CU156" s="9" t="n">
        <v>0.3</v>
      </c>
      <c r="CV156" s="9" t="n">
        <v>0.6</v>
      </c>
      <c r="CW156" s="9" t="n">
        <v>0.8</v>
      </c>
      <c r="CX156" s="9" t="n">
        <v>0.8</v>
      </c>
      <c r="CY156" s="9" t="n">
        <v>0.7</v>
      </c>
      <c r="CZ156" s="9" t="n">
        <v>0.5</v>
      </c>
      <c r="DA156" s="9" t="n">
        <v>0.5</v>
      </c>
      <c r="DB156" s="9" t="n">
        <v>1</v>
      </c>
      <c r="DC156" s="9" t="n">
        <v>0.3</v>
      </c>
      <c r="DD156" s="9" t="n">
        <v>0.8</v>
      </c>
      <c r="DE156" s="9" t="n">
        <v>0.5625</v>
      </c>
      <c r="DF156" s="9" t="n">
        <v>1</v>
      </c>
      <c r="DG156" s="9" t="n">
        <v>7.124</v>
      </c>
      <c r="DH156" s="9" t="n">
        <v>5.575</v>
      </c>
      <c r="DI156" s="9" t="n">
        <v>12.193</v>
      </c>
      <c r="DJ156" s="9" t="n">
        <v>20.10983185767387</v>
      </c>
      <c r="DK156" s="9" t="n">
        <v>20.70361403888047</v>
      </c>
      <c r="DL156" s="9" t="n">
        <v>15.65611451797798</v>
      </c>
      <c r="DM156" s="9" t="n">
        <v>19.89938703508767</v>
      </c>
      <c r="DN156" s="9" t="n">
        <v>12.345</v>
      </c>
      <c r="DO156" s="9" t="n">
        <v>11.021</v>
      </c>
      <c r="DP156" s="9" t="n">
        <v>20.286</v>
      </c>
      <c r="DQ156" s="9" t="n">
        <v>13.49474620847193</v>
      </c>
      <c r="DR156" s="9" t="n">
        <v>13.49474620847193</v>
      </c>
      <c r="DS156" s="9" t="n">
        <v>0.105</v>
      </c>
    </row>
    <row r="157">
      <c r="A157" s="9" t="inlineStr">
        <is>
          <t>SUR</t>
        </is>
      </c>
      <c r="B157" s="9" t="inlineStr">
        <is>
          <t>Suriname</t>
        </is>
      </c>
      <c r="C157" s="9" t="n">
        <v>0.005</v>
      </c>
      <c r="D157" s="9" t="n">
        <v>0.005</v>
      </c>
      <c r="E157" s="9" t="n">
        <v>0.01</v>
      </c>
      <c r="F157" s="9" t="n">
        <v>0.005</v>
      </c>
      <c r="G157" s="9" t="n">
        <v>0.005</v>
      </c>
      <c r="H157" s="9" t="n">
        <v>0.01</v>
      </c>
      <c r="I157" s="9" t="n">
        <v>0.005</v>
      </c>
      <c r="J157" s="9" t="n">
        <v>0.005</v>
      </c>
      <c r="K157" s="9" t="n">
        <v>0.01</v>
      </c>
      <c r="L157" s="9" t="n">
        <v>0.01</v>
      </c>
      <c r="M157" s="9" t="n">
        <v>0.005</v>
      </c>
      <c r="N157" s="9" t="n">
        <v>0</v>
      </c>
      <c r="O157" s="9" t="n">
        <v>0</v>
      </c>
      <c r="P157" s="9" t="n">
        <v>0</v>
      </c>
      <c r="Q157" s="9" t="n">
        <v>0</v>
      </c>
      <c r="R157" s="9" t="n">
        <v>0</v>
      </c>
      <c r="S157" s="9" t="n">
        <v>0</v>
      </c>
      <c r="T157" s="9" t="n">
        <v>0</v>
      </c>
      <c r="U157" s="9" t="n">
        <v>0</v>
      </c>
      <c r="V157" s="9" t="n">
        <v>0</v>
      </c>
      <c r="W157" s="9" t="n">
        <v>0</v>
      </c>
      <c r="X157" s="9" t="n">
        <v>0</v>
      </c>
      <c r="Y157" s="9" t="n">
        <v>0</v>
      </c>
      <c r="Z157" s="9" t="n">
        <v>0.01693332301848529</v>
      </c>
      <c r="AA157" s="9" t="n">
        <v>0.51</v>
      </c>
      <c r="AB157" s="9" t="n">
        <v>0.01</v>
      </c>
      <c r="AC157" s="9" t="n">
        <v>0</v>
      </c>
      <c r="AD157" s="9" t="n">
        <v>0</v>
      </c>
      <c r="AE157" s="9" t="n">
        <v>0</v>
      </c>
      <c r="AF157" s="9" t="n">
        <v>3.656</v>
      </c>
      <c r="AG157" s="9" t="n">
        <v>0</v>
      </c>
      <c r="AH157" s="9" t="n">
        <v>0</v>
      </c>
      <c r="AI157" s="9" t="n">
        <v>0</v>
      </c>
      <c r="AJ157" s="9" t="n">
        <v>0</v>
      </c>
      <c r="AK157" s="9" t="n">
        <v>0</v>
      </c>
      <c r="AL157" s="9" t="n">
        <v>0</v>
      </c>
      <c r="AM157" s="9" t="n">
        <v>0</v>
      </c>
      <c r="AN157" s="9" t="n">
        <v>0</v>
      </c>
      <c r="AO157" s="9" t="n">
        <v>0</v>
      </c>
      <c r="AP157" s="9" t="n">
        <v>0</v>
      </c>
      <c r="AQ157" s="9" t="n">
        <v>0</v>
      </c>
      <c r="AR157" s="9" t="n">
        <v>0</v>
      </c>
      <c r="AS157" s="9" t="n">
        <v>0</v>
      </c>
      <c r="AT157" s="9" t="n">
        <v>5.274736979525495</v>
      </c>
      <c r="AU157" s="9" t="n">
        <v>3.966004915200001</v>
      </c>
      <c r="AV157" s="9" t="n">
        <v>5.28507357007477</v>
      </c>
      <c r="AW157" s="9" t="n">
        <v>5.352942548999256</v>
      </c>
      <c r="AX157" s="9" t="n">
        <v>3.146584387483478</v>
      </c>
      <c r="AY157" s="9" t="n">
        <v>2.4204225744</v>
      </c>
      <c r="AZ157" s="9" t="n">
        <v>3.152750563080176</v>
      </c>
      <c r="BA157" s="9" t="n">
        <v>3.193237030994535</v>
      </c>
      <c r="BB157" s="9" t="n">
        <v>7.227024990129605</v>
      </c>
      <c r="BC157" s="9" t="n">
        <v>7.423356462479323</v>
      </c>
      <c r="BD157" s="9" t="n">
        <v>7.817723679216404</v>
      </c>
      <c r="BE157" s="9" t="n">
        <v>7.602295531206968</v>
      </c>
      <c r="BF157" s="9" t="n">
        <v>0.0175842290476678</v>
      </c>
      <c r="BG157" s="9" t="n">
        <v>0.0170532999999999</v>
      </c>
      <c r="BH157" s="9" t="n">
        <v>0.0176833745578946</v>
      </c>
      <c r="BI157" s="9" t="n">
        <v>0.0173297070667367</v>
      </c>
      <c r="BJ157" s="9" t="n">
        <v>1.01297723090111</v>
      </c>
      <c r="BK157" s="9" t="n">
        <v>0.9470070399999966</v>
      </c>
      <c r="BL157" s="9" t="n">
        <v>0.9819964580042074</v>
      </c>
      <c r="BM157" s="9" t="n">
        <v>0.9623565288441228</v>
      </c>
      <c r="BN157" s="9" t="n">
        <v>0.2542911383881299</v>
      </c>
      <c r="BO157" s="9" t="n">
        <v>0.2442955931999999</v>
      </c>
      <c r="BP157" s="9" t="n">
        <v>0.2533216724856</v>
      </c>
      <c r="BQ157" s="9" t="n">
        <v>0.248255239035888</v>
      </c>
      <c r="BR157" s="9" t="n">
        <v>0</v>
      </c>
      <c r="BS157" s="9" t="n">
        <v>0</v>
      </c>
      <c r="BT157" s="9" t="n">
        <v>0</v>
      </c>
      <c r="BU157" s="9" t="n">
        <v>0</v>
      </c>
      <c r="BV157" s="9" t="n">
        <v>0</v>
      </c>
      <c r="BW157" s="9" t="n">
        <v>30.92329994057289</v>
      </c>
      <c r="BX157" s="9" t="n">
        <v>27.15027705338754</v>
      </c>
      <c r="BY157" s="9" t="n">
        <v>33.39007136562523</v>
      </c>
      <c r="BZ157" s="9" t="n">
        <v>32.7127134172862</v>
      </c>
      <c r="CA157" s="9" t="n">
        <v>0.3505314450830034</v>
      </c>
      <c r="CB157" s="9" t="n">
        <v>2.33925593528027</v>
      </c>
      <c r="CC157" s="9" t="n">
        <v>4.361</v>
      </c>
      <c r="CD157" s="9" t="n">
        <v>1.516068122238721</v>
      </c>
      <c r="CE157" s="9" t="n">
        <v>1.511</v>
      </c>
      <c r="CF157" s="9" t="n">
        <v>3.927</v>
      </c>
      <c r="CG157" s="9" t="n">
        <v>4.434</v>
      </c>
      <c r="CH157" s="9" t="n">
        <v>0.91</v>
      </c>
      <c r="CI157" s="9" t="n">
        <v>0</v>
      </c>
      <c r="CJ157" s="9" t="n">
        <v>0.8200000000000001</v>
      </c>
      <c r="CK157" s="9" t="n">
        <v>0.02</v>
      </c>
      <c r="CL157" s="9" t="n">
        <v>0.8</v>
      </c>
      <c r="CM157" s="9" t="n">
        <v>0.01</v>
      </c>
      <c r="CN157" s="9" t="n">
        <v>1.74</v>
      </c>
      <c r="CO157" s="9" t="n">
        <v>0</v>
      </c>
      <c r="CP157" s="9" t="n">
        <v>4.904</v>
      </c>
      <c r="CQ157" s="9" t="n">
        <v>13.671</v>
      </c>
      <c r="CR157" s="9" t="n">
        <v>3</v>
      </c>
      <c r="CS157" s="9" t="n">
        <v>3</v>
      </c>
      <c r="CT157" s="9" t="n">
        <v>0.5</v>
      </c>
      <c r="CU157" s="9" t="n">
        <v>0.3</v>
      </c>
      <c r="CV157" s="9" t="n">
        <v>0.6</v>
      </c>
      <c r="CW157" s="9" t="n">
        <v>0.8</v>
      </c>
      <c r="CX157" s="9" t="n">
        <v>0.8</v>
      </c>
      <c r="CY157" s="9" t="n">
        <v>0.7</v>
      </c>
      <c r="CZ157" s="9" t="n">
        <v>0.5</v>
      </c>
      <c r="DA157" s="9" t="n">
        <v>0.5</v>
      </c>
      <c r="DB157" s="9" t="n">
        <v>1</v>
      </c>
      <c r="DC157" s="9" t="n">
        <v>0.3</v>
      </c>
      <c r="DD157" s="9" t="n">
        <v>0.8</v>
      </c>
      <c r="DE157" s="9" t="n">
        <v>0.322707423580786</v>
      </c>
      <c r="DF157" s="9" t="n">
        <v>2</v>
      </c>
      <c r="DG157" s="9" t="n">
        <v>7.124</v>
      </c>
      <c r="DH157" s="9" t="n">
        <v>5.575</v>
      </c>
      <c r="DI157" s="9" t="n">
        <v>13.4123</v>
      </c>
      <c r="DJ157" s="9" t="n">
        <v>17.56258648903518</v>
      </c>
      <c r="DK157" s="9" t="n">
        <v>23.54495629650092</v>
      </c>
      <c r="DL157" s="9" t="n">
        <v>16.55150651579127</v>
      </c>
      <c r="DM157" s="9" t="n">
        <v>22.58859718125048</v>
      </c>
      <c r="DN157" s="9" t="n">
        <v>6.853</v>
      </c>
      <c r="DO157" s="9" t="n">
        <v>6.191</v>
      </c>
      <c r="DP157" s="9" t="n">
        <v>11.9053</v>
      </c>
      <c r="DQ157" s="9" t="n">
        <v>13.49474620847193</v>
      </c>
      <c r="DR157" s="9" t="n">
        <v>13.49474620847193</v>
      </c>
      <c r="DS157" s="9" t="n">
        <v>0.105</v>
      </c>
    </row>
    <row r="158">
      <c r="A158" s="9" t="inlineStr">
        <is>
          <t>SVK</t>
        </is>
      </c>
      <c r="B158" s="9" t="inlineStr">
        <is>
          <t>Slovak Republic</t>
        </is>
      </c>
      <c r="C158" s="9" t="n">
        <v>0.005</v>
      </c>
      <c r="D158" s="9" t="n">
        <v>0.005</v>
      </c>
      <c r="E158" s="9" t="n">
        <v>0.01</v>
      </c>
      <c r="F158" s="9" t="n">
        <v>0.005</v>
      </c>
      <c r="G158" s="9" t="n">
        <v>0.005</v>
      </c>
      <c r="H158" s="9" t="n">
        <v>0.01</v>
      </c>
      <c r="I158" s="9" t="n">
        <v>0.005</v>
      </c>
      <c r="J158" s="9" t="n">
        <v>0.005</v>
      </c>
      <c r="K158" s="9" t="n">
        <v>0.01</v>
      </c>
      <c r="L158" s="9" t="n">
        <v>0.01</v>
      </c>
      <c r="M158" s="9" t="n">
        <v>0.005</v>
      </c>
      <c r="N158" s="9" t="n">
        <v>7.401951</v>
      </c>
      <c r="O158" s="9" t="n">
        <v>2.975075</v>
      </c>
      <c r="P158" s="9" t="n">
        <v>210.505836</v>
      </c>
      <c r="Q158" s="9" t="n">
        <v>10.03217841228319</v>
      </c>
      <c r="R158" s="9" t="n">
        <v>1.815912843504127</v>
      </c>
      <c r="S158" s="9" t="n">
        <v>14.46807768584979</v>
      </c>
      <c r="T158" s="9" t="n">
        <v>15.84739859396053</v>
      </c>
      <c r="U158" s="9" t="n">
        <v>0.536446</v>
      </c>
      <c r="V158" s="9" t="n">
        <v>0.058116</v>
      </c>
      <c r="W158" s="9" t="n">
        <v>0.292423</v>
      </c>
      <c r="X158" s="9" t="n">
        <v>2.610563954732648</v>
      </c>
      <c r="Y158" s="9" t="n">
        <v>2.610563954732648</v>
      </c>
      <c r="Z158" s="9" t="n">
        <v>1.184890546702363</v>
      </c>
      <c r="AA158" s="9" t="n">
        <v>2.26</v>
      </c>
      <c r="AB158" s="9" t="n">
        <v>1.03</v>
      </c>
      <c r="AC158" s="9" t="n">
        <v>0</v>
      </c>
      <c r="AD158" s="9" t="n">
        <v>0</v>
      </c>
      <c r="AE158" s="9" t="n">
        <v>0</v>
      </c>
      <c r="AF158" s="9" t="n">
        <v>38.549</v>
      </c>
      <c r="AG158" s="9" t="n">
        <v>52.5431849538543</v>
      </c>
      <c r="AH158" s="9" t="n">
        <v>43.63316744039999</v>
      </c>
      <c r="AI158" s="9" t="n">
        <v>44.60279338352</v>
      </c>
      <c r="AJ158" s="9" t="n">
        <v>46.99222874335143</v>
      </c>
      <c r="AK158" s="9" t="n">
        <v>9.846042192655808</v>
      </c>
      <c r="AL158" s="9" t="n">
        <v>6.51423421625564</v>
      </c>
      <c r="AM158" s="9" t="n">
        <v>5.4573012072</v>
      </c>
      <c r="AN158" s="9" t="n">
        <v>5.578574567359999</v>
      </c>
      <c r="AO158" s="9" t="n">
        <v>5.877426776325714</v>
      </c>
      <c r="AP158" s="9" t="n">
        <v>83.80757726199441</v>
      </c>
      <c r="AQ158" s="9" t="n">
        <v>75.75745835307958</v>
      </c>
      <c r="AR158" s="9" t="n">
        <v>77.44095742759247</v>
      </c>
      <c r="AS158" s="9" t="n">
        <v>81.5895801469278</v>
      </c>
      <c r="AT158" s="9" t="n">
        <v>80.22338649284818</v>
      </c>
      <c r="AU158" s="9" t="n">
        <v>70.4915982972</v>
      </c>
      <c r="AV158" s="9" t="n">
        <v>74.03249099718774</v>
      </c>
      <c r="AW158" s="9" t="n">
        <v>80.44469578834843</v>
      </c>
      <c r="AX158" s="9" t="n">
        <v>24.30386377139918</v>
      </c>
      <c r="AY158" s="9" t="n">
        <v>21.48479866080001</v>
      </c>
      <c r="AZ158" s="9" t="n">
        <v>22.42564509314249</v>
      </c>
      <c r="BA158" s="9" t="n">
        <v>24.37268873868944</v>
      </c>
      <c r="BB158" s="9" t="n">
        <v>24.82432516204689</v>
      </c>
      <c r="BC158" s="9" t="n">
        <v>22.48368033083045</v>
      </c>
      <c r="BD158" s="9" t="n">
        <v>23.63080465068312</v>
      </c>
      <c r="BE158" s="9" t="n">
        <v>24.21456213019188</v>
      </c>
      <c r="BF158" s="9" t="n">
        <v>0</v>
      </c>
      <c r="BG158" s="9" t="n">
        <v>0</v>
      </c>
      <c r="BH158" s="9" t="n">
        <v>0</v>
      </c>
      <c r="BI158" s="9" t="n">
        <v>0</v>
      </c>
      <c r="BJ158" s="9" t="n">
        <v>0.4070438882466894</v>
      </c>
      <c r="BK158" s="9" t="n">
        <v>0.3682800499999996</v>
      </c>
      <c r="BL158" s="9" t="n">
        <v>0.3764640511111107</v>
      </c>
      <c r="BM158" s="9" t="n">
        <v>0.3966317681349203</v>
      </c>
      <c r="BN158" s="9" t="n">
        <v>62.91886194699346</v>
      </c>
      <c r="BO158" s="9" t="n">
        <v>45.3770952444</v>
      </c>
      <c r="BP158" s="9" t="n">
        <v>46.38547513872</v>
      </c>
      <c r="BQ158" s="9" t="n">
        <v>48.87041130686572</v>
      </c>
      <c r="BR158" s="9" t="n">
        <v>15.1289266473079</v>
      </c>
      <c r="BS158" s="9" t="n">
        <v>98.78703389278368</v>
      </c>
      <c r="BT158" s="9" t="n">
        <v>79.6257012096</v>
      </c>
      <c r="BU158" s="9" t="n">
        <v>81.39516123647999</v>
      </c>
      <c r="BV158" s="9" t="n">
        <v>85.75561630271999</v>
      </c>
      <c r="BW158" s="9" t="n">
        <v>56.81836300719074</v>
      </c>
      <c r="BX158" s="9" t="n">
        <v>44.15011878941864</v>
      </c>
      <c r="BY158" s="9" t="n">
        <v>53.66246739903785</v>
      </c>
      <c r="BZ158" s="9" t="n">
        <v>52.72112382536171</v>
      </c>
      <c r="CA158" s="9" t="n">
        <v>1.18167975776865</v>
      </c>
      <c r="CB158" s="9" t="n">
        <v>29.03534729562427</v>
      </c>
      <c r="CC158" s="9" t="n">
        <v>0.5600000000000001</v>
      </c>
      <c r="CD158" s="9" t="n">
        <v>1.078481328766092</v>
      </c>
      <c r="CE158" s="9" t="n">
        <v>0.8070000000000001</v>
      </c>
      <c r="CF158" s="9" t="n">
        <v>0.601</v>
      </c>
      <c r="CG158" s="9" t="n">
        <v>140.892</v>
      </c>
      <c r="CH158" s="9" t="n">
        <v>24.07</v>
      </c>
      <c r="CI158" s="9" t="n">
        <v>0.31</v>
      </c>
      <c r="CJ158" s="9" t="n">
        <v>4.32</v>
      </c>
      <c r="CK158" s="9" t="n">
        <v>3.28</v>
      </c>
      <c r="CL158" s="9" t="n">
        <v>0.73</v>
      </c>
      <c r="CM158" s="9" t="n">
        <v>0.7</v>
      </c>
      <c r="CN158" s="9" t="n">
        <v>29.09</v>
      </c>
      <c r="CO158" s="9" t="n">
        <v>0</v>
      </c>
      <c r="CP158" s="9" t="n">
        <v>44.904</v>
      </c>
      <c r="CQ158" s="9" t="n">
        <v>37.212</v>
      </c>
      <c r="CR158" s="9" t="n">
        <v>1</v>
      </c>
      <c r="CS158" s="9" t="n">
        <v>4</v>
      </c>
      <c r="CT158" s="9" t="n">
        <v>0.5</v>
      </c>
      <c r="CU158" s="9" t="n">
        <v>0.3</v>
      </c>
      <c r="CV158" s="9" t="n">
        <v>0.6</v>
      </c>
      <c r="CW158" s="9" t="n">
        <v>0.8</v>
      </c>
      <c r="CX158" s="9" t="n">
        <v>0.8</v>
      </c>
      <c r="CY158" s="9" t="n">
        <v>0.7</v>
      </c>
      <c r="CZ158" s="9" t="n">
        <v>0.5</v>
      </c>
      <c r="DA158" s="9" t="n">
        <v>0.5</v>
      </c>
      <c r="DB158" s="9" t="n">
        <v>1</v>
      </c>
      <c r="DC158" s="9" t="n">
        <v>0.3</v>
      </c>
      <c r="DD158" s="9" t="n">
        <v>0.8</v>
      </c>
      <c r="DE158" s="9" t="n">
        <v>0.5651980311217552</v>
      </c>
      <c r="DF158" s="9" t="n">
        <v>3</v>
      </c>
      <c r="DG158" s="9" t="n">
        <v>10.275</v>
      </c>
      <c r="DH158" s="9" t="n">
        <v>14.427</v>
      </c>
      <c r="DI158" s="9" t="n">
        <v>11.196</v>
      </c>
      <c r="DJ158" s="9" t="n">
        <v>23.26337525026686</v>
      </c>
      <c r="DK158" s="9" t="n">
        <v>24.8358723856683</v>
      </c>
      <c r="DL158" s="9" t="n">
        <v>15.65611451797798</v>
      </c>
      <c r="DM158" s="9" t="n">
        <v>20.51169078625503</v>
      </c>
      <c r="DN158" s="9" t="n">
        <v>21.08</v>
      </c>
      <c r="DO158" s="9" t="n">
        <v>21.08</v>
      </c>
      <c r="DP158" s="9" t="n">
        <v>25.7952</v>
      </c>
      <c r="DQ158" s="9" t="n">
        <v>13.49474620847193</v>
      </c>
      <c r="DR158" s="9" t="n">
        <v>13.49474620847193</v>
      </c>
      <c r="DS158" s="9" t="n">
        <v>0.055</v>
      </c>
    </row>
    <row r="159">
      <c r="A159" s="9" t="inlineStr">
        <is>
          <t>SVN</t>
        </is>
      </c>
      <c r="B159" s="9" t="inlineStr">
        <is>
          <t>Slovenia</t>
        </is>
      </c>
      <c r="C159" s="9" t="n">
        <v>0.005</v>
      </c>
      <c r="D159" s="9" t="n">
        <v>0.005</v>
      </c>
      <c r="E159" s="9" t="n">
        <v>0.01</v>
      </c>
      <c r="F159" s="9" t="n">
        <v>0.005</v>
      </c>
      <c r="G159" s="9" t="n">
        <v>0.005</v>
      </c>
      <c r="H159" s="9" t="n">
        <v>0.01</v>
      </c>
      <c r="I159" s="9" t="n">
        <v>0.005</v>
      </c>
      <c r="J159" s="9" t="n">
        <v>0.005</v>
      </c>
      <c r="K159" s="9" t="n">
        <v>0.01</v>
      </c>
      <c r="L159" s="9" t="n">
        <v>0.01</v>
      </c>
      <c r="M159" s="9" t="n">
        <v>0.005</v>
      </c>
      <c r="N159" s="9" t="n">
        <v>22.416903</v>
      </c>
      <c r="O159" s="9" t="n">
        <v>1.157198</v>
      </c>
      <c r="P159" s="9" t="n">
        <v>46.807344</v>
      </c>
      <c r="Q159" s="9" t="n">
        <v>3.249024874253222</v>
      </c>
      <c r="R159" s="9" t="n">
        <v>0.6766421483259526</v>
      </c>
      <c r="S159" s="9" t="n">
        <v>3.000357919299808</v>
      </c>
      <c r="T159" s="9" t="n">
        <v>4.21909674394811</v>
      </c>
      <c r="U159" s="9" t="n">
        <v>0.388203</v>
      </c>
      <c r="V159" s="9" t="n">
        <v>0.021717</v>
      </c>
      <c r="W159" s="9" t="n">
        <v>0.07385700000000001</v>
      </c>
      <c r="X159" s="9" t="n">
        <v>0.2916148708488704</v>
      </c>
      <c r="Y159" s="9" t="n">
        <v>0.2916148708488704</v>
      </c>
      <c r="Z159" s="9" t="n">
        <v>0.6135037147739928</v>
      </c>
      <c r="AA159" s="9" t="n">
        <v>1.61</v>
      </c>
      <c r="AB159" s="9" t="n">
        <v>1.57</v>
      </c>
      <c r="AC159" s="9" t="n">
        <v>0</v>
      </c>
      <c r="AD159" s="9" t="n">
        <v>0</v>
      </c>
      <c r="AE159" s="9" t="n">
        <v>0</v>
      </c>
      <c r="AF159" s="9" t="n">
        <v>13.371</v>
      </c>
      <c r="AG159" s="9" t="n">
        <v>1.194812620818589</v>
      </c>
      <c r="AH159" s="9" t="n">
        <v>0.9053829396</v>
      </c>
      <c r="AI159" s="9" t="n">
        <v>0.9515386532289444</v>
      </c>
      <c r="AJ159" s="9" t="n">
        <v>1.019441508788532</v>
      </c>
      <c r="AK159" s="9" t="n">
        <v>23.18354107698897</v>
      </c>
      <c r="AL159" s="9" t="n">
        <v>0.0013512458586208</v>
      </c>
      <c r="AM159" s="9" t="n">
        <v>0.001276974</v>
      </c>
      <c r="AN159" s="9" t="n">
        <v>0.0013420731350484</v>
      </c>
      <c r="AO159" s="9" t="n">
        <v>0.0014378449651579</v>
      </c>
      <c r="AP159" s="9" t="n">
        <v>62.16082546011759</v>
      </c>
      <c r="AQ159" s="9" t="n">
        <v>54.30812046503773</v>
      </c>
      <c r="AR159" s="9" t="n">
        <v>57.07670594006103</v>
      </c>
      <c r="AS159" s="9" t="n">
        <v>61.14976309450594</v>
      </c>
      <c r="AT159" s="9" t="n">
        <v>39.18017702907572</v>
      </c>
      <c r="AU159" s="9" t="n">
        <v>34.7617485468</v>
      </c>
      <c r="AV159" s="9" t="n">
        <v>35.89473453178751</v>
      </c>
      <c r="AW159" s="9" t="n">
        <v>41.45712470203714</v>
      </c>
      <c r="AX159" s="9" t="n">
        <v>15.48797640498552</v>
      </c>
      <c r="AY159" s="9" t="n">
        <v>13.6892575764</v>
      </c>
      <c r="AZ159" s="9" t="n">
        <v>14.18875732649007</v>
      </c>
      <c r="BA159" s="9" t="n">
        <v>16.3938091318091</v>
      </c>
      <c r="BB159" s="9" t="n">
        <v>18.65590671939761</v>
      </c>
      <c r="BC159" s="9" t="n">
        <v>16.56378759005301</v>
      </c>
      <c r="BD159" s="9" t="n">
        <v>19.27675011102817</v>
      </c>
      <c r="BE159" s="9" t="n">
        <v>18.6504747939831</v>
      </c>
      <c r="BF159" s="9" t="n">
        <v>0</v>
      </c>
      <c r="BG159" s="9" t="n">
        <v>0</v>
      </c>
      <c r="BH159" s="9" t="n">
        <v>0</v>
      </c>
      <c r="BI159" s="9" t="n">
        <v>0</v>
      </c>
      <c r="BJ159" s="9" t="n">
        <v>1.414330736253355</v>
      </c>
      <c r="BK159" s="9" t="n">
        <v>1.220405531694835</v>
      </c>
      <c r="BL159" s="9" t="n">
        <v>1.282620850504544</v>
      </c>
      <c r="BM159" s="9" t="n">
        <v>1.374150099530826</v>
      </c>
      <c r="BN159" s="9" t="n">
        <v>29.20741983881754</v>
      </c>
      <c r="BO159" s="9" t="n">
        <v>20.7408084876</v>
      </c>
      <c r="BP159" s="9" t="n">
        <v>21.79815867072736</v>
      </c>
      <c r="BQ159" s="9" t="n">
        <v>23.35369949364677</v>
      </c>
      <c r="BR159" s="9" t="n">
        <v>4.321677866231397</v>
      </c>
      <c r="BS159" s="9" t="n">
        <v>9.159140829752833</v>
      </c>
      <c r="BT159" s="9" t="n">
        <v>7.0423734456</v>
      </c>
      <c r="BU159" s="9" t="n">
        <v>7.40138813187938</v>
      </c>
      <c r="BV159" s="9" t="n">
        <v>7.92955941273488</v>
      </c>
      <c r="BW159" s="9" t="n">
        <v>17.53583741453948</v>
      </c>
      <c r="BX159" s="9" t="n">
        <v>14.96268147735839</v>
      </c>
      <c r="BY159" s="9" t="n">
        <v>15.68862425554334</v>
      </c>
      <c r="BZ159" s="9" t="n">
        <v>16.84472192004717</v>
      </c>
      <c r="CA159" s="9" t="n">
        <v>1.059115926847671</v>
      </c>
      <c r="CB159" s="9" t="n">
        <v>15.18559817612812</v>
      </c>
      <c r="CC159" s="9" t="n">
        <v>0</v>
      </c>
      <c r="CD159" s="9" t="n">
        <v>2.160551037897287</v>
      </c>
      <c r="CE159" s="9" t="n">
        <v>1.06</v>
      </c>
      <c r="CF159" s="9" t="n">
        <v>2</v>
      </c>
      <c r="CG159" s="9" t="n">
        <v>72.95</v>
      </c>
      <c r="CH159" s="9" t="n">
        <v>10.18</v>
      </c>
      <c r="CI159" s="9" t="n">
        <v>2.18</v>
      </c>
      <c r="CJ159" s="9" t="n">
        <v>3.15</v>
      </c>
      <c r="CK159" s="9" t="n">
        <v>0.97</v>
      </c>
      <c r="CL159" s="9" t="n">
        <v>0</v>
      </c>
      <c r="CM159" s="9" t="n">
        <v>1.54</v>
      </c>
      <c r="CN159" s="9" t="n">
        <v>14.86</v>
      </c>
      <c r="CO159" s="9" t="n">
        <v>0.01</v>
      </c>
      <c r="CP159" s="9" t="n">
        <v>16.534</v>
      </c>
      <c r="CQ159" s="9" t="n">
        <v>13.39</v>
      </c>
      <c r="CR159" s="9" t="n">
        <v>1</v>
      </c>
      <c r="CS159" s="9" t="n">
        <v>4</v>
      </c>
      <c r="CT159" s="9" t="n">
        <v>0.5</v>
      </c>
      <c r="CU159" s="9" t="n">
        <v>0.3</v>
      </c>
      <c r="CV159" s="9" t="n">
        <v>0.6</v>
      </c>
      <c r="CW159" s="9" t="n">
        <v>0.8</v>
      </c>
      <c r="CX159" s="9" t="n">
        <v>0.8</v>
      </c>
      <c r="CY159" s="9" t="n">
        <v>0.7</v>
      </c>
      <c r="CZ159" s="9" t="n">
        <v>0.5</v>
      </c>
      <c r="DA159" s="9" t="n">
        <v>0.5</v>
      </c>
      <c r="DB159" s="9" t="n">
        <v>1</v>
      </c>
      <c r="DC159" s="9" t="n">
        <v>0.3</v>
      </c>
      <c r="DD159" s="9" t="n">
        <v>0.8</v>
      </c>
      <c r="DE159" s="9" t="n">
        <v>0.6142692343317139</v>
      </c>
      <c r="DF159" s="9" t="n">
        <v>3</v>
      </c>
      <c r="DG159" s="9" t="n">
        <v>4.423</v>
      </c>
      <c r="DH159" s="9" t="n">
        <v>4.007</v>
      </c>
      <c r="DI159" s="9" t="n">
        <v>10.05524</v>
      </c>
      <c r="DJ159" s="9" t="n">
        <v>22.61224570782452</v>
      </c>
      <c r="DK159" s="9" t="n">
        <v>25.19998718892392</v>
      </c>
      <c r="DL159" s="9" t="n">
        <v>15.65611451797798</v>
      </c>
      <c r="DM159" s="9" t="n">
        <v>21.36488185416293</v>
      </c>
      <c r="DN159" s="9" t="n">
        <v>15.716</v>
      </c>
      <c r="DO159" s="9" t="n">
        <v>15.716</v>
      </c>
      <c r="DP159" s="9" t="n">
        <v>25.6139</v>
      </c>
      <c r="DQ159" s="9" t="n">
        <v>13.49474620847193</v>
      </c>
      <c r="DR159" s="9" t="n">
        <v>13.49474620847193</v>
      </c>
      <c r="DS159" s="9" t="n">
        <v>0.045</v>
      </c>
    </row>
    <row r="160">
      <c r="A160" s="9" t="inlineStr">
        <is>
          <t>SWE</t>
        </is>
      </c>
      <c r="B160" s="9" t="inlineStr">
        <is>
          <t>Sweden</t>
        </is>
      </c>
      <c r="C160" s="9" t="n">
        <v>0.005</v>
      </c>
      <c r="D160" s="9" t="n">
        <v>0.005</v>
      </c>
      <c r="E160" s="9" t="n">
        <v>0.01</v>
      </c>
      <c r="F160" s="9" t="n">
        <v>0.005</v>
      </c>
      <c r="G160" s="9" t="n">
        <v>0.005</v>
      </c>
      <c r="H160" s="9" t="n">
        <v>0.01</v>
      </c>
      <c r="I160" s="9" t="n">
        <v>0.005</v>
      </c>
      <c r="J160" s="9" t="n">
        <v>0.005</v>
      </c>
      <c r="K160" s="9" t="n">
        <v>0.01</v>
      </c>
      <c r="L160" s="9" t="n">
        <v>0.01</v>
      </c>
      <c r="M160" s="9" t="n">
        <v>0.005</v>
      </c>
      <c r="N160" s="9" t="n">
        <v>0.726484</v>
      </c>
      <c r="O160" s="9" t="n">
        <v>0.080486</v>
      </c>
      <c r="P160" s="9" t="n">
        <v>71.734053</v>
      </c>
      <c r="Q160" s="9" t="n">
        <v>1.436887705894514</v>
      </c>
      <c r="R160" s="9" t="n">
        <v>0.3267968249120525</v>
      </c>
      <c r="S160" s="9" t="n">
        <v>2.226267695391458</v>
      </c>
      <c r="T160" s="9" t="n">
        <v>3.004419540016852</v>
      </c>
      <c r="U160" s="9" t="n">
        <v>0.180466</v>
      </c>
      <c r="V160" s="9" t="n">
        <v>0.033416</v>
      </c>
      <c r="W160" s="9" t="n">
        <v>0.211273</v>
      </c>
      <c r="X160" s="9" t="n">
        <v>1.645868772609653</v>
      </c>
      <c r="Y160" s="9" t="n">
        <v>1.645868772609653</v>
      </c>
      <c r="Z160" s="9" t="n">
        <v>5.086547104806164</v>
      </c>
      <c r="AA160" s="9" t="n">
        <v>5.03</v>
      </c>
      <c r="AB160" s="9" t="n">
        <v>5.5</v>
      </c>
      <c r="AC160" s="9" t="n">
        <v>17.38</v>
      </c>
      <c r="AD160" s="9" t="n">
        <v>0</v>
      </c>
      <c r="AE160" s="9" t="n">
        <v>0</v>
      </c>
      <c r="AF160" s="9" t="n">
        <v>35.221</v>
      </c>
      <c r="AG160" s="9" t="n">
        <v>35.1854509796204</v>
      </c>
      <c r="AH160" s="9" t="n">
        <v>31.2337331532</v>
      </c>
      <c r="AI160" s="9" t="n">
        <v>33.02091212825872</v>
      </c>
      <c r="AJ160" s="9" t="n">
        <v>32.03028476441094</v>
      </c>
      <c r="AK160" s="9" t="n">
        <v>3.449417008840962</v>
      </c>
      <c r="AL160" s="9" t="n">
        <v>0.1265300125281049</v>
      </c>
      <c r="AM160" s="9" t="n">
        <v>0.1123192836</v>
      </c>
      <c r="AN160" s="9" t="n">
        <v>0.1187461382176976</v>
      </c>
      <c r="AO160" s="9" t="n">
        <v>0.1151837540711666</v>
      </c>
      <c r="AP160" s="9" t="n">
        <v>148.3864811673317</v>
      </c>
      <c r="AQ160" s="9" t="n">
        <v>128.96796955</v>
      </c>
      <c r="AR160" s="9" t="n">
        <v>136.3474538564464</v>
      </c>
      <c r="AS160" s="9" t="n">
        <v>132.257030240753</v>
      </c>
      <c r="AT160" s="9" t="n">
        <v>296.4705016745993</v>
      </c>
      <c r="AU160" s="9" t="n">
        <v>292.7916074232</v>
      </c>
      <c r="AV160" s="9" t="n">
        <v>288.9746760125355</v>
      </c>
      <c r="AW160" s="9" t="n">
        <v>292.333686856137</v>
      </c>
      <c r="AX160" s="9" t="n">
        <v>171.0980763028355</v>
      </c>
      <c r="AY160" s="9" t="n">
        <v>166.3200019800001</v>
      </c>
      <c r="AZ160" s="9" t="n">
        <v>166.61997180916</v>
      </c>
      <c r="BA160" s="9" t="n">
        <v>168.6606721992355</v>
      </c>
      <c r="BB160" s="9" t="n">
        <v>87.17220517819409</v>
      </c>
      <c r="BC160" s="9" t="n">
        <v>79.44639333462389</v>
      </c>
      <c r="BD160" s="9" t="n">
        <v>73.84098767536813</v>
      </c>
      <c r="BE160" s="9" t="n">
        <v>81.47251291617077</v>
      </c>
      <c r="BF160" s="9" t="n">
        <v>0</v>
      </c>
      <c r="BG160" s="9" t="n">
        <v>0</v>
      </c>
      <c r="BH160" s="9" t="n">
        <v>0</v>
      </c>
      <c r="BI160" s="9" t="n">
        <v>0</v>
      </c>
      <c r="BJ160" s="9" t="n">
        <v>0.1745542468678787</v>
      </c>
      <c r="BK160" s="9" t="n">
        <v>0.1715402896853435</v>
      </c>
      <c r="BL160" s="9" t="n">
        <v>0.1813557413829488</v>
      </c>
      <c r="BM160" s="9" t="n">
        <v>0.1759150691414603</v>
      </c>
      <c r="BN160" s="9" t="n">
        <v>18.45170925628165</v>
      </c>
      <c r="BO160" s="9" t="n">
        <v>15.4231077528</v>
      </c>
      <c r="BP160" s="9" t="n">
        <v>16.30561045494801</v>
      </c>
      <c r="BQ160" s="9" t="n">
        <v>15.81644214129958</v>
      </c>
      <c r="BR160" s="9" t="n">
        <v>0.5783245657629186</v>
      </c>
      <c r="BS160" s="9" t="n">
        <v>9.633535763976177</v>
      </c>
      <c r="BT160" s="9" t="n">
        <v>7.8156335376</v>
      </c>
      <c r="BU160" s="9" t="n">
        <v>8.262840276117307</v>
      </c>
      <c r="BV160" s="9" t="n">
        <v>8.014955067833787</v>
      </c>
      <c r="BW160" s="9" t="n">
        <v>147.6154803798436</v>
      </c>
      <c r="BX160" s="9" t="n">
        <v>129.1057946459946</v>
      </c>
      <c r="BY160" s="9" t="n">
        <v>134.5305934880174</v>
      </c>
      <c r="BZ160" s="9" t="n">
        <v>130.6109712287904</v>
      </c>
      <c r="CA160" s="9" t="n">
        <v>1.223182864697976</v>
      </c>
      <c r="CB160" s="9" t="n">
        <v>129.8801605492874</v>
      </c>
      <c r="CC160" s="9" t="n">
        <v>0</v>
      </c>
      <c r="CD160" s="9" t="n">
        <v>0.1475804613760439</v>
      </c>
      <c r="CE160" s="9" t="n">
        <v>1.543</v>
      </c>
      <c r="CF160" s="9" t="n">
        <v>1.963</v>
      </c>
      <c r="CG160" s="9" t="n">
        <v>604.827</v>
      </c>
      <c r="CH160" s="9" t="n">
        <v>124.87</v>
      </c>
      <c r="CI160" s="9" t="n">
        <v>0</v>
      </c>
      <c r="CJ160" s="9" t="n">
        <v>2.08</v>
      </c>
      <c r="CK160" s="9" t="n">
        <v>0.11</v>
      </c>
      <c r="CL160" s="9" t="n">
        <v>1.97</v>
      </c>
      <c r="CM160" s="9" t="n">
        <v>4.43</v>
      </c>
      <c r="CN160" s="9" t="n">
        <v>170.28</v>
      </c>
      <c r="CO160" s="9" t="n">
        <v>38.9</v>
      </c>
      <c r="CP160" s="9" t="n">
        <v>44.434</v>
      </c>
      <c r="CQ160" s="9" t="n">
        <v>1.706</v>
      </c>
      <c r="CR160" s="9" t="n">
        <v>1</v>
      </c>
      <c r="CS160" s="9" t="n">
        <v>4</v>
      </c>
      <c r="CT160" s="9" t="n">
        <v>0.5</v>
      </c>
      <c r="CU160" s="9" t="n">
        <v>0.3</v>
      </c>
      <c r="CV160" s="9" t="n">
        <v>0.6</v>
      </c>
      <c r="CW160" s="9" t="n">
        <v>0.8</v>
      </c>
      <c r="CX160" s="9" t="n">
        <v>0.8</v>
      </c>
      <c r="CY160" s="9" t="n">
        <v>0.7</v>
      </c>
      <c r="CZ160" s="9" t="n">
        <v>0.5</v>
      </c>
      <c r="DA160" s="9" t="n">
        <v>0.5</v>
      </c>
      <c r="DB160" s="9" t="n">
        <v>1</v>
      </c>
      <c r="DC160" s="9" t="n">
        <v>0.3</v>
      </c>
      <c r="DD160" s="9" t="n">
        <v>0.8</v>
      </c>
      <c r="DE160" s="9" t="n">
        <v>0.7985505792137902</v>
      </c>
      <c r="DF160" s="9" t="n">
        <v>3</v>
      </c>
      <c r="DG160" s="9" t="n">
        <v>10.582</v>
      </c>
      <c r="DH160" s="9" t="n">
        <v>8.964</v>
      </c>
      <c r="DI160" s="9" t="n">
        <v>19.3075</v>
      </c>
      <c r="DJ160" s="9" t="n">
        <v>22.84002306999911</v>
      </c>
      <c r="DK160" s="9" t="n">
        <v>25.55263493523257</v>
      </c>
      <c r="DL160" s="9" t="n">
        <v>15.65611451797798</v>
      </c>
      <c r="DM160" s="9" t="n">
        <v>19.95264601832192</v>
      </c>
      <c r="DN160" s="9" t="n">
        <v>22.024</v>
      </c>
      <c r="DO160" s="9" t="n">
        <v>22.024</v>
      </c>
      <c r="DP160" s="9" t="n">
        <v>43.29125</v>
      </c>
      <c r="DQ160" s="9" t="n">
        <v>13.49474620847193</v>
      </c>
      <c r="DR160" s="9" t="n">
        <v>13.49474620847193</v>
      </c>
      <c r="DS160" s="9" t="n">
        <v>0.03503</v>
      </c>
    </row>
    <row r="161">
      <c r="A161" s="9" t="inlineStr">
        <is>
          <t>SWZ</t>
        </is>
      </c>
      <c r="B161" s="9" t="inlineStr">
        <is>
          <t>Eswatini</t>
        </is>
      </c>
      <c r="C161" s="9" t="n">
        <v>0.005</v>
      </c>
      <c r="D161" s="9" t="n">
        <v>0.005</v>
      </c>
      <c r="E161" s="9" t="n">
        <v>0.01</v>
      </c>
      <c r="F161" s="9" t="n">
        <v>0.005</v>
      </c>
      <c r="G161" s="9" t="n">
        <v>0.005</v>
      </c>
      <c r="H161" s="9" t="n">
        <v>0.01</v>
      </c>
      <c r="I161" s="9" t="n">
        <v>0.005</v>
      </c>
      <c r="J161" s="9" t="n">
        <v>0.005</v>
      </c>
      <c r="K161" s="9" t="n">
        <v>0.01</v>
      </c>
      <c r="L161" s="9" t="n">
        <v>0.01</v>
      </c>
      <c r="M161" s="9" t="n">
        <v>0.005</v>
      </c>
      <c r="N161" s="9" t="n">
        <v>0</v>
      </c>
      <c r="O161" s="9" t="n">
        <v>0</v>
      </c>
      <c r="P161" s="9" t="n">
        <v>0</v>
      </c>
      <c r="Q161" s="9" t="n">
        <v>0</v>
      </c>
      <c r="R161" s="9" t="n">
        <v>0</v>
      </c>
      <c r="S161" s="9" t="n">
        <v>0</v>
      </c>
      <c r="T161" s="9" t="n">
        <v>0</v>
      </c>
      <c r="U161" s="9" t="n">
        <v>0</v>
      </c>
      <c r="V161" s="9" t="n">
        <v>0</v>
      </c>
      <c r="W161" s="9" t="n">
        <v>0</v>
      </c>
      <c r="X161" s="9" t="n">
        <v>0</v>
      </c>
      <c r="Y161" s="9" t="n">
        <v>0</v>
      </c>
      <c r="Z161" s="9" t="n">
        <v>0.01854111034162068</v>
      </c>
      <c r="AA161" s="9" t="n">
        <v>0.01</v>
      </c>
      <c r="AB161" s="9" t="n">
        <v>0.03</v>
      </c>
      <c r="AC161" s="9" t="n">
        <v>0</v>
      </c>
      <c r="AD161" s="9" t="n">
        <v>0</v>
      </c>
      <c r="AE161" s="9" t="n">
        <v>0</v>
      </c>
      <c r="AF161" s="9" t="n">
        <v>1.326</v>
      </c>
      <c r="AG161" s="9" t="n">
        <v>0</v>
      </c>
      <c r="AH161" s="9" t="n">
        <v>0</v>
      </c>
      <c r="AI161" s="9" t="n">
        <v>0</v>
      </c>
      <c r="AJ161" s="9" t="n">
        <v>0</v>
      </c>
      <c r="AK161" s="9" t="n">
        <v>0.1248019685370833</v>
      </c>
      <c r="AL161" s="9" t="n">
        <v>1.456169776054238</v>
      </c>
      <c r="AM161" s="9" t="n">
        <v>1.2252418992</v>
      </c>
      <c r="AN161" s="9" t="n">
        <v>1.376107543152</v>
      </c>
      <c r="AO161" s="9" t="n">
        <v>1.318432919315466</v>
      </c>
      <c r="AP161" s="9" t="n">
        <v>5.583425815662685</v>
      </c>
      <c r="AQ161" s="9" t="n">
        <v>4.880214509999999</v>
      </c>
      <c r="AR161" s="9" t="n">
        <v>5.481121730978789</v>
      </c>
      <c r="AS161" s="9" t="n">
        <v>5.251400125563873</v>
      </c>
      <c r="AT161" s="9" t="n">
        <v>4.6280957052334</v>
      </c>
      <c r="AU161" s="9" t="n">
        <v>3.8522076912</v>
      </c>
      <c r="AV161" s="9" t="n">
        <v>4.20553722914383</v>
      </c>
      <c r="AW161" s="9" t="n">
        <v>4.50967399328034</v>
      </c>
      <c r="AX161" s="9" t="n">
        <v>2.000205839661052</v>
      </c>
      <c r="AY161" s="9" t="n">
        <v>1.6620214356</v>
      </c>
      <c r="AZ161" s="9" t="n">
        <v>1.81758128189383</v>
      </c>
      <c r="BA161" s="9" t="n">
        <v>1.949025437422757</v>
      </c>
      <c r="BB161" s="9" t="n">
        <v>5.977015539005063</v>
      </c>
      <c r="BC161" s="9" t="n">
        <v>6.027785391352929</v>
      </c>
      <c r="BD161" s="9" t="n">
        <v>5.087299884524954</v>
      </c>
      <c r="BE161" s="9" t="n">
        <v>5.622681597511367</v>
      </c>
      <c r="BF161" s="9" t="n">
        <v>0.0577830225447042</v>
      </c>
      <c r="BG161" s="9" t="n">
        <v>0.0513274999999999</v>
      </c>
      <c r="BH161" s="9" t="n">
        <v>0.0576475224747474</v>
      </c>
      <c r="BI161" s="9" t="n">
        <v>0.0552314328381601</v>
      </c>
      <c r="BJ161" s="9" t="n">
        <v>0.2955150201204581</v>
      </c>
      <c r="BK161" s="9" t="n">
        <v>0.2576514799999996</v>
      </c>
      <c r="BL161" s="9" t="n">
        <v>0.2893764450626259</v>
      </c>
      <c r="BM161" s="9" t="n">
        <v>0.2772482667823788</v>
      </c>
      <c r="BN161" s="9" t="n">
        <v>0</v>
      </c>
      <c r="BO161" s="9" t="n">
        <v>0</v>
      </c>
      <c r="BP161" s="9" t="n">
        <v>0</v>
      </c>
      <c r="BQ161" s="9" t="n">
        <v>0</v>
      </c>
      <c r="BR161" s="9" t="n">
        <v>0</v>
      </c>
      <c r="BS161" s="9" t="n">
        <v>0</v>
      </c>
      <c r="BT161" s="9" t="n">
        <v>0</v>
      </c>
      <c r="BU161" s="9" t="n">
        <v>0</v>
      </c>
      <c r="BV161" s="9" t="n">
        <v>0</v>
      </c>
      <c r="BW161" s="9" t="n">
        <v>1.35121895897298</v>
      </c>
      <c r="BX161" s="9" t="n">
        <v>1.165272153118865</v>
      </c>
      <c r="BY161" s="9" t="n">
        <v>1.282447477429383</v>
      </c>
      <c r="BZ161" s="9" t="n">
        <v>1.240401375011548</v>
      </c>
      <c r="CA161" s="9" t="n">
        <v>0.5994826120830593</v>
      </c>
      <c r="CB161" s="9" t="n">
        <v>1.841194873581792</v>
      </c>
      <c r="CC161" s="9" t="n">
        <v>0.018</v>
      </c>
      <c r="CD161" s="9" t="n">
        <v>0.214293367620272</v>
      </c>
      <c r="CE161" s="9" t="n">
        <v>3.613</v>
      </c>
      <c r="CF161" s="9" t="n">
        <v>4.037</v>
      </c>
      <c r="CG161" s="9" t="n">
        <v>4.855</v>
      </c>
      <c r="CH161" s="9" t="n">
        <v>0.5599999999999999</v>
      </c>
      <c r="CI161" s="9" t="n">
        <v>0.02</v>
      </c>
      <c r="CJ161" s="9" t="n">
        <v>0.02</v>
      </c>
      <c r="CK161" s="9" t="n">
        <v>0</v>
      </c>
      <c r="CL161" s="9" t="n">
        <v>0</v>
      </c>
      <c r="CM161" s="9" t="n">
        <v>0.03</v>
      </c>
      <c r="CN161" s="9" t="n">
        <v>0.61</v>
      </c>
      <c r="CO161" s="9" t="n">
        <v>0</v>
      </c>
      <c r="CP161" s="9" t="n">
        <v>3.409</v>
      </c>
      <c r="CQ161" s="9" t="n">
        <v>3.283</v>
      </c>
      <c r="CR161" s="9" t="n">
        <v>3</v>
      </c>
      <c r="CS161" s="9" t="n">
        <v>2</v>
      </c>
      <c r="CT161" s="9" t="n">
        <v>0.5</v>
      </c>
      <c r="CU161" s="9" t="n">
        <v>0.3</v>
      </c>
      <c r="CV161" s="9" t="n">
        <v>0.6</v>
      </c>
      <c r="CW161" s="9" t="n">
        <v>0.8</v>
      </c>
      <c r="CX161" s="9" t="n">
        <v>0.8</v>
      </c>
      <c r="CY161" s="9" t="n">
        <v>0.7</v>
      </c>
      <c r="CZ161" s="9" t="n">
        <v>0.5</v>
      </c>
      <c r="DA161" s="9" t="n">
        <v>0.5</v>
      </c>
      <c r="DB161" s="9" t="n">
        <v>1</v>
      </c>
      <c r="DC161" s="9" t="n">
        <v>0.3</v>
      </c>
      <c r="DD161" s="9" t="n">
        <v>0.8</v>
      </c>
      <c r="DE161" s="9" t="n">
        <v>0.3305869535612148</v>
      </c>
      <c r="DF161" s="9" t="n">
        <v>2</v>
      </c>
      <c r="DG161" s="9" t="n">
        <v>7.124</v>
      </c>
      <c r="DH161" s="9" t="n">
        <v>5.575</v>
      </c>
      <c r="DI161" s="9" t="n">
        <v>14.02195</v>
      </c>
      <c r="DJ161" s="9" t="n">
        <v>21.28762448991412</v>
      </c>
      <c r="DK161" s="9" t="n">
        <v>23.7613433785896</v>
      </c>
      <c r="DL161" s="9" t="n">
        <v>16.06309402278288</v>
      </c>
      <c r="DM161" s="9" t="n">
        <v>22.85496967787806</v>
      </c>
      <c r="DN161" s="9" t="n">
        <v>12.412</v>
      </c>
      <c r="DO161" s="9" t="n">
        <v>11.088</v>
      </c>
      <c r="DP161" s="9" t="n">
        <v>23.40595</v>
      </c>
      <c r="DQ161" s="9" t="n">
        <v>13.49474620847193</v>
      </c>
      <c r="DR161" s="9" t="n">
        <v>13.49474620847193</v>
      </c>
      <c r="DS161" s="9" t="n">
        <v>0.105</v>
      </c>
    </row>
    <row r="162">
      <c r="A162" s="9" t="inlineStr">
        <is>
          <t>SYC</t>
        </is>
      </c>
      <c r="B162" s="9" t="inlineStr">
        <is>
          <t>Seychelles</t>
        </is>
      </c>
      <c r="C162" s="9" t="n">
        <v>0.005</v>
      </c>
      <c r="D162" s="9" t="n">
        <v>0.005</v>
      </c>
      <c r="E162" s="9" t="n">
        <v>0.01</v>
      </c>
      <c r="F162" s="9" t="n">
        <v>0.005</v>
      </c>
      <c r="G162" s="9" t="n">
        <v>0.005</v>
      </c>
      <c r="H162" s="9" t="n">
        <v>0.01</v>
      </c>
      <c r="I162" s="9" t="n">
        <v>0.005</v>
      </c>
      <c r="J162" s="9" t="n">
        <v>0.005</v>
      </c>
      <c r="K162" s="9" t="n">
        <v>0.01</v>
      </c>
      <c r="L162" s="9" t="n">
        <v>0.01</v>
      </c>
      <c r="M162" s="9" t="n">
        <v>0.005</v>
      </c>
      <c r="N162" s="9" t="n">
        <v>0</v>
      </c>
      <c r="O162" s="9" t="n">
        <v>0</v>
      </c>
      <c r="P162" s="9" t="n">
        <v>0</v>
      </c>
      <c r="Q162" s="9" t="n">
        <v>0</v>
      </c>
      <c r="R162" s="9" t="n">
        <v>0</v>
      </c>
      <c r="S162" s="9" t="n">
        <v>0</v>
      </c>
      <c r="T162" s="9" t="n">
        <v>0</v>
      </c>
      <c r="U162" s="9" t="n">
        <v>0</v>
      </c>
      <c r="V162" s="9" t="n">
        <v>0</v>
      </c>
      <c r="W162" s="9" t="n">
        <v>0</v>
      </c>
      <c r="X162" s="9" t="n">
        <v>0</v>
      </c>
      <c r="Y162" s="9" t="n">
        <v>0</v>
      </c>
      <c r="Z162" s="9" t="n">
        <v>0.0085124891764104</v>
      </c>
      <c r="AA162" s="9" t="n">
        <v>0.11</v>
      </c>
      <c r="AB162" s="9" t="n">
        <v>0.02</v>
      </c>
      <c r="AC162" s="9" t="n">
        <v>0.01</v>
      </c>
      <c r="AD162" s="9" t="n">
        <v>0</v>
      </c>
      <c r="AE162" s="9" t="n">
        <v>0</v>
      </c>
      <c r="AF162" s="9" t="n">
        <v>1.039</v>
      </c>
      <c r="AG162" s="9" t="n">
        <v>0</v>
      </c>
      <c r="AH162" s="9" t="n">
        <v>0</v>
      </c>
      <c r="AI162" s="9" t="n">
        <v>0</v>
      </c>
      <c r="AJ162" s="9" t="n">
        <v>0</v>
      </c>
      <c r="AK162" s="9" t="n">
        <v>0</v>
      </c>
      <c r="AL162" s="9" t="n">
        <v>0</v>
      </c>
      <c r="AM162" s="9" t="n">
        <v>0</v>
      </c>
      <c r="AN162" s="9" t="n">
        <v>0</v>
      </c>
      <c r="AO162" s="9" t="n">
        <v>0</v>
      </c>
      <c r="AP162" s="9" t="n">
        <v>0.5793506865088168</v>
      </c>
      <c r="AQ162" s="9" t="n">
        <v>0.5582211300000001</v>
      </c>
      <c r="AR162" s="9" t="n">
        <v>0.5675248155</v>
      </c>
      <c r="AS162" s="9" t="n">
        <v>0.5533366951124999</v>
      </c>
      <c r="AT162" s="9" t="n">
        <v>1.310910040254067</v>
      </c>
      <c r="AU162" s="9" t="n">
        <v>1.238622912</v>
      </c>
      <c r="AV162" s="9" t="n">
        <v>1.283107814424773</v>
      </c>
      <c r="AW162" s="9" t="n">
        <v>1.26919039367112</v>
      </c>
      <c r="AX162" s="9" t="n">
        <v>0.5313502571901322</v>
      </c>
      <c r="AY162" s="9" t="n">
        <v>0.4994098776</v>
      </c>
      <c r="AZ162" s="9" t="n">
        <v>0.5200812002821615</v>
      </c>
      <c r="BA162" s="9" t="n">
        <v>0.514440061783105</v>
      </c>
      <c r="BB162" s="9" t="n">
        <v>1.777835844048061</v>
      </c>
      <c r="BC162" s="9" t="n">
        <v>1.64882470496368</v>
      </c>
      <c r="BD162" s="9" t="n">
        <v>1.81872397</v>
      </c>
      <c r="BE162" s="9" t="n">
        <v>1.702411507875</v>
      </c>
      <c r="BF162" s="9" t="n">
        <v>0.3113559438757743</v>
      </c>
      <c r="BG162" s="9" t="n">
        <v>0.3076444649999995</v>
      </c>
      <c r="BH162" s="9" t="n">
        <v>0.3127718727499994</v>
      </c>
      <c r="BI162" s="9" t="n">
        <v>0.3049525759312495</v>
      </c>
      <c r="BJ162" s="9" t="n">
        <v>0.1437060625484806</v>
      </c>
      <c r="BK162" s="9" t="n">
        <v>0.1382699999999998</v>
      </c>
      <c r="BL162" s="9" t="n">
        <v>0.1405744999999998</v>
      </c>
      <c r="BM162" s="9" t="n">
        <v>0.1370601374999998</v>
      </c>
      <c r="BN162" s="9" t="n">
        <v>0</v>
      </c>
      <c r="BO162" s="9" t="n">
        <v>0</v>
      </c>
      <c r="BP162" s="9" t="n">
        <v>0</v>
      </c>
      <c r="BQ162" s="9" t="n">
        <v>0</v>
      </c>
      <c r="BR162" s="9" t="n">
        <v>0</v>
      </c>
      <c r="BS162" s="9" t="n">
        <v>0</v>
      </c>
      <c r="BT162" s="9" t="n">
        <v>0</v>
      </c>
      <c r="BU162" s="9" t="n">
        <v>0</v>
      </c>
      <c r="BV162" s="9" t="n">
        <v>0</v>
      </c>
      <c r="BW162" s="9" t="n">
        <v>5.550413493297796</v>
      </c>
      <c r="BX162" s="9" t="n">
        <v>5.95646995859569</v>
      </c>
      <c r="BY162" s="9" t="n">
        <v>5.819630907107545</v>
      </c>
      <c r="BZ162" s="9" t="n">
        <v>5.656168922478432</v>
      </c>
      <c r="CA162" s="9" t="n">
        <v>0.9999991264220144</v>
      </c>
      <c r="CB162" s="9" t="n">
        <v>0.5117389715122775</v>
      </c>
      <c r="CC162" s="9" t="n">
        <v>0</v>
      </c>
      <c r="CD162" s="9" t="n">
        <v>0.8465608465608473</v>
      </c>
      <c r="CE162" s="9" t="n">
        <v>5.092</v>
      </c>
      <c r="CF162" s="9" t="n">
        <v>1.521</v>
      </c>
      <c r="CG162" s="9" t="n">
        <v>2.229</v>
      </c>
      <c r="CH162" s="9" t="n">
        <v>0</v>
      </c>
      <c r="CI162" s="9" t="n">
        <v>0</v>
      </c>
      <c r="CJ162" s="9" t="n">
        <v>0.53</v>
      </c>
      <c r="CK162" s="9" t="n">
        <v>0</v>
      </c>
      <c r="CL162" s="9" t="n">
        <v>0.53</v>
      </c>
      <c r="CM162" s="9" t="n">
        <v>0.09</v>
      </c>
      <c r="CN162" s="9" t="n">
        <v>0.63</v>
      </c>
      <c r="CO162" s="9" t="n">
        <v>0.01</v>
      </c>
      <c r="CP162" s="9" t="n">
        <v>1.146</v>
      </c>
      <c r="CQ162" s="9" t="n">
        <v>1.146</v>
      </c>
      <c r="CR162" s="9" t="n">
        <v>3</v>
      </c>
      <c r="CS162" s="9" t="n">
        <v>4</v>
      </c>
      <c r="CT162" s="9" t="n">
        <v>0.5</v>
      </c>
      <c r="CU162" s="9" t="n">
        <v>0.3</v>
      </c>
      <c r="CV162" s="9" t="n">
        <v>0.6</v>
      </c>
      <c r="CW162" s="9" t="n">
        <v>0.8</v>
      </c>
      <c r="CX162" s="9" t="n">
        <v>0.8</v>
      </c>
      <c r="CY162" s="9" t="n">
        <v>0.7</v>
      </c>
      <c r="CZ162" s="9" t="n">
        <v>0.5</v>
      </c>
      <c r="DA162" s="9" t="n">
        <v>0.5</v>
      </c>
      <c r="DB162" s="9" t="n">
        <v>1</v>
      </c>
      <c r="DC162" s="9" t="n">
        <v>0.3</v>
      </c>
      <c r="DD162" s="9" t="n">
        <v>0.8</v>
      </c>
      <c r="DE162" s="9" t="n">
        <v>0.550914483440435</v>
      </c>
      <c r="DF162" s="9" t="n">
        <v>1</v>
      </c>
      <c r="DG162" s="9" t="n">
        <v>7.124</v>
      </c>
      <c r="DH162" s="9" t="n">
        <v>5.575</v>
      </c>
      <c r="DI162" s="9" t="n">
        <v>14.02195</v>
      </c>
      <c r="DJ162" s="9" t="n">
        <v>21.26569136663468</v>
      </c>
      <c r="DK162" s="9" t="n">
        <v>23.80915614471255</v>
      </c>
      <c r="DL162" s="9" t="n">
        <v>18.00453169567468</v>
      </c>
      <c r="DM162" s="9" t="n">
        <v>22.1380874716491</v>
      </c>
      <c r="DN162" s="9" t="n">
        <v>9.411</v>
      </c>
      <c r="DO162" s="9" t="n">
        <v>8.087</v>
      </c>
      <c r="DP162" s="9" t="n">
        <v>19.95595</v>
      </c>
      <c r="DQ162" s="9" t="n">
        <v>13.49474621850731</v>
      </c>
      <c r="DR162" s="9" t="n">
        <v>13.49474621850731</v>
      </c>
      <c r="DS162" s="9" t="n">
        <v>0.105</v>
      </c>
    </row>
    <row r="163">
      <c r="A163" s="9" t="inlineStr">
        <is>
          <t>SYR</t>
        </is>
      </c>
      <c r="B163" s="9" t="inlineStr">
        <is>
          <t>Syrian Arab Republic</t>
        </is>
      </c>
      <c r="C163" s="9" t="n">
        <v>0.005</v>
      </c>
      <c r="D163" s="9" t="n">
        <v>0.005</v>
      </c>
      <c r="E163" s="9" t="n">
        <v>0.01</v>
      </c>
      <c r="F163" s="9" t="n">
        <v>0.005</v>
      </c>
      <c r="G163" s="9" t="n">
        <v>0.005</v>
      </c>
      <c r="H163" s="9" t="n">
        <v>0.01</v>
      </c>
      <c r="I163" s="9" t="n">
        <v>0.005</v>
      </c>
      <c r="J163" s="9" t="n">
        <v>0.005</v>
      </c>
      <c r="K163" s="9" t="n">
        <v>0.01</v>
      </c>
      <c r="L163" s="9" t="n">
        <v>0.01</v>
      </c>
      <c r="M163" s="9" t="n">
        <v>0.005</v>
      </c>
      <c r="N163" s="9" t="n">
        <v>0</v>
      </c>
      <c r="O163" s="9" t="n">
        <v>0</v>
      </c>
      <c r="P163" s="9" t="n">
        <v>0</v>
      </c>
      <c r="Q163" s="9" t="n">
        <v>0</v>
      </c>
      <c r="R163" s="9" t="n">
        <v>0</v>
      </c>
      <c r="S163" s="9" t="n">
        <v>0</v>
      </c>
      <c r="T163" s="9" t="n">
        <v>0</v>
      </c>
      <c r="U163" s="9" t="n">
        <v>0</v>
      </c>
      <c r="V163" s="9" t="n">
        <v>0</v>
      </c>
      <c r="W163" s="9" t="n">
        <v>0</v>
      </c>
      <c r="X163" s="9" t="n">
        <v>0</v>
      </c>
      <c r="Y163" s="9" t="n">
        <v>0</v>
      </c>
      <c r="Z163" s="9" t="n">
        <v>0.311941827122494</v>
      </c>
      <c r="AA163" s="9" t="n">
        <v>8.57</v>
      </c>
      <c r="AB163" s="9" t="n">
        <v>1.61</v>
      </c>
      <c r="AC163" s="9" t="n">
        <v>0</v>
      </c>
      <c r="AD163" s="9" t="n">
        <v>0</v>
      </c>
      <c r="AE163" s="9" t="n">
        <v>0</v>
      </c>
      <c r="AF163" s="9" t="n">
        <v>30.545</v>
      </c>
      <c r="AG163" s="9" t="n">
        <v>0.0038280815421309</v>
      </c>
      <c r="AH163" s="9" t="n">
        <v>0.0030019356</v>
      </c>
      <c r="AI163" s="9" t="n">
        <v>0.0032821162559999</v>
      </c>
      <c r="AJ163" s="9" t="n">
        <v>0.0034944281513099</v>
      </c>
      <c r="AK163" s="9" t="n">
        <v>0</v>
      </c>
      <c r="AL163" s="9" t="n">
        <v>0</v>
      </c>
      <c r="AM163" s="9" t="n">
        <v>0</v>
      </c>
      <c r="AN163" s="9" t="n">
        <v>0</v>
      </c>
      <c r="AO163" s="9" t="n">
        <v>0</v>
      </c>
      <c r="AP163" s="9" t="n">
        <v>37.83299840227766</v>
      </c>
      <c r="AQ163" s="9" t="n">
        <v>31.36284554000001</v>
      </c>
      <c r="AR163" s="9" t="n">
        <v>34.29004445706666</v>
      </c>
      <c r="AS163" s="9" t="n">
        <v>36.50818170788318</v>
      </c>
      <c r="AT163" s="9" t="n">
        <v>54.53916528666847</v>
      </c>
      <c r="AU163" s="9" t="n">
        <v>30.4440524316</v>
      </c>
      <c r="AV163" s="9" t="n">
        <v>34.48249295442768</v>
      </c>
      <c r="AW163" s="9" t="n">
        <v>52.16837321683966</v>
      </c>
      <c r="AX163" s="9" t="n">
        <v>45.83346787864844</v>
      </c>
      <c r="AY163" s="9" t="n">
        <v>25.6626514692</v>
      </c>
      <c r="AZ163" s="9" t="n">
        <v>28.97829889576266</v>
      </c>
      <c r="BA163" s="9" t="n">
        <v>43.84110841351352</v>
      </c>
      <c r="BB163" s="9" t="n">
        <v>40.60243081458242</v>
      </c>
      <c r="BC163" s="9" t="n">
        <v>33.96746364562104</v>
      </c>
      <c r="BD163" s="9" t="n">
        <v>35.88353290999999</v>
      </c>
      <c r="BE163" s="9" t="n">
        <v>38.86669451020208</v>
      </c>
      <c r="BF163" s="9" t="n">
        <v>4.135047458646239</v>
      </c>
      <c r="BG163" s="9" t="n">
        <v>3.439450799873177</v>
      </c>
      <c r="BH163" s="9" t="n">
        <v>3.76046620786134</v>
      </c>
      <c r="BI163" s="9" t="n">
        <v>4.003721365682369</v>
      </c>
      <c r="BJ163" s="9" t="n">
        <v>20.7113720524568</v>
      </c>
      <c r="BK163" s="9" t="n">
        <v>17.42666251999997</v>
      </c>
      <c r="BL163" s="9" t="n">
        <v>19.05315102186663</v>
      </c>
      <c r="BM163" s="9" t="n">
        <v>20.28565172859362</v>
      </c>
      <c r="BN163" s="9" t="n">
        <v>9.956356222298089</v>
      </c>
      <c r="BO163" s="9" t="n">
        <v>8.276399251200001</v>
      </c>
      <c r="BP163" s="9" t="n">
        <v>9.048863181312001</v>
      </c>
      <c r="BQ163" s="9" t="n">
        <v>9.634211518353119</v>
      </c>
      <c r="BR163" s="9" t="n">
        <v>302.8922674573395</v>
      </c>
      <c r="BS163" s="9" t="n">
        <v>0</v>
      </c>
      <c r="BT163" s="9" t="n">
        <v>0</v>
      </c>
      <c r="BU163" s="9" t="n">
        <v>0</v>
      </c>
      <c r="BV163" s="9" t="n">
        <v>0</v>
      </c>
      <c r="BW163" s="9" t="n">
        <v>91.60468507301738</v>
      </c>
      <c r="BX163" s="9" t="n">
        <v>215.7875216551649</v>
      </c>
      <c r="BY163" s="9" t="n">
        <v>139.6057655098713</v>
      </c>
      <c r="BZ163" s="9" t="n">
        <v>106.3382622238238</v>
      </c>
      <c r="CA163" s="9" t="n">
        <v>0.2389926219048079</v>
      </c>
      <c r="CB163" s="9" t="n">
        <v>27.88128699036581</v>
      </c>
      <c r="CC163" s="9" t="n">
        <v>0</v>
      </c>
      <c r="CD163" s="9" t="n">
        <v>-0.1107357385155549</v>
      </c>
      <c r="CE163" s="9" t="n">
        <v>3</v>
      </c>
      <c r="CF163" s="9" t="n">
        <v>3</v>
      </c>
      <c r="CG163" s="9" t="n">
        <v>81.68214</v>
      </c>
      <c r="CH163" s="9" t="n">
        <v>0.78</v>
      </c>
      <c r="CI163" s="9" t="n">
        <v>0</v>
      </c>
      <c r="CJ163" s="9" t="n">
        <v>24</v>
      </c>
      <c r="CK163" s="9" t="n">
        <v>13</v>
      </c>
      <c r="CL163" s="9" t="n">
        <v>11</v>
      </c>
      <c r="CM163" s="9" t="n">
        <v>0.1</v>
      </c>
      <c r="CN163" s="9" t="n">
        <v>24.88</v>
      </c>
      <c r="CO163" s="9" t="n">
        <v>0</v>
      </c>
      <c r="CP163" s="9" t="n">
        <v>51.847</v>
      </c>
      <c r="CQ163" s="9" t="n">
        <v>51.857</v>
      </c>
      <c r="CR163" s="9" t="n">
        <v>3</v>
      </c>
      <c r="CS163" s="9" t="n">
        <v>1</v>
      </c>
      <c r="CT163" s="9" t="n">
        <v>0.5</v>
      </c>
      <c r="CU163" s="9" t="n">
        <v>0.3</v>
      </c>
      <c r="CV163" s="9" t="n">
        <v>0.6</v>
      </c>
      <c r="CW163" s="9" t="n">
        <v>0.8</v>
      </c>
      <c r="CX163" s="9" t="n">
        <v>0.8</v>
      </c>
      <c r="CY163" s="9" t="n">
        <v>0.7</v>
      </c>
      <c r="CZ163" s="9" t="n">
        <v>0.5</v>
      </c>
      <c r="DA163" s="9" t="n">
        <v>0.5</v>
      </c>
      <c r="DB163" s="9" t="n">
        <v>1</v>
      </c>
      <c r="DC163" s="9" t="n">
        <v>0.3</v>
      </c>
      <c r="DD163" s="9" t="n">
        <v>0.8</v>
      </c>
      <c r="DE163" s="9" t="n">
        <v>1</v>
      </c>
      <c r="DF163" s="9" t="n">
        <v>2</v>
      </c>
      <c r="DG163" s="9" t="n">
        <v>7.124</v>
      </c>
      <c r="DH163" s="9" t="n">
        <v>5.575</v>
      </c>
      <c r="DI163" s="9" t="n">
        <v>12.193</v>
      </c>
      <c r="DJ163" s="9" t="n">
        <v>19.68082211137683</v>
      </c>
      <c r="DK163" s="9" t="n">
        <v>20.58922943093086</v>
      </c>
      <c r="DL163" s="9" t="n">
        <v>17.27205865604339</v>
      </c>
      <c r="DM163" s="9" t="n">
        <v>19.78301635067195</v>
      </c>
      <c r="DN163" s="9" t="n">
        <v>6.853</v>
      </c>
      <c r="DO163" s="9" t="n">
        <v>6.191</v>
      </c>
      <c r="DP163" s="9" t="n">
        <v>10.823</v>
      </c>
      <c r="DQ163" s="9" t="n">
        <v>14.11516989415954</v>
      </c>
      <c r="DR163" s="9" t="n">
        <v>14.11516989415954</v>
      </c>
      <c r="DS163" s="9" t="n">
        <v>0.105</v>
      </c>
    </row>
    <row r="164">
      <c r="A164" s="9" t="inlineStr">
        <is>
          <t>TCD</t>
        </is>
      </c>
      <c r="B164" s="9" t="inlineStr">
        <is>
          <t>Chad</t>
        </is>
      </c>
      <c r="C164" s="9" t="n">
        <v>0.005</v>
      </c>
      <c r="D164" s="9" t="n">
        <v>0.005</v>
      </c>
      <c r="E164" s="9" t="n">
        <v>0.01</v>
      </c>
      <c r="F164" s="9" t="n">
        <v>0.005</v>
      </c>
      <c r="G164" s="9" t="n">
        <v>0.005</v>
      </c>
      <c r="H164" s="9" t="n">
        <v>0.01</v>
      </c>
      <c r="I164" s="9" t="n">
        <v>0.005</v>
      </c>
      <c r="J164" s="9" t="n">
        <v>0.005</v>
      </c>
      <c r="K164" s="9" t="n">
        <v>0.01</v>
      </c>
      <c r="L164" s="9" t="n">
        <v>0.01</v>
      </c>
      <c r="M164" s="9" t="n">
        <v>0.005</v>
      </c>
      <c r="N164" s="9" t="n">
        <v>0.008037000000000001</v>
      </c>
      <c r="O164" s="9" t="n">
        <v>0.05866</v>
      </c>
      <c r="P164" s="9" t="n">
        <v>0.472546</v>
      </c>
      <c r="Q164" s="9" t="n">
        <v>0.0601418038090166</v>
      </c>
      <c r="R164" s="9" t="n">
        <v>0.0115814415548986</v>
      </c>
      <c r="S164" s="9" t="n">
        <v>0.0180402943938121</v>
      </c>
      <c r="T164" s="9" t="n">
        <v>0.0055470026238158</v>
      </c>
      <c r="U164" s="9" t="n">
        <v>0.00035</v>
      </c>
      <c r="V164" s="9" t="n">
        <v>0.000218</v>
      </c>
      <c r="W164" s="9" t="n">
        <v>0.001075</v>
      </c>
      <c r="X164" s="9" t="n">
        <v>0.002748974278671</v>
      </c>
      <c r="Y164" s="9" t="n">
        <v>0.002748974278671</v>
      </c>
      <c r="Z164" s="9" t="n">
        <v>0.07888469108476143</v>
      </c>
      <c r="AA164" s="9" t="n">
        <v>0.28</v>
      </c>
      <c r="AB164" s="9" t="n">
        <v>0</v>
      </c>
      <c r="AC164" s="9" t="n">
        <v>0</v>
      </c>
      <c r="AD164" s="9" t="n">
        <v>0</v>
      </c>
      <c r="AE164" s="9" t="n">
        <v>0</v>
      </c>
      <c r="AF164" s="9" t="n">
        <v>1.868</v>
      </c>
      <c r="AG164" s="9" t="n">
        <v>0</v>
      </c>
      <c r="AH164" s="9" t="n">
        <v>0</v>
      </c>
      <c r="AI164" s="9" t="n">
        <v>0</v>
      </c>
      <c r="AJ164" s="9" t="n">
        <v>0</v>
      </c>
      <c r="AK164" s="9" t="n">
        <v>0</v>
      </c>
      <c r="AL164" s="9" t="n">
        <v>0</v>
      </c>
      <c r="AM164" s="9" t="n">
        <v>0</v>
      </c>
      <c r="AN164" s="9" t="n">
        <v>0</v>
      </c>
      <c r="AO164" s="9" t="n">
        <v>0</v>
      </c>
      <c r="AP164" s="9" t="n">
        <v>3.723142257369961</v>
      </c>
      <c r="AQ164" s="9" t="n">
        <v>4.174622700000001</v>
      </c>
      <c r="AR164" s="9" t="n">
        <v>3.989746551857143</v>
      </c>
      <c r="AS164" s="9" t="n">
        <v>3.887153069095101</v>
      </c>
      <c r="AT164" s="9" t="n">
        <v>0.66159372517619</v>
      </c>
      <c r="AU164" s="9" t="n">
        <v>0.6038956583999999</v>
      </c>
      <c r="AV164" s="9" t="n">
        <v>0.5950075964267609</v>
      </c>
      <c r="AW164" s="9" t="n">
        <v>0.6433035843574753</v>
      </c>
      <c r="AX164" s="9" t="n">
        <v>0.3555149443077502</v>
      </c>
      <c r="AY164" s="9" t="n">
        <v>0.3254022828</v>
      </c>
      <c r="AZ164" s="9" t="n">
        <v>0.3197341275418146</v>
      </c>
      <c r="BA164" s="9" t="n">
        <v>0.3456865282464965</v>
      </c>
      <c r="BB164" s="9" t="n">
        <v>1.373761174823565</v>
      </c>
      <c r="BC164" s="9" t="n">
        <v>1.518609860575768</v>
      </c>
      <c r="BD164" s="9" t="n">
        <v>1.886897215888093</v>
      </c>
      <c r="BE164" s="9" t="n">
        <v>1.612306493553307</v>
      </c>
      <c r="BF164" s="9" t="n">
        <v>0.4672769836158368</v>
      </c>
      <c r="BG164" s="9" t="n">
        <v>0.4839449999999993</v>
      </c>
      <c r="BH164" s="9" t="n">
        <v>0.4625131499999992</v>
      </c>
      <c r="BI164" s="9" t="n">
        <v>0.450619954714285</v>
      </c>
      <c r="BJ164" s="9" t="n">
        <v>2.671551638103239</v>
      </c>
      <c r="BK164" s="9" t="n">
        <v>2.790041389999998</v>
      </c>
      <c r="BL164" s="9" t="n">
        <v>2.66648241415714</v>
      </c>
      <c r="BM164" s="9" t="n">
        <v>2.597915723507385</v>
      </c>
      <c r="BN164" s="9" t="n">
        <v>0</v>
      </c>
      <c r="BO164" s="9" t="n">
        <v>0</v>
      </c>
      <c r="BP164" s="9" t="n">
        <v>0</v>
      </c>
      <c r="BQ164" s="9" t="n">
        <v>0</v>
      </c>
      <c r="BR164" s="9" t="n">
        <v>0</v>
      </c>
      <c r="BS164" s="9" t="n">
        <v>0</v>
      </c>
      <c r="BT164" s="9" t="n">
        <v>0</v>
      </c>
      <c r="BU164" s="9" t="n">
        <v>0</v>
      </c>
      <c r="BV164" s="9" t="n">
        <v>0</v>
      </c>
      <c r="BW164" s="9" t="n">
        <v>17.70006880194286</v>
      </c>
      <c r="BX164" s="9" t="n">
        <v>19.84323638287909</v>
      </c>
      <c r="BY164" s="9" t="n">
        <v>20.87540891420853</v>
      </c>
      <c r="BZ164" s="9" t="n">
        <v>19.49158220931127</v>
      </c>
      <c r="CA164" s="9" t="n">
        <v>0.4052988963201503</v>
      </c>
      <c r="CB164" s="9" t="n">
        <v>0.2825301859677611</v>
      </c>
      <c r="CC164" s="9" t="n">
        <v>0.477</v>
      </c>
      <c r="CD164" s="9" t="n">
        <v>0.2514142049025744</v>
      </c>
      <c r="CE164" s="9" t="n">
        <v>5.606</v>
      </c>
      <c r="CF164" s="9" t="n">
        <v>5.23</v>
      </c>
      <c r="CG164" s="9" t="n">
        <v>20.656</v>
      </c>
      <c r="CH164" s="9" t="n">
        <v>0.01</v>
      </c>
      <c r="CI164" s="9" t="n">
        <v>0</v>
      </c>
      <c r="CJ164" s="9" t="n">
        <v>0.35</v>
      </c>
      <c r="CK164" s="9" t="n">
        <v>0</v>
      </c>
      <c r="CL164" s="9" t="n">
        <v>0.35</v>
      </c>
      <c r="CM164" s="9" t="n">
        <v>0</v>
      </c>
      <c r="CN164" s="9" t="n">
        <v>0.37</v>
      </c>
      <c r="CO164" s="9" t="n">
        <v>0.01</v>
      </c>
      <c r="CP164" s="9" t="n">
        <v>93.053</v>
      </c>
      <c r="CQ164" s="9" t="n">
        <v>116.278</v>
      </c>
      <c r="CR164" s="9" t="n">
        <v>3</v>
      </c>
      <c r="CS164" s="9" t="n">
        <v>1</v>
      </c>
      <c r="CT164" s="9" t="n">
        <v>0.5</v>
      </c>
      <c r="CU164" s="9" t="n">
        <v>0.3</v>
      </c>
      <c r="CV164" s="9" t="n">
        <v>0.6</v>
      </c>
      <c r="CW164" s="9" t="n">
        <v>0.8</v>
      </c>
      <c r="CX164" s="9" t="n">
        <v>0.8</v>
      </c>
      <c r="CY164" s="9" t="n">
        <v>0.7</v>
      </c>
      <c r="CZ164" s="9" t="n">
        <v>0.5</v>
      </c>
      <c r="DA164" s="9" t="n">
        <v>0.5</v>
      </c>
      <c r="DB164" s="9" t="n">
        <v>1</v>
      </c>
      <c r="DC164" s="9" t="n">
        <v>0.3</v>
      </c>
      <c r="DD164" s="9" t="n">
        <v>0.8</v>
      </c>
      <c r="DE164" s="9" t="n">
        <v>0.3602434643087601</v>
      </c>
      <c r="DF164" s="9" t="n">
        <v>2</v>
      </c>
      <c r="DG164" s="9" t="n">
        <v>7.124</v>
      </c>
      <c r="DH164" s="9" t="n">
        <v>5.575</v>
      </c>
      <c r="DI164" s="9" t="n">
        <v>14.38774</v>
      </c>
      <c r="DJ164" s="9" t="n">
        <v>21.59592161884683</v>
      </c>
      <c r="DK164" s="9" t="n">
        <v>19.54624197949428</v>
      </c>
      <c r="DL164" s="9" t="n">
        <v>24.75732383066244</v>
      </c>
      <c r="DM164" s="9" t="n">
        <v>23.48127670140345</v>
      </c>
      <c r="DN164" s="9" t="n">
        <v>12.815</v>
      </c>
      <c r="DO164" s="9" t="n">
        <v>11.492</v>
      </c>
      <c r="DP164" s="9" t="n">
        <v>24.49326</v>
      </c>
      <c r="DQ164" s="9" t="n">
        <v>13.49474620847193</v>
      </c>
      <c r="DR164" s="9" t="n">
        <v>13.49474620847193</v>
      </c>
      <c r="DS164" s="9" t="n">
        <v>0.105</v>
      </c>
    </row>
    <row r="165">
      <c r="A165" s="9" t="inlineStr">
        <is>
          <t>TGO</t>
        </is>
      </c>
      <c r="B165" s="9" t="inlineStr">
        <is>
          <t>Togo</t>
        </is>
      </c>
      <c r="C165" s="9" t="n">
        <v>0.005</v>
      </c>
      <c r="D165" s="9" t="n">
        <v>0.005</v>
      </c>
      <c r="E165" s="9" t="n">
        <v>0.01</v>
      </c>
      <c r="F165" s="9" t="n">
        <v>0.005</v>
      </c>
      <c r="G165" s="9" t="n">
        <v>0.005</v>
      </c>
      <c r="H165" s="9" t="n">
        <v>0.01</v>
      </c>
      <c r="I165" s="9" t="n">
        <v>0.005</v>
      </c>
      <c r="J165" s="9" t="n">
        <v>0.005</v>
      </c>
      <c r="K165" s="9" t="n">
        <v>0.01</v>
      </c>
      <c r="L165" s="9" t="n">
        <v>0.01</v>
      </c>
      <c r="M165" s="9" t="n">
        <v>0.005</v>
      </c>
      <c r="N165" s="9" t="n">
        <v>0.003849</v>
      </c>
      <c r="O165" s="9" t="n">
        <v>0.0469</v>
      </c>
      <c r="P165" s="9" t="n">
        <v>0.386697</v>
      </c>
      <c r="Q165" s="9" t="n">
        <v>0.6476170251445295</v>
      </c>
      <c r="R165" s="9" t="n">
        <v>0.1422944522893221</v>
      </c>
      <c r="S165" s="9" t="n">
        <v>0.1036058610487511</v>
      </c>
      <c r="T165" s="9" t="n">
        <v>0.0344069323589137</v>
      </c>
      <c r="U165" s="9" t="n">
        <v>0.00016</v>
      </c>
      <c r="V165" s="9" t="n">
        <v>0.000509</v>
      </c>
      <c r="W165" s="9" t="n">
        <v>0.000659</v>
      </c>
      <c r="X165" s="9" t="n">
        <v>0.0075438688733841</v>
      </c>
      <c r="Y165" s="9" t="n">
        <v>0.0075438688733841</v>
      </c>
      <c r="Z165" s="9" t="n">
        <v>0.04064914077779825</v>
      </c>
      <c r="AA165" s="9" t="n">
        <v>0.22</v>
      </c>
      <c r="AB165" s="9" t="n">
        <v>0.07000000000000001</v>
      </c>
      <c r="AC165" s="9" t="n">
        <v>0</v>
      </c>
      <c r="AD165" s="9" t="n">
        <v>0</v>
      </c>
      <c r="AE165" s="9" t="n">
        <v>0</v>
      </c>
      <c r="AF165" s="9" t="n">
        <v>2.512</v>
      </c>
      <c r="AG165" s="9" t="n">
        <v>0</v>
      </c>
      <c r="AH165" s="9" t="n">
        <v>0</v>
      </c>
      <c r="AI165" s="9" t="n">
        <v>0</v>
      </c>
      <c r="AJ165" s="9" t="n">
        <v>0</v>
      </c>
      <c r="AK165" s="9" t="n">
        <v>0</v>
      </c>
      <c r="AL165" s="9" t="n">
        <v>0</v>
      </c>
      <c r="AM165" s="9" t="n">
        <v>0</v>
      </c>
      <c r="AN165" s="9" t="n">
        <v>0</v>
      </c>
      <c r="AO165" s="9" t="n">
        <v>0</v>
      </c>
      <c r="AP165" s="9" t="n">
        <v>7.341767679747269</v>
      </c>
      <c r="AQ165" s="9" t="n">
        <v>6.868901640000002</v>
      </c>
      <c r="AR165" s="9" t="n">
        <v>7.175217523945949</v>
      </c>
      <c r="AS165" s="9" t="n">
        <v>6.90788280652151</v>
      </c>
      <c r="AT165" s="9" t="n">
        <v>1.896044540850697</v>
      </c>
      <c r="AU165" s="9" t="n">
        <v>1.505280204</v>
      </c>
      <c r="AV165" s="9" t="n">
        <v>1.65844844466165</v>
      </c>
      <c r="AW165" s="9" t="n">
        <v>1.810468401273799</v>
      </c>
      <c r="AX165" s="9" t="n">
        <v>4.498372841791716</v>
      </c>
      <c r="AY165" s="9" t="n">
        <v>3.603599694</v>
      </c>
      <c r="AZ165" s="9" t="n">
        <v>3.934675205272584</v>
      </c>
      <c r="BA165" s="9" t="n">
        <v>4.295343127096627</v>
      </c>
      <c r="BB165" s="9" t="n">
        <v>11.54965600637697</v>
      </c>
      <c r="BC165" s="9" t="n">
        <v>12.64159841502377</v>
      </c>
      <c r="BD165" s="9" t="n">
        <v>9.812871060000001</v>
      </c>
      <c r="BE165" s="9" t="n">
        <v>10.9593000545771</v>
      </c>
      <c r="BF165" s="9" t="n">
        <v>0.3963271574670212</v>
      </c>
      <c r="BG165" s="9" t="n">
        <v>0.3777620199999993</v>
      </c>
      <c r="BH165" s="9" t="n">
        <v>0.3946081641351346</v>
      </c>
      <c r="BI165" s="9" t="n">
        <v>0.3799058276971963</v>
      </c>
      <c r="BJ165" s="9" t="n">
        <v>1.360962467383512</v>
      </c>
      <c r="BK165" s="9" t="n">
        <v>1.239733009999999</v>
      </c>
      <c r="BL165" s="9" t="n">
        <v>1.295018400986485</v>
      </c>
      <c r="BM165" s="9" t="n">
        <v>1.246768521852957</v>
      </c>
      <c r="BN165" s="9" t="n">
        <v>0</v>
      </c>
      <c r="BO165" s="9" t="n">
        <v>0</v>
      </c>
      <c r="BP165" s="9" t="n">
        <v>0</v>
      </c>
      <c r="BQ165" s="9" t="n">
        <v>0</v>
      </c>
      <c r="BR165" s="9" t="n">
        <v>5.656650252972845</v>
      </c>
      <c r="BS165" s="9" t="n">
        <v>0</v>
      </c>
      <c r="BT165" s="9" t="n">
        <v>0</v>
      </c>
      <c r="BU165" s="9" t="n">
        <v>0</v>
      </c>
      <c r="BV165" s="9" t="n">
        <v>0</v>
      </c>
      <c r="BW165" s="9" t="n">
        <v>3.107915430699919</v>
      </c>
      <c r="BX165" s="9" t="n">
        <v>2.954027250944188</v>
      </c>
      <c r="BY165" s="9" t="n">
        <v>2.976123869729281</v>
      </c>
      <c r="BZ165" s="9" t="n">
        <v>2.866978964874752</v>
      </c>
      <c r="CA165" s="9" t="n">
        <v>1.195885272486359</v>
      </c>
      <c r="CB165" s="9" t="n">
        <v>1.776227050734003</v>
      </c>
      <c r="CC165" s="9" t="n">
        <v>0</v>
      </c>
      <c r="CD165" s="9" t="n">
        <v>2.347417840375587</v>
      </c>
      <c r="CE165" s="9" t="n">
        <v>5.889</v>
      </c>
      <c r="CF165" s="9" t="n">
        <v>5</v>
      </c>
      <c r="CG165" s="9" t="n">
        <v>10.644</v>
      </c>
      <c r="CH165" s="9" t="n">
        <v>0.08</v>
      </c>
      <c r="CI165" s="9" t="n">
        <v>0</v>
      </c>
      <c r="CJ165" s="9" t="n">
        <v>0.5</v>
      </c>
      <c r="CK165" s="9" t="n">
        <v>0.5</v>
      </c>
      <c r="CL165" s="9" t="n">
        <v>0</v>
      </c>
      <c r="CM165" s="9" t="n">
        <v>0.13</v>
      </c>
      <c r="CN165" s="9" t="n">
        <v>0.71</v>
      </c>
      <c r="CO165" s="9" t="n">
        <v>0</v>
      </c>
      <c r="CP165" s="9" t="n">
        <v>11.393</v>
      </c>
      <c r="CQ165" s="9" t="n">
        <v>12.213</v>
      </c>
      <c r="CR165" s="9" t="n">
        <v>3</v>
      </c>
      <c r="CS165" s="9" t="n">
        <v>1</v>
      </c>
      <c r="CT165" s="9" t="n">
        <v>0.5</v>
      </c>
      <c r="CU165" s="9" t="n">
        <v>0.3</v>
      </c>
      <c r="CV165" s="9" t="n">
        <v>0.6</v>
      </c>
      <c r="CW165" s="9" t="n">
        <v>0.8</v>
      </c>
      <c r="CX165" s="9" t="n">
        <v>0.8</v>
      </c>
      <c r="CY165" s="9" t="n">
        <v>0.7</v>
      </c>
      <c r="CZ165" s="9" t="n">
        <v>0.5</v>
      </c>
      <c r="DA165" s="9" t="n">
        <v>0.5</v>
      </c>
      <c r="DB165" s="9" t="n">
        <v>1</v>
      </c>
      <c r="DC165" s="9" t="n">
        <v>0.3</v>
      </c>
      <c r="DD165" s="9" t="n">
        <v>0.8</v>
      </c>
      <c r="DE165" s="9" t="n">
        <v>0.332552254194395</v>
      </c>
      <c r="DF165" s="9" t="n">
        <v>2</v>
      </c>
      <c r="DG165" s="9" t="n">
        <v>7.124</v>
      </c>
      <c r="DH165" s="9" t="n">
        <v>5.575</v>
      </c>
      <c r="DI165" s="9" t="n">
        <v>14.38774</v>
      </c>
      <c r="DJ165" s="9" t="n">
        <v>21.08078816598066</v>
      </c>
      <c r="DK165" s="9" t="n">
        <v>24.43026456587896</v>
      </c>
      <c r="DL165" s="9" t="n">
        <v>18.47421513121402</v>
      </c>
      <c r="DM165" s="9" t="n">
        <v>22.22773168887734</v>
      </c>
      <c r="DN165" s="9" t="n">
        <v>12.815</v>
      </c>
      <c r="DO165" s="9" t="n">
        <v>11.492</v>
      </c>
      <c r="DP165" s="9" t="n">
        <v>24.49326</v>
      </c>
      <c r="DQ165" s="9" t="n">
        <v>13.49474620847193</v>
      </c>
      <c r="DR165" s="9" t="n">
        <v>13.49474620847193</v>
      </c>
      <c r="DS165" s="9" t="n">
        <v>0.105</v>
      </c>
    </row>
    <row r="166">
      <c r="A166" s="9" t="inlineStr">
        <is>
          <t>THA</t>
        </is>
      </c>
      <c r="B166" s="9" t="inlineStr">
        <is>
          <t>Thailand</t>
        </is>
      </c>
      <c r="C166" s="9" t="n">
        <v>0.005</v>
      </c>
      <c r="D166" s="9" t="n">
        <v>0.005</v>
      </c>
      <c r="E166" s="9" t="n">
        <v>0.01</v>
      </c>
      <c r="F166" s="9" t="n">
        <v>0.005</v>
      </c>
      <c r="G166" s="9" t="n">
        <v>0.005</v>
      </c>
      <c r="H166" s="9" t="n">
        <v>0.01</v>
      </c>
      <c r="I166" s="9" t="n">
        <v>0.005</v>
      </c>
      <c r="J166" s="9" t="n">
        <v>0.005</v>
      </c>
      <c r="K166" s="9" t="n">
        <v>0.01</v>
      </c>
      <c r="L166" s="9" t="n">
        <v>0.01</v>
      </c>
      <c r="M166" s="9" t="n">
        <v>0.005</v>
      </c>
      <c r="N166" s="9" t="n">
        <v>1.88542</v>
      </c>
      <c r="O166" s="9" t="n">
        <v>6.734493</v>
      </c>
      <c r="P166" s="9" t="n">
        <v>48.409151</v>
      </c>
      <c r="Q166" s="9" t="n">
        <v>12.90037669737036</v>
      </c>
      <c r="R166" s="9" t="n">
        <v>1.295663050397286</v>
      </c>
      <c r="S166" s="9" t="n">
        <v>3.081367053303152</v>
      </c>
      <c r="T166" s="9" t="n">
        <v>1.632409170755545</v>
      </c>
      <c r="U166" s="9" t="n">
        <v>0.309504</v>
      </c>
      <c r="V166" s="9" t="n">
        <v>0.298717</v>
      </c>
      <c r="W166" s="9" t="n">
        <v>0.066275</v>
      </c>
      <c r="X166" s="9" t="n">
        <v>15.54393807737408</v>
      </c>
      <c r="Y166" s="9" t="n">
        <v>15.54393807737408</v>
      </c>
      <c r="Z166" s="9" t="n">
        <v>2.021710450939074</v>
      </c>
      <c r="AA166" s="9" t="n">
        <v>44.67</v>
      </c>
      <c r="AB166" s="9" t="n">
        <v>6.84</v>
      </c>
      <c r="AC166" s="9" t="n">
        <v>1.54</v>
      </c>
      <c r="AD166" s="9" t="n">
        <v>3</v>
      </c>
      <c r="AE166" s="9" t="n">
        <v>0.06465229049999999</v>
      </c>
      <c r="AF166" s="9" t="n">
        <v>290.725</v>
      </c>
      <c r="AG166" s="9" t="n">
        <v>342.8576446161998</v>
      </c>
      <c r="AH166" s="9" t="n">
        <v>298.9053360683999</v>
      </c>
      <c r="AI166" s="9" t="n">
        <v>317.2132879025895</v>
      </c>
      <c r="AJ166" s="9" t="n">
        <v>317.9182063201507</v>
      </c>
      <c r="AK166" s="9" t="n">
        <v>343.7255400017269</v>
      </c>
      <c r="AL166" s="9" t="n">
        <v>18.85230934719531</v>
      </c>
      <c r="AM166" s="9" t="n">
        <v>16.435555542</v>
      </c>
      <c r="AN166" s="9" t="n">
        <v>17.4422333189475</v>
      </c>
      <c r="AO166" s="9" t="n">
        <v>17.48099383743405</v>
      </c>
      <c r="AP166" s="9" t="n">
        <v>622.5368810563341</v>
      </c>
      <c r="AQ166" s="9" t="n">
        <v>572.3356017099999</v>
      </c>
      <c r="AR166" s="9" t="n">
        <v>607.3911573147377</v>
      </c>
      <c r="AS166" s="9" t="n">
        <v>608.7409154421034</v>
      </c>
      <c r="AT166" s="9" t="n">
        <v>564.6900313900287</v>
      </c>
      <c r="AU166" s="9" t="n">
        <v>491.0312869344</v>
      </c>
      <c r="AV166" s="9" t="n">
        <v>551.489788994167</v>
      </c>
      <c r="AW166" s="9" t="n">
        <v>570.3434327715607</v>
      </c>
      <c r="AX166" s="9" t="n">
        <v>222.8253650234411</v>
      </c>
      <c r="AY166" s="9" t="n">
        <v>195.4457190144</v>
      </c>
      <c r="AZ166" s="9" t="n">
        <v>217.6191809976285</v>
      </c>
      <c r="BA166" s="9" t="n">
        <v>225.0595231059402</v>
      </c>
      <c r="BB166" s="9" t="n">
        <v>314.2489056916061</v>
      </c>
      <c r="BC166" s="9" t="n">
        <v>292.993247282545</v>
      </c>
      <c r="BD166" s="9" t="n">
        <v>298.4259583711346</v>
      </c>
      <c r="BE166" s="9" t="n">
        <v>305.2952054505952</v>
      </c>
      <c r="BF166" s="9" t="n">
        <v>0</v>
      </c>
      <c r="BG166" s="9" t="n">
        <v>0</v>
      </c>
      <c r="BH166" s="9" t="n">
        <v>0</v>
      </c>
      <c r="BI166" s="9" t="n">
        <v>0</v>
      </c>
      <c r="BJ166" s="9" t="n">
        <v>74.64194065942992</v>
      </c>
      <c r="BK166" s="9" t="n">
        <v>67.64676191956978</v>
      </c>
      <c r="BL166" s="9" t="n">
        <v>71.79012608714343</v>
      </c>
      <c r="BM166" s="9" t="n">
        <v>71.94965970067041</v>
      </c>
      <c r="BN166" s="9" t="n">
        <v>517.6425774749385</v>
      </c>
      <c r="BO166" s="9" t="n">
        <v>453.7761901308</v>
      </c>
      <c r="BP166" s="9" t="n">
        <v>481.5699817763115</v>
      </c>
      <c r="BQ166" s="9" t="n">
        <v>482.64013729137</v>
      </c>
      <c r="BR166" s="9" t="n">
        <v>846.8499925175882</v>
      </c>
      <c r="BS166" s="9" t="n">
        <v>8.635492569167376</v>
      </c>
      <c r="BT166" s="9" t="n">
        <v>7.537332754799999</v>
      </c>
      <c r="BU166" s="9" t="n">
        <v>7.998994386031501</v>
      </c>
      <c r="BV166" s="9" t="n">
        <v>8.01676992911157</v>
      </c>
      <c r="BW166" s="9" t="n">
        <v>406.3888185624895</v>
      </c>
      <c r="BX166" s="9" t="n">
        <v>388.0550755894172</v>
      </c>
      <c r="BY166" s="9" t="n">
        <v>391.5249078310688</v>
      </c>
      <c r="BZ166" s="9" t="n">
        <v>391.3780769122344</v>
      </c>
      <c r="CA166" s="9" t="n">
        <v>1.001659356094496</v>
      </c>
      <c r="CB166" s="9" t="n">
        <v>218.7542767815194</v>
      </c>
      <c r="CC166" s="9" t="n">
        <v>0.311</v>
      </c>
      <c r="CD166" s="9" t="n">
        <v>0.2616067177648248</v>
      </c>
      <c r="CE166" s="9" t="n">
        <v>2.413</v>
      </c>
      <c r="CF166" s="9" t="n">
        <v>1.5</v>
      </c>
      <c r="CG166" s="9" t="n">
        <v>529.386</v>
      </c>
      <c r="CH166" s="9" t="n">
        <v>17.81</v>
      </c>
      <c r="CI166" s="9" t="n">
        <v>33.56</v>
      </c>
      <c r="CJ166" s="9" t="n">
        <v>157.04</v>
      </c>
      <c r="CK166" s="9" t="n">
        <v>123.34</v>
      </c>
      <c r="CL166" s="9" t="n">
        <v>0.14</v>
      </c>
      <c r="CM166" s="9" t="n">
        <v>9.98</v>
      </c>
      <c r="CN166" s="9" t="n">
        <v>188.24</v>
      </c>
      <c r="CO166" s="9" t="n">
        <v>3.41</v>
      </c>
      <c r="CP166" s="9" t="n">
        <v>472.944</v>
      </c>
      <c r="CQ166" s="9" t="n">
        <v>490.432</v>
      </c>
      <c r="CR166" s="9" t="n">
        <v>3</v>
      </c>
      <c r="CS166" s="9" t="n">
        <v>3</v>
      </c>
      <c r="CT166" s="9" t="n">
        <v>0.5</v>
      </c>
      <c r="CU166" s="9" t="n">
        <v>0.3</v>
      </c>
      <c r="CV166" s="9" t="n">
        <v>0.6</v>
      </c>
      <c r="CW166" s="9" t="n">
        <v>0.8</v>
      </c>
      <c r="CX166" s="9" t="n">
        <v>0.8</v>
      </c>
      <c r="CY166" s="9" t="n">
        <v>0.7</v>
      </c>
      <c r="CZ166" s="9" t="n">
        <v>0.5</v>
      </c>
      <c r="DA166" s="9" t="n">
        <v>0.5</v>
      </c>
      <c r="DB166" s="9" t="n">
        <v>1</v>
      </c>
      <c r="DC166" s="9" t="n">
        <v>0.3</v>
      </c>
      <c r="DD166" s="9" t="n">
        <v>0.8</v>
      </c>
      <c r="DE166" s="9" t="n">
        <v>0.2964435907917504</v>
      </c>
      <c r="DF166" s="9" t="n">
        <v>2</v>
      </c>
      <c r="DG166" s="9" t="n">
        <v>6.343</v>
      </c>
      <c r="DH166" s="9" t="n">
        <v>6.478</v>
      </c>
      <c r="DI166" s="9" t="n">
        <v>10.89474</v>
      </c>
      <c r="DJ166" s="9" t="n">
        <v>20.24799980909066</v>
      </c>
      <c r="DK166" s="9" t="n">
        <v>22.0269009720976</v>
      </c>
      <c r="DL166" s="9" t="n">
        <v>17.27205865604339</v>
      </c>
      <c r="DM166" s="9" t="n">
        <v>16.22626275218997</v>
      </c>
      <c r="DN166" s="9" t="n">
        <v>11.654</v>
      </c>
      <c r="DO166" s="9" t="n">
        <v>10.691</v>
      </c>
      <c r="DP166" s="9" t="n">
        <v>15.00889</v>
      </c>
      <c r="DQ166" s="9" t="n">
        <v>14.11516989415954</v>
      </c>
      <c r="DR166" s="9" t="n">
        <v>14.11516989415954</v>
      </c>
      <c r="DS166" s="9" t="n">
        <v>0.09044999999999991</v>
      </c>
    </row>
    <row r="167">
      <c r="A167" s="9" t="inlineStr">
        <is>
          <t>TJK</t>
        </is>
      </c>
      <c r="B167" s="9" t="inlineStr">
        <is>
          <t>Tajikistan</t>
        </is>
      </c>
      <c r="C167" s="9" t="n">
        <v>0.005</v>
      </c>
      <c r="D167" s="9" t="n">
        <v>0.005</v>
      </c>
      <c r="E167" s="9" t="n">
        <v>0.01</v>
      </c>
      <c r="F167" s="9" t="n">
        <v>0.005</v>
      </c>
      <c r="G167" s="9" t="n">
        <v>0.005</v>
      </c>
      <c r="H167" s="9" t="n">
        <v>0.01</v>
      </c>
      <c r="I167" s="9" t="n">
        <v>0.005</v>
      </c>
      <c r="J167" s="9" t="n">
        <v>0.005</v>
      </c>
      <c r="K167" s="9" t="n">
        <v>0.01</v>
      </c>
      <c r="L167" s="9" t="n">
        <v>0.01</v>
      </c>
      <c r="M167" s="9" t="n">
        <v>0.005</v>
      </c>
      <c r="N167" s="9" t="n">
        <v>1.008821</v>
      </c>
      <c r="O167" s="9" t="n">
        <v>0.016128</v>
      </c>
      <c r="P167" s="9" t="n">
        <v>0.920179</v>
      </c>
      <c r="Q167" s="9" t="n">
        <v>1.405382302650824</v>
      </c>
      <c r="R167" s="9" t="n">
        <v>0.3413522662736411</v>
      </c>
      <c r="S167" s="9" t="n">
        <v>0.6481260538017755</v>
      </c>
      <c r="T167" s="9" t="n">
        <v>0.6483786633362386</v>
      </c>
      <c r="U167" s="9" t="n">
        <v>0.033904</v>
      </c>
      <c r="V167" s="9" t="n">
        <v>0.004129</v>
      </c>
      <c r="W167" s="9" t="n">
        <v>0.001163</v>
      </c>
      <c r="X167" s="9" t="n">
        <v>0.8823886516947853</v>
      </c>
      <c r="Y167" s="9" t="n">
        <v>0.8823886516947853</v>
      </c>
      <c r="Z167" s="9" t="n">
        <v>0.05509249388016887</v>
      </c>
      <c r="AA167" s="9" t="n">
        <v>0.61</v>
      </c>
      <c r="AB167" s="9" t="n">
        <v>0</v>
      </c>
      <c r="AC167" s="9" t="n">
        <v>0</v>
      </c>
      <c r="AD167" s="9" t="n">
        <v>3</v>
      </c>
      <c r="AE167" s="9" t="n">
        <v>0</v>
      </c>
      <c r="AF167" s="9" t="n">
        <v>10.211</v>
      </c>
      <c r="AG167" s="9" t="n">
        <v>12.04771559472682</v>
      </c>
      <c r="AH167" s="9" t="n">
        <v>12.603168162</v>
      </c>
      <c r="AI167" s="9" t="n">
        <v>12.16205727633</v>
      </c>
      <c r="AJ167" s="9" t="n">
        <v>11.62692675617148</v>
      </c>
      <c r="AK167" s="9" t="n">
        <v>17.86155861652653</v>
      </c>
      <c r="AL167" s="9" t="n">
        <v>10.42492139809897</v>
      </c>
      <c r="AM167" s="9" t="n">
        <v>11.0695768164</v>
      </c>
      <c r="AN167" s="9" t="n">
        <v>10.682141627826</v>
      </c>
      <c r="AO167" s="9" t="n">
        <v>10.21212739620165</v>
      </c>
      <c r="AP167" s="9" t="n">
        <v>14.91223049140271</v>
      </c>
      <c r="AQ167" s="9" t="n">
        <v>15.04076758</v>
      </c>
      <c r="AR167" s="9" t="n">
        <v>14.5143407147</v>
      </c>
      <c r="AS167" s="9" t="n">
        <v>13.8757097232532</v>
      </c>
      <c r="AT167" s="9" t="n">
        <v>34.21493191540112</v>
      </c>
      <c r="AU167" s="9" t="n">
        <v>30.12084821880001</v>
      </c>
      <c r="AV167" s="9" t="n">
        <v>32.63821252140008</v>
      </c>
      <c r="AW167" s="9" t="n">
        <v>34.44761688718345</v>
      </c>
      <c r="AX167" s="9" t="n">
        <v>21.81128946253293</v>
      </c>
      <c r="AY167" s="9" t="n">
        <v>19.4760013284</v>
      </c>
      <c r="AZ167" s="9" t="n">
        <v>20.80753939905696</v>
      </c>
      <c r="BA167" s="9" t="n">
        <v>21.96048411263197</v>
      </c>
      <c r="BB167" s="9" t="n">
        <v>10.6587740754875</v>
      </c>
      <c r="BC167" s="9" t="n">
        <v>7.823258469918432</v>
      </c>
      <c r="BD167" s="9" t="n">
        <v>14.09956788</v>
      </c>
      <c r="BE167" s="9" t="n">
        <v>9.863210224978801</v>
      </c>
      <c r="BF167" s="9" t="n">
        <v>0</v>
      </c>
      <c r="BG167" s="9" t="n">
        <v>0</v>
      </c>
      <c r="BH167" s="9" t="n">
        <v>0</v>
      </c>
      <c r="BI167" s="9" t="n">
        <v>0</v>
      </c>
      <c r="BJ167" s="9" t="n">
        <v>0</v>
      </c>
      <c r="BK167" s="9" t="n">
        <v>0</v>
      </c>
      <c r="BL167" s="9" t="n">
        <v>0</v>
      </c>
      <c r="BM167" s="9" t="n">
        <v>0</v>
      </c>
      <c r="BN167" s="9" t="n">
        <v>4.549150885983508</v>
      </c>
      <c r="BO167" s="9" t="n">
        <v>4.632840738</v>
      </c>
      <c r="BP167" s="9" t="n">
        <v>4.47069131217</v>
      </c>
      <c r="BQ167" s="9" t="n">
        <v>4.273980894434519</v>
      </c>
      <c r="BR167" s="9" t="n">
        <v>1.371810833783293</v>
      </c>
      <c r="BS167" s="9" t="n">
        <v>0</v>
      </c>
      <c r="BT167" s="9" t="n">
        <v>0</v>
      </c>
      <c r="BU167" s="9" t="n">
        <v>0</v>
      </c>
      <c r="BV167" s="9" t="n">
        <v>0</v>
      </c>
      <c r="BW167" s="9" t="n">
        <v>18.72381108605109</v>
      </c>
      <c r="BX167" s="9" t="n">
        <v>19.38738539916119</v>
      </c>
      <c r="BY167" s="9" t="n">
        <v>18.70882838887974</v>
      </c>
      <c r="BZ167" s="9" t="n">
        <v>17.88564179869259</v>
      </c>
      <c r="CA167" s="9" t="n">
        <v>0.3343804003812913</v>
      </c>
      <c r="CB167" s="9" t="n">
        <v>15.56283927164835</v>
      </c>
      <c r="CC167" s="9" t="n">
        <v>1.123</v>
      </c>
      <c r="CD167" s="9" t="n">
        <v>0.4998471567989829</v>
      </c>
      <c r="CE167" s="9" t="n">
        <v>8.4</v>
      </c>
      <c r="CF167" s="9" t="n">
        <v>6</v>
      </c>
      <c r="CG167" s="9" t="n">
        <v>14.426</v>
      </c>
      <c r="CH167" s="9" t="n">
        <v>22.55</v>
      </c>
      <c r="CI167" s="9" t="n">
        <v>1.12</v>
      </c>
      <c r="CJ167" s="9" t="n">
        <v>1.39</v>
      </c>
      <c r="CK167" s="9" t="n">
        <v>0.27</v>
      </c>
      <c r="CL167" s="9" t="n">
        <v>0</v>
      </c>
      <c r="CM167" s="9" t="n">
        <v>0</v>
      </c>
      <c r="CN167" s="9" t="n">
        <v>23.94</v>
      </c>
      <c r="CO167" s="9" t="n">
        <v>0</v>
      </c>
      <c r="CP167" s="9" t="n">
        <v>23.055</v>
      </c>
      <c r="CQ167" s="9" t="n">
        <v>22.926</v>
      </c>
      <c r="CR167" s="9" t="n">
        <v>3</v>
      </c>
      <c r="CS167" s="9" t="n">
        <v>1</v>
      </c>
      <c r="CT167" s="9" t="n">
        <v>0.5</v>
      </c>
      <c r="CU167" s="9" t="n">
        <v>0.3</v>
      </c>
      <c r="CV167" s="9" t="n">
        <v>0.6</v>
      </c>
      <c r="CW167" s="9" t="n">
        <v>0.8</v>
      </c>
      <c r="CX167" s="9" t="n">
        <v>0.8</v>
      </c>
      <c r="CY167" s="9" t="n">
        <v>0.7</v>
      </c>
      <c r="CZ167" s="9" t="n">
        <v>0.5</v>
      </c>
      <c r="DA167" s="9" t="n">
        <v>0.5</v>
      </c>
      <c r="DB167" s="9" t="n">
        <v>1</v>
      </c>
      <c r="DC167" s="9" t="n">
        <v>0.3</v>
      </c>
      <c r="DD167" s="9" t="n">
        <v>0.8</v>
      </c>
      <c r="DE167" s="9" t="n">
        <v>0.2516748080949058</v>
      </c>
      <c r="DF167" s="9" t="n">
        <v>2</v>
      </c>
      <c r="DG167" s="9" t="n">
        <v>3.554</v>
      </c>
      <c r="DH167" s="9" t="n">
        <v>2.161</v>
      </c>
      <c r="DI167" s="9" t="n">
        <v>6.6434</v>
      </c>
      <c r="DJ167" s="9" t="n">
        <v>21.45799498541233</v>
      </c>
      <c r="DK167" s="9" t="n">
        <v>24.43026456587896</v>
      </c>
      <c r="DL167" s="9" t="n">
        <v>15.65611451797798</v>
      </c>
      <c r="DM167" s="9" t="n">
        <v>19.89938703508767</v>
      </c>
      <c r="DN167" s="9" t="n">
        <v>8.101000000000001</v>
      </c>
      <c r="DO167" s="9" t="n">
        <v>6.78</v>
      </c>
      <c r="DP167" s="9" t="n">
        <v>18.91304</v>
      </c>
      <c r="DQ167" s="9" t="n">
        <v>13.49474620847193</v>
      </c>
      <c r="DR167" s="9" t="n">
        <v>13.49474620847193</v>
      </c>
      <c r="DS167" s="9" t="n">
        <v>0.105</v>
      </c>
    </row>
    <row r="168">
      <c r="A168" s="9" t="inlineStr">
        <is>
          <t>TKM</t>
        </is>
      </c>
      <c r="B168" s="9" t="inlineStr">
        <is>
          <t>Turkmenistan</t>
        </is>
      </c>
      <c r="C168" s="9" t="n">
        <v>0.005</v>
      </c>
      <c r="D168" s="9" t="n">
        <v>0.005</v>
      </c>
      <c r="E168" s="9" t="n">
        <v>0.01</v>
      </c>
      <c r="F168" s="9" t="n">
        <v>0.005</v>
      </c>
      <c r="G168" s="9" t="n">
        <v>0.005</v>
      </c>
      <c r="H168" s="9" t="n">
        <v>0.01</v>
      </c>
      <c r="I168" s="9" t="n">
        <v>0.005</v>
      </c>
      <c r="J168" s="9" t="n">
        <v>0.005</v>
      </c>
      <c r="K168" s="9" t="n">
        <v>0.01</v>
      </c>
      <c r="L168" s="9" t="n">
        <v>0.01</v>
      </c>
      <c r="M168" s="9" t="n">
        <v>0.005</v>
      </c>
      <c r="N168" s="9" t="n">
        <v>2.554785</v>
      </c>
      <c r="O168" s="9" t="n">
        <v>0.236253</v>
      </c>
      <c r="P168" s="9" t="n">
        <v>51.530757</v>
      </c>
      <c r="Q168" s="9" t="n">
        <v>5.34688253364576</v>
      </c>
      <c r="R168" s="9" t="n">
        <v>1.286169127937468</v>
      </c>
      <c r="S168" s="9" t="n">
        <v>1.108802587587964</v>
      </c>
      <c r="T168" s="9" t="n">
        <v>1.004085055366948</v>
      </c>
      <c r="U168" s="9" t="n">
        <v>0.208188</v>
      </c>
      <c r="V168" s="9" t="n">
        <v>0.018284</v>
      </c>
      <c r="W168" s="9" t="n">
        <v>0.348874</v>
      </c>
      <c r="X168" s="9" t="n">
        <v>2.778386864709598</v>
      </c>
      <c r="Y168" s="9" t="n">
        <v>2.778386864709598</v>
      </c>
      <c r="Z168" s="9" t="n">
        <v>0.262267920228795</v>
      </c>
      <c r="AA168" s="9" t="n">
        <v>7.09</v>
      </c>
      <c r="AB168" s="9" t="n">
        <v>0</v>
      </c>
      <c r="AC168" s="9" t="n">
        <v>0</v>
      </c>
      <c r="AD168" s="9" t="n">
        <v>3</v>
      </c>
      <c r="AE168" s="9" t="n">
        <v>0</v>
      </c>
      <c r="AF168" s="9" t="n">
        <v>69.002</v>
      </c>
      <c r="AG168" s="9" t="n">
        <v>0</v>
      </c>
      <c r="AH168" s="9" t="n">
        <v>0</v>
      </c>
      <c r="AI168" s="9" t="n">
        <v>0</v>
      </c>
      <c r="AJ168" s="9" t="n">
        <v>0</v>
      </c>
      <c r="AK168" s="9" t="n">
        <v>0</v>
      </c>
      <c r="AL168" s="9" t="n">
        <v>0</v>
      </c>
      <c r="AM168" s="9" t="n">
        <v>0</v>
      </c>
      <c r="AN168" s="9" t="n">
        <v>0</v>
      </c>
      <c r="AO168" s="9" t="n">
        <v>0</v>
      </c>
      <c r="AP168" s="9" t="n">
        <v>42.5411143782752</v>
      </c>
      <c r="AQ168" s="9" t="n">
        <v>38.86737855999999</v>
      </c>
      <c r="AR168" s="9" t="n">
        <v>43.29228011913847</v>
      </c>
      <c r="AS168" s="9" t="n">
        <v>42.37231916660679</v>
      </c>
      <c r="AT168" s="9" t="n">
        <v>28.44365240509359</v>
      </c>
      <c r="AU168" s="9" t="n">
        <v>40.226690664</v>
      </c>
      <c r="AV168" s="9" t="n">
        <v>33.47749484301167</v>
      </c>
      <c r="AW168" s="9" t="n">
        <v>29.4909343353816</v>
      </c>
      <c r="AX168" s="9" t="n">
        <v>7.539024804050318</v>
      </c>
      <c r="AY168" s="9" t="n">
        <v>10.7022646656</v>
      </c>
      <c r="AZ168" s="9" t="n">
        <v>8.884576329125959</v>
      </c>
      <c r="BA168" s="9" t="n">
        <v>7.820067208613098</v>
      </c>
      <c r="BB168" s="9" t="n">
        <v>63.78880319562859</v>
      </c>
      <c r="BC168" s="9" t="n">
        <v>62.64815952346156</v>
      </c>
      <c r="BD168" s="9" t="n">
        <v>60.04813023999999</v>
      </c>
      <c r="BE168" s="9" t="n">
        <v>63.35607770156631</v>
      </c>
      <c r="BF168" s="9" t="n">
        <v>7.576720684779219</v>
      </c>
      <c r="BG168" s="9" t="n">
        <v>6.876276540128071</v>
      </c>
      <c r="BH168" s="9" t="n">
        <v>7.659114177004188</v>
      </c>
      <c r="BI168" s="9" t="n">
        <v>7.496358000742849</v>
      </c>
      <c r="BJ168" s="9" t="n">
        <v>0</v>
      </c>
      <c r="BK168" s="9" t="n">
        <v>0</v>
      </c>
      <c r="BL168" s="9" t="n">
        <v>0</v>
      </c>
      <c r="BM168" s="9" t="n">
        <v>0</v>
      </c>
      <c r="BN168" s="9" t="n">
        <v>519.5383284191106</v>
      </c>
      <c r="BO168" s="9" t="n">
        <v>470.6643931812</v>
      </c>
      <c r="BP168" s="9" t="n">
        <v>524.2477240972136</v>
      </c>
      <c r="BQ168" s="9" t="n">
        <v>513.1074599601476</v>
      </c>
      <c r="BR168" s="9" t="n">
        <v>274.4311124114562</v>
      </c>
      <c r="BS168" s="9" t="n">
        <v>463.2832686415009</v>
      </c>
      <c r="BT168" s="9" t="n">
        <v>418.7008586376</v>
      </c>
      <c r="BU168" s="9" t="n">
        <v>466.368341005573</v>
      </c>
      <c r="BV168" s="9" t="n">
        <v>456.4580137592046</v>
      </c>
      <c r="BW168" s="9" t="n">
        <v>162.6592633941152</v>
      </c>
      <c r="BX168" s="9" t="n">
        <v>145.9319946317616</v>
      </c>
      <c r="BY168" s="9" t="n">
        <v>162.5457909436853</v>
      </c>
      <c r="BZ168" s="9" t="n">
        <v>159.0916928861319</v>
      </c>
      <c r="CA168" s="9" t="n">
        <v>0.1650679173374257</v>
      </c>
      <c r="CB168" s="9" t="n">
        <v>9.995188113651086</v>
      </c>
      <c r="CC168" s="9" t="n">
        <v>15.226</v>
      </c>
      <c r="CD168" s="9" t="n">
        <v>-0.0016391390857517</v>
      </c>
      <c r="CE168" s="9" t="n">
        <v>3.576</v>
      </c>
      <c r="CF168" s="9" t="n">
        <v>2.6</v>
      </c>
      <c r="CG168" s="9" t="n">
        <v>68.675</v>
      </c>
      <c r="CH168" s="9" t="n">
        <v>0.01</v>
      </c>
      <c r="CI168" s="9" t="n">
        <v>0</v>
      </c>
      <c r="CJ168" s="9" t="n">
        <v>33</v>
      </c>
      <c r="CK168" s="9" t="n">
        <v>33</v>
      </c>
      <c r="CL168" s="9" t="n">
        <v>0</v>
      </c>
      <c r="CM168" s="9" t="n">
        <v>0</v>
      </c>
      <c r="CN168" s="9" t="n">
        <v>33.01</v>
      </c>
      <c r="CO168" s="9" t="n">
        <v>0</v>
      </c>
      <c r="CP168" s="9" t="n">
        <v>132.686</v>
      </c>
      <c r="CQ168" s="9" t="n">
        <v>132.686</v>
      </c>
      <c r="CR168" s="9" t="n">
        <v>3</v>
      </c>
      <c r="CS168" s="9" t="n">
        <v>3</v>
      </c>
      <c r="CT168" s="9" t="n">
        <v>0.5</v>
      </c>
      <c r="CU168" s="9" t="n">
        <v>0.3</v>
      </c>
      <c r="CV168" s="9" t="n">
        <v>0.6</v>
      </c>
      <c r="CW168" s="9" t="n">
        <v>0.8</v>
      </c>
      <c r="CX168" s="9" t="n">
        <v>0.8</v>
      </c>
      <c r="CY168" s="9" t="n">
        <v>0.7</v>
      </c>
      <c r="CZ168" s="9" t="n">
        <v>0.5</v>
      </c>
      <c r="DA168" s="9" t="n">
        <v>0.5</v>
      </c>
      <c r="DB168" s="9" t="n">
        <v>1</v>
      </c>
      <c r="DC168" s="9" t="n">
        <v>0.3</v>
      </c>
      <c r="DD168" s="9" t="n">
        <v>0.8</v>
      </c>
      <c r="DE168" s="9" t="n">
        <v>0.4695116531869364</v>
      </c>
      <c r="DF168" s="9" t="n">
        <v>1</v>
      </c>
      <c r="DG168" s="9" t="n">
        <v>7.124</v>
      </c>
      <c r="DH168" s="9" t="n">
        <v>4.351</v>
      </c>
      <c r="DI168" s="9" t="n">
        <v>12.61435</v>
      </c>
      <c r="DJ168" s="9" t="n">
        <v>20.83644030235535</v>
      </c>
      <c r="DK168" s="9" t="n">
        <v>23.80915614471255</v>
      </c>
      <c r="DL168" s="9" t="n">
        <v>18.00453169567468</v>
      </c>
      <c r="DM168" s="9" t="n">
        <v>19.89938703508767</v>
      </c>
      <c r="DN168" s="9" t="n">
        <v>9.084</v>
      </c>
      <c r="DO168" s="9" t="n">
        <v>8.864000000000001</v>
      </c>
      <c r="DP168" s="9" t="n">
        <v>9.213800000000001</v>
      </c>
      <c r="DQ168" s="9" t="n">
        <v>13.49474620847193</v>
      </c>
      <c r="DR168" s="9" t="n">
        <v>13.49474620847193</v>
      </c>
      <c r="DS168" s="9" t="n">
        <v>0.105</v>
      </c>
    </row>
    <row r="169">
      <c r="A169" s="9" t="inlineStr">
        <is>
          <t>TLS</t>
        </is>
      </c>
      <c r="B169" s="9" t="inlineStr">
        <is>
          <t>Timor-Leste</t>
        </is>
      </c>
      <c r="C169" s="9" t="n">
        <v>0.005</v>
      </c>
      <c r="D169" s="9" t="n">
        <v>0.005</v>
      </c>
      <c r="E169" s="9" t="n">
        <v>0.01</v>
      </c>
      <c r="F169" s="9" t="n">
        <v>0.005</v>
      </c>
      <c r="G169" s="9" t="n">
        <v>0.005</v>
      </c>
      <c r="H169" s="9" t="n">
        <v>0.01</v>
      </c>
      <c r="I169" s="9" t="n">
        <v>0.005</v>
      </c>
      <c r="J169" s="9" t="n">
        <v>0.005</v>
      </c>
      <c r="K169" s="9" t="n">
        <v>0.01</v>
      </c>
      <c r="L169" s="9" t="n">
        <v>0.01</v>
      </c>
      <c r="M169" s="9" t="n">
        <v>0.005</v>
      </c>
      <c r="N169" s="9" t="n">
        <v>0</v>
      </c>
      <c r="O169" s="9" t="n">
        <v>0</v>
      </c>
      <c r="P169" s="9" t="n">
        <v>0</v>
      </c>
      <c r="Q169" s="9" t="n">
        <v>0</v>
      </c>
      <c r="R169" s="9" t="n">
        <v>0</v>
      </c>
      <c r="S169" s="9" t="n">
        <v>0</v>
      </c>
      <c r="T169" s="9" t="n">
        <v>0</v>
      </c>
      <c r="U169" s="9" t="n">
        <v>0</v>
      </c>
      <c r="V169" s="9" t="n">
        <v>0</v>
      </c>
      <c r="W169" s="9" t="n">
        <v>0</v>
      </c>
      <c r="X169" s="9" t="n">
        <v>0</v>
      </c>
      <c r="Y169" s="9" t="n">
        <v>0</v>
      </c>
      <c r="Z169" s="9" t="n">
        <v>0.007126202244585825</v>
      </c>
      <c r="AA169" s="9" t="n">
        <v>0</v>
      </c>
      <c r="AB169" s="9" t="n">
        <v>0</v>
      </c>
      <c r="AC169" s="9" t="n">
        <v>0</v>
      </c>
      <c r="AD169" s="9" t="n">
        <v>0</v>
      </c>
      <c r="AE169" s="9" t="n">
        <v>0</v>
      </c>
      <c r="AF169" s="9" t="n">
        <v>0.5610000000000001</v>
      </c>
      <c r="AG169" s="9" t="n">
        <v>0</v>
      </c>
      <c r="AH169" s="9" t="n">
        <v>0</v>
      </c>
      <c r="AI169" s="9" t="n">
        <v>0</v>
      </c>
      <c r="AJ169" s="9" t="n">
        <v>0</v>
      </c>
      <c r="AK169" s="9" t="n">
        <v>0</v>
      </c>
      <c r="AL169" s="9" t="n">
        <v>0</v>
      </c>
      <c r="AM169" s="9" t="n">
        <v>0</v>
      </c>
      <c r="AN169" s="9" t="n">
        <v>0</v>
      </c>
      <c r="AO169" s="9" t="n">
        <v>0</v>
      </c>
      <c r="AP169" s="9" t="n">
        <v>4.538903894918854</v>
      </c>
      <c r="AQ169" s="9" t="n">
        <v>4.25806507958464</v>
      </c>
      <c r="AR169" s="9" t="n">
        <v>4.25806507958464</v>
      </c>
      <c r="AS169" s="9" t="n">
        <v>4.25806507958464</v>
      </c>
      <c r="AT169" s="9" t="n">
        <v>0.923231615669252</v>
      </c>
      <c r="AU169" s="9" t="n">
        <v>0.851040001338956</v>
      </c>
      <c r="AV169" s="9" t="n">
        <v>0.87163914074801</v>
      </c>
      <c r="AW169" s="9" t="n">
        <v>0.8799793184876591</v>
      </c>
      <c r="AX169" s="9" t="n">
        <v>0.558865573863494</v>
      </c>
      <c r="AY169" s="9" t="n">
        <v>0.5169600127716062</v>
      </c>
      <c r="AZ169" s="9" t="n">
        <v>0.5276347780214383</v>
      </c>
      <c r="BA169" s="9" t="n">
        <v>0.5326833900267947</v>
      </c>
      <c r="BB169" s="9" t="n">
        <v>1.873586992074397</v>
      </c>
      <c r="BC169" s="9" t="n">
        <v>1.764294460173324</v>
      </c>
      <c r="BD169" s="9" t="n">
        <v>1.747748984828255</v>
      </c>
      <c r="BE169" s="9" t="n">
        <v>1.756002238365054</v>
      </c>
      <c r="BF169" s="9" t="n">
        <v>0</v>
      </c>
      <c r="BG169" s="9" t="n">
        <v>0</v>
      </c>
      <c r="BH169" s="9" t="n">
        <v>0</v>
      </c>
      <c r="BI169" s="9" t="n">
        <v>0</v>
      </c>
      <c r="BJ169" s="9" t="n">
        <v>0.0328669920944713</v>
      </c>
      <c r="BK169" s="9" t="n">
        <v>0.0311065649899557</v>
      </c>
      <c r="BL169" s="9" t="n">
        <v>0.0311065649899557</v>
      </c>
      <c r="BM169" s="9" t="n">
        <v>0.0311065649899557</v>
      </c>
      <c r="BN169" s="9" t="n">
        <v>0</v>
      </c>
      <c r="BO169" s="9" t="n">
        <v>0</v>
      </c>
      <c r="BP169" s="9" t="n">
        <v>0</v>
      </c>
      <c r="BQ169" s="9" t="n">
        <v>0</v>
      </c>
      <c r="BR169" s="9" t="n">
        <v>0</v>
      </c>
      <c r="BS169" s="9" t="n">
        <v>0</v>
      </c>
      <c r="BT169" s="9" t="n">
        <v>0</v>
      </c>
      <c r="BU169" s="9" t="n">
        <v>0</v>
      </c>
      <c r="BV169" s="9" t="n">
        <v>0</v>
      </c>
      <c r="BW169" s="9" t="n">
        <v>9.820107488462666</v>
      </c>
      <c r="BX169" s="9" t="n">
        <v>9.813380877786663</v>
      </c>
      <c r="BY169" s="9" t="n">
        <v>9.6940822668706</v>
      </c>
      <c r="BZ169" s="9" t="n">
        <v>9.5782948280951</v>
      </c>
      <c r="CA169" s="9" t="n">
        <v>1.000000390862842</v>
      </c>
      <c r="CB169" s="9" t="n">
        <v>0.4116936637590961</v>
      </c>
      <c r="CC169" s="9" t="n">
        <v>0</v>
      </c>
      <c r="CD169" s="9" t="n">
        <v>0</v>
      </c>
      <c r="CE169" s="9" t="n">
        <v>4.5</v>
      </c>
      <c r="CF169" s="9" t="n">
        <v>4.1</v>
      </c>
      <c r="CG169" s="9" t="n">
        <v>1.866</v>
      </c>
      <c r="CH169" s="9" t="n">
        <v>0.09057260602700115</v>
      </c>
      <c r="CI169" s="9" t="n">
        <v>0</v>
      </c>
      <c r="CJ169" s="9" t="n">
        <v>0.3622904241080046</v>
      </c>
      <c r="CK169" s="9" t="n">
        <v>0</v>
      </c>
      <c r="CL169" s="9" t="n">
        <v>0.3622904241080046</v>
      </c>
      <c r="CM169" s="9" t="n">
        <v>0</v>
      </c>
      <c r="CN169" s="9" t="n">
        <v>0.4528630301350057</v>
      </c>
      <c r="CO169" s="9" t="n">
        <v>0</v>
      </c>
      <c r="CP169" s="9" t="n">
        <v>2.498</v>
      </c>
      <c r="CQ169" s="9" t="n">
        <v>2.947</v>
      </c>
      <c r="CR169" s="9" t="n">
        <v>3</v>
      </c>
      <c r="CS169" s="9" t="n">
        <v>2</v>
      </c>
      <c r="CT169" s="9" t="n">
        <v>0.5</v>
      </c>
      <c r="CU169" s="9" t="n">
        <v>0.3</v>
      </c>
      <c r="CV169" s="9" t="n">
        <v>0.6</v>
      </c>
      <c r="CW169" s="9" t="n">
        <v>0.8</v>
      </c>
      <c r="CX169" s="9" t="n">
        <v>0.8</v>
      </c>
      <c r="CY169" s="9" t="n">
        <v>0.7</v>
      </c>
      <c r="CZ169" s="9" t="n">
        <v>0.5</v>
      </c>
      <c r="DA169" s="9" t="n">
        <v>0.5</v>
      </c>
      <c r="DB169" s="9" t="n">
        <v>1</v>
      </c>
      <c r="DC169" s="9" t="n">
        <v>0.3</v>
      </c>
      <c r="DD169" s="9" t="n">
        <v>0.8</v>
      </c>
      <c r="DE169" s="9" t="n">
        <v>0.3007736943907157</v>
      </c>
      <c r="DF169" s="9" t="n">
        <v>1</v>
      </c>
      <c r="DG169" s="9" t="n">
        <v>7.124</v>
      </c>
      <c r="DH169" s="9" t="n">
        <v>4.833</v>
      </c>
      <c r="DI169" s="9" t="n">
        <v>11.737275</v>
      </c>
      <c r="DJ169" s="9" t="n">
        <v>19.73302723487935</v>
      </c>
      <c r="DK169" s="9" t="n">
        <v>21.07482068782896</v>
      </c>
      <c r="DL169" s="9" t="n">
        <v>17.27205865604339</v>
      </c>
      <c r="DM169" s="9" t="n">
        <v>20.19403760802826</v>
      </c>
      <c r="DN169" s="9" t="n">
        <v>9.074999999999999</v>
      </c>
      <c r="DO169" s="9" t="n">
        <v>7.751</v>
      </c>
      <c r="DP169" s="9" t="n">
        <v>17.4414</v>
      </c>
      <c r="DQ169" s="9" t="n">
        <v>14.11516989415954</v>
      </c>
      <c r="DR169" s="9" t="n">
        <v>14.11516989415954</v>
      </c>
      <c r="DS169" s="9" t="n">
        <v>0.105</v>
      </c>
    </row>
    <row r="170">
      <c r="A170" s="9" t="inlineStr">
        <is>
          <t>TON</t>
        </is>
      </c>
      <c r="B170" s="9" t="inlineStr">
        <is>
          <t>Tonga</t>
        </is>
      </c>
      <c r="C170" s="9" t="n">
        <v>0.005</v>
      </c>
      <c r="D170" s="9" t="n">
        <v>0.005</v>
      </c>
      <c r="E170" s="9" t="n">
        <v>0.01</v>
      </c>
      <c r="F170" s="9" t="n">
        <v>0.005</v>
      </c>
      <c r="G170" s="9" t="n">
        <v>0.005</v>
      </c>
      <c r="H170" s="9" t="n">
        <v>0.01</v>
      </c>
      <c r="I170" s="9" t="n">
        <v>0.005</v>
      </c>
      <c r="J170" s="9" t="n">
        <v>0.005</v>
      </c>
      <c r="K170" s="9" t="n">
        <v>0.01</v>
      </c>
      <c r="L170" s="9" t="n">
        <v>0.01</v>
      </c>
      <c r="M170" s="9" t="n">
        <v>0.005</v>
      </c>
      <c r="N170" s="9" t="n">
        <v>0.028096</v>
      </c>
      <c r="O170" s="9" t="n">
        <v>0.009773</v>
      </c>
      <c r="P170" s="9" t="n">
        <v>0.244815</v>
      </c>
      <c r="Q170" s="9" t="n">
        <v>0.0791254850826608</v>
      </c>
      <c r="R170" s="9" t="n">
        <v>0.0246212868611548</v>
      </c>
      <c r="S170" s="9" t="n">
        <v>0.0298817211104554</v>
      </c>
      <c r="T170" s="9" t="n">
        <v>0.0077192553995759</v>
      </c>
      <c r="U170" s="9" t="n">
        <v>0.002178</v>
      </c>
      <c r="V170" s="9" t="n">
        <v>0.000896</v>
      </c>
      <c r="W170" s="9" t="n">
        <v>0.001296</v>
      </c>
      <c r="X170" s="9" t="n">
        <v>0.0001217463223096</v>
      </c>
      <c r="Y170" s="9" t="n">
        <v>0.0001217463223096</v>
      </c>
      <c r="Z170" s="9" t="n">
        <v>0.002467056082530784</v>
      </c>
      <c r="AA170" s="9" t="n">
        <v>0.02</v>
      </c>
      <c r="AB170" s="9" t="n">
        <v>0.02</v>
      </c>
      <c r="AC170" s="9" t="n">
        <v>0</v>
      </c>
      <c r="AD170" s="9" t="n">
        <v>0</v>
      </c>
      <c r="AE170" s="9" t="n">
        <v>0</v>
      </c>
      <c r="AF170" s="9" t="n">
        <v>0.177</v>
      </c>
      <c r="AG170" s="9" t="n">
        <v>0</v>
      </c>
      <c r="AH170" s="9" t="n">
        <v>0</v>
      </c>
      <c r="AI170" s="9" t="n">
        <v>0</v>
      </c>
      <c r="AJ170" s="9" t="n">
        <v>0</v>
      </c>
      <c r="AK170" s="9" t="n">
        <v>0</v>
      </c>
      <c r="AL170" s="9" t="n">
        <v>0</v>
      </c>
      <c r="AM170" s="9" t="n">
        <v>0</v>
      </c>
      <c r="AN170" s="9" t="n">
        <v>0</v>
      </c>
      <c r="AO170" s="9" t="n">
        <v>0</v>
      </c>
      <c r="AP170" s="9" t="n">
        <v>0.5003757747468117</v>
      </c>
      <c r="AQ170" s="9" t="n">
        <v>0.4346454600000001</v>
      </c>
      <c r="AR170" s="9" t="n">
        <v>0.4694170967999998</v>
      </c>
      <c r="AS170" s="9" t="n">
        <v>0.4741112677679999</v>
      </c>
      <c r="AT170" s="9" t="n">
        <v>0.07805187552132151</v>
      </c>
      <c r="AU170" s="9" t="n">
        <v>0.07758684684</v>
      </c>
      <c r="AV170" s="9" t="n">
        <v>0.0740878462265061</v>
      </c>
      <c r="AW170" s="9" t="n">
        <v>0.0761011826685416</v>
      </c>
      <c r="AX170" s="9" t="n">
        <v>0.1712259141683804</v>
      </c>
      <c r="AY170" s="9" t="n">
        <v>0.16330027248</v>
      </c>
      <c r="AZ170" s="9" t="n">
        <v>0.1625298445959127</v>
      </c>
      <c r="BA170" s="9" t="n">
        <v>0.1669465914135065</v>
      </c>
      <c r="BB170" s="9" t="n">
        <v>0.951635105591412</v>
      </c>
      <c r="BC170" s="9" t="n">
        <v>0.906566493284826</v>
      </c>
      <c r="BD170" s="9" t="n">
        <v>0.8165321319580046</v>
      </c>
      <c r="BE170" s="9" t="n">
        <v>0.903066469776</v>
      </c>
      <c r="BF170" s="9" t="n">
        <v>0.013409920232979</v>
      </c>
      <c r="BG170" s="9" t="n">
        <v>0.0120655383141477</v>
      </c>
      <c r="BH170" s="9" t="n">
        <v>0.0130307813792796</v>
      </c>
      <c r="BI170" s="9" t="n">
        <v>0.0131610891930723</v>
      </c>
      <c r="BJ170" s="9" t="n">
        <v>0.1508381603891336</v>
      </c>
      <c r="BK170" s="9" t="n">
        <v>0.1324093546325877</v>
      </c>
      <c r="BL170" s="9" t="n">
        <v>0.1430021030031948</v>
      </c>
      <c r="BM170" s="9" t="n">
        <v>0.1444321240332267</v>
      </c>
      <c r="BN170" s="9" t="n">
        <v>0</v>
      </c>
      <c r="BO170" s="9" t="n">
        <v>0</v>
      </c>
      <c r="BP170" s="9" t="n">
        <v>0</v>
      </c>
      <c r="BQ170" s="9" t="n">
        <v>0</v>
      </c>
      <c r="BR170" s="9" t="n">
        <v>0</v>
      </c>
      <c r="BS170" s="9" t="n">
        <v>0</v>
      </c>
      <c r="BT170" s="9" t="n">
        <v>0</v>
      </c>
      <c r="BU170" s="9" t="n">
        <v>0</v>
      </c>
      <c r="BV170" s="9" t="n">
        <v>0</v>
      </c>
      <c r="BW170" s="9" t="n">
        <v>0.5054560935796767</v>
      </c>
      <c r="BX170" s="9" t="n">
        <v>0.551294231164269</v>
      </c>
      <c r="BY170" s="9" t="n">
        <v>0.5355500158362867</v>
      </c>
      <c r="BZ170" s="9" t="n">
        <v>0.5202831082451441</v>
      </c>
      <c r="CA170" s="9" t="n">
        <v>1.000000424616821</v>
      </c>
      <c r="CB170" s="9" t="n">
        <v>0.06924383046936164</v>
      </c>
      <c r="CC170" s="9" t="n">
        <v>0</v>
      </c>
      <c r="CD170" s="9" t="n">
        <v>0</v>
      </c>
      <c r="CE170" s="9" t="n">
        <v>2.8</v>
      </c>
      <c r="CF170" s="9" t="n">
        <v>2.323</v>
      </c>
      <c r="CG170" s="9" t="n">
        <v>0.646</v>
      </c>
      <c r="CH170" s="9" t="n">
        <v>0</v>
      </c>
      <c r="CI170" s="9" t="n">
        <v>0</v>
      </c>
      <c r="CJ170" s="9" t="n">
        <v>0.06</v>
      </c>
      <c r="CK170" s="9" t="n">
        <v>0</v>
      </c>
      <c r="CL170" s="9" t="n">
        <v>0.06</v>
      </c>
      <c r="CM170" s="9" t="n">
        <v>0.01</v>
      </c>
      <c r="CN170" s="9" t="n">
        <v>0.07000000000000001</v>
      </c>
      <c r="CO170" s="9" t="n">
        <v>0</v>
      </c>
      <c r="CP170" s="9" t="n">
        <v>0.292</v>
      </c>
      <c r="CQ170" s="9" t="n">
        <v>0.292</v>
      </c>
      <c r="CR170" s="9" t="n">
        <v>3</v>
      </c>
      <c r="CS170" s="9" t="n">
        <v>3</v>
      </c>
      <c r="CT170" s="9" t="n">
        <v>0.5</v>
      </c>
      <c r="CU170" s="9" t="n">
        <v>0.3</v>
      </c>
      <c r="CV170" s="9" t="n">
        <v>0.6</v>
      </c>
      <c r="CW170" s="9" t="n">
        <v>0.8</v>
      </c>
      <c r="CX170" s="9" t="n">
        <v>0.8</v>
      </c>
      <c r="CY170" s="9" t="n">
        <v>0.7</v>
      </c>
      <c r="CZ170" s="9" t="n">
        <v>0.5</v>
      </c>
      <c r="DA170" s="9" t="n">
        <v>0.5</v>
      </c>
      <c r="DB170" s="9" t="n">
        <v>1</v>
      </c>
      <c r="DC170" s="9" t="n">
        <v>0.3</v>
      </c>
      <c r="DD170" s="9" t="n">
        <v>0.8</v>
      </c>
      <c r="DE170" s="9" t="n">
        <v>0.8556291390728477</v>
      </c>
      <c r="DF170" s="9" t="n">
        <v>2</v>
      </c>
      <c r="DG170" s="9" t="n">
        <v>7.124</v>
      </c>
      <c r="DH170" s="9" t="n">
        <v>4.833</v>
      </c>
      <c r="DI170" s="9" t="n">
        <v>13.16865</v>
      </c>
      <c r="DJ170" s="9" t="n">
        <v>20.03175208384781</v>
      </c>
      <c r="DK170" s="9" t="n">
        <v>23.67761384557048</v>
      </c>
      <c r="DL170" s="9" t="n">
        <v>19.8628674544499</v>
      </c>
      <c r="DM170" s="9" t="n">
        <v>22.75046880327274</v>
      </c>
      <c r="DN170" s="9" t="n">
        <v>7.788</v>
      </c>
      <c r="DO170" s="9" t="n">
        <v>6.465</v>
      </c>
      <c r="DP170" s="9" t="n">
        <v>18.0895</v>
      </c>
      <c r="DQ170" s="9" t="n">
        <v>14.33660413873466</v>
      </c>
      <c r="DR170" s="9" t="n">
        <v>14.33660413873466</v>
      </c>
      <c r="DS170" s="9" t="n">
        <v>0.105</v>
      </c>
    </row>
    <row r="171">
      <c r="A171" s="9" t="inlineStr">
        <is>
          <t>TTO</t>
        </is>
      </c>
      <c r="B171" s="9" t="inlineStr">
        <is>
          <t>Trinidad and Tobago</t>
        </is>
      </c>
      <c r="C171" s="9" t="n">
        <v>0.005</v>
      </c>
      <c r="D171" s="9" t="n">
        <v>0.005</v>
      </c>
      <c r="E171" s="9" t="n">
        <v>0.01</v>
      </c>
      <c r="F171" s="9" t="n">
        <v>0.005</v>
      </c>
      <c r="G171" s="9" t="n">
        <v>0.005</v>
      </c>
      <c r="H171" s="9" t="n">
        <v>0.01</v>
      </c>
      <c r="I171" s="9" t="n">
        <v>0.005</v>
      </c>
      <c r="J171" s="9" t="n">
        <v>0.005</v>
      </c>
      <c r="K171" s="9" t="n">
        <v>0.01</v>
      </c>
      <c r="L171" s="9" t="n">
        <v>0.01</v>
      </c>
      <c r="M171" s="9" t="n">
        <v>0.005</v>
      </c>
      <c r="N171" s="9" t="n">
        <v>0.324228</v>
      </c>
      <c r="O171" s="9" t="n">
        <v>2.077475</v>
      </c>
      <c r="P171" s="9" t="n">
        <v>25.375624</v>
      </c>
      <c r="Q171" s="9" t="n">
        <v>2.853022065311908</v>
      </c>
      <c r="R171" s="9" t="n">
        <v>0.3641719955595895</v>
      </c>
      <c r="S171" s="9" t="n">
        <v>0.8042103630063885</v>
      </c>
      <c r="T171" s="9" t="n">
        <v>0.7156409189285232</v>
      </c>
      <c r="U171" s="9" t="n">
        <v>0.027883</v>
      </c>
      <c r="V171" s="9" t="n">
        <v>0.061928</v>
      </c>
      <c r="W171" s="9" t="n">
        <v>0.086752</v>
      </c>
      <c r="X171" s="9" t="n">
        <v>0.5616181438911952</v>
      </c>
      <c r="Y171" s="9" t="n">
        <v>0.5616181438911952</v>
      </c>
      <c r="Z171" s="9" t="n">
        <v>0.0978955350148516</v>
      </c>
      <c r="AA171" s="9" t="n">
        <v>2.06</v>
      </c>
      <c r="AB171" s="9" t="n">
        <v>0</v>
      </c>
      <c r="AC171" s="9" t="n">
        <v>0</v>
      </c>
      <c r="AD171" s="9" t="n">
        <v>3</v>
      </c>
      <c r="AE171" s="9" t="n">
        <v>0</v>
      </c>
      <c r="AF171" s="9" t="n">
        <v>29.133</v>
      </c>
      <c r="AG171" s="9" t="n">
        <v>0</v>
      </c>
      <c r="AH171" s="9" t="n">
        <v>0</v>
      </c>
      <c r="AI171" s="9" t="n">
        <v>0</v>
      </c>
      <c r="AJ171" s="9" t="n">
        <v>0</v>
      </c>
      <c r="AK171" s="9" t="n">
        <v>0</v>
      </c>
      <c r="AL171" s="9" t="n">
        <v>0</v>
      </c>
      <c r="AM171" s="9" t="n">
        <v>0</v>
      </c>
      <c r="AN171" s="9" t="n">
        <v>0</v>
      </c>
      <c r="AO171" s="9" t="n">
        <v>0</v>
      </c>
      <c r="AP171" s="9" t="n">
        <v>11.36083341459448</v>
      </c>
      <c r="AQ171" s="9" t="n">
        <v>11.94936044</v>
      </c>
      <c r="AR171" s="9" t="n">
        <v>11.67623220137143</v>
      </c>
      <c r="AS171" s="9" t="n">
        <v>11.35930589876277</v>
      </c>
      <c r="AT171" s="9" t="n">
        <v>22.46734763697962</v>
      </c>
      <c r="AU171" s="9" t="n">
        <v>21.82536972</v>
      </c>
      <c r="AV171" s="9" t="n">
        <v>21.8160303213902</v>
      </c>
      <c r="AW171" s="9" t="n">
        <v>21.96740284436385</v>
      </c>
      <c r="AX171" s="9" t="n">
        <v>8.997660590763026</v>
      </c>
      <c r="AY171" s="9" t="n">
        <v>8.763010081199999</v>
      </c>
      <c r="AZ171" s="9" t="n">
        <v>8.736822852492805</v>
      </c>
      <c r="BA171" s="9" t="n">
        <v>8.797444097443082</v>
      </c>
      <c r="BB171" s="9" t="n">
        <v>17.59405378570202</v>
      </c>
      <c r="BC171" s="9" t="n">
        <v>15.46630794752453</v>
      </c>
      <c r="BD171" s="9" t="n">
        <v>19.41393028893033</v>
      </c>
      <c r="BE171" s="9" t="n">
        <v>16.66395799545747</v>
      </c>
      <c r="BF171" s="9" t="n">
        <v>0.6620314590571669</v>
      </c>
      <c r="BG171" s="9" t="n">
        <v>0.6829338736091333</v>
      </c>
      <c r="BH171" s="9" t="n">
        <v>0.6673239564980673</v>
      </c>
      <c r="BI171" s="9" t="n">
        <v>0.649210877678834</v>
      </c>
      <c r="BJ171" s="9" t="n">
        <v>3.345583670185825</v>
      </c>
      <c r="BK171" s="9" t="n">
        <v>3.269130179999987</v>
      </c>
      <c r="BL171" s="9" t="n">
        <v>3.19440720445713</v>
      </c>
      <c r="BM171" s="9" t="n">
        <v>3.107701866050439</v>
      </c>
      <c r="BN171" s="9" t="n">
        <v>88.64045823207771</v>
      </c>
      <c r="BO171" s="9" t="n">
        <v>90.136717038</v>
      </c>
      <c r="BP171" s="9" t="n">
        <v>88.07644921998858</v>
      </c>
      <c r="BQ171" s="9" t="n">
        <v>85.6858027411603</v>
      </c>
      <c r="BR171" s="9" t="n">
        <v>83.80715022598017</v>
      </c>
      <c r="BS171" s="9" t="n">
        <v>3.141035532115261</v>
      </c>
      <c r="BT171" s="9" t="n">
        <v>3.2598047988</v>
      </c>
      <c r="BU171" s="9" t="n">
        <v>3.185294974827429</v>
      </c>
      <c r="BV171" s="9" t="n">
        <v>3.098836968367827</v>
      </c>
      <c r="BW171" s="9" t="n">
        <v>6.69672728875771</v>
      </c>
      <c r="BX171" s="9" t="n">
        <v>6.196004023555744</v>
      </c>
      <c r="BY171" s="9" t="n">
        <v>6.24977016974743</v>
      </c>
      <c r="BZ171" s="9" t="n">
        <v>6.253840531063709</v>
      </c>
      <c r="CA171" s="9" t="n">
        <v>0.5971181245725526</v>
      </c>
      <c r="CB171" s="9" t="n">
        <v>8.740280063261846</v>
      </c>
      <c r="CC171" s="9" t="n">
        <v>2.082</v>
      </c>
      <c r="CD171" s="9" t="n">
        <v>-0.0010542744238617</v>
      </c>
      <c r="CE171" s="9" t="n">
        <v>0.782</v>
      </c>
      <c r="CF171" s="9" t="n">
        <v>0.766</v>
      </c>
      <c r="CG171" s="9" t="n">
        <v>25.634</v>
      </c>
      <c r="CH171" s="9" t="n">
        <v>0</v>
      </c>
      <c r="CI171" s="9" t="n">
        <v>0</v>
      </c>
      <c r="CJ171" s="9" t="n">
        <v>9.539999999999999</v>
      </c>
      <c r="CK171" s="9" t="n">
        <v>9.5</v>
      </c>
      <c r="CL171" s="9" t="n">
        <v>0.04</v>
      </c>
      <c r="CM171" s="9" t="n">
        <v>0.01</v>
      </c>
      <c r="CN171" s="9" t="n">
        <v>9.550000000000001</v>
      </c>
      <c r="CO171" s="9" t="n">
        <v>0</v>
      </c>
      <c r="CP171" s="9" t="n">
        <v>45.697</v>
      </c>
      <c r="CQ171" s="9" t="n">
        <v>45.816</v>
      </c>
      <c r="CR171" s="9" t="n">
        <v>3</v>
      </c>
      <c r="CS171" s="9" t="n">
        <v>4</v>
      </c>
      <c r="CT171" s="9" t="n">
        <v>0.5</v>
      </c>
      <c r="CU171" s="9" t="n">
        <v>0.3</v>
      </c>
      <c r="CV171" s="9" t="n">
        <v>0.6</v>
      </c>
      <c r="CW171" s="9" t="n">
        <v>0.8</v>
      </c>
      <c r="CX171" s="9" t="n">
        <v>0.8</v>
      </c>
      <c r="CY171" s="9" t="n">
        <v>0.7</v>
      </c>
      <c r="CZ171" s="9" t="n">
        <v>0.5</v>
      </c>
      <c r="DA171" s="9" t="n">
        <v>0.5</v>
      </c>
      <c r="DB171" s="9" t="n">
        <v>1</v>
      </c>
      <c r="DC171" s="9" t="n">
        <v>0.3</v>
      </c>
      <c r="DD171" s="9" t="n">
        <v>0.8</v>
      </c>
      <c r="DE171" s="9" t="n">
        <v>0.5149250733196739</v>
      </c>
      <c r="DF171" s="9" t="n">
        <v>2</v>
      </c>
      <c r="DG171" s="9" t="n">
        <v>7.124</v>
      </c>
      <c r="DH171" s="9" t="n">
        <v>5.575</v>
      </c>
      <c r="DI171" s="9" t="n">
        <v>13.717125</v>
      </c>
      <c r="DJ171" s="9" t="n">
        <v>18.16813374593346</v>
      </c>
      <c r="DK171" s="9" t="n">
        <v>24.24278819344953</v>
      </c>
      <c r="DL171" s="9" t="n">
        <v>15.62435194385437</v>
      </c>
      <c r="DM171" s="9" t="n">
        <v>23.19729344120096</v>
      </c>
      <c r="DN171" s="9" t="n">
        <v>8.922000000000001</v>
      </c>
      <c r="DO171" s="9" t="n">
        <v>8.26</v>
      </c>
      <c r="DP171" s="9" t="n">
        <v>14.5035</v>
      </c>
      <c r="DQ171" s="9" t="n">
        <v>13.49474620847193</v>
      </c>
      <c r="DR171" s="9" t="n">
        <v>13.49474620847193</v>
      </c>
      <c r="DS171" s="9" t="n">
        <v>0.105</v>
      </c>
    </row>
    <row r="172">
      <c r="A172" s="9" t="inlineStr">
        <is>
          <t>TUN</t>
        </is>
      </c>
      <c r="B172" s="9" t="inlineStr">
        <is>
          <t>Tunisia</t>
        </is>
      </c>
      <c r="C172" s="9" t="n">
        <v>0.005</v>
      </c>
      <c r="D172" s="9" t="n">
        <v>0.005</v>
      </c>
      <c r="E172" s="9" t="n">
        <v>0.01</v>
      </c>
      <c r="F172" s="9" t="n">
        <v>0.005</v>
      </c>
      <c r="G172" s="9" t="n">
        <v>0.005</v>
      </c>
      <c r="H172" s="9" t="n">
        <v>0.01</v>
      </c>
      <c r="I172" s="9" t="n">
        <v>0.005</v>
      </c>
      <c r="J172" s="9" t="n">
        <v>0.005</v>
      </c>
      <c r="K172" s="9" t="n">
        <v>0.01</v>
      </c>
      <c r="L172" s="9" t="n">
        <v>0.01</v>
      </c>
      <c r="M172" s="9" t="n">
        <v>0.005</v>
      </c>
      <c r="N172" s="9" t="n">
        <v>0.234838</v>
      </c>
      <c r="O172" s="9" t="n">
        <v>1.279911</v>
      </c>
      <c r="P172" s="9" t="n">
        <v>18.955533</v>
      </c>
      <c r="Q172" s="9" t="n">
        <v>10.68515805925644</v>
      </c>
      <c r="R172" s="9" t="n">
        <v>2.40816774731525</v>
      </c>
      <c r="S172" s="9" t="n">
        <v>2.577510372876856</v>
      </c>
      <c r="T172" s="9" t="n">
        <v>0.9340686935768246</v>
      </c>
      <c r="U172" s="9" t="n">
        <v>0.137164</v>
      </c>
      <c r="V172" s="9" t="n">
        <v>0.039059</v>
      </c>
      <c r="W172" s="9" t="n">
        <v>0.101351</v>
      </c>
      <c r="X172" s="9" t="n">
        <v>6.24889108246612</v>
      </c>
      <c r="Y172" s="9" t="n">
        <v>6.24889108246612</v>
      </c>
      <c r="Z172" s="9" t="n">
        <v>0.1960316652823339</v>
      </c>
      <c r="AA172" s="9" t="n">
        <v>5.45</v>
      </c>
      <c r="AB172" s="9" t="n">
        <v>0.89</v>
      </c>
      <c r="AC172" s="9" t="n">
        <v>0.25</v>
      </c>
      <c r="AD172" s="9" t="n">
        <v>3</v>
      </c>
      <c r="AE172" s="9" t="n">
        <v>0.002638869</v>
      </c>
      <c r="AF172" s="9" t="n">
        <v>36.569</v>
      </c>
      <c r="AG172" s="9" t="n">
        <v>0</v>
      </c>
      <c r="AH172" s="9" t="n">
        <v>0</v>
      </c>
      <c r="AI172" s="9" t="n">
        <v>0</v>
      </c>
      <c r="AJ172" s="9" t="n">
        <v>0</v>
      </c>
      <c r="AK172" s="9" t="n">
        <v>0</v>
      </c>
      <c r="AL172" s="9" t="n">
        <v>0</v>
      </c>
      <c r="AM172" s="9" t="n">
        <v>0</v>
      </c>
      <c r="AN172" s="9" t="n">
        <v>0</v>
      </c>
      <c r="AO172" s="9" t="n">
        <v>0</v>
      </c>
      <c r="AP172" s="9" t="n">
        <v>68.93939882241062</v>
      </c>
      <c r="AQ172" s="9" t="n">
        <v>67.85648435</v>
      </c>
      <c r="AR172" s="9" t="n">
        <v>70.29755528051298</v>
      </c>
      <c r="AS172" s="9" t="n">
        <v>67.66139695749376</v>
      </c>
      <c r="AT172" s="9" t="n">
        <v>49.42892617201765</v>
      </c>
      <c r="AU172" s="9" t="n">
        <v>42.5909221956</v>
      </c>
      <c r="AV172" s="9" t="n">
        <v>46.23388067456625</v>
      </c>
      <c r="AW172" s="9" t="n">
        <v>47.98171680217136</v>
      </c>
      <c r="AX172" s="9" t="n">
        <v>23.26400406058734</v>
      </c>
      <c r="AY172" s="9" t="n">
        <v>20.2140001908</v>
      </c>
      <c r="AZ172" s="9" t="n">
        <v>21.75890501157428</v>
      </c>
      <c r="BA172" s="9" t="n">
        <v>22.58293408510399</v>
      </c>
      <c r="BB172" s="9" t="n">
        <v>33.91845148780919</v>
      </c>
      <c r="BC172" s="9" t="n">
        <v>33.06582494999999</v>
      </c>
      <c r="BD172" s="9" t="n">
        <v>34.30259563</v>
      </c>
      <c r="BE172" s="9" t="n">
        <v>32.97076070326876</v>
      </c>
      <c r="BF172" s="9" t="n">
        <v>0.5435446330173532</v>
      </c>
      <c r="BG172" s="9" t="n">
        <v>0.5978376000515067</v>
      </c>
      <c r="BH172" s="9" t="n">
        <v>0.6193442254040088</v>
      </c>
      <c r="BI172" s="9" t="n">
        <v>0.5961188169513589</v>
      </c>
      <c r="BJ172" s="9" t="n">
        <v>25.96503123734513</v>
      </c>
      <c r="BK172" s="9" t="n">
        <v>25.40504682999994</v>
      </c>
      <c r="BL172" s="9" t="n">
        <v>26.31896864453371</v>
      </c>
      <c r="BM172" s="9" t="n">
        <v>25.33200732036372</v>
      </c>
      <c r="BN172" s="9" t="n">
        <v>46.49183411935306</v>
      </c>
      <c r="BO172" s="9" t="n">
        <v>45.94624464960001</v>
      </c>
      <c r="BP172" s="9" t="n">
        <v>47.59911604803366</v>
      </c>
      <c r="BQ172" s="9" t="n">
        <v>45.81414919623241</v>
      </c>
      <c r="BR172" s="9" t="n">
        <v>168.5897656461404</v>
      </c>
      <c r="BS172" s="9" t="n">
        <v>23.61348934022179</v>
      </c>
      <c r="BT172" s="9" t="n">
        <v>23.4903679704</v>
      </c>
      <c r="BU172" s="9" t="n">
        <v>24.3354110779066</v>
      </c>
      <c r="BV172" s="9" t="n">
        <v>23.42283316248509</v>
      </c>
      <c r="BW172" s="9" t="n">
        <v>63.90480890470457</v>
      </c>
      <c r="BX172" s="9" t="n">
        <v>55.96444963253614</v>
      </c>
      <c r="BY172" s="9" t="n">
        <v>58.18024288286138</v>
      </c>
      <c r="BZ172" s="9" t="n">
        <v>56.13913501172835</v>
      </c>
      <c r="CA172" s="9" t="n">
        <v>0.6385464826034363</v>
      </c>
      <c r="CB172" s="9" t="n">
        <v>20.19248062016805</v>
      </c>
      <c r="CC172" s="9" t="n">
        <v>5.178</v>
      </c>
      <c r="CD172" s="9" t="n">
        <v>0.332700312979047</v>
      </c>
      <c r="CE172" s="9" t="n">
        <v>2.493</v>
      </c>
      <c r="CF172" s="9" t="n">
        <v>2.113</v>
      </c>
      <c r="CG172" s="9" t="n">
        <v>51.331</v>
      </c>
      <c r="CH172" s="9" t="n">
        <v>0.01</v>
      </c>
      <c r="CI172" s="9" t="n">
        <v>0</v>
      </c>
      <c r="CJ172" s="9" t="n">
        <v>21.41</v>
      </c>
      <c r="CK172" s="9" t="n">
        <v>21.18</v>
      </c>
      <c r="CL172" s="9" t="n">
        <v>0.23</v>
      </c>
      <c r="CM172" s="9" t="n">
        <v>0.5600000000000001</v>
      </c>
      <c r="CN172" s="9" t="n">
        <v>22.31</v>
      </c>
      <c r="CO172" s="9" t="n">
        <v>0.33</v>
      </c>
      <c r="CP172" s="9" t="n">
        <v>50.973</v>
      </c>
      <c r="CQ172" s="9" t="n">
        <v>47.19</v>
      </c>
      <c r="CR172" s="9" t="n">
        <v>3</v>
      </c>
      <c r="CS172" s="9" t="n">
        <v>2</v>
      </c>
      <c r="CT172" s="9" t="n">
        <v>0.5</v>
      </c>
      <c r="CU172" s="9" t="n">
        <v>0.3</v>
      </c>
      <c r="CV172" s="9" t="n">
        <v>0.6</v>
      </c>
      <c r="CW172" s="9" t="n">
        <v>0.8</v>
      </c>
      <c r="CX172" s="9" t="n">
        <v>0.8</v>
      </c>
      <c r="CY172" s="9" t="n">
        <v>0.7</v>
      </c>
      <c r="CZ172" s="9" t="n">
        <v>0.5</v>
      </c>
      <c r="DA172" s="9" t="n">
        <v>0.5</v>
      </c>
      <c r="DB172" s="9" t="n">
        <v>1</v>
      </c>
      <c r="DC172" s="9" t="n">
        <v>0.3</v>
      </c>
      <c r="DD172" s="9" t="n">
        <v>0.8</v>
      </c>
      <c r="DE172" s="9" t="n">
        <v>0.2891138071260406</v>
      </c>
      <c r="DF172" s="9" t="n">
        <v>2</v>
      </c>
      <c r="DG172" s="9" t="n">
        <v>7.124</v>
      </c>
      <c r="DH172" s="9" t="n">
        <v>5.575</v>
      </c>
      <c r="DI172" s="9" t="n">
        <v>14.50967</v>
      </c>
      <c r="DJ172" s="9" t="n">
        <v>21.56599818904261</v>
      </c>
      <c r="DK172" s="9" t="n">
        <v>24.50118302280772</v>
      </c>
      <c r="DL172" s="9" t="n">
        <v>20.55316700116643</v>
      </c>
      <c r="DM172" s="9" t="n">
        <v>23.13301803317534</v>
      </c>
      <c r="DN172" s="9" t="n">
        <v>9.061999999999999</v>
      </c>
      <c r="DO172" s="9" t="n">
        <v>7.975</v>
      </c>
      <c r="DP172" s="9" t="n">
        <v>18.53901</v>
      </c>
      <c r="DQ172" s="9" t="n">
        <v>14.11516989415954</v>
      </c>
      <c r="DR172" s="9" t="n">
        <v>14.11516989415954</v>
      </c>
      <c r="DS172" s="9" t="n">
        <v>0.11118</v>
      </c>
    </row>
    <row r="173">
      <c r="A173" s="9" t="inlineStr">
        <is>
          <t>TUR</t>
        </is>
      </c>
      <c r="B173" s="9" t="inlineStr">
        <is>
          <t>Türkiye</t>
        </is>
      </c>
      <c r="C173" s="9" t="n">
        <v>0.005</v>
      </c>
      <c r="D173" s="9" t="n">
        <v>0.005</v>
      </c>
      <c r="E173" s="9" t="n">
        <v>0.01</v>
      </c>
      <c r="F173" s="9" t="n">
        <v>0.005</v>
      </c>
      <c r="G173" s="9" t="n">
        <v>0.005</v>
      </c>
      <c r="H173" s="9" t="n">
        <v>0.01</v>
      </c>
      <c r="I173" s="9" t="n">
        <v>0.005</v>
      </c>
      <c r="J173" s="9" t="n">
        <v>0.005</v>
      </c>
      <c r="K173" s="9" t="n">
        <v>0.01</v>
      </c>
      <c r="L173" s="9" t="n">
        <v>0.01</v>
      </c>
      <c r="M173" s="9" t="n">
        <v>0.005</v>
      </c>
      <c r="N173" s="9" t="n">
        <v>18.134451</v>
      </c>
      <c r="O173" s="9" t="n">
        <v>2.734772</v>
      </c>
      <c r="P173" s="9" t="n">
        <v>134.584581</v>
      </c>
      <c r="Q173" s="9" t="n">
        <v>10.52988334420605</v>
      </c>
      <c r="R173" s="9" t="n">
        <v>1.05494064296732</v>
      </c>
      <c r="S173" s="9" t="n">
        <v>12.47106213096355</v>
      </c>
      <c r="T173" s="9" t="n">
        <v>11.21433253531757</v>
      </c>
      <c r="U173" s="9" t="n">
        <v>2.793693</v>
      </c>
      <c r="V173" s="9" t="n">
        <v>0.5576410000000001</v>
      </c>
      <c r="W173" s="9" t="n">
        <v>0.863953</v>
      </c>
      <c r="X173" s="9" t="n">
        <v>21.52135248787924</v>
      </c>
      <c r="Y173" s="9" t="n">
        <v>21.52135248787924</v>
      </c>
      <c r="Z173" s="9" t="n">
        <v>5.187122896522477</v>
      </c>
      <c r="AA173" s="9" t="n">
        <v>48.53</v>
      </c>
      <c r="AB173" s="9" t="n">
        <v>25.47</v>
      </c>
      <c r="AC173" s="9" t="n">
        <v>14.78</v>
      </c>
      <c r="AD173" s="9" t="n">
        <v>3</v>
      </c>
      <c r="AE173" s="9" t="n">
        <v>36.80534475408668</v>
      </c>
      <c r="AF173" s="9" t="n">
        <v>573.016</v>
      </c>
      <c r="AG173" s="9" t="n">
        <v>405.2399681741533</v>
      </c>
      <c r="AH173" s="9" t="n">
        <v>358.785921006</v>
      </c>
      <c r="AI173" s="9" t="n">
        <v>396.7147183694915</v>
      </c>
      <c r="AJ173" s="9" t="n">
        <v>421.9134495548129</v>
      </c>
      <c r="AK173" s="9" t="n">
        <v>1536.351984329135</v>
      </c>
      <c r="AL173" s="9" t="n">
        <v>255.762696998592</v>
      </c>
      <c r="AM173" s="9" t="n">
        <v>226.8588314268</v>
      </c>
      <c r="AN173" s="9" t="n">
        <v>250.8410507490617</v>
      </c>
      <c r="AO173" s="9" t="n">
        <v>266.7741026762706</v>
      </c>
      <c r="AP173" s="9" t="n">
        <v>1087.746403509627</v>
      </c>
      <c r="AQ173" s="9" t="n">
        <v>933.017305920941</v>
      </c>
      <c r="AR173" s="9" t="n">
        <v>1031.650563975441</v>
      </c>
      <c r="AS173" s="9" t="n">
        <v>1097.179479427955</v>
      </c>
      <c r="AT173" s="9" t="n">
        <v>1250.445676965478</v>
      </c>
      <c r="AU173" s="9" t="n">
        <v>795.9177598788001</v>
      </c>
      <c r="AV173" s="9" t="n">
        <v>972.528543125327</v>
      </c>
      <c r="AW173" s="9" t="n">
        <v>1098.8301020826</v>
      </c>
      <c r="AX173" s="9" t="n">
        <v>342.5515657547492</v>
      </c>
      <c r="AY173" s="9" t="n">
        <v>221.3964934992001</v>
      </c>
      <c r="AZ173" s="9" t="n">
        <v>266.3960145526511</v>
      </c>
      <c r="BA173" s="9" t="n">
        <v>300.989049073568</v>
      </c>
      <c r="BB173" s="9" t="n">
        <v>144.9647899507978</v>
      </c>
      <c r="BC173" s="9" t="n">
        <v>126.5771161099355</v>
      </c>
      <c r="BD173" s="9" t="n">
        <v>137.578966397207</v>
      </c>
      <c r="BE173" s="9" t="n">
        <v>148.8480583153926</v>
      </c>
      <c r="BF173" s="9" t="n">
        <v>48.86721090792736</v>
      </c>
      <c r="BG173" s="9" t="n">
        <v>39.6538199366071</v>
      </c>
      <c r="BH173" s="9" t="n">
        <v>43.84579518704842</v>
      </c>
      <c r="BI173" s="9" t="n">
        <v>46.63081514059609</v>
      </c>
      <c r="BJ173" s="9" t="n">
        <v>19.41602391283968</v>
      </c>
      <c r="BK173" s="9" t="n">
        <v>17.70535198999998</v>
      </c>
      <c r="BL173" s="9" t="n">
        <v>19.57706062894284</v>
      </c>
      <c r="BM173" s="9" t="n">
        <v>20.8205665170405</v>
      </c>
      <c r="BN173" s="9" t="n">
        <v>736.5230984470438</v>
      </c>
      <c r="BO173" s="9" t="n">
        <v>478.9717789392</v>
      </c>
      <c r="BP173" s="9" t="n">
        <v>529.6059384270582</v>
      </c>
      <c r="BQ173" s="9" t="n">
        <v>563.2457230345548</v>
      </c>
      <c r="BR173" s="9" t="n">
        <v>729.1310507407686</v>
      </c>
      <c r="BS173" s="9" t="n">
        <v>1098.147604214666</v>
      </c>
      <c r="BT173" s="9" t="n">
        <v>800.2356820812001</v>
      </c>
      <c r="BU173" s="9" t="n">
        <v>884.8320256154983</v>
      </c>
      <c r="BV173" s="9" t="n">
        <v>941.0352450203344</v>
      </c>
      <c r="BW173" s="9" t="n">
        <v>570.0944950318056</v>
      </c>
      <c r="BX173" s="9" t="n">
        <v>494.8810431210648</v>
      </c>
      <c r="BY173" s="9" t="n">
        <v>543.5513230064009</v>
      </c>
      <c r="BZ173" s="9" t="n">
        <v>578.0773717934798</v>
      </c>
      <c r="CA173" s="9" t="n">
        <v>1.018123224252933</v>
      </c>
      <c r="CB173" s="9" t="n">
        <v>442.4992340889519</v>
      </c>
      <c r="CC173" s="9" t="n">
        <v>0.539</v>
      </c>
      <c r="CD173" s="9" t="n">
        <v>0.4487298911187376</v>
      </c>
      <c r="CE173" s="9" t="n">
        <v>3.605</v>
      </c>
      <c r="CF173" s="9" t="n">
        <v>3.366</v>
      </c>
      <c r="CG173" s="9" t="n">
        <v>1358.251</v>
      </c>
      <c r="CH173" s="9" t="n">
        <v>76.40000000000001</v>
      </c>
      <c r="CI173" s="9" t="n">
        <v>121.4</v>
      </c>
      <c r="CJ173" s="9" t="n">
        <v>200.79</v>
      </c>
      <c r="CK173" s="9" t="n">
        <v>78.36</v>
      </c>
      <c r="CL173" s="9" t="n">
        <v>1.03</v>
      </c>
      <c r="CM173" s="9" t="n">
        <v>37.25</v>
      </c>
      <c r="CN173" s="9" t="n">
        <v>353.86</v>
      </c>
      <c r="CO173" s="9" t="n">
        <v>39.42</v>
      </c>
      <c r="CP173" s="9" t="n">
        <v>693.478</v>
      </c>
      <c r="CQ173" s="9" t="n">
        <v>644.249</v>
      </c>
      <c r="CR173" s="9" t="n">
        <v>3</v>
      </c>
      <c r="CS173" s="9" t="n">
        <v>3</v>
      </c>
      <c r="CT173" s="9" t="n">
        <v>0.5</v>
      </c>
      <c r="CU173" s="9" t="n">
        <v>0.3</v>
      </c>
      <c r="CV173" s="9" t="n">
        <v>0.6</v>
      </c>
      <c r="CW173" s="9" t="n">
        <v>0.8</v>
      </c>
      <c r="CX173" s="9" t="n">
        <v>0.8</v>
      </c>
      <c r="CY173" s="9" t="n">
        <v>0.7</v>
      </c>
      <c r="CZ173" s="9" t="n">
        <v>0.5</v>
      </c>
      <c r="DA173" s="9" t="n">
        <v>0.5</v>
      </c>
      <c r="DB173" s="9" t="n">
        <v>1</v>
      </c>
      <c r="DC173" s="9" t="n">
        <v>0.3</v>
      </c>
      <c r="DD173" s="9" t="n">
        <v>0.8</v>
      </c>
      <c r="DE173" s="9" t="n">
        <v>0.382261664636101</v>
      </c>
      <c r="DF173" s="9" t="n">
        <v>3</v>
      </c>
      <c r="DG173" s="9" t="n">
        <v>3.313</v>
      </c>
      <c r="DH173" s="9" t="n">
        <v>1.025</v>
      </c>
      <c r="DI173" s="9" t="n">
        <v>5.31708</v>
      </c>
      <c r="DJ173" s="9" t="n">
        <v>21.69952747257756</v>
      </c>
      <c r="DK173" s="9" t="n">
        <v>24.42957825823126</v>
      </c>
      <c r="DL173" s="9" t="n">
        <v>18.47421513121402</v>
      </c>
      <c r="DM173" s="9" t="n">
        <v>20.25133077498894</v>
      </c>
      <c r="DN173" s="9" t="n">
        <v>9.196999999999999</v>
      </c>
      <c r="DO173" s="9" t="n">
        <v>9.196999999999999</v>
      </c>
      <c r="DP173" s="9" t="n">
        <v>11.26664</v>
      </c>
      <c r="DQ173" s="9" t="n">
        <v>13.49474620847193</v>
      </c>
      <c r="DR173" s="9" t="n">
        <v>13.49474620847193</v>
      </c>
      <c r="DS173" s="9" t="n">
        <v>0.0842</v>
      </c>
    </row>
    <row r="174">
      <c r="A174" s="9" t="inlineStr">
        <is>
          <t>TZA</t>
        </is>
      </c>
      <c r="B174" s="9" t="inlineStr">
        <is>
          <t>Tanzania</t>
        </is>
      </c>
      <c r="C174" s="9" t="n">
        <v>0.005</v>
      </c>
      <c r="D174" s="9" t="n">
        <v>0.005</v>
      </c>
      <c r="E174" s="9" t="n">
        <v>0.01</v>
      </c>
      <c r="F174" s="9" t="n">
        <v>0.005</v>
      </c>
      <c r="G174" s="9" t="n">
        <v>0.005</v>
      </c>
      <c r="H174" s="9" t="n">
        <v>0.01</v>
      </c>
      <c r="I174" s="9" t="n">
        <v>0.005</v>
      </c>
      <c r="J174" s="9" t="n">
        <v>0.005</v>
      </c>
      <c r="K174" s="9" t="n">
        <v>0.01</v>
      </c>
      <c r="L174" s="9" t="n">
        <v>0.01</v>
      </c>
      <c r="M174" s="9" t="n">
        <v>0.005</v>
      </c>
      <c r="N174" s="9" t="n">
        <v>0.224791</v>
      </c>
      <c r="O174" s="9" t="n">
        <v>0.032371</v>
      </c>
      <c r="P174" s="9" t="n">
        <v>0.743851</v>
      </c>
      <c r="Q174" s="9" t="n">
        <v>0.4364637906389537</v>
      </c>
      <c r="R174" s="9" t="n">
        <v>0.1208187421467817</v>
      </c>
      <c r="S174" s="9" t="n">
        <v>0.1253813705813702</v>
      </c>
      <c r="T174" s="9" t="n">
        <v>0.0406133688610853</v>
      </c>
      <c r="U174" s="9" t="n">
        <v>0.002567</v>
      </c>
      <c r="V174" s="9" t="n">
        <v>0.002346</v>
      </c>
      <c r="W174" s="9" t="n">
        <v>0.001505</v>
      </c>
      <c r="X174" s="9" t="n">
        <v>0.5376983117890938</v>
      </c>
      <c r="Y174" s="9" t="n">
        <v>0.5376983117890938</v>
      </c>
      <c r="Z174" s="9" t="n">
        <v>0.302600086308683</v>
      </c>
      <c r="AA174" s="9" t="n">
        <v>1.28</v>
      </c>
      <c r="AB174" s="9" t="n">
        <v>0.01</v>
      </c>
      <c r="AC174" s="9" t="n">
        <v>0</v>
      </c>
      <c r="AD174" s="9" t="n">
        <v>0</v>
      </c>
      <c r="AE174" s="9" t="n">
        <v>0</v>
      </c>
      <c r="AF174" s="9" t="n">
        <v>17.591</v>
      </c>
      <c r="AG174" s="9" t="n">
        <v>16.49535932736703</v>
      </c>
      <c r="AH174" s="9" t="n">
        <v>16.2421295688</v>
      </c>
      <c r="AI174" s="9" t="n">
        <v>16.709090793903</v>
      </c>
      <c r="AJ174" s="9" t="n">
        <v>16.07246844573386</v>
      </c>
      <c r="AK174" s="9" t="n">
        <v>0</v>
      </c>
      <c r="AL174" s="9" t="n">
        <v>0</v>
      </c>
      <c r="AM174" s="9" t="n">
        <v>0</v>
      </c>
      <c r="AN174" s="9" t="n">
        <v>0</v>
      </c>
      <c r="AO174" s="9" t="n">
        <v>0</v>
      </c>
      <c r="AP174" s="9" t="n">
        <v>84.21009721579901</v>
      </c>
      <c r="AQ174" s="9" t="n">
        <v>77.10023609000001</v>
      </c>
      <c r="AR174" s="9" t="n">
        <v>79.31686787758751</v>
      </c>
      <c r="AS174" s="9" t="n">
        <v>76.29486678246653</v>
      </c>
      <c r="AT174" s="9" t="n">
        <v>17.93496713243333</v>
      </c>
      <c r="AU174" s="9" t="n">
        <v>14.4736545564</v>
      </c>
      <c r="AV174" s="9" t="n">
        <v>16.00401890668079</v>
      </c>
      <c r="AW174" s="9" t="n">
        <v>16.5663631770317</v>
      </c>
      <c r="AX174" s="9" t="n">
        <v>13.99252224682915</v>
      </c>
      <c r="AY174" s="9" t="n">
        <v>11.470136346</v>
      </c>
      <c r="AZ174" s="9" t="n">
        <v>12.48603295098555</v>
      </c>
      <c r="BA174" s="9" t="n">
        <v>12.9247633180478</v>
      </c>
      <c r="BB174" s="9" t="n">
        <v>56.50137050918649</v>
      </c>
      <c r="BC174" s="9" t="n">
        <v>54.54017558477678</v>
      </c>
      <c r="BD174" s="9" t="n">
        <v>52.68951397000002</v>
      </c>
      <c r="BE174" s="9" t="n">
        <v>52.30040466279241</v>
      </c>
      <c r="BF174" s="9" t="n">
        <v>3.276988588488241</v>
      </c>
      <c r="BG174" s="9" t="n">
        <v>2.890873739999995</v>
      </c>
      <c r="BH174" s="9" t="n">
        <v>2.973986360024995</v>
      </c>
      <c r="BI174" s="9" t="n">
        <v>2.860676413763111</v>
      </c>
      <c r="BJ174" s="9" t="n">
        <v>12.40199434631461</v>
      </c>
      <c r="BK174" s="9" t="n">
        <v>11.74958961999999</v>
      </c>
      <c r="BL174" s="9" t="n">
        <v>12.08739032157499</v>
      </c>
      <c r="BM174" s="9" t="n">
        <v>11.62685641792501</v>
      </c>
      <c r="BN174" s="9" t="n">
        <v>14.53046102220604</v>
      </c>
      <c r="BO174" s="9" t="n">
        <v>13.9093492788</v>
      </c>
      <c r="BP174" s="9" t="n">
        <v>14.3092430705655</v>
      </c>
      <c r="BQ174" s="9" t="n">
        <v>13.764055780816</v>
      </c>
      <c r="BR174" s="9" t="n">
        <v>52.30064228795683</v>
      </c>
      <c r="BS174" s="9" t="n">
        <v>0.9676721924952464</v>
      </c>
      <c r="BT174" s="9" t="n">
        <v>0.926308566</v>
      </c>
      <c r="BU174" s="9" t="n">
        <v>0.9529399372725</v>
      </c>
      <c r="BV174" s="9" t="n">
        <v>0.9166325841068846</v>
      </c>
      <c r="BW174" s="9" t="n">
        <v>9.996721169856086</v>
      </c>
      <c r="BX174" s="9" t="n">
        <v>9.61636517907572</v>
      </c>
      <c r="BY174" s="9" t="n">
        <v>8.819540577575957</v>
      </c>
      <c r="BZ174" s="9" t="n">
        <v>8.483512045196042</v>
      </c>
      <c r="CA174" s="9" t="n">
        <v>1.349879648971443</v>
      </c>
      <c r="CB174" s="9" t="n">
        <v>8.868747049795134</v>
      </c>
      <c r="CC174" s="9" t="n">
        <v>0</v>
      </c>
      <c r="CD174" s="9" t="n">
        <v>-1.320020226854635</v>
      </c>
      <c r="CE174" s="9" t="n">
        <v>5.876</v>
      </c>
      <c r="CF174" s="9" t="n">
        <v>5.94</v>
      </c>
      <c r="CG174" s="9" t="n">
        <v>79.236</v>
      </c>
      <c r="CH174" s="9" t="n">
        <v>2.87</v>
      </c>
      <c r="CI174" s="9" t="n">
        <v>0</v>
      </c>
      <c r="CJ174" s="9" t="n">
        <v>5.93</v>
      </c>
      <c r="CK174" s="9" t="n">
        <v>5.55</v>
      </c>
      <c r="CL174" s="9" t="n">
        <v>0.38</v>
      </c>
      <c r="CM174" s="9" t="n">
        <v>0.04</v>
      </c>
      <c r="CN174" s="9" t="n">
        <v>8.84</v>
      </c>
      <c r="CO174" s="9" t="n">
        <v>0</v>
      </c>
      <c r="CP174" s="9" t="n">
        <v>94.854</v>
      </c>
      <c r="CQ174" s="9" t="n">
        <v>159.385</v>
      </c>
      <c r="CR174" s="9" t="n">
        <v>3</v>
      </c>
      <c r="CS174" s="9" t="n">
        <v>1</v>
      </c>
      <c r="CT174" s="9" t="n">
        <v>0.5</v>
      </c>
      <c r="CU174" s="9" t="n">
        <v>0.3</v>
      </c>
      <c r="CV174" s="9" t="n">
        <v>0.6</v>
      </c>
      <c r="CW174" s="9" t="n">
        <v>0.8</v>
      </c>
      <c r="CX174" s="9" t="n">
        <v>0.8</v>
      </c>
      <c r="CY174" s="9" t="n">
        <v>0.7</v>
      </c>
      <c r="CZ174" s="9" t="n">
        <v>0.5</v>
      </c>
      <c r="DA174" s="9" t="n">
        <v>0.5</v>
      </c>
      <c r="DB174" s="9" t="n">
        <v>1</v>
      </c>
      <c r="DC174" s="9" t="n">
        <v>0.3</v>
      </c>
      <c r="DD174" s="9" t="n">
        <v>0.8</v>
      </c>
      <c r="DE174" s="9" t="n">
        <v>0.2929902861643476</v>
      </c>
      <c r="DF174" s="9" t="n">
        <v>2</v>
      </c>
      <c r="DG174" s="9" t="n">
        <v>3.373</v>
      </c>
      <c r="DH174" s="9" t="n">
        <v>2.049</v>
      </c>
      <c r="DI174" s="9" t="n">
        <v>6.32244</v>
      </c>
      <c r="DJ174" s="9" t="n">
        <v>21.62970613636772</v>
      </c>
      <c r="DK174" s="9" t="n">
        <v>24.43026456587896</v>
      </c>
      <c r="DL174" s="9" t="n">
        <v>18.47421513121402</v>
      </c>
      <c r="DM174" s="9" t="n">
        <v>23.48127670140345</v>
      </c>
      <c r="DN174" s="9" t="n">
        <v>3.084</v>
      </c>
      <c r="DO174" s="9" t="n">
        <v>2.422</v>
      </c>
      <c r="DP174" s="9" t="n">
        <v>8.32372</v>
      </c>
      <c r="DQ174" s="9" t="n">
        <v>13.49474620847193</v>
      </c>
      <c r="DR174" s="9" t="n">
        <v>13.49474620847193</v>
      </c>
      <c r="DS174" s="9" t="n">
        <v>0.105</v>
      </c>
    </row>
    <row r="175">
      <c r="A175" s="9" t="inlineStr">
        <is>
          <t>UGA</t>
        </is>
      </c>
      <c r="B175" s="9" t="inlineStr">
        <is>
          <t>Uganda</t>
        </is>
      </c>
      <c r="C175" s="9" t="n">
        <v>0.005</v>
      </c>
      <c r="D175" s="9" t="n">
        <v>0.005</v>
      </c>
      <c r="E175" s="9" t="n">
        <v>0.01</v>
      </c>
      <c r="F175" s="9" t="n">
        <v>0.005</v>
      </c>
      <c r="G175" s="9" t="n">
        <v>0.005</v>
      </c>
      <c r="H175" s="9" t="n">
        <v>0.01</v>
      </c>
      <c r="I175" s="9" t="n">
        <v>0.005</v>
      </c>
      <c r="J175" s="9" t="n">
        <v>0.005</v>
      </c>
      <c r="K175" s="9" t="n">
        <v>0.01</v>
      </c>
      <c r="L175" s="9" t="n">
        <v>0.01</v>
      </c>
      <c r="M175" s="9" t="n">
        <v>0.005</v>
      </c>
      <c r="N175" s="9" t="n">
        <v>0.109865</v>
      </c>
      <c r="O175" s="9" t="n">
        <v>0.042101</v>
      </c>
      <c r="P175" s="9" t="n">
        <v>0.726346</v>
      </c>
      <c r="Q175" s="9" t="n">
        <v>0.0564415947472046</v>
      </c>
      <c r="R175" s="9" t="n">
        <v>0.0109237300591883</v>
      </c>
      <c r="S175" s="9" t="n">
        <v>0.0358421708000409</v>
      </c>
      <c r="T175" s="9" t="n">
        <v>0.0114043270727403</v>
      </c>
      <c r="U175" s="9" t="n">
        <v>0.000762</v>
      </c>
      <c r="V175" s="9" t="n">
        <v>9.8e-05</v>
      </c>
      <c r="W175" s="9" t="n">
        <v>0.000968</v>
      </c>
      <c r="X175" s="9" t="n">
        <v>0.0518609537324553</v>
      </c>
      <c r="Y175" s="9" t="n">
        <v>0.0518609537324553</v>
      </c>
      <c r="Z175" s="9" t="n">
        <v>0.2179143763549367</v>
      </c>
      <c r="AA175" s="9" t="n">
        <v>0.1</v>
      </c>
      <c r="AB175" s="9" t="n">
        <v>0.1</v>
      </c>
      <c r="AC175" s="9" t="n">
        <v>0</v>
      </c>
      <c r="AD175" s="9" t="n">
        <v>0</v>
      </c>
      <c r="AE175" s="9" t="n">
        <v>0</v>
      </c>
      <c r="AF175" s="9" t="n">
        <v>7.712</v>
      </c>
      <c r="AG175" s="9" t="n">
        <v>4.213992130629385</v>
      </c>
      <c r="AH175" s="9" t="n">
        <v>3.7998266364</v>
      </c>
      <c r="AI175" s="9" t="n">
        <v>3.913821435492</v>
      </c>
      <c r="AJ175" s="9" t="n">
        <v>3.808148256733717</v>
      </c>
      <c r="AK175" s="9" t="n">
        <v>0</v>
      </c>
      <c r="AL175" s="9" t="n">
        <v>0</v>
      </c>
      <c r="AM175" s="9" t="n">
        <v>0</v>
      </c>
      <c r="AN175" s="9" t="n">
        <v>0</v>
      </c>
      <c r="AO175" s="9" t="n">
        <v>0</v>
      </c>
      <c r="AP175" s="9" t="n">
        <v>25.59760799158529</v>
      </c>
      <c r="AQ175" s="9" t="n">
        <v>24.5534</v>
      </c>
      <c r="AR175" s="9" t="n">
        <v>25.29000200000001</v>
      </c>
      <c r="AS175" s="9" t="n">
        <v>24.607171946</v>
      </c>
      <c r="AT175" s="9" t="n">
        <v>12.31588787181983</v>
      </c>
      <c r="AU175" s="9" t="n">
        <v>10.6988273028</v>
      </c>
      <c r="AV175" s="9" t="n">
        <v>11.31456675681309</v>
      </c>
      <c r="AW175" s="9" t="n">
        <v>11.46993856597524</v>
      </c>
      <c r="AX175" s="9" t="n">
        <v>3.226003336849588</v>
      </c>
      <c r="AY175" s="9" t="n">
        <v>2.805156</v>
      </c>
      <c r="AZ175" s="9" t="n">
        <v>2.963718937065397</v>
      </c>
      <c r="BA175" s="9" t="n">
        <v>3.004416772254066</v>
      </c>
      <c r="BB175" s="9" t="n">
        <v>29.38067012682166</v>
      </c>
      <c r="BC175" s="9" t="n">
        <v>27.78983594282282</v>
      </c>
      <c r="BD175" s="9" t="n">
        <v>29.2098330339139</v>
      </c>
      <c r="BE175" s="9" t="n">
        <v>28.1344840691761</v>
      </c>
      <c r="BF175" s="9" t="n">
        <v>0.398558683991024</v>
      </c>
      <c r="BG175" s="9" t="n">
        <v>0.3821473905491503</v>
      </c>
      <c r="BH175" s="9" t="n">
        <v>0.3936118122656247</v>
      </c>
      <c r="BI175" s="9" t="n">
        <v>0.382984293334453</v>
      </c>
      <c r="BJ175" s="9" t="n">
        <v>0.7781494985903757</v>
      </c>
      <c r="BK175" s="9" t="n">
        <v>0.7123125699999993</v>
      </c>
      <c r="BL175" s="9" t="n">
        <v>0.7336819470999991</v>
      </c>
      <c r="BM175" s="9" t="n">
        <v>0.7138725345282989</v>
      </c>
      <c r="BN175" s="9" t="n">
        <v>0</v>
      </c>
      <c r="BO175" s="9" t="n">
        <v>0</v>
      </c>
      <c r="BP175" s="9" t="n">
        <v>0</v>
      </c>
      <c r="BQ175" s="9" t="n">
        <v>0</v>
      </c>
      <c r="BR175" s="9" t="n">
        <v>0</v>
      </c>
      <c r="BS175" s="9" t="n">
        <v>0</v>
      </c>
      <c r="BT175" s="9" t="n">
        <v>0</v>
      </c>
      <c r="BU175" s="9" t="n">
        <v>0</v>
      </c>
      <c r="BV175" s="9" t="n">
        <v>0</v>
      </c>
      <c r="BW175" s="9" t="n">
        <v>27.42033685429194</v>
      </c>
      <c r="BX175" s="9" t="n">
        <v>26.21486590000461</v>
      </c>
      <c r="BY175" s="9" t="n">
        <v>27.0630182196605</v>
      </c>
      <c r="BZ175" s="9" t="n">
        <v>26.25801302133702</v>
      </c>
      <c r="CA175" s="9" t="n">
        <v>0.7153913114188761</v>
      </c>
      <c r="CB175" s="9" t="n">
        <v>4.317192002408172</v>
      </c>
      <c r="CC175" s="9" t="n">
        <v>0.006</v>
      </c>
      <c r="CD175" s="9" t="n">
        <v>-0.1530655013657231</v>
      </c>
      <c r="CE175" s="9" t="n">
        <v>6.725</v>
      </c>
      <c r="CF175" s="9" t="n">
        <v>7.508</v>
      </c>
      <c r="CG175" s="9" t="n">
        <v>57.061</v>
      </c>
      <c r="CH175" s="9" t="n">
        <v>5.47</v>
      </c>
      <c r="CI175" s="9" t="n">
        <v>0</v>
      </c>
      <c r="CJ175" s="9" t="n">
        <v>0.17</v>
      </c>
      <c r="CK175" s="9" t="n">
        <v>0</v>
      </c>
      <c r="CL175" s="9" t="n">
        <v>0.17</v>
      </c>
      <c r="CM175" s="9" t="n">
        <v>0.17</v>
      </c>
      <c r="CN175" s="9" t="n">
        <v>5.81</v>
      </c>
      <c r="CO175" s="9" t="n">
        <v>0</v>
      </c>
      <c r="CP175" s="9" t="n">
        <v>58.755</v>
      </c>
      <c r="CQ175" s="9" t="n">
        <v>72.345</v>
      </c>
      <c r="CR175" s="9" t="n">
        <v>3</v>
      </c>
      <c r="CS175" s="9" t="n">
        <v>1</v>
      </c>
      <c r="CT175" s="9" t="n">
        <v>0.5</v>
      </c>
      <c r="CU175" s="9" t="n">
        <v>0.3</v>
      </c>
      <c r="CV175" s="9" t="n">
        <v>0.6</v>
      </c>
      <c r="CW175" s="9" t="n">
        <v>0.8</v>
      </c>
      <c r="CX175" s="9" t="n">
        <v>0.8</v>
      </c>
      <c r="CY175" s="9" t="n">
        <v>0.7</v>
      </c>
      <c r="CZ175" s="9" t="n">
        <v>0.5</v>
      </c>
      <c r="DA175" s="9" t="n">
        <v>0.5</v>
      </c>
      <c r="DB175" s="9" t="n">
        <v>1</v>
      </c>
      <c r="DC175" s="9" t="n">
        <v>0.3</v>
      </c>
      <c r="DD175" s="9" t="n">
        <v>0.8</v>
      </c>
      <c r="DE175" s="9" t="n">
        <v>0.3323567442889927</v>
      </c>
      <c r="DF175" s="9" t="n">
        <v>2</v>
      </c>
      <c r="DG175" s="9" t="n">
        <v>7.124</v>
      </c>
      <c r="DH175" s="9" t="n">
        <v>5.575</v>
      </c>
      <c r="DI175" s="9" t="n">
        <v>14.38774</v>
      </c>
      <c r="DJ175" s="9" t="n">
        <v>20.90417021605199</v>
      </c>
      <c r="DK175" s="9" t="n">
        <v>23.49305428064378</v>
      </c>
      <c r="DL175" s="9" t="n">
        <v>16.2074693597084</v>
      </c>
      <c r="DM175" s="9" t="n">
        <v>21.99914087445673</v>
      </c>
      <c r="DN175" s="9" t="n">
        <v>12.112</v>
      </c>
      <c r="DO175" s="9" t="n">
        <v>10.789</v>
      </c>
      <c r="DP175" s="9" t="n">
        <v>23.66372</v>
      </c>
      <c r="DQ175" s="9" t="n">
        <v>13.49474620847193</v>
      </c>
      <c r="DR175" s="9" t="n">
        <v>13.49474620847193</v>
      </c>
      <c r="DS175" s="9" t="n">
        <v>0.08504</v>
      </c>
    </row>
    <row r="176">
      <c r="A176" s="9" t="inlineStr">
        <is>
          <t>UKR</t>
        </is>
      </c>
      <c r="B176" s="9" t="inlineStr">
        <is>
          <t>Ukraine</t>
        </is>
      </c>
      <c r="C176" s="9" t="n">
        <v>0.005</v>
      </c>
      <c r="D176" s="9" t="n">
        <v>0.005</v>
      </c>
      <c r="E176" s="9" t="n">
        <v>0.01</v>
      </c>
      <c r="F176" s="9" t="n">
        <v>0.005</v>
      </c>
      <c r="G176" s="9" t="n">
        <v>0.005</v>
      </c>
      <c r="H176" s="9" t="n">
        <v>0.01</v>
      </c>
      <c r="I176" s="9" t="n">
        <v>0.005</v>
      </c>
      <c r="J176" s="9" t="n">
        <v>0.005</v>
      </c>
      <c r="K176" s="9" t="n">
        <v>0.01</v>
      </c>
      <c r="L176" s="9" t="n">
        <v>0.01</v>
      </c>
      <c r="M176" s="9" t="n">
        <v>0.005</v>
      </c>
      <c r="N176" s="9" t="n">
        <v>4.592779</v>
      </c>
      <c r="O176" s="9" t="n">
        <v>6.605374</v>
      </c>
      <c r="P176" s="9" t="n">
        <v>95.262878</v>
      </c>
      <c r="Q176" s="9" t="n">
        <v>18.44886699866659</v>
      </c>
      <c r="R176" s="9" t="n">
        <v>6.903254070519255</v>
      </c>
      <c r="S176" s="9" t="n">
        <v>3.954957050696316</v>
      </c>
      <c r="T176" s="9" t="n">
        <v>4.668287585792779</v>
      </c>
      <c r="U176" s="9" t="n">
        <v>1.192291</v>
      </c>
      <c r="V176" s="9" t="n">
        <v>0.074568</v>
      </c>
      <c r="W176" s="9" t="n">
        <v>0.692239</v>
      </c>
      <c r="X176" s="9" t="n">
        <v>4.273591884130377</v>
      </c>
      <c r="Y176" s="9" t="n">
        <v>4.273591884130377</v>
      </c>
      <c r="Z176" s="9" t="n">
        <v>0.728789753024272</v>
      </c>
      <c r="AA176" s="9" t="n">
        <v>30.74</v>
      </c>
      <c r="AB176" s="9" t="n">
        <v>8.06</v>
      </c>
      <c r="AC176" s="9" t="n">
        <v>1.76</v>
      </c>
      <c r="AD176" s="9" t="n">
        <v>3</v>
      </c>
      <c r="AE176" s="9" t="n">
        <v>0.02206094484</v>
      </c>
      <c r="AF176" s="9" t="n">
        <v>145.09</v>
      </c>
      <c r="AG176" s="9" t="n">
        <v>240.8910626191227</v>
      </c>
      <c r="AH176" s="9" t="n">
        <v>240.7524174036</v>
      </c>
      <c r="AI176" s="9" t="n">
        <v>248.376243954714</v>
      </c>
      <c r="AJ176" s="9" t="n">
        <v>229.2703156236872</v>
      </c>
      <c r="AK176" s="9" t="n">
        <v>69.52753707386856</v>
      </c>
      <c r="AL176" s="9" t="n">
        <v>22.52423555065227</v>
      </c>
      <c r="AM176" s="9" t="n">
        <v>22.376938752</v>
      </c>
      <c r="AN176" s="9" t="n">
        <v>23.08554181248</v>
      </c>
      <c r="AO176" s="9" t="n">
        <v>21.30972500999793</v>
      </c>
      <c r="AP176" s="9" t="n">
        <v>163.3791706693928</v>
      </c>
      <c r="AQ176" s="9" t="n">
        <v>166.04510357</v>
      </c>
      <c r="AR176" s="9" t="n">
        <v>171.3031985163833</v>
      </c>
      <c r="AS176" s="9" t="n">
        <v>158.1259856653571</v>
      </c>
      <c r="AT176" s="9" t="n">
        <v>198.4735146963259</v>
      </c>
      <c r="AU176" s="9" t="n">
        <v>289.659215322</v>
      </c>
      <c r="AV176" s="9" t="n">
        <v>201.7058954594312</v>
      </c>
      <c r="AW176" s="9" t="n">
        <v>215.0036774776533</v>
      </c>
      <c r="AX176" s="9" t="n">
        <v>98.45941254941582</v>
      </c>
      <c r="AY176" s="9" t="n">
        <v>137.5875887508001</v>
      </c>
      <c r="AZ176" s="9" t="n">
        <v>100.2355845916113</v>
      </c>
      <c r="BA176" s="9" t="n">
        <v>106.8351190745594</v>
      </c>
      <c r="BB176" s="9" t="n">
        <v>84.61014824582745</v>
      </c>
      <c r="BC176" s="9" t="n">
        <v>104.7798671659313</v>
      </c>
      <c r="BD176" s="9" t="n">
        <v>75.25347264</v>
      </c>
      <c r="BE176" s="9" t="n">
        <v>83.25487393409851</v>
      </c>
      <c r="BF176" s="9" t="n">
        <v>0</v>
      </c>
      <c r="BG176" s="9" t="n">
        <v>0</v>
      </c>
      <c r="BH176" s="9" t="n">
        <v>0</v>
      </c>
      <c r="BI176" s="9" t="n">
        <v>0</v>
      </c>
      <c r="BJ176" s="9" t="n">
        <v>1.26743742174997</v>
      </c>
      <c r="BK176" s="9" t="n">
        <v>1.341650569999998</v>
      </c>
      <c r="BL176" s="9" t="n">
        <v>1.384136171383332</v>
      </c>
      <c r="BM176" s="9" t="n">
        <v>1.277663804824581</v>
      </c>
      <c r="BN176" s="9" t="n">
        <v>416.2674449557503</v>
      </c>
      <c r="BO176" s="9" t="n">
        <v>393.4486768535999</v>
      </c>
      <c r="BP176" s="9" t="n">
        <v>405.9078849539641</v>
      </c>
      <c r="BQ176" s="9" t="n">
        <v>374.6840978660847</v>
      </c>
      <c r="BR176" s="9" t="n">
        <v>56.14026859520652</v>
      </c>
      <c r="BS176" s="9" t="n">
        <v>303.4815372897635</v>
      </c>
      <c r="BT176" s="9" t="n">
        <v>304.1205230052</v>
      </c>
      <c r="BU176" s="9" t="n">
        <v>313.7510062336981</v>
      </c>
      <c r="BV176" s="9" t="n">
        <v>289.6162333446227</v>
      </c>
      <c r="BW176" s="9" t="n">
        <v>148.556488468546</v>
      </c>
      <c r="BX176" s="9" t="n">
        <v>146.0790573293969</v>
      </c>
      <c r="BY176" s="9" t="n">
        <v>154.4138280063025</v>
      </c>
      <c r="BZ176" s="9" t="n">
        <v>152.2090387996619</v>
      </c>
      <c r="CA176" s="9" t="n">
        <v>0.7521986276183509</v>
      </c>
      <c r="CB176" s="9" t="n">
        <v>82.48136867937268</v>
      </c>
      <c r="CC176" s="9" t="n">
        <v>2.285</v>
      </c>
      <c r="CD176" s="9" t="n">
        <v>3.54165195449698</v>
      </c>
      <c r="CE176" s="9" t="n">
        <v>1.8</v>
      </c>
      <c r="CF176" s="9" t="n">
        <v>2</v>
      </c>
      <c r="CG176" s="9" t="n">
        <v>190.834</v>
      </c>
      <c r="CH176" s="9" t="n">
        <v>73.98</v>
      </c>
      <c r="CI176" s="9" t="n">
        <v>23.32</v>
      </c>
      <c r="CJ176" s="9" t="n">
        <v>31.03</v>
      </c>
      <c r="CK176" s="9" t="n">
        <v>7.18</v>
      </c>
      <c r="CL176" s="9" t="n">
        <v>0.53</v>
      </c>
      <c r="CM176" s="9" t="n">
        <v>5.08</v>
      </c>
      <c r="CN176" s="9" t="n">
        <v>111.51</v>
      </c>
      <c r="CO176" s="9" t="n">
        <v>1.42</v>
      </c>
      <c r="CP176" s="9" t="n">
        <v>253.561</v>
      </c>
      <c r="CQ176" s="9" t="n">
        <v>266.91</v>
      </c>
      <c r="CR176" s="9" t="n">
        <v>3</v>
      </c>
      <c r="CS176" s="9" t="n">
        <v>2</v>
      </c>
      <c r="CT176" s="9" t="n">
        <v>0.5</v>
      </c>
      <c r="CU176" s="9" t="n">
        <v>0.3</v>
      </c>
      <c r="CV176" s="9" t="n">
        <v>0.6</v>
      </c>
      <c r="CW176" s="9" t="n">
        <v>0.8</v>
      </c>
      <c r="CX176" s="9" t="n">
        <v>0.8</v>
      </c>
      <c r="CY176" s="9" t="n">
        <v>0.7</v>
      </c>
      <c r="CZ176" s="9" t="n">
        <v>0.5</v>
      </c>
      <c r="DA176" s="9" t="n">
        <v>0.5</v>
      </c>
      <c r="DB176" s="9" t="n">
        <v>1</v>
      </c>
      <c r="DC176" s="9" t="n">
        <v>0.3</v>
      </c>
      <c r="DD176" s="9" t="n">
        <v>0.8</v>
      </c>
      <c r="DE176" s="9" t="n">
        <v>0.289310750497259</v>
      </c>
      <c r="DF176" s="9" t="n">
        <v>3</v>
      </c>
      <c r="DG176" s="9" t="n">
        <v>4.427</v>
      </c>
      <c r="DH176" s="9" t="n">
        <v>2.696</v>
      </c>
      <c r="DI176" s="9" t="n">
        <v>8.3232</v>
      </c>
      <c r="DJ176" s="9" t="n">
        <v>21.48285073758841</v>
      </c>
      <c r="DK176" s="9" t="n">
        <v>24.84433684665657</v>
      </c>
      <c r="DL176" s="9" t="n">
        <v>15.65611451797798</v>
      </c>
      <c r="DM176" s="9" t="n">
        <v>19.98647109725876</v>
      </c>
      <c r="DN176" s="9" t="n">
        <v>6.877</v>
      </c>
      <c r="DO176" s="9" t="n">
        <v>6.073</v>
      </c>
      <c r="DP176" s="9" t="n">
        <v>14.0388</v>
      </c>
      <c r="DQ176" s="9" t="n">
        <v>13.49474620847193</v>
      </c>
      <c r="DR176" s="9" t="n">
        <v>13.49474620847193</v>
      </c>
      <c r="DS176" s="9" t="n">
        <v>0.1385</v>
      </c>
    </row>
    <row r="177">
      <c r="A177" s="9" t="inlineStr">
        <is>
          <t>URY</t>
        </is>
      </c>
      <c r="B177" s="9" t="inlineStr">
        <is>
          <t>Uruguay</t>
        </is>
      </c>
      <c r="C177" s="9" t="n">
        <v>0.005</v>
      </c>
      <c r="D177" s="9" t="n">
        <v>0.005</v>
      </c>
      <c r="E177" s="9" t="n">
        <v>0.01</v>
      </c>
      <c r="F177" s="9" t="n">
        <v>0.005</v>
      </c>
      <c r="G177" s="9" t="n">
        <v>0.005</v>
      </c>
      <c r="H177" s="9" t="n">
        <v>0.01</v>
      </c>
      <c r="I177" s="9" t="n">
        <v>0.005</v>
      </c>
      <c r="J177" s="9" t="n">
        <v>0.005</v>
      </c>
      <c r="K177" s="9" t="n">
        <v>0.01</v>
      </c>
      <c r="L177" s="9" t="n">
        <v>0.01</v>
      </c>
      <c r="M177" s="9" t="n">
        <v>0.005</v>
      </c>
      <c r="N177" s="9" t="n">
        <v>1.373349</v>
      </c>
      <c r="O177" s="9" t="n">
        <v>0.77696</v>
      </c>
      <c r="P177" s="9" t="n">
        <v>16.023928</v>
      </c>
      <c r="Q177" s="9" t="n">
        <v>10.01126418715121</v>
      </c>
      <c r="R177" s="9" t="n">
        <v>0.5070383708886598</v>
      </c>
      <c r="S177" s="9" t="n">
        <v>1.203348565108544</v>
      </c>
      <c r="T177" s="9" t="n">
        <v>0.8382568300745508</v>
      </c>
      <c r="U177" s="9" t="n">
        <v>0.045029</v>
      </c>
      <c r="V177" s="9" t="n">
        <v>0.022155</v>
      </c>
      <c r="W177" s="9" t="n">
        <v>0.030638</v>
      </c>
      <c r="X177" s="9" t="n">
        <v>3.070535744494266</v>
      </c>
      <c r="Y177" s="9" t="n">
        <v>3.070535744494266</v>
      </c>
      <c r="Z177" s="9" t="n">
        <v>0.3143892536875878</v>
      </c>
      <c r="AA177" s="9" t="n">
        <v>1.18</v>
      </c>
      <c r="AB177" s="9" t="n">
        <v>0.34</v>
      </c>
      <c r="AC177" s="9" t="n">
        <v>1.52</v>
      </c>
      <c r="AD177" s="9" t="n">
        <v>0</v>
      </c>
      <c r="AE177" s="9" t="n">
        <v>0</v>
      </c>
      <c r="AF177" s="9" t="n">
        <v>8.602</v>
      </c>
      <c r="AG177" s="9" t="n">
        <v>0.0043576365797957</v>
      </c>
      <c r="AH177" s="9" t="n">
        <v>0.0041742396</v>
      </c>
      <c r="AI177" s="9" t="n">
        <v>0.0041742396</v>
      </c>
      <c r="AJ177" s="9" t="n">
        <v>0.0040803192089999</v>
      </c>
      <c r="AK177" s="9" t="n">
        <v>0</v>
      </c>
      <c r="AL177" s="9" t="n">
        <v>0</v>
      </c>
      <c r="AM177" s="9" t="n">
        <v>0</v>
      </c>
      <c r="AN177" s="9" t="n">
        <v>0</v>
      </c>
      <c r="AO177" s="9" t="n">
        <v>0</v>
      </c>
      <c r="AP177" s="9" t="n">
        <v>29.98780619715124</v>
      </c>
      <c r="AQ177" s="9" t="n">
        <v>28.62445428000001</v>
      </c>
      <c r="AR177" s="9" t="n">
        <v>28.62445428000001</v>
      </c>
      <c r="AS177" s="9" t="n">
        <v>27.9804040587</v>
      </c>
      <c r="AT177" s="9" t="n">
        <v>24.62320067939518</v>
      </c>
      <c r="AU177" s="9" t="n">
        <v>25.2212832</v>
      </c>
      <c r="AV177" s="9" t="n">
        <v>25.93737002506948</v>
      </c>
      <c r="AW177" s="9" t="n">
        <v>25.14931591299697</v>
      </c>
      <c r="AX177" s="9" t="n">
        <v>15.8093659318418</v>
      </c>
      <c r="AY177" s="9" t="n">
        <v>16.2824652</v>
      </c>
      <c r="AZ177" s="9" t="n">
        <v>16.65313049164411</v>
      </c>
      <c r="BA177" s="9" t="n">
        <v>16.14715907086645</v>
      </c>
      <c r="BB177" s="9" t="n">
        <v>25.25586858801229</v>
      </c>
      <c r="BC177" s="9" t="n">
        <v>24.91448112547578</v>
      </c>
      <c r="BD177" s="9" t="n">
        <v>25.85949079822414</v>
      </c>
      <c r="BE177" s="9" t="n">
        <v>24.81148019032501</v>
      </c>
      <c r="BF177" s="9" t="n">
        <v>0.2637356479198969</v>
      </c>
      <c r="BG177" s="9" t="n">
        <v>0.2555564799999995</v>
      </c>
      <c r="BH177" s="9" t="n">
        <v>0.2555564799999995</v>
      </c>
      <c r="BI177" s="9" t="n">
        <v>0.2498064591999995</v>
      </c>
      <c r="BJ177" s="9" t="n">
        <v>4.806413572769235</v>
      </c>
      <c r="BK177" s="9" t="n">
        <v>4.941426219999995</v>
      </c>
      <c r="BL177" s="9" t="n">
        <v>4.941426219999995</v>
      </c>
      <c r="BM177" s="9" t="n">
        <v>4.830244130049993</v>
      </c>
      <c r="BN177" s="9" t="n">
        <v>1.068620732102589</v>
      </c>
      <c r="BO177" s="9" t="n">
        <v>1.0760076</v>
      </c>
      <c r="BP177" s="9" t="n">
        <v>1.0760076</v>
      </c>
      <c r="BQ177" s="9" t="n">
        <v>1.051797429</v>
      </c>
      <c r="BR177" s="9" t="n">
        <v>0</v>
      </c>
      <c r="BS177" s="9" t="n">
        <v>1.673085707254575</v>
      </c>
      <c r="BT177" s="9" t="n">
        <v>1.6998408</v>
      </c>
      <c r="BU177" s="9" t="n">
        <v>1.6998408</v>
      </c>
      <c r="BV177" s="9" t="n">
        <v>1.661594382</v>
      </c>
      <c r="BW177" s="9" t="n">
        <v>39.23226584582631</v>
      </c>
      <c r="BX177" s="9" t="n">
        <v>40.03378863926253</v>
      </c>
      <c r="BY177" s="9" t="n">
        <v>39.59212646577416</v>
      </c>
      <c r="BZ177" s="9" t="n">
        <v>37.70693252827708</v>
      </c>
      <c r="CA177" s="9" t="n">
        <v>1.024238705002745</v>
      </c>
      <c r="CB177" s="9" t="n">
        <v>11.23126850312138</v>
      </c>
      <c r="CC177" s="9" t="n">
        <v>0</v>
      </c>
      <c r="CD177" s="9" t="n">
        <v>2.347275483143247</v>
      </c>
      <c r="CE177" s="9" t="n">
        <v>1.785</v>
      </c>
      <c r="CF177" s="9" t="n">
        <v>1.8</v>
      </c>
      <c r="CG177" s="9" t="n">
        <v>82.32299999999999</v>
      </c>
      <c r="CH177" s="9" t="n">
        <v>6.220000000000001</v>
      </c>
      <c r="CI177" s="9" t="n">
        <v>0</v>
      </c>
      <c r="CJ177" s="9" t="n">
        <v>0.26</v>
      </c>
      <c r="CK177" s="9" t="n">
        <v>0</v>
      </c>
      <c r="CL177" s="9" t="n">
        <v>0.26</v>
      </c>
      <c r="CM177" s="9" t="n">
        <v>0.61</v>
      </c>
      <c r="CN177" s="9" t="n">
        <v>11.94</v>
      </c>
      <c r="CO177" s="9" t="n">
        <v>4.85</v>
      </c>
      <c r="CP177" s="9" t="n">
        <v>42.335</v>
      </c>
      <c r="CQ177" s="9" t="n">
        <v>40.623</v>
      </c>
      <c r="CR177" s="9" t="n">
        <v>3</v>
      </c>
      <c r="CS177" s="9" t="n">
        <v>4</v>
      </c>
      <c r="CT177" s="9" t="n">
        <v>0.5</v>
      </c>
      <c r="CU177" s="9" t="n">
        <v>0.3</v>
      </c>
      <c r="CV177" s="9" t="n">
        <v>0.6</v>
      </c>
      <c r="CW177" s="9" t="n">
        <v>0.8</v>
      </c>
      <c r="CX177" s="9" t="n">
        <v>0.8</v>
      </c>
      <c r="CY177" s="9" t="n">
        <v>0.7</v>
      </c>
      <c r="CZ177" s="9" t="n">
        <v>0.5</v>
      </c>
      <c r="DA177" s="9" t="n">
        <v>0.5</v>
      </c>
      <c r="DB177" s="9" t="n">
        <v>1</v>
      </c>
      <c r="DC177" s="9" t="n">
        <v>0.3</v>
      </c>
      <c r="DD177" s="9" t="n">
        <v>0.8</v>
      </c>
      <c r="DE177" s="9" t="n">
        <v>0.6642272749277864</v>
      </c>
      <c r="DF177" s="9" t="n">
        <v>2</v>
      </c>
      <c r="DG177" s="9" t="n">
        <v>6.149</v>
      </c>
      <c r="DH177" s="9" t="n">
        <v>4.659</v>
      </c>
      <c r="DI177" s="9" t="n">
        <v>12.70996</v>
      </c>
      <c r="DJ177" s="9" t="n">
        <v>18.10994929909192</v>
      </c>
      <c r="DK177" s="9" t="n">
        <v>26.34206030699685</v>
      </c>
      <c r="DL177" s="9" t="n">
        <v>18.35712540842305</v>
      </c>
      <c r="DM177" s="9" t="n">
        <v>24.42647819045605</v>
      </c>
      <c r="DN177" s="9" t="n">
        <v>8.176</v>
      </c>
      <c r="DO177" s="9" t="n">
        <v>6.853</v>
      </c>
      <c r="DP177" s="9" t="n">
        <v>19.66396</v>
      </c>
      <c r="DQ177" s="9" t="n">
        <v>13.55243198959616</v>
      </c>
      <c r="DR177" s="9" t="n">
        <v>13.55243198959616</v>
      </c>
      <c r="DS177" s="9" t="n">
        <v>0.042</v>
      </c>
    </row>
    <row r="178">
      <c r="A178" s="9" t="inlineStr">
        <is>
          <t>USA</t>
        </is>
      </c>
      <c r="B178" s="9" t="inlineStr">
        <is>
          <t>United States</t>
        </is>
      </c>
      <c r="C178" s="9" t="n">
        <v>0.005</v>
      </c>
      <c r="D178" s="9" t="n">
        <v>0.005</v>
      </c>
      <c r="E178" s="9" t="n">
        <v>0.01</v>
      </c>
      <c r="F178" s="9" t="n">
        <v>0.005</v>
      </c>
      <c r="G178" s="9" t="n">
        <v>0.005</v>
      </c>
      <c r="H178" s="9" t="n">
        <v>0.01</v>
      </c>
      <c r="I178" s="9" t="n">
        <v>0.005</v>
      </c>
      <c r="J178" s="9" t="n">
        <v>0.005</v>
      </c>
      <c r="K178" s="9" t="n">
        <v>0.01</v>
      </c>
      <c r="L178" s="9" t="n">
        <v>0.01</v>
      </c>
      <c r="M178" s="9" t="n">
        <v>0.005</v>
      </c>
      <c r="N178" s="9" t="n">
        <v>7.694761</v>
      </c>
      <c r="O178" s="9" t="n">
        <v>1.467504</v>
      </c>
      <c r="P178" s="9" t="n">
        <v>79.046308</v>
      </c>
      <c r="Q178" s="9" t="n">
        <v>6.369668581927053</v>
      </c>
      <c r="R178" s="9" t="n">
        <v>1.088769890768418</v>
      </c>
      <c r="S178" s="9" t="n">
        <v>7.634488343958761</v>
      </c>
      <c r="T178" s="9" t="n">
        <v>6.027652340680912</v>
      </c>
      <c r="U178" s="9" t="n">
        <v>0.375487</v>
      </c>
      <c r="V178" s="9" t="n">
        <v>1.182382</v>
      </c>
      <c r="W178" s="9" t="n">
        <v>0.153038</v>
      </c>
      <c r="X178" s="9" t="n">
        <v>4.766515988917659</v>
      </c>
      <c r="Y178" s="9" t="n">
        <v>4.766515988917659</v>
      </c>
      <c r="Z178" s="9" t="n">
        <v>246.3940667997438</v>
      </c>
      <c r="AA178" s="9" t="n">
        <v>771.16</v>
      </c>
      <c r="AB178" s="9" t="n">
        <v>211.61</v>
      </c>
      <c r="AC178" s="9" t="n">
        <v>158.83</v>
      </c>
      <c r="AD178" s="9" t="n">
        <v>3</v>
      </c>
      <c r="AE178" s="9" t="n">
        <v>39.74100930404838</v>
      </c>
      <c r="AF178" s="9" t="n">
        <v>5445.106</v>
      </c>
      <c r="AG178" s="9" t="n">
        <v>579.8899773273871</v>
      </c>
      <c r="AH178" s="9" t="n">
        <v>493.1996976432</v>
      </c>
      <c r="AI178" s="9" t="n">
        <v>524.641178367954</v>
      </c>
      <c r="AJ178" s="9" t="n">
        <v>524.641178367954</v>
      </c>
      <c r="AK178" s="9" t="n">
        <v>8599.923802052359</v>
      </c>
      <c r="AL178" s="9" t="n">
        <v>140.7547862480149</v>
      </c>
      <c r="AM178" s="9" t="n">
        <v>119.1272674212</v>
      </c>
      <c r="AN178" s="9" t="n">
        <v>126.7216307193015</v>
      </c>
      <c r="AO178" s="9" t="n">
        <v>126.7216307193015</v>
      </c>
      <c r="AP178" s="9" t="n">
        <v>6864.869476870034</v>
      </c>
      <c r="AQ178" s="9" t="n">
        <v>6055.828035128537</v>
      </c>
      <c r="AR178" s="9" t="n">
        <v>6441.887072367982</v>
      </c>
      <c r="AS178" s="9" t="n">
        <v>6441.887072367982</v>
      </c>
      <c r="AT178" s="9" t="n">
        <v>9309.819334940064</v>
      </c>
      <c r="AU178" s="9" t="n">
        <v>8452.475146134</v>
      </c>
      <c r="AV178" s="9" t="n">
        <v>9029.60241889534</v>
      </c>
      <c r="AW178" s="9" t="n">
        <v>9016.704219449652</v>
      </c>
      <c r="AX178" s="9" t="n">
        <v>5900.711601819896</v>
      </c>
      <c r="AY178" s="9" t="n">
        <v>5365.0761185088</v>
      </c>
      <c r="AZ178" s="9" t="n">
        <v>5723.156544623456</v>
      </c>
      <c r="BA178" s="9" t="n">
        <v>5714.850173599421</v>
      </c>
      <c r="BB178" s="9" t="n">
        <v>16583.02987337125</v>
      </c>
      <c r="BC178" s="9" t="n">
        <v>14801.13672705947</v>
      </c>
      <c r="BD178" s="9" t="n">
        <v>14906.72303955932</v>
      </c>
      <c r="BE178" s="9" t="n">
        <v>15774.02360606847</v>
      </c>
      <c r="BF178" s="9" t="n">
        <v>1864.511577732678</v>
      </c>
      <c r="BG178" s="9" t="n">
        <v>1634.735685536606</v>
      </c>
      <c r="BH178" s="9" t="n">
        <v>1738.950085489564</v>
      </c>
      <c r="BI178" s="9" t="n">
        <v>1738.950085489564</v>
      </c>
      <c r="BJ178" s="9" t="n">
        <v>209.7240998880459</v>
      </c>
      <c r="BK178" s="9" t="n">
        <v>184.6583279999997</v>
      </c>
      <c r="BL178" s="9" t="n">
        <v>196.4302964099998</v>
      </c>
      <c r="BM178" s="9" t="n">
        <v>196.4302964099998</v>
      </c>
      <c r="BN178" s="9" t="n">
        <v>10329.95664117814</v>
      </c>
      <c r="BO178" s="9" t="n">
        <v>8825.833174298401</v>
      </c>
      <c r="BP178" s="9" t="n">
        <v>9388.48003915992</v>
      </c>
      <c r="BQ178" s="9" t="n">
        <v>9388.48003915992</v>
      </c>
      <c r="BR178" s="9" t="n">
        <v>13159.98713838801</v>
      </c>
      <c r="BS178" s="9" t="n">
        <v>10308.22093440802</v>
      </c>
      <c r="BT178" s="9" t="n">
        <v>8831.907199519199</v>
      </c>
      <c r="BU178" s="9" t="n">
        <v>9394.941283488548</v>
      </c>
      <c r="BV178" s="9" t="n">
        <v>9394.941283488548</v>
      </c>
      <c r="BW178" s="9" t="n">
        <v>4607.282266122569</v>
      </c>
      <c r="BX178" s="9" t="n">
        <v>4291.717858602296</v>
      </c>
      <c r="BY178" s="9" t="n">
        <v>4159.43707203826</v>
      </c>
      <c r="BZ178" s="9" t="n">
        <v>4174.140548529956</v>
      </c>
      <c r="CA178" s="9" t="n">
        <v>1.002700582914346</v>
      </c>
      <c r="CB178" s="9" t="n">
        <v>4225.147482433322</v>
      </c>
      <c r="CC178" s="9" t="n">
        <v>0.075</v>
      </c>
      <c r="CD178" s="9" t="n">
        <v>0.8844747397711535</v>
      </c>
      <c r="CE178" s="9" t="n">
        <v>2.117</v>
      </c>
      <c r="CF178" s="9" t="n">
        <v>2.324</v>
      </c>
      <c r="CG178" s="9" t="n">
        <v>29298.025</v>
      </c>
      <c r="CH178" s="9" t="n">
        <v>1090.37</v>
      </c>
      <c r="CI178" s="9" t="n">
        <v>737.15</v>
      </c>
      <c r="CJ178" s="9" t="n">
        <v>2576.21</v>
      </c>
      <c r="CK178" s="9" t="n">
        <v>1807.34</v>
      </c>
      <c r="CL178" s="9" t="n">
        <v>31.72</v>
      </c>
      <c r="CM178" s="9" t="n">
        <v>388.82</v>
      </c>
      <c r="CN178" s="9" t="n">
        <v>4519.79</v>
      </c>
      <c r="CO178" s="9" t="n">
        <v>464.39</v>
      </c>
      <c r="CP178" s="9" t="n">
        <v>6817.344</v>
      </c>
      <c r="CQ178" s="9" t="n">
        <v>6080.938</v>
      </c>
      <c r="CR178" s="9" t="n">
        <v>1</v>
      </c>
      <c r="CS178" s="9" t="n">
        <v>4</v>
      </c>
      <c r="CT178" s="9" t="n">
        <v>0.5</v>
      </c>
      <c r="CU178" s="9" t="n">
        <v>0.3</v>
      </c>
      <c r="CV178" s="9" t="n">
        <v>0.6</v>
      </c>
      <c r="CW178" s="9" t="n">
        <v>0.8</v>
      </c>
      <c r="CX178" s="9" t="n">
        <v>0.8</v>
      </c>
      <c r="CY178" s="9" t="n">
        <v>0.7</v>
      </c>
      <c r="CZ178" s="9" t="n">
        <v>0.5</v>
      </c>
      <c r="DA178" s="9" t="n">
        <v>0.5</v>
      </c>
      <c r="DB178" s="9" t="n">
        <v>1</v>
      </c>
      <c r="DC178" s="9" t="n">
        <v>0.3</v>
      </c>
      <c r="DD178" s="9" t="n">
        <v>0.8</v>
      </c>
      <c r="DE178" s="9" t="n">
        <v>1</v>
      </c>
      <c r="DF178" s="9" t="n">
        <v>3</v>
      </c>
      <c r="DG178" s="9" t="n">
        <v>2.845</v>
      </c>
      <c r="DH178" s="9" t="n">
        <v>1.746</v>
      </c>
      <c r="DI178" s="9" t="n">
        <v>6.01126</v>
      </c>
      <c r="DJ178" s="9" t="n">
        <v>17.68029603817543</v>
      </c>
      <c r="DK178" s="9" t="n">
        <v>22.90874910708516</v>
      </c>
      <c r="DL178" s="9" t="n">
        <v>18.62674966149239</v>
      </c>
      <c r="DM178" s="9" t="n">
        <v>21.34222836093001</v>
      </c>
      <c r="DN178" s="9" t="n">
        <v>8.52</v>
      </c>
      <c r="DO178" s="9" t="n">
        <v>2.492</v>
      </c>
      <c r="DP178" s="9" t="n">
        <v>12.69448</v>
      </c>
      <c r="DQ178" s="9" t="n">
        <v>10.89082947022656</v>
      </c>
      <c r="DR178" s="9" t="n">
        <v>10.89082947022656</v>
      </c>
      <c r="DS178" s="9" t="n">
        <v>0.05705</v>
      </c>
    </row>
    <row r="179">
      <c r="A179" s="9" t="inlineStr">
        <is>
          <t>UZB</t>
        </is>
      </c>
      <c r="B179" s="9" t="inlineStr">
        <is>
          <t>Uzbekistan</t>
        </is>
      </c>
      <c r="C179" s="9" t="n">
        <v>0.005</v>
      </c>
      <c r="D179" s="9" t="n">
        <v>0.005</v>
      </c>
      <c r="E179" s="9" t="n">
        <v>0.01</v>
      </c>
      <c r="F179" s="9" t="n">
        <v>0.005</v>
      </c>
      <c r="G179" s="9" t="n">
        <v>0.005</v>
      </c>
      <c r="H179" s="9" t="n">
        <v>0.01</v>
      </c>
      <c r="I179" s="9" t="n">
        <v>0.005</v>
      </c>
      <c r="J179" s="9" t="n">
        <v>0.005</v>
      </c>
      <c r="K179" s="9" t="n">
        <v>0.01</v>
      </c>
      <c r="L179" s="9" t="n">
        <v>0.01</v>
      </c>
      <c r="M179" s="9" t="n">
        <v>0.005</v>
      </c>
      <c r="N179" s="9" t="n">
        <v>23.812033</v>
      </c>
      <c r="O179" s="9" t="n">
        <v>4.686832</v>
      </c>
      <c r="P179" s="9" t="n">
        <v>183.881095</v>
      </c>
      <c r="Q179" s="9" t="n">
        <v>23.68077492030474</v>
      </c>
      <c r="R179" s="9" t="n">
        <v>5.851058658142725</v>
      </c>
      <c r="S179" s="9" t="n">
        <v>9.092202410931309</v>
      </c>
      <c r="T179" s="9" t="n">
        <v>10.02781703701492</v>
      </c>
      <c r="U179" s="9" t="n">
        <v>1.38186</v>
      </c>
      <c r="V179" s="9" t="n">
        <v>0.031679</v>
      </c>
      <c r="W179" s="9" t="n">
        <v>0.453017</v>
      </c>
      <c r="X179" s="9" t="n">
        <v>21.17358885206331</v>
      </c>
      <c r="Y179" s="9" t="n">
        <v>21.17358885206331</v>
      </c>
      <c r="Z179" s="9" t="n">
        <v>0.4634399221784454</v>
      </c>
      <c r="AA179" s="9" t="n">
        <v>16.88</v>
      </c>
      <c r="AB179" s="9" t="n">
        <v>5.93</v>
      </c>
      <c r="AC179" s="9" t="n">
        <v>1.65</v>
      </c>
      <c r="AD179" s="9" t="n">
        <v>3</v>
      </c>
      <c r="AE179" s="9" t="n">
        <v>0</v>
      </c>
      <c r="AF179" s="9" t="n">
        <v>146.738</v>
      </c>
      <c r="AG179" s="9" t="n">
        <v>30.43389811450417</v>
      </c>
      <c r="AH179" s="9" t="n">
        <v>29.2527026784</v>
      </c>
      <c r="AI179" s="9" t="n">
        <v>29.2527026784</v>
      </c>
      <c r="AJ179" s="9" t="n">
        <v>28.537636612928</v>
      </c>
      <c r="AK179" s="9" t="n">
        <v>362.1475160948966</v>
      </c>
      <c r="AL179" s="9" t="n">
        <v>16.99381131407818</v>
      </c>
      <c r="AM179" s="9" t="n">
        <v>16.783457688</v>
      </c>
      <c r="AN179" s="9" t="n">
        <v>16.783457688</v>
      </c>
      <c r="AO179" s="9" t="n">
        <v>16.37319538896</v>
      </c>
      <c r="AP179" s="9" t="n">
        <v>44.30723143321404</v>
      </c>
      <c r="AQ179" s="9" t="n">
        <v>42.61964088000001</v>
      </c>
      <c r="AR179" s="9" t="n">
        <v>42.61964088000001</v>
      </c>
      <c r="AS179" s="9" t="n">
        <v>41.57782743626667</v>
      </c>
      <c r="AT179" s="9" t="n">
        <v>187.8841687520783</v>
      </c>
      <c r="AU179" s="9" t="n">
        <v>144.6118459128</v>
      </c>
      <c r="AV179" s="9" t="n">
        <v>158.4160731925012</v>
      </c>
      <c r="AW179" s="9" t="n">
        <v>170.8522068339972</v>
      </c>
      <c r="AX179" s="9" t="n">
        <v>71.72191486790075</v>
      </c>
      <c r="AY179" s="9" t="n">
        <v>55.662480234</v>
      </c>
      <c r="AZ179" s="9" t="n">
        <v>60.48958762296947</v>
      </c>
      <c r="BA179" s="9" t="n">
        <v>65.22783566348278</v>
      </c>
      <c r="BB179" s="9" t="n">
        <v>56.37967818155371</v>
      </c>
      <c r="BC179" s="9" t="n">
        <v>51.24859753237897</v>
      </c>
      <c r="BD179" s="9" t="n">
        <v>48.49715780922321</v>
      </c>
      <c r="BE179" s="9" t="n">
        <v>48.63524711122224</v>
      </c>
      <c r="BF179" s="9" t="n">
        <v>0.0317424655050796</v>
      </c>
      <c r="BG179" s="9" t="n">
        <v>0.0306303464229239</v>
      </c>
      <c r="BH179" s="9" t="n">
        <v>0.0306303464229239</v>
      </c>
      <c r="BI179" s="9" t="n">
        <v>0.0298816046214747</v>
      </c>
      <c r="BJ179" s="9" t="n">
        <v>18.98403293117435</v>
      </c>
      <c r="BK179" s="9" t="n">
        <v>18.10823181601726</v>
      </c>
      <c r="BL179" s="9" t="n">
        <v>18.10823181601726</v>
      </c>
      <c r="BM179" s="9" t="n">
        <v>17.6655861494035</v>
      </c>
      <c r="BN179" s="9" t="n">
        <v>522.2213597740463</v>
      </c>
      <c r="BO179" s="9" t="n">
        <v>526.3225275167999</v>
      </c>
      <c r="BP179" s="9" t="n">
        <v>526.3225275167999</v>
      </c>
      <c r="BQ179" s="9" t="n">
        <v>513.456865733056</v>
      </c>
      <c r="BR179" s="9" t="n">
        <v>451.7158154322094</v>
      </c>
      <c r="BS179" s="9" t="n">
        <v>562.36971973929</v>
      </c>
      <c r="BT179" s="9" t="n">
        <v>572.4115546067999</v>
      </c>
      <c r="BU179" s="9" t="n">
        <v>572.4115546067999</v>
      </c>
      <c r="BV179" s="9" t="n">
        <v>558.4192721608558</v>
      </c>
      <c r="BW179" s="9" t="n">
        <v>53.24315603069844</v>
      </c>
      <c r="BX179" s="9" t="n">
        <v>66.0750212118932</v>
      </c>
      <c r="BY179" s="9" t="n">
        <v>49.30936804045459</v>
      </c>
      <c r="BZ179" s="9" t="n">
        <v>48.45333145325298</v>
      </c>
      <c r="CA179" s="9" t="n">
        <v>0.5710281826763495</v>
      </c>
      <c r="CB179" s="9" t="n">
        <v>72.11280100554973</v>
      </c>
      <c r="CC179" s="9" t="n">
        <v>11.476</v>
      </c>
      <c r="CD179" s="9" t="n">
        <v>3.38636649622982</v>
      </c>
      <c r="CE179" s="9" t="n">
        <v>7.7</v>
      </c>
      <c r="CF179" s="9" t="n">
        <v>6.474</v>
      </c>
      <c r="CG179" s="9" t="n">
        <v>121.352</v>
      </c>
      <c r="CH179" s="9" t="n">
        <v>6.3</v>
      </c>
      <c r="CI179" s="9" t="n">
        <v>5.7</v>
      </c>
      <c r="CJ179" s="9" t="n">
        <v>69.90000000000001</v>
      </c>
      <c r="CK179" s="9" t="n">
        <v>62.7</v>
      </c>
      <c r="CL179" s="9" t="n">
        <v>1.5</v>
      </c>
      <c r="CM179" s="9" t="n">
        <v>6.5</v>
      </c>
      <c r="CN179" s="9" t="n">
        <v>86.7</v>
      </c>
      <c r="CO179" s="9" t="n">
        <v>4</v>
      </c>
      <c r="CP179" s="9" t="n">
        <v>243.852</v>
      </c>
      <c r="CQ179" s="9" t="n">
        <v>240.486</v>
      </c>
      <c r="CR179" s="9" t="n">
        <v>3</v>
      </c>
      <c r="CS179" s="9" t="n">
        <v>2</v>
      </c>
      <c r="CT179" s="9" t="n">
        <v>0.5</v>
      </c>
      <c r="CU179" s="9" t="n">
        <v>0.3</v>
      </c>
      <c r="CV179" s="9" t="n">
        <v>0.6</v>
      </c>
      <c r="CW179" s="9" t="n">
        <v>0.8</v>
      </c>
      <c r="CX179" s="9" t="n">
        <v>0.8</v>
      </c>
      <c r="CY179" s="9" t="n">
        <v>0.7</v>
      </c>
      <c r="CZ179" s="9" t="n">
        <v>0.5</v>
      </c>
      <c r="DA179" s="9" t="n">
        <v>0.5</v>
      </c>
      <c r="DB179" s="9" t="n">
        <v>1</v>
      </c>
      <c r="DC179" s="9" t="n">
        <v>0.3</v>
      </c>
      <c r="DD179" s="9" t="n">
        <v>0.8</v>
      </c>
      <c r="DE179" s="9" t="n">
        <v>0.2665946093195634</v>
      </c>
      <c r="DF179" s="9" t="n">
        <v>2</v>
      </c>
      <c r="DG179" s="9" t="n">
        <v>4.569</v>
      </c>
      <c r="DH179" s="9" t="n">
        <v>2.783</v>
      </c>
      <c r="DI179" s="9" t="n">
        <v>8.5764</v>
      </c>
      <c r="DJ179" s="9" t="n">
        <v>22.38572856177968</v>
      </c>
      <c r="DK179" s="9" t="n">
        <v>24.29208795947583</v>
      </c>
      <c r="DL179" s="9" t="n">
        <v>15.76530995629119</v>
      </c>
      <c r="DM179" s="9" t="n">
        <v>21.82660193969636</v>
      </c>
      <c r="DN179" s="9" t="n">
        <v>15.077</v>
      </c>
      <c r="DO179" s="9" t="n">
        <v>15.773</v>
      </c>
      <c r="DP179" s="9" t="n">
        <v>13.0404</v>
      </c>
      <c r="DQ179" s="9" t="n">
        <v>13.49633933436385</v>
      </c>
      <c r="DR179" s="9" t="n">
        <v>13.49633933436385</v>
      </c>
      <c r="DS179" s="9" t="n">
        <v>0.105</v>
      </c>
    </row>
    <row r="180">
      <c r="A180" s="9" t="inlineStr">
        <is>
          <t>VCT</t>
        </is>
      </c>
      <c r="B180" s="9" t="inlineStr">
        <is>
          <t>St. Vincent and the Grenadines</t>
        </is>
      </c>
      <c r="C180" s="9" t="n">
        <v>0.005</v>
      </c>
      <c r="D180" s="9" t="n">
        <v>0.005</v>
      </c>
      <c r="E180" s="9" t="n">
        <v>0.01</v>
      </c>
      <c r="F180" s="9" t="n">
        <v>0.005</v>
      </c>
      <c r="G180" s="9" t="n">
        <v>0.005</v>
      </c>
      <c r="H180" s="9" t="n">
        <v>0.01</v>
      </c>
      <c r="I180" s="9" t="n">
        <v>0.005</v>
      </c>
      <c r="J180" s="9" t="n">
        <v>0.005</v>
      </c>
      <c r="K180" s="9" t="n">
        <v>0.01</v>
      </c>
      <c r="L180" s="9" t="n">
        <v>0.01</v>
      </c>
      <c r="M180" s="9" t="n">
        <v>0.005</v>
      </c>
      <c r="N180" s="9" t="n">
        <v>0.137053</v>
      </c>
      <c r="O180" s="9" t="n">
        <v>0.194684</v>
      </c>
      <c r="P180" s="9" t="n">
        <v>1.98186</v>
      </c>
      <c r="Q180" s="9" t="n">
        <v>1.176237471909916</v>
      </c>
      <c r="R180" s="9" t="n">
        <v>0.167344681430288</v>
      </c>
      <c r="S180" s="9" t="n">
        <v>0.1362161435726612</v>
      </c>
      <c r="T180" s="9" t="n">
        <v>0.1370458760135764</v>
      </c>
      <c r="U180" s="9" t="n">
        <v>0.021729</v>
      </c>
      <c r="V180" s="9" t="n">
        <v>0.002914</v>
      </c>
      <c r="W180" s="9" t="n">
        <v>0.006851</v>
      </c>
      <c r="X180" s="9" t="n">
        <v>0.3256188696289837</v>
      </c>
      <c r="Y180" s="9" t="n">
        <v>0.3256188696289837</v>
      </c>
      <c r="Z180" s="9" t="n">
        <v>0.004300162769240964</v>
      </c>
      <c r="AA180" s="9" t="n">
        <v>0.05</v>
      </c>
      <c r="AB180" s="9" t="n">
        <v>0.01</v>
      </c>
      <c r="AC180" s="9" t="n">
        <v>0</v>
      </c>
      <c r="AD180" s="9" t="n">
        <v>0</v>
      </c>
      <c r="AE180" s="9" t="n">
        <v>0</v>
      </c>
      <c r="AF180" s="9" t="n">
        <v>0.083</v>
      </c>
      <c r="AG180" s="9" t="n">
        <v>0</v>
      </c>
      <c r="AH180" s="9" t="n">
        <v>0</v>
      </c>
      <c r="AI180" s="9" t="n">
        <v>0</v>
      </c>
      <c r="AJ180" s="9" t="n">
        <v>0</v>
      </c>
      <c r="AK180" s="9" t="n">
        <v>0</v>
      </c>
      <c r="AL180" s="9" t="n">
        <v>0</v>
      </c>
      <c r="AM180" s="9" t="n">
        <v>0</v>
      </c>
      <c r="AN180" s="9" t="n">
        <v>0</v>
      </c>
      <c r="AO180" s="9" t="n">
        <v>0</v>
      </c>
      <c r="AP180" s="9" t="n">
        <v>0</v>
      </c>
      <c r="AQ180" s="9" t="n">
        <v>0</v>
      </c>
      <c r="AR180" s="9" t="n">
        <v>0</v>
      </c>
      <c r="AS180" s="9" t="n">
        <v>0</v>
      </c>
      <c r="AT180" s="9" t="n">
        <v>0.2472266674214091</v>
      </c>
      <c r="AU180" s="9" t="n">
        <v>0.2321626654799999</v>
      </c>
      <c r="AV180" s="9" t="n">
        <v>0.2338772024003325</v>
      </c>
      <c r="AW180" s="9" t="n">
        <v>0.2364139928593242</v>
      </c>
      <c r="AX180" s="9" t="n">
        <v>0.2877702034126029</v>
      </c>
      <c r="AY180" s="9" t="n">
        <v>0.26429133132</v>
      </c>
      <c r="AZ180" s="9" t="n">
        <v>0.2722315145460962</v>
      </c>
      <c r="BA180" s="9" t="n">
        <v>0.2751843218383404</v>
      </c>
      <c r="BB180" s="9" t="n">
        <v>1.69448409985694</v>
      </c>
      <c r="BC180" s="9" t="n">
        <v>1.686917046865787</v>
      </c>
      <c r="BD180" s="9" t="n">
        <v>1.45950862159729</v>
      </c>
      <c r="BE180" s="9" t="n">
        <v>1.585445831733334</v>
      </c>
      <c r="BF180" s="9" t="n">
        <v>0</v>
      </c>
      <c r="BG180" s="9" t="n">
        <v>0</v>
      </c>
      <c r="BH180" s="9" t="n">
        <v>0</v>
      </c>
      <c r="BI180" s="9" t="n">
        <v>0</v>
      </c>
      <c r="BJ180" s="9" t="n">
        <v>0.197489788611944</v>
      </c>
      <c r="BK180" s="9" t="n">
        <v>0.1797509999999993</v>
      </c>
      <c r="BL180" s="9" t="n">
        <v>0.1917343999999992</v>
      </c>
      <c r="BM180" s="9" t="n">
        <v>0.1875801546666659</v>
      </c>
      <c r="BN180" s="9" t="n">
        <v>0</v>
      </c>
      <c r="BO180" s="9" t="n">
        <v>0</v>
      </c>
      <c r="BP180" s="9" t="n">
        <v>0</v>
      </c>
      <c r="BQ180" s="9" t="n">
        <v>0</v>
      </c>
      <c r="BR180" s="9" t="n">
        <v>0</v>
      </c>
      <c r="BS180" s="9" t="n">
        <v>0</v>
      </c>
      <c r="BT180" s="9" t="n">
        <v>0</v>
      </c>
      <c r="BU180" s="9" t="n">
        <v>0</v>
      </c>
      <c r="BV180" s="9" t="n">
        <v>0</v>
      </c>
      <c r="BW180" s="9" t="n">
        <v>1.473683359396439</v>
      </c>
      <c r="BX180" s="9" t="n">
        <v>1.569456053169389</v>
      </c>
      <c r="BY180" s="9" t="n">
        <v>1.561600894778643</v>
      </c>
      <c r="BZ180" s="9" t="n">
        <v>1.519901350799259</v>
      </c>
      <c r="CA180" s="9" t="n">
        <v>0.9999992249797494</v>
      </c>
      <c r="CB180" s="9" t="n">
        <v>0.1486102418983367</v>
      </c>
      <c r="CC180" s="9" t="n">
        <v>0</v>
      </c>
      <c r="CD180" s="9" t="n">
        <v>-0.3174603174603237</v>
      </c>
      <c r="CE180" s="9" t="n">
        <v>3.39</v>
      </c>
      <c r="CF180" s="9" t="n">
        <v>3</v>
      </c>
      <c r="CG180" s="9" t="n">
        <v>1.126</v>
      </c>
      <c r="CH180" s="9" t="n">
        <v>0.02</v>
      </c>
      <c r="CI180" s="9" t="n">
        <v>0</v>
      </c>
      <c r="CJ180" s="9" t="n">
        <v>0.13</v>
      </c>
      <c r="CK180" s="9" t="n">
        <v>0</v>
      </c>
      <c r="CL180" s="9" t="n">
        <v>0.13</v>
      </c>
      <c r="CM180" s="9" t="n">
        <v>0</v>
      </c>
      <c r="CN180" s="9" t="n">
        <v>0.15</v>
      </c>
      <c r="CO180" s="9" t="n">
        <v>0</v>
      </c>
      <c r="CP180" s="9" t="n">
        <v>0.152</v>
      </c>
      <c r="CQ180" s="9" t="n">
        <v>0.152</v>
      </c>
      <c r="CR180" s="9" t="n">
        <v>3</v>
      </c>
      <c r="CS180" s="9" t="n">
        <v>3</v>
      </c>
      <c r="CT180" s="9" t="n">
        <v>0.5</v>
      </c>
      <c r="CU180" s="9" t="n">
        <v>0.3</v>
      </c>
      <c r="CV180" s="9" t="n">
        <v>0.6</v>
      </c>
      <c r="CW180" s="9" t="n">
        <v>0.8</v>
      </c>
      <c r="CX180" s="9" t="n">
        <v>0.8</v>
      </c>
      <c r="CY180" s="9" t="n">
        <v>0.7</v>
      </c>
      <c r="CZ180" s="9" t="n">
        <v>0.5</v>
      </c>
      <c r="DA180" s="9" t="n">
        <v>0.5</v>
      </c>
      <c r="DB180" s="9" t="n">
        <v>1</v>
      </c>
      <c r="DC180" s="9" t="n">
        <v>0.3</v>
      </c>
      <c r="DD180" s="9" t="n">
        <v>0.8</v>
      </c>
      <c r="DE180" s="9" t="n">
        <v>0.5179392824287028</v>
      </c>
      <c r="DF180" s="9" t="n">
        <v>1</v>
      </c>
      <c r="DG180" s="9" t="n">
        <v>7.124</v>
      </c>
      <c r="DH180" s="9" t="n">
        <v>5.575</v>
      </c>
      <c r="DI180" s="9" t="n">
        <v>14.14388</v>
      </c>
      <c r="DJ180" s="9" t="n">
        <v>17.56258648903518</v>
      </c>
      <c r="DK180" s="9" t="n">
        <v>25.07768144687378</v>
      </c>
      <c r="DL180" s="9" t="n">
        <v>15.04682410526479</v>
      </c>
      <c r="DM180" s="9" t="n">
        <v>24.02821891815732</v>
      </c>
      <c r="DN180" s="9" t="n">
        <v>8.095000000000001</v>
      </c>
      <c r="DO180" s="9" t="n">
        <v>6.771</v>
      </c>
      <c r="DP180" s="9" t="n">
        <v>18.60176</v>
      </c>
      <c r="DQ180" s="9" t="n">
        <v>13.54222112767687</v>
      </c>
      <c r="DR180" s="9" t="n">
        <v>13.54222112767687</v>
      </c>
      <c r="DS180" s="9" t="n">
        <v>0.105</v>
      </c>
    </row>
    <row r="181">
      <c r="A181" s="9" t="inlineStr">
        <is>
          <t>VEN</t>
        </is>
      </c>
      <c r="B181" s="9" t="inlineStr">
        <is>
          <t>Venezuela, RB</t>
        </is>
      </c>
      <c r="C181" s="9" t="n">
        <v>0.005</v>
      </c>
      <c r="D181" s="9" t="n">
        <v>0.005</v>
      </c>
      <c r="E181" s="9" t="n">
        <v>0.01</v>
      </c>
      <c r="F181" s="9" t="n">
        <v>0.005</v>
      </c>
      <c r="G181" s="9" t="n">
        <v>0.005</v>
      </c>
      <c r="H181" s="9" t="n">
        <v>0.01</v>
      </c>
      <c r="I181" s="9" t="n">
        <v>0.005</v>
      </c>
      <c r="J181" s="9" t="n">
        <v>0.005</v>
      </c>
      <c r="K181" s="9" t="n">
        <v>0.01</v>
      </c>
      <c r="L181" s="9" t="n">
        <v>0.01</v>
      </c>
      <c r="M181" s="9" t="n">
        <v>0.005</v>
      </c>
      <c r="N181" s="9" t="n">
        <v>0.584606</v>
      </c>
      <c r="O181" s="9" t="n">
        <v>0.793051</v>
      </c>
      <c r="P181" s="9" t="n">
        <v>17.767773</v>
      </c>
      <c r="Q181" s="9" t="n">
        <v>4.071651062777801</v>
      </c>
      <c r="R181" s="9" t="n">
        <v>0.7288873180069397</v>
      </c>
      <c r="S181" s="9" t="n">
        <v>1.240992116259216</v>
      </c>
      <c r="T181" s="9" t="n">
        <v>0.2339438659037304</v>
      </c>
      <c r="U181" s="9" t="n">
        <v>0.028472</v>
      </c>
      <c r="V181" s="9" t="n">
        <v>0.024452</v>
      </c>
      <c r="W181" s="9" t="n">
        <v>0.031448</v>
      </c>
      <c r="X181" s="9" t="n">
        <v>1.273374039478708</v>
      </c>
      <c r="Y181" s="9" t="n">
        <v>1.273374039478708</v>
      </c>
      <c r="Z181" s="9" t="n">
        <v>0.4604382099789575</v>
      </c>
      <c r="AA181" s="9" t="n">
        <v>17.07</v>
      </c>
      <c r="AB181" s="9" t="n">
        <v>0</v>
      </c>
      <c r="AC181" s="9" t="n">
        <v>0.05</v>
      </c>
      <c r="AD181" s="9" t="n">
        <v>3</v>
      </c>
      <c r="AE181" s="9" t="n">
        <v>0.0470579035398063</v>
      </c>
      <c r="AF181" s="9" t="n">
        <v>113.681</v>
      </c>
      <c r="AG181" s="9" t="n">
        <v>2.382700591053354</v>
      </c>
      <c r="AH181" s="9" t="n">
        <v>2.2239569844</v>
      </c>
      <c r="AI181" s="9" t="n">
        <v>2.397556283105655</v>
      </c>
      <c r="AJ181" s="9" t="n">
        <v>2.337617376028014</v>
      </c>
      <c r="AK181" s="9" t="n">
        <v>0</v>
      </c>
      <c r="AL181" s="9" t="n">
        <v>0</v>
      </c>
      <c r="AM181" s="9" t="n">
        <v>0</v>
      </c>
      <c r="AN181" s="9" t="n">
        <v>0</v>
      </c>
      <c r="AO181" s="9" t="n">
        <v>0</v>
      </c>
      <c r="AP181" s="9" t="n">
        <v>30.66592269697172</v>
      </c>
      <c r="AQ181" s="9" t="n">
        <v>28.16788254999999</v>
      </c>
      <c r="AR181" s="9" t="n">
        <v>30.36663220703193</v>
      </c>
      <c r="AS181" s="9" t="n">
        <v>29.60746640185612</v>
      </c>
      <c r="AT181" s="9" t="n">
        <v>183.3029784523142</v>
      </c>
      <c r="AU181" s="9" t="n">
        <v>119.984330502</v>
      </c>
      <c r="AV181" s="9" t="n">
        <v>143.918742190508</v>
      </c>
      <c r="AW181" s="9" t="n">
        <v>148.5429402923966</v>
      </c>
      <c r="AX181" s="9" t="n">
        <v>80.06224558842474</v>
      </c>
      <c r="AY181" s="9" t="n">
        <v>53.4145747536</v>
      </c>
      <c r="AZ181" s="9" t="n">
        <v>62.85880759528663</v>
      </c>
      <c r="BA181" s="9" t="n">
        <v>64.87667298321654</v>
      </c>
      <c r="BB181" s="9" t="n">
        <v>134.7099739253359</v>
      </c>
      <c r="BC181" s="9" t="n">
        <v>98.9647549585511</v>
      </c>
      <c r="BD181" s="9" t="n">
        <v>172.4935396164113</v>
      </c>
      <c r="BE181" s="9" t="n">
        <v>132.2673107830045</v>
      </c>
      <c r="BF181" s="9" t="n">
        <v>0.0662387909328241</v>
      </c>
      <c r="BG181" s="9" t="n">
        <v>0.0609151437108793</v>
      </c>
      <c r="BH181" s="9" t="n">
        <v>0.06567010358777441</v>
      </c>
      <c r="BI181" s="9" t="n">
        <v>0.0640283509980801</v>
      </c>
      <c r="BJ181" s="9" t="n">
        <v>20.69119728755188</v>
      </c>
      <c r="BK181" s="9" t="n">
        <v>19.40532297999997</v>
      </c>
      <c r="BL181" s="9" t="n">
        <v>20.92007820418593</v>
      </c>
      <c r="BM181" s="9" t="n">
        <v>20.39707624908128</v>
      </c>
      <c r="BN181" s="9" t="n">
        <v>318.1020873612164</v>
      </c>
      <c r="BO181" s="9" t="n">
        <v>298.2460825404</v>
      </c>
      <c r="BP181" s="9" t="n">
        <v>321.5267984597732</v>
      </c>
      <c r="BQ181" s="9" t="n">
        <v>313.4886284982789</v>
      </c>
      <c r="BR181" s="9" t="n">
        <v>439.1410673384727</v>
      </c>
      <c r="BS181" s="9" t="n">
        <v>28.06543269129211</v>
      </c>
      <c r="BT181" s="9" t="n">
        <v>26.441986608</v>
      </c>
      <c r="BU181" s="9" t="n">
        <v>28.5060149879246</v>
      </c>
      <c r="BV181" s="9" t="n">
        <v>27.79336461322648</v>
      </c>
      <c r="BW181" s="9" t="n">
        <v>90.52455305418482</v>
      </c>
      <c r="BX181" s="9" t="n">
        <v>149.6922623056242</v>
      </c>
      <c r="BY181" s="9" t="n">
        <v>89.61961125579026</v>
      </c>
      <c r="BZ181" s="9" t="n">
        <v>86.16713822829995</v>
      </c>
      <c r="CA181" s="9" t="n">
        <v>0.6670733318193055</v>
      </c>
      <c r="CB181" s="9" t="n">
        <v>73.15700667798306</v>
      </c>
      <c r="CC181" s="9" t="n">
        <v>6.985</v>
      </c>
      <c r="CD181" s="9" t="n">
        <v>3.967966219449846</v>
      </c>
      <c r="CE181" s="9" t="n">
        <v>1.533</v>
      </c>
      <c r="CF181" s="9" t="n">
        <v>4.043</v>
      </c>
      <c r="CG181" s="9" t="n">
        <v>120.566</v>
      </c>
      <c r="CH181" s="9" t="n">
        <v>73</v>
      </c>
      <c r="CI181" s="9" t="n">
        <v>0</v>
      </c>
      <c r="CJ181" s="9" t="n">
        <v>7.1</v>
      </c>
      <c r="CK181" s="9" t="n">
        <v>3.6</v>
      </c>
      <c r="CL181" s="9" t="n">
        <v>3.5</v>
      </c>
      <c r="CM181" s="9" t="n">
        <v>0.01</v>
      </c>
      <c r="CN181" s="9" t="n">
        <v>80.13</v>
      </c>
      <c r="CO181" s="9" t="n">
        <v>0.02</v>
      </c>
      <c r="CP181" s="9" t="n">
        <v>186.021</v>
      </c>
      <c r="CQ181" s="9" t="n">
        <v>227.448</v>
      </c>
      <c r="CR181" s="9" t="n">
        <v>3</v>
      </c>
      <c r="CS181" s="9" t="n">
        <v>3</v>
      </c>
      <c r="CT181" s="9" t="n">
        <v>0.5</v>
      </c>
      <c r="CU181" s="9" t="n">
        <v>0.3</v>
      </c>
      <c r="CV181" s="9" t="n">
        <v>0.6</v>
      </c>
      <c r="CW181" s="9" t="n">
        <v>0.8</v>
      </c>
      <c r="CX181" s="9" t="n">
        <v>0.8</v>
      </c>
      <c r="CY181" s="9" t="n">
        <v>0.7</v>
      </c>
      <c r="CZ181" s="9" t="n">
        <v>0.5</v>
      </c>
      <c r="DA181" s="9" t="n">
        <v>0.5</v>
      </c>
      <c r="DB181" s="9" t="n">
        <v>1</v>
      </c>
      <c r="DC181" s="9" t="n">
        <v>0.3</v>
      </c>
      <c r="DD181" s="9" t="n">
        <v>0.8</v>
      </c>
      <c r="DE181" s="9" t="n">
        <v>0.5296507975557146</v>
      </c>
      <c r="DF181" s="9" t="n">
        <v>2</v>
      </c>
      <c r="DG181" s="9" t="n">
        <v>3.373</v>
      </c>
      <c r="DH181" s="9" t="n">
        <v>2.049</v>
      </c>
      <c r="DI181" s="9" t="n">
        <v>6.21528</v>
      </c>
      <c r="DJ181" s="9" t="n">
        <v>17.77725224083856</v>
      </c>
      <c r="DK181" s="9" t="n">
        <v>25.07630883157839</v>
      </c>
      <c r="DL181" s="9" t="n">
        <v>15.10073306134616</v>
      </c>
      <c r="DM181" s="9" t="n">
        <v>23.04453752279126</v>
      </c>
      <c r="DN181" s="9" t="n">
        <v>8.065</v>
      </c>
      <c r="DO181" s="9" t="n">
        <v>7.403</v>
      </c>
      <c r="DP181" s="9" t="n">
        <v>13.96176</v>
      </c>
      <c r="DQ181" s="9" t="n">
        <v>13.49474620847193</v>
      </c>
      <c r="DR181" s="9" t="n">
        <v>13.49474620847193</v>
      </c>
      <c r="DS181" s="9" t="n">
        <v>0.105</v>
      </c>
    </row>
    <row r="182">
      <c r="A182" s="9" t="inlineStr">
        <is>
          <t>VNM</t>
        </is>
      </c>
      <c r="B182" s="9" t="inlineStr">
        <is>
          <t>Viet Nam</t>
        </is>
      </c>
      <c r="C182" s="9" t="n">
        <v>0.005</v>
      </c>
      <c r="D182" s="9" t="n">
        <v>0.005</v>
      </c>
      <c r="E182" s="9" t="n">
        <v>0.01</v>
      </c>
      <c r="F182" s="9" t="n">
        <v>0.005</v>
      </c>
      <c r="G182" s="9" t="n">
        <v>0.005</v>
      </c>
      <c r="H182" s="9" t="n">
        <v>0.01</v>
      </c>
      <c r="I182" s="9" t="n">
        <v>0.005</v>
      </c>
      <c r="J182" s="9" t="n">
        <v>0.005</v>
      </c>
      <c r="K182" s="9" t="n">
        <v>0.01</v>
      </c>
      <c r="L182" s="9" t="n">
        <v>0.01</v>
      </c>
      <c r="M182" s="9" t="n">
        <v>0.005</v>
      </c>
      <c r="N182" s="9" t="n">
        <v>3.393037</v>
      </c>
      <c r="O182" s="9" t="n">
        <v>2.120322</v>
      </c>
      <c r="P182" s="9" t="n">
        <v>51.918243</v>
      </c>
      <c r="Q182" s="9" t="n">
        <v>9.757102725579358</v>
      </c>
      <c r="R182" s="9" t="n">
        <v>2.818579720638472</v>
      </c>
      <c r="S182" s="9" t="n">
        <v>6.91594951115735</v>
      </c>
      <c r="T182" s="9" t="n">
        <v>1.193885641648983</v>
      </c>
      <c r="U182" s="9" t="n">
        <v>0.135997</v>
      </c>
      <c r="V182" s="9" t="n">
        <v>0.190135</v>
      </c>
      <c r="W182" s="9" t="n">
        <v>0.09317400000000001</v>
      </c>
      <c r="X182" s="9" t="n">
        <v>3.388917897183031</v>
      </c>
      <c r="Y182" s="9" t="n">
        <v>3.388917897183031</v>
      </c>
      <c r="Z182" s="9" t="n">
        <v>1.754619168740873</v>
      </c>
      <c r="AA182" s="9" t="n">
        <v>0</v>
      </c>
      <c r="AB182" s="9" t="n">
        <v>0</v>
      </c>
      <c r="AC182" s="9" t="n">
        <v>0</v>
      </c>
      <c r="AD182" s="9" t="n">
        <v>3</v>
      </c>
      <c r="AE182" s="9" t="n">
        <v>38.43919683039433</v>
      </c>
      <c r="AF182" s="9" t="n">
        <v>291.761</v>
      </c>
      <c r="AG182" s="9" t="n">
        <v>784.7586699798248</v>
      </c>
      <c r="AH182" s="9" t="n">
        <v>851.1729523956</v>
      </c>
      <c r="AI182" s="9" t="n">
        <v>768.8929003306919</v>
      </c>
      <c r="AJ182" s="9" t="n">
        <v>744.8649971953579</v>
      </c>
      <c r="AK182" s="9" t="n">
        <v>691.4064933035661</v>
      </c>
      <c r="AL182" s="9" t="n">
        <v>23.07662744913679</v>
      </c>
      <c r="AM182" s="9" t="n">
        <v>25.0777848168</v>
      </c>
      <c r="AN182" s="9" t="n">
        <v>22.653598951176</v>
      </c>
      <c r="AO182" s="9" t="n">
        <v>21.94567398395175</v>
      </c>
      <c r="AP182" s="9" t="n">
        <v>179.2510436243365</v>
      </c>
      <c r="AQ182" s="9" t="n">
        <v>192.14367082</v>
      </c>
      <c r="AR182" s="9" t="n">
        <v>173.5697826407334</v>
      </c>
      <c r="AS182" s="9" t="n">
        <v>168.1457269332104</v>
      </c>
      <c r="AT182" s="9" t="n">
        <v>588.0268281023144</v>
      </c>
      <c r="AU182" s="9" t="n">
        <v>543.7828442268</v>
      </c>
      <c r="AV182" s="9" t="n">
        <v>534.5801649332342</v>
      </c>
      <c r="AW182" s="9" t="n">
        <v>561.0397476151051</v>
      </c>
      <c r="AX182" s="9" t="n">
        <v>281.2544160127114</v>
      </c>
      <c r="AY182" s="9" t="n">
        <v>261.4287868524</v>
      </c>
      <c r="AZ182" s="9" t="n">
        <v>255.6975480763596</v>
      </c>
      <c r="BA182" s="9" t="n">
        <v>268.3512544874119</v>
      </c>
      <c r="BB182" s="9" t="n">
        <v>222.604020457454</v>
      </c>
      <c r="BC182" s="9" t="n">
        <v>167.6846414727784</v>
      </c>
      <c r="BD182" s="9" t="n">
        <v>298.2369037591718</v>
      </c>
      <c r="BE182" s="9" t="n">
        <v>205.8972377044698</v>
      </c>
      <c r="BF182" s="9" t="n">
        <v>21.29631266038468</v>
      </c>
      <c r="BG182" s="9" t="n">
        <v>22.11123175133925</v>
      </c>
      <c r="BH182" s="9" t="n">
        <v>19.97381268204313</v>
      </c>
      <c r="BI182" s="9" t="n">
        <v>19.34963103572928</v>
      </c>
      <c r="BJ182" s="9" t="n">
        <v>83.52307773157558</v>
      </c>
      <c r="BK182" s="9" t="n">
        <v>91.37883421517844</v>
      </c>
      <c r="BL182" s="9" t="n">
        <v>82.54554690771121</v>
      </c>
      <c r="BM182" s="9" t="n">
        <v>79.96599856684526</v>
      </c>
      <c r="BN182" s="9" t="n">
        <v>31.50355990313579</v>
      </c>
      <c r="BO182" s="9" t="n">
        <v>34.15380006600001</v>
      </c>
      <c r="BP182" s="9" t="n">
        <v>30.85226605962</v>
      </c>
      <c r="BQ182" s="9" t="n">
        <v>29.88813274525687</v>
      </c>
      <c r="BR182" s="9" t="n">
        <v>567.7311180947484</v>
      </c>
      <c r="BS182" s="9" t="n">
        <v>0.756235957207503</v>
      </c>
      <c r="BT182" s="9" t="n">
        <v>0.8196289019999999</v>
      </c>
      <c r="BU182" s="9" t="n">
        <v>0.74039810814</v>
      </c>
      <c r="BV182" s="9" t="n">
        <v>0.717260667260625</v>
      </c>
      <c r="BW182" s="9" t="n">
        <v>178.1348800593415</v>
      </c>
      <c r="BX182" s="9" t="n">
        <v>175.2071736948214</v>
      </c>
      <c r="BY182" s="9" t="n">
        <v>163.1821607636907</v>
      </c>
      <c r="BZ182" s="9" t="n">
        <v>158.656175425307</v>
      </c>
      <c r="CA182" s="9" t="n">
        <v>0.8184108766463728</v>
      </c>
      <c r="CB182" s="9" t="n">
        <v>241.4670122541739</v>
      </c>
      <c r="CC182" s="9" t="n">
        <v>0.643</v>
      </c>
      <c r="CD182" s="9" t="n">
        <v>-1.395043592570803</v>
      </c>
      <c r="CE182" s="9" t="n">
        <v>8.019</v>
      </c>
      <c r="CF182" s="9" t="n">
        <v>7.1</v>
      </c>
      <c r="CG182" s="9" t="n">
        <v>459.448</v>
      </c>
      <c r="CH182" s="9" t="n">
        <v>103.382</v>
      </c>
      <c r="CI182" s="9" t="n">
        <v>150.043</v>
      </c>
      <c r="CJ182" s="9" t="n">
        <v>169.945</v>
      </c>
      <c r="CK182" s="9" t="n">
        <v>19.28</v>
      </c>
      <c r="CL182" s="9" t="n">
        <v>0.622</v>
      </c>
      <c r="CM182" s="9" t="n">
        <v>22.869</v>
      </c>
      <c r="CN182" s="9" t="n">
        <v>310.557</v>
      </c>
      <c r="CO182" s="9" t="n">
        <v>14.36</v>
      </c>
      <c r="CP182" s="9" t="n">
        <v>455.866</v>
      </c>
      <c r="CQ182" s="9" t="n">
        <v>444.589</v>
      </c>
      <c r="CR182" s="9" t="n">
        <v>3</v>
      </c>
      <c r="CS182" s="9" t="n">
        <v>2</v>
      </c>
      <c r="CT182" s="9" t="n">
        <v>0.5</v>
      </c>
      <c r="CU182" s="9" t="n">
        <v>0.3</v>
      </c>
      <c r="CV182" s="9" t="n">
        <v>0.6</v>
      </c>
      <c r="CW182" s="9" t="n">
        <v>0.8</v>
      </c>
      <c r="CX182" s="9" t="n">
        <v>0.8</v>
      </c>
      <c r="CY182" s="9" t="n">
        <v>0.7</v>
      </c>
      <c r="CZ182" s="9" t="n">
        <v>0.5</v>
      </c>
      <c r="DA182" s="9" t="n">
        <v>0.5</v>
      </c>
      <c r="DB182" s="9" t="n">
        <v>1</v>
      </c>
      <c r="DC182" s="9" t="n">
        <v>0.3</v>
      </c>
      <c r="DD182" s="9" t="n">
        <v>0.8</v>
      </c>
      <c r="DE182" s="9" t="n">
        <v>0.2776161104451061</v>
      </c>
      <c r="DF182" s="9" t="n">
        <v>3</v>
      </c>
      <c r="DG182" s="9" t="n">
        <v>7.243</v>
      </c>
      <c r="DH182" s="9" t="n">
        <v>6.771</v>
      </c>
      <c r="DI182" s="9" t="n">
        <v>8.424899999999999</v>
      </c>
      <c r="DJ182" s="9" t="n">
        <v>19.83424672189631</v>
      </c>
      <c r="DK182" s="9" t="n">
        <v>22.59673649275059</v>
      </c>
      <c r="DL182" s="9" t="n">
        <v>18.99926452164773</v>
      </c>
      <c r="DM182" s="9" t="n">
        <v>21.30999368134685</v>
      </c>
      <c r="DN182" s="9" t="n">
        <v>5.219</v>
      </c>
      <c r="DO182" s="9" t="n">
        <v>4.558</v>
      </c>
      <c r="DP182" s="9" t="n">
        <v>10.109</v>
      </c>
      <c r="DQ182" s="9" t="n">
        <v>14.11516989415954</v>
      </c>
      <c r="DR182" s="9" t="n">
        <v>14.11516989415954</v>
      </c>
      <c r="DS182" s="9" t="n">
        <v>0.0931000000000001</v>
      </c>
    </row>
    <row r="183">
      <c r="A183" s="9" t="inlineStr">
        <is>
          <t>VUT</t>
        </is>
      </c>
      <c r="B183" s="9" t="inlineStr">
        <is>
          <t>Vanuatu</t>
        </is>
      </c>
      <c r="C183" s="9" t="n">
        <v>0.005</v>
      </c>
      <c r="D183" s="9" t="n">
        <v>0.005</v>
      </c>
      <c r="E183" s="9" t="n">
        <v>0.01</v>
      </c>
      <c r="F183" s="9" t="n">
        <v>0.005</v>
      </c>
      <c r="G183" s="9" t="n">
        <v>0.005</v>
      </c>
      <c r="H183" s="9" t="n">
        <v>0.01</v>
      </c>
      <c r="I183" s="9" t="n">
        <v>0.005</v>
      </c>
      <c r="J183" s="9" t="n">
        <v>0.005</v>
      </c>
      <c r="K183" s="9" t="n">
        <v>0.01</v>
      </c>
      <c r="L183" s="9" t="n">
        <v>0.01</v>
      </c>
      <c r="M183" s="9" t="n">
        <v>0.005</v>
      </c>
      <c r="N183" s="9" t="n">
        <v>0.005692</v>
      </c>
      <c r="O183" s="9" t="n">
        <v>0.001675</v>
      </c>
      <c r="P183" s="9" t="n">
        <v>0.116589</v>
      </c>
      <c r="Q183" s="9" t="n">
        <v>0.0152030328844014</v>
      </c>
      <c r="R183" s="9" t="n">
        <v>0.0040606535822113</v>
      </c>
      <c r="S183" s="9" t="n">
        <v>0.0077618300402158</v>
      </c>
      <c r="T183" s="9" t="n">
        <v>0.0015128188974043</v>
      </c>
      <c r="U183" s="9" t="n">
        <v>0.000379</v>
      </c>
      <c r="V183" s="9" t="n">
        <v>0.000215</v>
      </c>
      <c r="W183" s="9" t="n">
        <v>0.00058</v>
      </c>
      <c r="X183" s="9" t="n">
        <v>4.306780082937803e-05</v>
      </c>
      <c r="Y183" s="9" t="n">
        <v>4.306780082937803e-05</v>
      </c>
      <c r="Z183" s="9" t="n">
        <v>0.004830999913934121</v>
      </c>
      <c r="AA183" s="9" t="n">
        <v>0.02</v>
      </c>
      <c r="AB183" s="9" t="n">
        <v>0</v>
      </c>
      <c r="AC183" s="9" t="n">
        <v>0</v>
      </c>
      <c r="AD183" s="9" t="n">
        <v>0</v>
      </c>
      <c r="AE183" s="9" t="n">
        <v>0</v>
      </c>
      <c r="AF183" s="9" t="n">
        <v>0.233</v>
      </c>
      <c r="AG183" s="9" t="n">
        <v>0</v>
      </c>
      <c r="AH183" s="9" t="n">
        <v>0</v>
      </c>
      <c r="AI183" s="9" t="n">
        <v>0</v>
      </c>
      <c r="AJ183" s="9" t="n">
        <v>0</v>
      </c>
      <c r="AK183" s="9" t="n">
        <v>0</v>
      </c>
      <c r="AL183" s="9" t="n">
        <v>0</v>
      </c>
      <c r="AM183" s="9" t="n">
        <v>0</v>
      </c>
      <c r="AN183" s="9" t="n">
        <v>0</v>
      </c>
      <c r="AO183" s="9" t="n">
        <v>0</v>
      </c>
      <c r="AP183" s="9" t="n">
        <v>2.177990706157231</v>
      </c>
      <c r="AQ183" s="9" t="n">
        <v>1.93182883</v>
      </c>
      <c r="AR183" s="9" t="n">
        <v>1.9825393367875</v>
      </c>
      <c r="AS183" s="9" t="n">
        <v>1.994930207642423</v>
      </c>
      <c r="AT183" s="9" t="n">
        <v>0.1408417079307584</v>
      </c>
      <c r="AU183" s="9" t="n">
        <v>0.13869696096</v>
      </c>
      <c r="AV183" s="9" t="n">
        <v>0.1340523856132665</v>
      </c>
      <c r="AW183" s="9" t="n">
        <v>0.1369866986915434</v>
      </c>
      <c r="AX183" s="9" t="n">
        <v>0.108419339460915</v>
      </c>
      <c r="AY183" s="9" t="n">
        <v>0.10557099936</v>
      </c>
      <c r="AZ183" s="9" t="n">
        <v>0.1031929484162139</v>
      </c>
      <c r="BA183" s="9" t="n">
        <v>0.1054517699712231</v>
      </c>
      <c r="BB183" s="9" t="n">
        <v>0.5110067131850647</v>
      </c>
      <c r="BC183" s="9" t="n">
        <v>0.5583138711378985</v>
      </c>
      <c r="BD183" s="9" t="n">
        <v>0.3867319859504697</v>
      </c>
      <c r="BE183" s="9" t="n">
        <v>0.4736707157337421</v>
      </c>
      <c r="BF183" s="9" t="n">
        <v>0.0036133427020639</v>
      </c>
      <c r="BG183" s="9" t="n">
        <v>0.0034401191385072</v>
      </c>
      <c r="BH183" s="9" t="n">
        <v>0.003530422265893</v>
      </c>
      <c r="BI183" s="9" t="n">
        <v>0.0035524874050548</v>
      </c>
      <c r="BJ183" s="9" t="n">
        <v>0.099596363589342</v>
      </c>
      <c r="BK183" s="9" t="n">
        <v>0.0920268575079871</v>
      </c>
      <c r="BL183" s="9" t="n">
        <v>0.0944425625175718</v>
      </c>
      <c r="BM183" s="9" t="n">
        <v>0.09503282853330659</v>
      </c>
      <c r="BN183" s="9" t="n">
        <v>0</v>
      </c>
      <c r="BO183" s="9" t="n">
        <v>0</v>
      </c>
      <c r="BP183" s="9" t="n">
        <v>0</v>
      </c>
      <c r="BQ183" s="9" t="n">
        <v>0</v>
      </c>
      <c r="BR183" s="9" t="n">
        <v>0</v>
      </c>
      <c r="BS183" s="9" t="n">
        <v>0</v>
      </c>
      <c r="BT183" s="9" t="n">
        <v>0</v>
      </c>
      <c r="BU183" s="9" t="n">
        <v>0</v>
      </c>
      <c r="BV183" s="9" t="n">
        <v>0</v>
      </c>
      <c r="BW183" s="9" t="n">
        <v>0.4727040596688415</v>
      </c>
      <c r="BX183" s="9" t="n">
        <v>0.515479960329803</v>
      </c>
      <c r="BY183" s="9" t="n">
        <v>0.4990687752554739</v>
      </c>
      <c r="BZ183" s="9" t="n">
        <v>0.4865107150559908</v>
      </c>
      <c r="CA183" s="9" t="n">
        <v>0.9999993024276392</v>
      </c>
      <c r="CB183" s="9" t="n">
        <v>0.06923917983102039</v>
      </c>
      <c r="CC183" s="9" t="n">
        <v>0</v>
      </c>
      <c r="CD183" s="9" t="n">
        <v>-2.777777777777779</v>
      </c>
      <c r="CE183" s="9" t="n">
        <v>3.053</v>
      </c>
      <c r="CF183" s="9" t="n">
        <v>3.528</v>
      </c>
      <c r="CG183" s="9" t="n">
        <v>1.265</v>
      </c>
      <c r="CH183" s="9" t="n">
        <v>0.01</v>
      </c>
      <c r="CI183" s="9" t="n">
        <v>0</v>
      </c>
      <c r="CJ183" s="9" t="n">
        <v>0.06</v>
      </c>
      <c r="CK183" s="9" t="n">
        <v>0</v>
      </c>
      <c r="CL183" s="9" t="n">
        <v>0.06</v>
      </c>
      <c r="CM183" s="9" t="n">
        <v>0.01</v>
      </c>
      <c r="CN183" s="9" t="n">
        <v>0.08</v>
      </c>
      <c r="CO183" s="9" t="n">
        <v>0</v>
      </c>
      <c r="CP183" s="9" t="n">
        <v>0.654</v>
      </c>
      <c r="CQ183" s="9" t="n">
        <v>0.654</v>
      </c>
      <c r="CR183" s="9" t="n">
        <v>3</v>
      </c>
      <c r="CS183" s="9" t="n">
        <v>2</v>
      </c>
      <c r="CT183" s="9" t="n">
        <v>0.5</v>
      </c>
      <c r="CU183" s="9" t="n">
        <v>0.3</v>
      </c>
      <c r="CV183" s="9" t="n">
        <v>0.6</v>
      </c>
      <c r="CW183" s="9" t="n">
        <v>0.8</v>
      </c>
      <c r="CX183" s="9" t="n">
        <v>0.8</v>
      </c>
      <c r="CY183" s="9" t="n">
        <v>0.7</v>
      </c>
      <c r="CZ183" s="9" t="n">
        <v>0.5</v>
      </c>
      <c r="DA183" s="9" t="n">
        <v>0.5</v>
      </c>
      <c r="DB183" s="9" t="n">
        <v>1</v>
      </c>
      <c r="DC183" s="9" t="n">
        <v>0.3</v>
      </c>
      <c r="DD183" s="9" t="n">
        <v>0.8</v>
      </c>
      <c r="DE183" s="9" t="n">
        <v>1.018518518518518</v>
      </c>
      <c r="DF183" s="9" t="n">
        <v>1</v>
      </c>
      <c r="DG183" s="9" t="n">
        <v>7.124</v>
      </c>
      <c r="DH183" s="9" t="n">
        <v>4.833</v>
      </c>
      <c r="DI183" s="9" t="n">
        <v>13.16865</v>
      </c>
      <c r="DJ183" s="9" t="n">
        <v>20.50789927601924</v>
      </c>
      <c r="DK183" s="9" t="n">
        <v>22.22653070912166</v>
      </c>
      <c r="DL183" s="9" t="n">
        <v>19.8628674544499</v>
      </c>
      <c r="DM183" s="9" t="n">
        <v>22.75046880327274</v>
      </c>
      <c r="DN183" s="9" t="n">
        <v>13.543</v>
      </c>
      <c r="DO183" s="9" t="n">
        <v>12.219</v>
      </c>
      <c r="DP183" s="9" t="n">
        <v>24.7066</v>
      </c>
      <c r="DQ183" s="9" t="n">
        <v>14.11516989415954</v>
      </c>
      <c r="DR183" s="9" t="n">
        <v>14.11516989415954</v>
      </c>
      <c r="DS183" s="9" t="n">
        <v>0.105</v>
      </c>
    </row>
    <row r="184">
      <c r="A184" s="9" t="inlineStr">
        <is>
          <t>WSM</t>
        </is>
      </c>
      <c r="B184" s="9" t="inlineStr">
        <is>
          <t>Samoa</t>
        </is>
      </c>
      <c r="C184" s="9" t="n">
        <v>0.005</v>
      </c>
      <c r="D184" s="9" t="n">
        <v>0.005</v>
      </c>
      <c r="E184" s="9" t="n">
        <v>0.01</v>
      </c>
      <c r="F184" s="9" t="n">
        <v>0.005</v>
      </c>
      <c r="G184" s="9" t="n">
        <v>0.005</v>
      </c>
      <c r="H184" s="9" t="n">
        <v>0.01</v>
      </c>
      <c r="I184" s="9" t="n">
        <v>0.005</v>
      </c>
      <c r="J184" s="9" t="n">
        <v>0.005</v>
      </c>
      <c r="K184" s="9" t="n">
        <v>0.01</v>
      </c>
      <c r="L184" s="9" t="n">
        <v>0.01</v>
      </c>
      <c r="M184" s="9" t="n">
        <v>0.005</v>
      </c>
      <c r="N184" s="9" t="n">
        <v>0.031573</v>
      </c>
      <c r="O184" s="9" t="n">
        <v>0.010278</v>
      </c>
      <c r="P184" s="9" t="n">
        <v>0.456253</v>
      </c>
      <c r="Q184" s="9" t="n">
        <v>0.1217583286209294</v>
      </c>
      <c r="R184" s="9" t="n">
        <v>0.0380042859912598</v>
      </c>
      <c r="S184" s="9" t="n">
        <v>0.0412728027394411</v>
      </c>
      <c r="T184" s="9" t="n">
        <v>0.0094260254376731</v>
      </c>
      <c r="U184" s="9" t="n">
        <v>0.00225</v>
      </c>
      <c r="V184" s="9" t="n">
        <v>0.001319</v>
      </c>
      <c r="W184" s="9" t="n">
        <v>0.002411</v>
      </c>
      <c r="X184" s="9" t="n">
        <v>8.2772743170419e-05</v>
      </c>
      <c r="Y184" s="9" t="n">
        <v>8.2772743170419e-05</v>
      </c>
      <c r="Z184" s="9" t="n">
        <v>0.004491111382439942</v>
      </c>
      <c r="AA184" s="9" t="n">
        <v>0.05</v>
      </c>
      <c r="AB184" s="9" t="n">
        <v>0.02</v>
      </c>
      <c r="AC184" s="9" t="n">
        <v>0</v>
      </c>
      <c r="AD184" s="9" t="n">
        <v>0</v>
      </c>
      <c r="AE184" s="9" t="n">
        <v>0</v>
      </c>
      <c r="AF184" s="9" t="n">
        <v>0.375</v>
      </c>
      <c r="AG184" s="9" t="n">
        <v>0</v>
      </c>
      <c r="AH184" s="9" t="n">
        <v>0</v>
      </c>
      <c r="AI184" s="9" t="n">
        <v>0</v>
      </c>
      <c r="AJ184" s="9" t="n">
        <v>0</v>
      </c>
      <c r="AK184" s="9" t="n">
        <v>0</v>
      </c>
      <c r="AL184" s="9" t="n">
        <v>0</v>
      </c>
      <c r="AM184" s="9" t="n">
        <v>0</v>
      </c>
      <c r="AN184" s="9" t="n">
        <v>0</v>
      </c>
      <c r="AO184" s="9" t="n">
        <v>0</v>
      </c>
      <c r="AP184" s="9" t="n">
        <v>0.7612757880052272</v>
      </c>
      <c r="AQ184" s="9" t="n">
        <v>0.6817968000000001</v>
      </c>
      <c r="AR184" s="9" t="n">
        <v>0.7012767085714284</v>
      </c>
      <c r="AS184" s="9" t="n">
        <v>0.7082894756571428</v>
      </c>
      <c r="AT184" s="9" t="n">
        <v>0.371690453523384</v>
      </c>
      <c r="AU184" s="9" t="n">
        <v>0.3700708333199997</v>
      </c>
      <c r="AV184" s="9" t="n">
        <v>0.3240350226421081</v>
      </c>
      <c r="AW184" s="9" t="n">
        <v>0.3488525364038088</v>
      </c>
      <c r="AX184" s="9" t="n">
        <v>0.1886621421154145</v>
      </c>
      <c r="AY184" s="9" t="n">
        <v>0.1789019639999999</v>
      </c>
      <c r="AZ184" s="9" t="n">
        <v>0.1644732623950238</v>
      </c>
      <c r="BA184" s="9" t="n">
        <v>0.1770701027601119</v>
      </c>
      <c r="BB184" s="9" t="n">
        <v>1.694010838083689</v>
      </c>
      <c r="BC184" s="9" t="n">
        <v>1.984236072241025</v>
      </c>
      <c r="BD184" s="9" t="n">
        <v>1.193032108</v>
      </c>
      <c r="BE184" s="9" t="n">
        <v>1.573732856957941</v>
      </c>
      <c r="BF184" s="9" t="n">
        <v>0.0402552112538383</v>
      </c>
      <c r="BG184" s="9" t="n">
        <v>0.0374866059413293</v>
      </c>
      <c r="BH184" s="9" t="n">
        <v>0.0385576518253673</v>
      </c>
      <c r="BI184" s="9" t="n">
        <v>0.0389432283436209</v>
      </c>
      <c r="BJ184" s="9" t="n">
        <v>0.1059183436396809</v>
      </c>
      <c r="BK184" s="9" t="n">
        <v>0.09424153354632581</v>
      </c>
      <c r="BL184" s="9" t="n">
        <v>0.09693414879050651</v>
      </c>
      <c r="BM184" s="9" t="n">
        <v>0.0979034902784116</v>
      </c>
      <c r="BN184" s="9" t="n">
        <v>0</v>
      </c>
      <c r="BO184" s="9" t="n">
        <v>0</v>
      </c>
      <c r="BP184" s="9" t="n">
        <v>0</v>
      </c>
      <c r="BQ184" s="9" t="n">
        <v>0</v>
      </c>
      <c r="BR184" s="9" t="n">
        <v>0</v>
      </c>
      <c r="BS184" s="9" t="n">
        <v>0</v>
      </c>
      <c r="BT184" s="9" t="n">
        <v>0</v>
      </c>
      <c r="BU184" s="9" t="n">
        <v>0</v>
      </c>
      <c r="BV184" s="9" t="n">
        <v>0</v>
      </c>
      <c r="BW184" s="9" t="n">
        <v>1.403607350004566</v>
      </c>
      <c r="BX184" s="9" t="n">
        <v>1.400885210262759</v>
      </c>
      <c r="BY184" s="9" t="n">
        <v>1.242485372018576</v>
      </c>
      <c r="BZ184" s="9" t="n">
        <v>1.361264766527593</v>
      </c>
      <c r="CA184" s="9" t="n">
        <v>1.000000499509689</v>
      </c>
      <c r="CB184" s="9" t="n">
        <v>0.1556534987885551</v>
      </c>
      <c r="CC184" s="9" t="n">
        <v>0</v>
      </c>
      <c r="CD184" s="9" t="n">
        <v>-1.102941176470592</v>
      </c>
      <c r="CE184" s="9" t="n">
        <v>4.204</v>
      </c>
      <c r="CF184" s="9" t="n">
        <v>3.208</v>
      </c>
      <c r="CG184" s="9" t="n">
        <v>1.176</v>
      </c>
      <c r="CH184" s="9" t="n">
        <v>0.04</v>
      </c>
      <c r="CI184" s="9" t="n">
        <v>0</v>
      </c>
      <c r="CJ184" s="9" t="n">
        <v>0.09</v>
      </c>
      <c r="CK184" s="9" t="n">
        <v>0</v>
      </c>
      <c r="CL184" s="9" t="n">
        <v>0.09</v>
      </c>
      <c r="CM184" s="9" t="n">
        <v>0.03</v>
      </c>
      <c r="CN184" s="9" t="n">
        <v>0.16</v>
      </c>
      <c r="CO184" s="9" t="n">
        <v>0</v>
      </c>
      <c r="CP184" s="9" t="n">
        <v>0.585</v>
      </c>
      <c r="CQ184" s="9" t="n">
        <v>0.6860000000000001</v>
      </c>
      <c r="CR184" s="9" t="n">
        <v>3</v>
      </c>
      <c r="CS184" s="9" t="n">
        <v>3</v>
      </c>
      <c r="CT184" s="9" t="n">
        <v>0.5</v>
      </c>
      <c r="CU184" s="9" t="n">
        <v>0.3</v>
      </c>
      <c r="CV184" s="9" t="n">
        <v>0.6</v>
      </c>
      <c r="CW184" s="9" t="n">
        <v>0.8</v>
      </c>
      <c r="CX184" s="9" t="n">
        <v>0.8</v>
      </c>
      <c r="CY184" s="9" t="n">
        <v>0.7</v>
      </c>
      <c r="CZ184" s="9" t="n">
        <v>0.5</v>
      </c>
      <c r="DA184" s="9" t="n">
        <v>0.5</v>
      </c>
      <c r="DB184" s="9" t="n">
        <v>1</v>
      </c>
      <c r="DC184" s="9" t="n">
        <v>0.3</v>
      </c>
      <c r="DD184" s="9" t="n">
        <v>0.8</v>
      </c>
      <c r="DE184" s="9" t="n">
        <v>0.7054589082183563</v>
      </c>
      <c r="DF184" s="9" t="n">
        <v>2</v>
      </c>
      <c r="DG184" s="9" t="n">
        <v>7.124</v>
      </c>
      <c r="DH184" s="9" t="n">
        <v>4.833</v>
      </c>
      <c r="DI184" s="9" t="n">
        <v>13.16865</v>
      </c>
      <c r="DJ184" s="9" t="n">
        <v>19.95083012045253</v>
      </c>
      <c r="DK184" s="9" t="n">
        <v>23.67761384557048</v>
      </c>
      <c r="DL184" s="9" t="n">
        <v>19.59014376754197</v>
      </c>
      <c r="DM184" s="9" t="n">
        <v>21.64347327265416</v>
      </c>
      <c r="DN184" s="9" t="n">
        <v>12.541</v>
      </c>
      <c r="DO184" s="9" t="n">
        <v>11.218</v>
      </c>
      <c r="DP184" s="9" t="n">
        <v>23.55545</v>
      </c>
      <c r="DQ184" s="9" t="n">
        <v>14.11516989415954</v>
      </c>
      <c r="DR184" s="9" t="n">
        <v>14.11516989415954</v>
      </c>
      <c r="DS184" s="9" t="n">
        <v>0.105</v>
      </c>
    </row>
    <row r="185">
      <c r="A185" s="9" t="inlineStr">
        <is>
          <t>XKX</t>
        </is>
      </c>
      <c r="B185" s="9" t="inlineStr">
        <is>
          <t>Kosovo</t>
        </is>
      </c>
      <c r="C185" s="9" t="n">
        <v>0.005</v>
      </c>
      <c r="D185" s="9" t="n">
        <v>0.005</v>
      </c>
      <c r="E185" s="9" t="n">
        <v>0.01</v>
      </c>
      <c r="F185" s="9" t="n">
        <v>0.005</v>
      </c>
      <c r="G185" s="9" t="n">
        <v>0.005</v>
      </c>
      <c r="H185" s="9" t="n">
        <v>0.01</v>
      </c>
      <c r="I185" s="9" t="n">
        <v>0.005</v>
      </c>
      <c r="J185" s="9" t="n">
        <v>0.005</v>
      </c>
      <c r="K185" s="9" t="n">
        <v>0.01</v>
      </c>
      <c r="L185" s="9" t="n">
        <v>0.01</v>
      </c>
      <c r="M185" s="9" t="n">
        <v>0.005</v>
      </c>
      <c r="N185" s="9" t="n">
        <v>0</v>
      </c>
      <c r="O185" s="9" t="n">
        <v>0</v>
      </c>
      <c r="P185" s="9" t="n">
        <v>0</v>
      </c>
      <c r="Q185" s="9" t="n">
        <v>0</v>
      </c>
      <c r="R185" s="9" t="n">
        <v>0</v>
      </c>
      <c r="S185" s="9" t="n">
        <v>0</v>
      </c>
      <c r="T185" s="9" t="n">
        <v>0</v>
      </c>
      <c r="U185" s="9" t="n">
        <v>0</v>
      </c>
      <c r="V185" s="9" t="n">
        <v>0</v>
      </c>
      <c r="W185" s="9" t="n">
        <v>0</v>
      </c>
      <c r="X185" s="9" t="n">
        <v>0</v>
      </c>
      <c r="Y185" s="9" t="n">
        <v>0</v>
      </c>
      <c r="Z185" s="9" t="n">
        <v>0.04277248935657087</v>
      </c>
      <c r="AA185" s="9" t="n">
        <v>1.33</v>
      </c>
      <c r="AB185" s="9" t="n">
        <v>0</v>
      </c>
      <c r="AC185" s="9" t="n">
        <v>0</v>
      </c>
      <c r="AD185" s="9" t="n">
        <v>0</v>
      </c>
      <c r="AE185" s="9" t="n">
        <v>0</v>
      </c>
      <c r="AF185" s="9" t="n">
        <v>8.673999999999999</v>
      </c>
      <c r="AG185" s="9" t="n">
        <v>0.8098814349303812</v>
      </c>
      <c r="AH185" s="9" t="n">
        <v>0.7973718732</v>
      </c>
      <c r="AI185" s="9" t="n">
        <v>0.7973718732</v>
      </c>
      <c r="AJ185" s="9" t="n">
        <v>0.7973718732</v>
      </c>
      <c r="AK185" s="9" t="n">
        <v>61.91984408849035</v>
      </c>
      <c r="AL185" s="9" t="n">
        <v>0.6208584944852534</v>
      </c>
      <c r="AM185" s="9" t="n">
        <v>0.6095603988</v>
      </c>
      <c r="AN185" s="9" t="n">
        <v>0.6095603988</v>
      </c>
      <c r="AO185" s="9" t="n">
        <v>0.6095603988</v>
      </c>
      <c r="AP185" s="9" t="n">
        <v>18.43221898833658</v>
      </c>
      <c r="AQ185" s="9" t="n">
        <v>16.45847503</v>
      </c>
      <c r="AR185" s="9" t="n">
        <v>16.45847503</v>
      </c>
      <c r="AS185" s="9" t="n">
        <v>16.45847503</v>
      </c>
      <c r="AT185" s="9" t="n">
        <v>9.821454918003392</v>
      </c>
      <c r="AU185" s="9" t="n">
        <v>8.8524819972</v>
      </c>
      <c r="AV185" s="9" t="n">
        <v>9.190057789732368</v>
      </c>
      <c r="AW185" s="9" t="n">
        <v>10.2317575295311</v>
      </c>
      <c r="AX185" s="9" t="n">
        <v>13.26133907483426</v>
      </c>
      <c r="AY185" s="9" t="n">
        <v>12.034830996</v>
      </c>
      <c r="AZ185" s="9" t="n">
        <v>12.40880027291703</v>
      </c>
      <c r="BA185" s="9" t="n">
        <v>13.8153468160687</v>
      </c>
      <c r="BB185" s="9" t="n">
        <v>2.632398143185952</v>
      </c>
      <c r="BC185" s="9" t="n">
        <v>2.35324646</v>
      </c>
      <c r="BD185" s="9" t="n">
        <v>2.242939679608722</v>
      </c>
      <c r="BE185" s="9" t="n">
        <v>2.35324646</v>
      </c>
      <c r="BF185" s="9" t="n">
        <v>0</v>
      </c>
      <c r="BG185" s="9" t="n">
        <v>0</v>
      </c>
      <c r="BH185" s="9" t="n">
        <v>0</v>
      </c>
      <c r="BI185" s="9" t="n">
        <v>0</v>
      </c>
      <c r="BJ185" s="9" t="n">
        <v>0.2911530643460567</v>
      </c>
      <c r="BK185" s="9" t="n">
        <v>0.2708248098461068</v>
      </c>
      <c r="BL185" s="9" t="n">
        <v>0.2708248098461068</v>
      </c>
      <c r="BM185" s="9" t="n">
        <v>0.2708248098461068</v>
      </c>
      <c r="BN185" s="9" t="n">
        <v>0</v>
      </c>
      <c r="BO185" s="9" t="n">
        <v>0</v>
      </c>
      <c r="BP185" s="9" t="n">
        <v>0</v>
      </c>
      <c r="BQ185" s="9" t="n">
        <v>0</v>
      </c>
      <c r="BR185" s="9" t="n">
        <v>0</v>
      </c>
      <c r="BS185" s="9" t="n">
        <v>0</v>
      </c>
      <c r="BT185" s="9" t="n">
        <v>0</v>
      </c>
      <c r="BU185" s="9" t="n">
        <v>0</v>
      </c>
      <c r="BV185" s="9" t="n">
        <v>0</v>
      </c>
      <c r="BW185" s="9" t="n">
        <v>13.79589338086459</v>
      </c>
      <c r="BX185" s="9" t="n">
        <v>11.98721730892827</v>
      </c>
      <c r="BY185" s="9" t="n">
        <v>11.7943427002074</v>
      </c>
      <c r="BZ185" s="9" t="n">
        <v>11.81116253594021</v>
      </c>
      <c r="CA185" s="9" t="n">
        <v>0.9211474190157892</v>
      </c>
      <c r="CB185" s="9" t="n">
        <v>6.41188722023268</v>
      </c>
      <c r="CC185" s="9" t="n">
        <v>0.185</v>
      </c>
      <c r="CD185" s="9" t="n">
        <v>1.463531689582376</v>
      </c>
      <c r="CE185" s="9" t="n">
        <v>3.591</v>
      </c>
      <c r="CF185" s="9" t="n">
        <v>3.3</v>
      </c>
      <c r="CG185" s="9" t="n">
        <v>11.2</v>
      </c>
      <c r="CH185" s="9" t="n">
        <v>0.24</v>
      </c>
      <c r="CI185" s="9" t="n">
        <v>5.22</v>
      </c>
      <c r="CJ185" s="9" t="n">
        <v>5.23</v>
      </c>
      <c r="CK185" s="9" t="n">
        <v>0</v>
      </c>
      <c r="CL185" s="9" t="n">
        <v>0.01</v>
      </c>
      <c r="CM185" s="9" t="n">
        <v>0.01</v>
      </c>
      <c r="CN185" s="9" t="n">
        <v>5.87</v>
      </c>
      <c r="CO185" s="9" t="n">
        <v>0.39</v>
      </c>
      <c r="CP185" s="9" t="n">
        <v>8.673999999999999</v>
      </c>
      <c r="CQ185" s="9" t="n">
        <v>8.673999999999999</v>
      </c>
      <c r="CR185" s="9" t="n">
        <v>3</v>
      </c>
      <c r="CS185" s="9" t="n">
        <v>2</v>
      </c>
      <c r="CT185" s="9" t="n">
        <v>0.5</v>
      </c>
      <c r="CU185" s="9" t="n">
        <v>0.3</v>
      </c>
      <c r="CV185" s="9" t="n">
        <v>0.6</v>
      </c>
      <c r="CW185" s="9" t="n">
        <v>0.8</v>
      </c>
      <c r="CX185" s="9" t="n">
        <v>0.8</v>
      </c>
      <c r="CY185" s="9" t="n">
        <v>0.7</v>
      </c>
      <c r="CZ185" s="9" t="n">
        <v>0.5</v>
      </c>
      <c r="DA185" s="9" t="n">
        <v>0.5</v>
      </c>
      <c r="DB185" s="9" t="n">
        <v>1</v>
      </c>
      <c r="DC185" s="9" t="n">
        <v>0.3</v>
      </c>
      <c r="DD185" s="9" t="n">
        <v>0.8</v>
      </c>
      <c r="DE185" s="9" t="n">
        <v>0.3707136237256719</v>
      </c>
      <c r="DF185" s="9" t="n">
        <v>2</v>
      </c>
      <c r="DG185" s="9" t="n">
        <v>3.402</v>
      </c>
      <c r="DH185" s="9" t="n">
        <v>2.067</v>
      </c>
      <c r="DI185" s="9" t="n">
        <v>6.37436</v>
      </c>
      <c r="DJ185" s="9" t="n">
        <v>21.14637303094581</v>
      </c>
      <c r="DK185" s="9" t="n">
        <v>23.93723830946412</v>
      </c>
      <c r="DL185" s="9" t="n">
        <v>15.65611451797798</v>
      </c>
      <c r="DM185" s="9" t="n">
        <v>20.58570254154343</v>
      </c>
      <c r="DN185" s="9" t="n">
        <v>12.815</v>
      </c>
      <c r="DO185" s="9" t="n">
        <v>11.492</v>
      </c>
      <c r="DP185" s="9" t="n">
        <v>24.49326</v>
      </c>
      <c r="DQ185" s="9" t="n">
        <v>13.49474620847193</v>
      </c>
      <c r="DR185" s="9" t="n">
        <v>13.49474620847193</v>
      </c>
      <c r="DS185" s="9" t="n">
        <v>0.105</v>
      </c>
    </row>
    <row r="186">
      <c r="A186" s="9" t="inlineStr">
        <is>
          <t>YEM</t>
        </is>
      </c>
      <c r="B186" s="9" t="inlineStr">
        <is>
          <t>Yemen, Rep.</t>
        </is>
      </c>
      <c r="C186" s="9" t="n">
        <v>0.005</v>
      </c>
      <c r="D186" s="9" t="n">
        <v>0.005</v>
      </c>
      <c r="E186" s="9" t="n">
        <v>0.01</v>
      </c>
      <c r="F186" s="9" t="n">
        <v>0.005</v>
      </c>
      <c r="G186" s="9" t="n">
        <v>0.005</v>
      </c>
      <c r="H186" s="9" t="n">
        <v>0.01</v>
      </c>
      <c r="I186" s="9" t="n">
        <v>0.005</v>
      </c>
      <c r="J186" s="9" t="n">
        <v>0.005</v>
      </c>
      <c r="K186" s="9" t="n">
        <v>0.01</v>
      </c>
      <c r="L186" s="9" t="n">
        <v>0.01</v>
      </c>
      <c r="M186" s="9" t="n">
        <v>0.005</v>
      </c>
      <c r="N186" s="9" t="n">
        <v>2.086559</v>
      </c>
      <c r="O186" s="9" t="n">
        <v>0.284208</v>
      </c>
      <c r="P186" s="9" t="n">
        <v>0.341157</v>
      </c>
      <c r="Q186" s="9" t="n">
        <v>2.280696250642509</v>
      </c>
      <c r="R186" s="9" t="n">
        <v>0.4702065271288834</v>
      </c>
      <c r="S186" s="9" t="n">
        <v>0.2217552193400908</v>
      </c>
      <c r="T186" s="9" t="n">
        <v>0.2635020197453226</v>
      </c>
      <c r="U186" s="9" t="n">
        <v>0.094528</v>
      </c>
      <c r="V186" s="9" t="n">
        <v>0.002283</v>
      </c>
      <c r="W186" s="9" t="n">
        <v>0.000696</v>
      </c>
      <c r="X186" s="9" t="n">
        <v>2.935342643117476</v>
      </c>
      <c r="Y186" s="9" t="n">
        <v>2.935342643117476</v>
      </c>
      <c r="Z186" s="9" t="n">
        <v>0.03077327850314715</v>
      </c>
      <c r="AA186" s="9" t="n">
        <v>2.24</v>
      </c>
      <c r="AB186" s="9" t="n">
        <v>0.4</v>
      </c>
      <c r="AC186" s="9" t="n">
        <v>0</v>
      </c>
      <c r="AD186" s="9" t="n">
        <v>0</v>
      </c>
      <c r="AE186" s="9" t="n">
        <v>0</v>
      </c>
      <c r="AF186" s="9" t="n">
        <v>13.135</v>
      </c>
      <c r="AG186" s="9" t="n">
        <v>3.098240283683254</v>
      </c>
      <c r="AH186" s="9" t="n">
        <v>2.784284802</v>
      </c>
      <c r="AI186" s="9" t="n">
        <v>2.771910202879999</v>
      </c>
      <c r="AJ186" s="9" t="n">
        <v>2.895106211896888</v>
      </c>
      <c r="AK186" s="9" t="n">
        <v>0</v>
      </c>
      <c r="AL186" s="9" t="n">
        <v>0</v>
      </c>
      <c r="AM186" s="9" t="n">
        <v>0</v>
      </c>
      <c r="AN186" s="9" t="n">
        <v>0</v>
      </c>
      <c r="AO186" s="9" t="n">
        <v>0</v>
      </c>
      <c r="AP186" s="9" t="n">
        <v>8.728247317073517</v>
      </c>
      <c r="AQ186" s="9" t="n">
        <v>8.20208841</v>
      </c>
      <c r="AR186" s="9" t="n">
        <v>8.165634683733334</v>
      </c>
      <c r="AS186" s="9" t="n">
        <v>8.528551780788149</v>
      </c>
      <c r="AT186" s="9" t="n">
        <v>1.609504267842052</v>
      </c>
      <c r="AU186" s="9" t="n">
        <v>1.2214109772</v>
      </c>
      <c r="AV186" s="9" t="n">
        <v>1.188905740508048</v>
      </c>
      <c r="AW186" s="9" t="n">
        <v>1.219659080885122</v>
      </c>
      <c r="AX186" s="9" t="n">
        <v>9.411271517809062</v>
      </c>
      <c r="AY186" s="9" t="n">
        <v>7.0887799368</v>
      </c>
      <c r="AZ186" s="9" t="n">
        <v>6.951901250939162</v>
      </c>
      <c r="BA186" s="9" t="n">
        <v>7.131725587010233</v>
      </c>
      <c r="BB186" s="9" t="n">
        <v>30.57819845894743</v>
      </c>
      <c r="BC186" s="9" t="n">
        <v>28.35784144237372</v>
      </c>
      <c r="BD186" s="9" t="n">
        <v>29.34477394</v>
      </c>
      <c r="BE186" s="9" t="n">
        <v>30.06215179210272</v>
      </c>
      <c r="BF186" s="9" t="n">
        <v>4.560824749802304</v>
      </c>
      <c r="BG186" s="9" t="n">
        <v>4.394297226252379</v>
      </c>
      <c r="BH186" s="9" t="n">
        <v>4.374767016357922</v>
      </c>
      <c r="BI186" s="9" t="n">
        <v>4.569201105973832</v>
      </c>
      <c r="BJ186" s="9" t="n">
        <v>26.97869255194498</v>
      </c>
      <c r="BK186" s="9" t="n">
        <v>25.22600393999996</v>
      </c>
      <c r="BL186" s="9" t="n">
        <v>25.11388836693328</v>
      </c>
      <c r="BM186" s="9" t="n">
        <v>26.23006118324144</v>
      </c>
      <c r="BN186" s="9" t="n">
        <v>0</v>
      </c>
      <c r="BO186" s="9" t="n">
        <v>0</v>
      </c>
      <c r="BP186" s="9" t="n">
        <v>0</v>
      </c>
      <c r="BQ186" s="9" t="n">
        <v>0</v>
      </c>
      <c r="BR186" s="9" t="n">
        <v>22.85488339019762</v>
      </c>
      <c r="BS186" s="9" t="n">
        <v>0</v>
      </c>
      <c r="BT186" s="9" t="n">
        <v>0</v>
      </c>
      <c r="BU186" s="9" t="n">
        <v>0</v>
      </c>
      <c r="BV186" s="9" t="n">
        <v>0</v>
      </c>
      <c r="BW186" s="9" t="n">
        <v>30.1475959268553</v>
      </c>
      <c r="BX186" s="9" t="n">
        <v>43.01635246855146</v>
      </c>
      <c r="BY186" s="9" t="n">
        <v>26.74058123167167</v>
      </c>
      <c r="BZ186" s="9" t="n">
        <v>28.11584671265251</v>
      </c>
      <c r="CA186" s="9" t="n">
        <v>1.000000282567592</v>
      </c>
      <c r="CB186" s="9" t="n">
        <v>3.061326607125309</v>
      </c>
      <c r="CC186" s="9" t="n">
        <v>0</v>
      </c>
      <c r="CD186" s="9" t="n">
        <v>-1.961730811045877</v>
      </c>
      <c r="CE186" s="9" t="n">
        <v>-0.541</v>
      </c>
      <c r="CF186" s="9" t="n">
        <v>0.512</v>
      </c>
      <c r="CG186" s="9" t="n">
        <v>8.058</v>
      </c>
      <c r="CH186" s="9" t="n">
        <v>0</v>
      </c>
      <c r="CI186" s="9" t="n">
        <v>0</v>
      </c>
      <c r="CJ186" s="9" t="n">
        <v>4.659999999999999</v>
      </c>
      <c r="CK186" s="9" t="n">
        <v>0.06</v>
      </c>
      <c r="CL186" s="9" t="n">
        <v>4.6</v>
      </c>
      <c r="CM186" s="9" t="n">
        <v>0.59</v>
      </c>
      <c r="CN186" s="9" t="n">
        <v>5.25</v>
      </c>
      <c r="CO186" s="9" t="n">
        <v>0</v>
      </c>
      <c r="CP186" s="9" t="n">
        <v>40.539</v>
      </c>
      <c r="CQ186" s="9" t="n">
        <v>40.539</v>
      </c>
      <c r="CR186" s="9" t="n">
        <v>3</v>
      </c>
      <c r="CS186" s="9" t="n">
        <v>1</v>
      </c>
      <c r="CT186" s="9" t="n">
        <v>0.5</v>
      </c>
      <c r="CU186" s="9" t="n">
        <v>0.3</v>
      </c>
      <c r="CV186" s="9" t="n">
        <v>0.6</v>
      </c>
      <c r="CW186" s="9" t="n">
        <v>0.8</v>
      </c>
      <c r="CX186" s="9" t="n">
        <v>0.8</v>
      </c>
      <c r="CY186" s="9" t="n">
        <v>0.7</v>
      </c>
      <c r="CZ186" s="9" t="n">
        <v>0.5</v>
      </c>
      <c r="DA186" s="9" t="n">
        <v>0.5</v>
      </c>
      <c r="DB186" s="9" t="n">
        <v>1</v>
      </c>
      <c r="DC186" s="9" t="n">
        <v>0.3</v>
      </c>
      <c r="DD186" s="9" t="n">
        <v>0.8</v>
      </c>
      <c r="DE186" s="9" t="n">
        <v>0.2755342793639938</v>
      </c>
      <c r="DF186" s="9" t="n">
        <v>1</v>
      </c>
      <c r="DG186" s="9" t="n">
        <v>7.124</v>
      </c>
      <c r="DH186" s="9" t="n">
        <v>5.575</v>
      </c>
      <c r="DI186" s="9" t="n">
        <v>12.80265</v>
      </c>
      <c r="DJ186" s="9" t="n">
        <v>19.85821764147066</v>
      </c>
      <c r="DK186" s="9" t="n">
        <v>21.6186909024774</v>
      </c>
      <c r="DL186" s="9" t="n">
        <v>18.13566158884556</v>
      </c>
      <c r="DM186" s="9" t="n">
        <v>20.6587833313565</v>
      </c>
      <c r="DN186" s="9" t="n">
        <v>6.978</v>
      </c>
      <c r="DO186" s="9" t="n">
        <v>6.316</v>
      </c>
      <c r="DP186" s="9" t="n">
        <v>11.49645</v>
      </c>
      <c r="DQ186" s="9" t="n">
        <v>14.11516989415954</v>
      </c>
      <c r="DR186" s="9" t="n">
        <v>14.11516989415954</v>
      </c>
      <c r="DS186" s="9" t="n">
        <v>0.14592</v>
      </c>
    </row>
    <row r="187">
      <c r="A187" s="9" t="inlineStr">
        <is>
          <t>ZAF</t>
        </is>
      </c>
      <c r="B187" s="9" t="inlineStr">
        <is>
          <t>South Africa</t>
        </is>
      </c>
      <c r="C187" s="9" t="n">
        <v>0.005</v>
      </c>
      <c r="D187" s="9" t="n">
        <v>0.005</v>
      </c>
      <c r="E187" s="9" t="n">
        <v>0.01</v>
      </c>
      <c r="F187" s="9" t="n">
        <v>0.005</v>
      </c>
      <c r="G187" s="9" t="n">
        <v>0.005</v>
      </c>
      <c r="H187" s="9" t="n">
        <v>0.01</v>
      </c>
      <c r="I187" s="9" t="n">
        <v>0.005</v>
      </c>
      <c r="J187" s="9" t="n">
        <v>0.005</v>
      </c>
      <c r="K187" s="9" t="n">
        <v>0.01</v>
      </c>
      <c r="L187" s="9" t="n">
        <v>0.01</v>
      </c>
      <c r="M187" s="9" t="n">
        <v>0.005</v>
      </c>
      <c r="N187" s="9" t="n">
        <v>2.440059</v>
      </c>
      <c r="O187" s="9" t="n">
        <v>2.180488</v>
      </c>
      <c r="P187" s="9" t="n">
        <v>29.579767</v>
      </c>
      <c r="Q187" s="9" t="n">
        <v>7.049809908462727</v>
      </c>
      <c r="R187" s="9" t="n">
        <v>0.6829333017631816</v>
      </c>
      <c r="S187" s="9" t="n">
        <v>2.055427961844182</v>
      </c>
      <c r="T187" s="9" t="n">
        <v>1.923878944988778</v>
      </c>
      <c r="U187" s="9" t="n">
        <v>0.040243</v>
      </c>
      <c r="V187" s="9" t="n">
        <v>0.045998</v>
      </c>
      <c r="W187" s="9" t="n">
        <v>0.048962</v>
      </c>
      <c r="X187" s="9" t="n">
        <v>2.192439074462083</v>
      </c>
      <c r="Y187" s="9" t="n">
        <v>2.192439074462083</v>
      </c>
      <c r="Z187" s="9" t="n">
        <v>1.531698119747859</v>
      </c>
      <c r="AA187" s="9" t="n">
        <v>51.2</v>
      </c>
      <c r="AB187" s="9" t="n">
        <v>11.26</v>
      </c>
      <c r="AC187" s="9" t="n">
        <v>4.33</v>
      </c>
      <c r="AD187" s="9" t="n">
        <v>3</v>
      </c>
      <c r="AE187" s="9" t="n">
        <v>0.1248978511682042</v>
      </c>
      <c r="AF187" s="9" t="n">
        <v>407.218</v>
      </c>
      <c r="AG187" s="9" t="n">
        <v>954.820189868787</v>
      </c>
      <c r="AH187" s="9" t="n">
        <v>967.3050333384</v>
      </c>
      <c r="AI187" s="9" t="n">
        <v>1005.029929638598</v>
      </c>
      <c r="AJ187" s="9" t="n">
        <v>969.3970503150472</v>
      </c>
      <c r="AK187" s="9" t="n">
        <v>2392.894625196297</v>
      </c>
      <c r="AL187" s="9" t="n">
        <v>153.9465031602751</v>
      </c>
      <c r="AM187" s="9" t="n">
        <v>155.5357513968</v>
      </c>
      <c r="AN187" s="9" t="n">
        <v>161.6016457012752</v>
      </c>
      <c r="AO187" s="9" t="n">
        <v>155.87213280823</v>
      </c>
      <c r="AP187" s="9" t="n">
        <v>366.9421487802446</v>
      </c>
      <c r="AQ187" s="9" t="n">
        <v>365.2657137199999</v>
      </c>
      <c r="AR187" s="9" t="n">
        <v>379.5110765550799</v>
      </c>
      <c r="AS187" s="9" t="n">
        <v>366.0556838408545</v>
      </c>
      <c r="AT187" s="9" t="n">
        <v>492.974419019373</v>
      </c>
      <c r="AU187" s="9" t="n">
        <v>524.5814216160001</v>
      </c>
      <c r="AV187" s="9" t="n">
        <v>459.8789998141333</v>
      </c>
      <c r="AW187" s="9" t="n">
        <v>462.5476768301097</v>
      </c>
      <c r="AX187" s="9" t="n">
        <v>163.5915475074245</v>
      </c>
      <c r="AY187" s="9" t="n">
        <v>170.4774692592001</v>
      </c>
      <c r="AZ187" s="9" t="n">
        <v>152.5586494057282</v>
      </c>
      <c r="BA187" s="9" t="n">
        <v>153.4663251395434</v>
      </c>
      <c r="BB187" s="9" t="n">
        <v>281.1563278150035</v>
      </c>
      <c r="BC187" s="9" t="n">
        <v>289.6501088337062</v>
      </c>
      <c r="BD187" s="9" t="n">
        <v>273.5215127304777</v>
      </c>
      <c r="BE187" s="9" t="n">
        <v>276.7343492034314</v>
      </c>
      <c r="BF187" s="9" t="n">
        <v>25.22759791797901</v>
      </c>
      <c r="BG187" s="9" t="n">
        <v>23.92614581590115</v>
      </c>
      <c r="BH187" s="9" t="n">
        <v>24.85926550272128</v>
      </c>
      <c r="BI187" s="9" t="n">
        <v>23.97789154398845</v>
      </c>
      <c r="BJ187" s="9" t="n">
        <v>6.318543919744092</v>
      </c>
      <c r="BK187" s="9" t="n">
        <v>6.187884179999992</v>
      </c>
      <c r="BL187" s="9" t="n">
        <v>6.429211663019991</v>
      </c>
      <c r="BM187" s="9" t="n">
        <v>6.201266885876556</v>
      </c>
      <c r="BN187" s="9" t="n">
        <v>65.87658185693076</v>
      </c>
      <c r="BO187" s="9" t="n">
        <v>59.9376300876</v>
      </c>
      <c r="BP187" s="9" t="n">
        <v>62.2751976610164</v>
      </c>
      <c r="BQ187" s="9" t="n">
        <v>60.06725883485308</v>
      </c>
      <c r="BR187" s="9" t="n">
        <v>0</v>
      </c>
      <c r="BS187" s="9" t="n">
        <v>4.455468997094752</v>
      </c>
      <c r="BT187" s="9" t="n">
        <v>4.0277392812</v>
      </c>
      <c r="BU187" s="9" t="n">
        <v>4.1848211131668</v>
      </c>
      <c r="BV187" s="9" t="n">
        <v>4.036450182790886</v>
      </c>
      <c r="BW187" s="9" t="n">
        <v>205.5356277981877</v>
      </c>
      <c r="BX187" s="9" t="n">
        <v>232.1698298863498</v>
      </c>
      <c r="BY187" s="9" t="n">
        <v>208.6870346299679</v>
      </c>
      <c r="BZ187" s="9" t="n">
        <v>201.7125181528917</v>
      </c>
      <c r="CA187" s="9" t="n">
        <v>1.010240316981292</v>
      </c>
      <c r="CB187" s="9" t="n">
        <v>182.3794351463326</v>
      </c>
      <c r="CC187" s="9" t="n">
        <v>0</v>
      </c>
      <c r="CD187" s="9" t="n">
        <v>1.247302490858463</v>
      </c>
      <c r="CE187" s="9" t="n">
        <v>1.115</v>
      </c>
      <c r="CF187" s="9" t="n">
        <v>1.049</v>
      </c>
      <c r="CG187" s="9" t="n">
        <v>401.076</v>
      </c>
      <c r="CH187" s="9" t="n">
        <v>12.51</v>
      </c>
      <c r="CI187" s="9" t="n">
        <v>197.5</v>
      </c>
      <c r="CJ187" s="9" t="n">
        <v>199.45</v>
      </c>
      <c r="CK187" s="9" t="n">
        <v>0</v>
      </c>
      <c r="CL187" s="9" t="n">
        <v>1.95</v>
      </c>
      <c r="CM187" s="9" t="n">
        <v>19.48</v>
      </c>
      <c r="CN187" s="9" t="n">
        <v>242.76</v>
      </c>
      <c r="CO187" s="9" t="n">
        <v>11.32</v>
      </c>
      <c r="CP187" s="9" t="n">
        <v>540.307</v>
      </c>
      <c r="CQ187" s="9" t="n">
        <v>546.776</v>
      </c>
      <c r="CR187" s="9" t="n">
        <v>3</v>
      </c>
      <c r="CS187" s="9" t="n">
        <v>3</v>
      </c>
      <c r="CT187" s="9" t="n">
        <v>0.5</v>
      </c>
      <c r="CU187" s="9" t="n">
        <v>0.3</v>
      </c>
      <c r="CV187" s="9" t="n">
        <v>0.6</v>
      </c>
      <c r="CW187" s="9" t="n">
        <v>0.8</v>
      </c>
      <c r="CX187" s="9" t="n">
        <v>0.8</v>
      </c>
      <c r="CY187" s="9" t="n">
        <v>0.7</v>
      </c>
      <c r="CZ187" s="9" t="n">
        <v>0.5</v>
      </c>
      <c r="DA187" s="9" t="n">
        <v>0.5</v>
      </c>
      <c r="DB187" s="9" t="n">
        <v>1</v>
      </c>
      <c r="DC187" s="9" t="n">
        <v>0.3</v>
      </c>
      <c r="DD187" s="9" t="n">
        <v>0.8</v>
      </c>
      <c r="DE187" s="9" t="n">
        <v>0.4048230420774691</v>
      </c>
      <c r="DF187" s="9" t="n">
        <v>2</v>
      </c>
      <c r="DG187" s="9" t="n">
        <v>2.167</v>
      </c>
      <c r="DH187" s="9" t="n">
        <v>2.171</v>
      </c>
      <c r="DI187" s="9" t="n">
        <v>5.5913</v>
      </c>
      <c r="DJ187" s="9" t="n">
        <v>21.72188960560329</v>
      </c>
      <c r="DK187" s="9" t="n">
        <v>23.71610426614553</v>
      </c>
      <c r="DL187" s="9" t="n">
        <v>16.82113076886062</v>
      </c>
      <c r="DM187" s="9" t="n">
        <v>22.27071126165488</v>
      </c>
      <c r="DN187" s="9" t="n">
        <v>7.641</v>
      </c>
      <c r="DO187" s="9" t="n">
        <v>6.32</v>
      </c>
      <c r="DP187" s="9" t="n">
        <v>17.9078</v>
      </c>
      <c r="DQ187" s="9" t="n">
        <v>13.49474620847193</v>
      </c>
      <c r="DR187" s="9" t="n">
        <v>13.49474620847193</v>
      </c>
      <c r="DS187" s="9" t="n">
        <v>0.09152</v>
      </c>
    </row>
    <row r="188">
      <c r="A188" s="9" t="inlineStr">
        <is>
          <t>ZMB</t>
        </is>
      </c>
      <c r="B188" s="9" t="inlineStr">
        <is>
          <t>Zambia</t>
        </is>
      </c>
      <c r="C188" s="9" t="n">
        <v>0.005</v>
      </c>
      <c r="D188" s="9" t="n">
        <v>0.005</v>
      </c>
      <c r="E188" s="9" t="n">
        <v>0.01</v>
      </c>
      <c r="F188" s="9" t="n">
        <v>0.005</v>
      </c>
      <c r="G188" s="9" t="n">
        <v>0.005</v>
      </c>
      <c r="H188" s="9" t="n">
        <v>0.01</v>
      </c>
      <c r="I188" s="9" t="n">
        <v>0.005</v>
      </c>
      <c r="J188" s="9" t="n">
        <v>0.005</v>
      </c>
      <c r="K188" s="9" t="n">
        <v>0.01</v>
      </c>
      <c r="L188" s="9" t="n">
        <v>0.01</v>
      </c>
      <c r="M188" s="9" t="n">
        <v>0.005</v>
      </c>
      <c r="N188" s="9" t="n">
        <v>0.022215</v>
      </c>
      <c r="O188" s="9" t="n">
        <v>0.021069</v>
      </c>
      <c r="P188" s="9" t="n">
        <v>0.786216</v>
      </c>
      <c r="Q188" s="9" t="n">
        <v>0.1617903005722722</v>
      </c>
      <c r="R188" s="9" t="n">
        <v>0.0310840172103081</v>
      </c>
      <c r="S188" s="9" t="n">
        <v>0.0419880567021913</v>
      </c>
      <c r="T188" s="9" t="n">
        <v>0.0148178671489346</v>
      </c>
      <c r="U188" s="9" t="n">
        <v>0.00095</v>
      </c>
      <c r="V188" s="9" t="n">
        <v>0.000114</v>
      </c>
      <c r="W188" s="9" t="n">
        <v>0.001768</v>
      </c>
      <c r="X188" s="9" t="n">
        <v>0.0432400574611481</v>
      </c>
      <c r="Y188" s="9" t="n">
        <v>0.0432400574611481</v>
      </c>
      <c r="Z188" s="9" t="n">
        <v>0.09663145519547436</v>
      </c>
      <c r="AA188" s="9" t="n">
        <v>0.54</v>
      </c>
      <c r="AB188" s="9" t="n">
        <v>0.19</v>
      </c>
      <c r="AC188" s="9" t="n">
        <v>0</v>
      </c>
      <c r="AD188" s="9" t="n">
        <v>3</v>
      </c>
      <c r="AE188" s="9" t="n">
        <v>0</v>
      </c>
      <c r="AF188" s="9" t="n">
        <v>11.83</v>
      </c>
      <c r="AG188" s="9" t="n">
        <v>16.24039829820201</v>
      </c>
      <c r="AH188" s="9" t="n">
        <v>15.122344788</v>
      </c>
      <c r="AI188" s="9" t="n">
        <v>15.95063540768294</v>
      </c>
      <c r="AJ188" s="9" t="n">
        <v>15.62244847785689</v>
      </c>
      <c r="AK188" s="9" t="n">
        <v>42.9389159121947</v>
      </c>
      <c r="AL188" s="9" t="n">
        <v>0</v>
      </c>
      <c r="AM188" s="9" t="n">
        <v>0</v>
      </c>
      <c r="AN188" s="9" t="n">
        <v>0</v>
      </c>
      <c r="AO188" s="9" t="n">
        <v>0</v>
      </c>
      <c r="AP188" s="9" t="n">
        <v>21.18310651854947</v>
      </c>
      <c r="AQ188" s="9" t="n">
        <v>18.42343838000001</v>
      </c>
      <c r="AR188" s="9" t="n">
        <v>19.43253858280518</v>
      </c>
      <c r="AS188" s="9" t="n">
        <v>19.03271092621256</v>
      </c>
      <c r="AT188" s="9" t="n">
        <v>38.9957877576271</v>
      </c>
      <c r="AU188" s="9" t="n">
        <v>30.07460082600001</v>
      </c>
      <c r="AV188" s="9" t="n">
        <v>34.97132448356614</v>
      </c>
      <c r="AW188" s="9" t="n">
        <v>37.54264053386188</v>
      </c>
      <c r="AX188" s="9" t="n">
        <v>20.77156704411148</v>
      </c>
      <c r="AY188" s="9" t="n">
        <v>16.1182923984</v>
      </c>
      <c r="AZ188" s="9" t="n">
        <v>18.62933844503837</v>
      </c>
      <c r="BA188" s="9" t="n">
        <v>19.99878110538997</v>
      </c>
      <c r="BB188" s="9" t="n">
        <v>17.45899004400888</v>
      </c>
      <c r="BC188" s="9" t="n">
        <v>15.18396241041306</v>
      </c>
      <c r="BD188" s="9" t="n">
        <v>16.32098236748349</v>
      </c>
      <c r="BE188" s="9" t="n">
        <v>15.8349355882528</v>
      </c>
      <c r="BF188" s="9" t="n">
        <v>0</v>
      </c>
      <c r="BG188" s="9" t="n">
        <v>0</v>
      </c>
      <c r="BH188" s="9" t="n">
        <v>0</v>
      </c>
      <c r="BI188" s="9" t="n">
        <v>0</v>
      </c>
      <c r="BJ188" s="9" t="n">
        <v>0.0212922604196554</v>
      </c>
      <c r="BK188" s="9" t="n">
        <v>0.0195002599999999</v>
      </c>
      <c r="BL188" s="9" t="n">
        <v>0.0205683405566736</v>
      </c>
      <c r="BM188" s="9" t="n">
        <v>0.0201451435888801</v>
      </c>
      <c r="BN188" s="9" t="n">
        <v>0</v>
      </c>
      <c r="BO188" s="9" t="n">
        <v>0</v>
      </c>
      <c r="BP188" s="9" t="n">
        <v>0</v>
      </c>
      <c r="BQ188" s="9" t="n">
        <v>0</v>
      </c>
      <c r="BR188" s="9" t="n">
        <v>0</v>
      </c>
      <c r="BS188" s="9" t="n">
        <v>0</v>
      </c>
      <c r="BT188" s="9" t="n">
        <v>0</v>
      </c>
      <c r="BU188" s="9" t="n">
        <v>0</v>
      </c>
      <c r="BV188" s="9" t="n">
        <v>0</v>
      </c>
      <c r="BW188" s="9" t="n">
        <v>34.78792950605991</v>
      </c>
      <c r="BX188" s="9" t="n">
        <v>29.06471374613841</v>
      </c>
      <c r="BY188" s="9" t="n">
        <v>29.50968883945085</v>
      </c>
      <c r="BZ188" s="9" t="n">
        <v>28.89354542529885</v>
      </c>
      <c r="CA188" s="9" t="n">
        <v>0.5769971555070478</v>
      </c>
      <c r="CB188" s="9" t="n">
        <v>16.60204300048294</v>
      </c>
      <c r="CC188" s="9" t="n">
        <v>0.344</v>
      </c>
      <c r="CD188" s="9" t="n">
        <v>-1.503936983838448</v>
      </c>
      <c r="CE188" s="9" t="n">
        <v>3.758</v>
      </c>
      <c r="CF188" s="9" t="n">
        <v>4.287</v>
      </c>
      <c r="CG188" s="9" t="n">
        <v>25.303</v>
      </c>
      <c r="CH188" s="9" t="n">
        <v>17.08</v>
      </c>
      <c r="CI188" s="9" t="n">
        <v>2.13</v>
      </c>
      <c r="CJ188" s="9" t="n">
        <v>2.47</v>
      </c>
      <c r="CK188" s="9" t="n">
        <v>0</v>
      </c>
      <c r="CL188" s="9" t="n">
        <v>0.34</v>
      </c>
      <c r="CM188" s="9" t="n">
        <v>0.17</v>
      </c>
      <c r="CN188" s="9" t="n">
        <v>19.72</v>
      </c>
      <c r="CO188" s="9" t="n">
        <v>0</v>
      </c>
      <c r="CP188" s="9" t="n">
        <v>34.276</v>
      </c>
      <c r="CQ188" s="9" t="n">
        <v>82.986</v>
      </c>
      <c r="CR188" s="9" t="n">
        <v>3</v>
      </c>
      <c r="CS188" s="9" t="n">
        <v>2</v>
      </c>
      <c r="CT188" s="9" t="n">
        <v>0.5</v>
      </c>
      <c r="CU188" s="9" t="n">
        <v>0.3</v>
      </c>
      <c r="CV188" s="9" t="n">
        <v>0.6</v>
      </c>
      <c r="CW188" s="9" t="n">
        <v>0.8</v>
      </c>
      <c r="CX188" s="9" t="n">
        <v>0.8</v>
      </c>
      <c r="CY188" s="9" t="n">
        <v>0.7</v>
      </c>
      <c r="CZ188" s="9" t="n">
        <v>0.5</v>
      </c>
      <c r="DA188" s="9" t="n">
        <v>0.5</v>
      </c>
      <c r="DB188" s="9" t="n">
        <v>1</v>
      </c>
      <c r="DC188" s="9" t="n">
        <v>0.3</v>
      </c>
      <c r="DD188" s="9" t="n">
        <v>0.8</v>
      </c>
      <c r="DE188" s="9" t="n">
        <v>0.281235064631937</v>
      </c>
      <c r="DF188" s="9" t="n">
        <v>2</v>
      </c>
      <c r="DG188" s="9" t="n">
        <v>3.767</v>
      </c>
      <c r="DH188" s="9" t="n">
        <v>2.42</v>
      </c>
      <c r="DI188" s="9" t="n">
        <v>7.04932</v>
      </c>
      <c r="DJ188" s="9" t="n">
        <v>20.84805037861451</v>
      </c>
      <c r="DK188" s="9" t="n">
        <v>23.73091707287501</v>
      </c>
      <c r="DL188" s="9" t="n">
        <v>15.65611451797798</v>
      </c>
      <c r="DM188" s="9" t="n">
        <v>20.07056831186319</v>
      </c>
      <c r="DN188" s="9" t="n">
        <v>10.611</v>
      </c>
      <c r="DO188" s="9" t="n">
        <v>9.287000000000001</v>
      </c>
      <c r="DP188" s="9" t="n">
        <v>21.52032</v>
      </c>
      <c r="DQ188" s="9" t="n">
        <v>13.49474620847193</v>
      </c>
      <c r="DR188" s="9" t="n">
        <v>13.49474620847193</v>
      </c>
      <c r="DS188" s="9" t="n">
        <v>0.038</v>
      </c>
    </row>
    <row r="189">
      <c r="A189" s="9" t="inlineStr">
        <is>
          <t>ZWE</t>
        </is>
      </c>
      <c r="B189" s="9" t="inlineStr">
        <is>
          <t>Zimbabwe</t>
        </is>
      </c>
      <c r="C189" s="9" t="n">
        <v>0.005</v>
      </c>
      <c r="D189" s="9" t="n">
        <v>0.005</v>
      </c>
      <c r="E189" s="9" t="n">
        <v>0.01</v>
      </c>
      <c r="F189" s="9" t="n">
        <v>0.005</v>
      </c>
      <c r="G189" s="9" t="n">
        <v>0.005</v>
      </c>
      <c r="H189" s="9" t="n">
        <v>0.01</v>
      </c>
      <c r="I189" s="9" t="n">
        <v>0.005</v>
      </c>
      <c r="J189" s="9" t="n">
        <v>0.005</v>
      </c>
      <c r="K189" s="9" t="n">
        <v>0.01</v>
      </c>
      <c r="L189" s="9" t="n">
        <v>0.01</v>
      </c>
      <c r="M189" s="9" t="n">
        <v>0.005</v>
      </c>
      <c r="N189" s="9" t="n">
        <v>0.00447</v>
      </c>
      <c r="O189" s="9" t="n">
        <v>0.195791</v>
      </c>
      <c r="P189" s="9" t="n">
        <v>0.428912</v>
      </c>
      <c r="Q189" s="9" t="n">
        <v>0.0331141897923029</v>
      </c>
      <c r="R189" s="9" t="n">
        <v>0.006376941893191</v>
      </c>
      <c r="S189" s="9" t="n">
        <v>0.0245570527210923</v>
      </c>
      <c r="T189" s="9" t="n">
        <v>0.0081459479091002</v>
      </c>
      <c r="U189" s="9" t="n">
        <v>0.000194</v>
      </c>
      <c r="V189" s="9" t="n">
        <v>4.4e-05</v>
      </c>
      <c r="W189" s="9" t="n">
        <v>0.001004</v>
      </c>
      <c r="X189" s="9" t="n">
        <v>0.008730600869378999</v>
      </c>
      <c r="Y189" s="9" t="n">
        <v>0.008730600869378999</v>
      </c>
      <c r="Z189" s="9" t="n">
        <v>0.1877177626636504</v>
      </c>
      <c r="AA189" s="9" t="n">
        <v>1.68</v>
      </c>
      <c r="AB189" s="9" t="n">
        <v>0.1</v>
      </c>
      <c r="AC189" s="9" t="n">
        <v>0</v>
      </c>
      <c r="AD189" s="9" t="n">
        <v>3</v>
      </c>
      <c r="AE189" s="9" t="n">
        <v>0</v>
      </c>
      <c r="AF189" s="9" t="n">
        <v>9.654</v>
      </c>
      <c r="AG189" s="9" t="n">
        <v>10.66050742523673</v>
      </c>
      <c r="AH189" s="9" t="n">
        <v>10.6152378408</v>
      </c>
      <c r="AI189" s="9" t="n">
        <v>10.9761559273872</v>
      </c>
      <c r="AJ189" s="9" t="n">
        <v>10.47125275472739</v>
      </c>
      <c r="AK189" s="9" t="n">
        <v>43.40783080066326</v>
      </c>
      <c r="AL189" s="9" t="n">
        <v>5.036866107045149</v>
      </c>
      <c r="AM189" s="9" t="n">
        <v>5.0105152188</v>
      </c>
      <c r="AN189" s="9" t="n">
        <v>5.1808727362392</v>
      </c>
      <c r="AO189" s="9" t="n">
        <v>4.942552590372198</v>
      </c>
      <c r="AP189" s="9" t="n">
        <v>11.75871998569394</v>
      </c>
      <c r="AQ189" s="9" t="n">
        <v>12.04391198</v>
      </c>
      <c r="AR189" s="9" t="n">
        <v>12.45340498732</v>
      </c>
      <c r="AS189" s="9" t="n">
        <v>11.88054835790328</v>
      </c>
      <c r="AT189" s="9" t="n">
        <v>25.29196544029858</v>
      </c>
      <c r="AU189" s="9" t="n">
        <v>20.8029196656</v>
      </c>
      <c r="AV189" s="9" t="n">
        <v>22.1387084057976</v>
      </c>
      <c r="AW189" s="9" t="n">
        <v>24.1270472752722</v>
      </c>
      <c r="AX189" s="9" t="n">
        <v>11.02098235820371</v>
      </c>
      <c r="AY189" s="9" t="n">
        <v>9.072439722</v>
      </c>
      <c r="AZ189" s="9" t="n">
        <v>9.646949555962667</v>
      </c>
      <c r="BA189" s="9" t="n">
        <v>10.51336888008901</v>
      </c>
      <c r="BB189" s="9" t="n">
        <v>8.910860515101049</v>
      </c>
      <c r="BC189" s="9" t="n">
        <v>8.053481809020248</v>
      </c>
      <c r="BD189" s="9" t="n">
        <v>11.11672238022783</v>
      </c>
      <c r="BE189" s="9" t="n">
        <v>9.178862521268885</v>
      </c>
      <c r="BF189" s="9" t="n">
        <v>2.34007018323054</v>
      </c>
      <c r="BG189" s="9" t="n">
        <v>2.287951472588343</v>
      </c>
      <c r="BH189" s="9" t="n">
        <v>2.365741822656347</v>
      </c>
      <c r="BI189" s="9" t="n">
        <v>2.256917698814155</v>
      </c>
      <c r="BJ189" s="9" t="n">
        <v>2.809594541161264</v>
      </c>
      <c r="BK189" s="9" t="n">
        <v>2.688220199999998</v>
      </c>
      <c r="BL189" s="9" t="n">
        <v>2.779619686799997</v>
      </c>
      <c r="BM189" s="9" t="n">
        <v>2.651757181207198</v>
      </c>
      <c r="BN189" s="9" t="n">
        <v>0</v>
      </c>
      <c r="BO189" s="9" t="n">
        <v>0</v>
      </c>
      <c r="BP189" s="9" t="n">
        <v>0</v>
      </c>
      <c r="BQ189" s="9" t="n">
        <v>0</v>
      </c>
      <c r="BR189" s="9" t="n">
        <v>0</v>
      </c>
      <c r="BS189" s="9" t="n">
        <v>0</v>
      </c>
      <c r="BT189" s="9" t="n">
        <v>0</v>
      </c>
      <c r="BU189" s="9" t="n">
        <v>0</v>
      </c>
      <c r="BV189" s="9" t="n">
        <v>0</v>
      </c>
      <c r="BW189" s="9" t="n">
        <v>25.70450753430885</v>
      </c>
      <c r="BX189" s="9" t="n">
        <v>26.1578994057702</v>
      </c>
      <c r="BY189" s="9" t="n">
        <v>29.34896062570888</v>
      </c>
      <c r="BZ189" s="9" t="n">
        <v>26.82183922337999</v>
      </c>
      <c r="CA189" s="9" t="n">
        <v>0.8828692372501293</v>
      </c>
      <c r="CB189" s="9" t="n">
        <v>10.08692994402841</v>
      </c>
      <c r="CC189" s="9" t="n">
        <v>1.08</v>
      </c>
      <c r="CD189" s="9" t="n">
        <v>-4.532258516986968</v>
      </c>
      <c r="CE189" s="9" t="n">
        <v>7.54</v>
      </c>
      <c r="CF189" s="9" t="n">
        <v>4.972</v>
      </c>
      <c r="CG189" s="9" t="n">
        <v>49.154</v>
      </c>
      <c r="CH189" s="9" t="n">
        <v>5.82</v>
      </c>
      <c r="CI189" s="9" t="n">
        <v>4.4</v>
      </c>
      <c r="CJ189" s="9" t="n">
        <v>4.4</v>
      </c>
      <c r="CK189" s="9" t="n">
        <v>0</v>
      </c>
      <c r="CL189" s="9" t="n">
        <v>0</v>
      </c>
      <c r="CM189" s="9" t="n">
        <v>0.04</v>
      </c>
      <c r="CN189" s="9" t="n">
        <v>10.26</v>
      </c>
      <c r="CO189" s="9" t="n">
        <v>0</v>
      </c>
      <c r="CP189" s="9" t="n">
        <v>30.23</v>
      </c>
      <c r="CQ189" s="9" t="n">
        <v>113.046</v>
      </c>
      <c r="CR189" s="9" t="n">
        <v>3</v>
      </c>
      <c r="CS189" s="9" t="n">
        <v>1</v>
      </c>
      <c r="CT189" s="9" t="n">
        <v>0.5</v>
      </c>
      <c r="CU189" s="9" t="n">
        <v>0.3</v>
      </c>
      <c r="CV189" s="9" t="n">
        <v>0.6</v>
      </c>
      <c r="CW189" s="9" t="n">
        <v>0.8</v>
      </c>
      <c r="CX189" s="9" t="n">
        <v>0.8</v>
      </c>
      <c r="CY189" s="9" t="n">
        <v>0.7</v>
      </c>
      <c r="CZ189" s="9" t="n">
        <v>0.5</v>
      </c>
      <c r="DA189" s="9" t="n">
        <v>0.5</v>
      </c>
      <c r="DB189" s="9" t="n">
        <v>1</v>
      </c>
      <c r="DC189" s="9" t="n">
        <v>0.3</v>
      </c>
      <c r="DD189" s="9" t="n">
        <v>0.8</v>
      </c>
      <c r="DE189" s="9" t="n">
        <v>0.3921465383817593</v>
      </c>
      <c r="DF189" s="9" t="n">
        <v>2</v>
      </c>
      <c r="DG189" s="9" t="n">
        <v>3.374</v>
      </c>
      <c r="DH189" s="9" t="n">
        <v>2.051</v>
      </c>
      <c r="DI189" s="9" t="n">
        <v>6.138345</v>
      </c>
      <c r="DJ189" s="9" t="n">
        <v>20.52822361275006</v>
      </c>
      <c r="DK189" s="9" t="n">
        <v>22.34843610504396</v>
      </c>
      <c r="DL189" s="9" t="n">
        <v>17.52819904737051</v>
      </c>
      <c r="DM189" s="9" t="n">
        <v>22.78479815517538</v>
      </c>
      <c r="DN189" s="9" t="n">
        <v>12.782</v>
      </c>
      <c r="DO189" s="9" t="n">
        <v>11.458</v>
      </c>
      <c r="DP189" s="9" t="n">
        <v>23.72898</v>
      </c>
      <c r="DQ189" s="9" t="n">
        <v>14.36882371973756</v>
      </c>
      <c r="DR189" s="9" t="n">
        <v>14.36882371973756</v>
      </c>
      <c r="DS189" s="9" t="n">
        <v>0.105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89"/>
  <sheetViews>
    <sheetView zoomScale="90"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4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A1" s="1" t="inlineStr">
        <is>
          <t>PowerMarket: power sector structure and finance by country (data/power_market.csv)</t>
        </is>
      </c>
      <c r="B1" s="2" t="n"/>
      <c r="C1" s="2" t="n"/>
      <c r="D1" s="2" t="n"/>
      <c r="E1" s="2" t="n"/>
      <c r="F1" s="2" t="n"/>
      <c r="G1" s="2" t="n"/>
      <c r="H1" s="2" t="n"/>
      <c r="I1" s="2" t="n"/>
      <c r="J1" s="2" t="n"/>
      <c r="K1" s="2" t="n"/>
      <c r="L1" s="2" t="n"/>
      <c r="M1" s="2" t="n"/>
      <c r="N1" s="2" t="n"/>
      <c r="O1" s="2" t="n"/>
      <c r="P1" s="2" t="n"/>
      <c r="Q1" s="2" t="n"/>
      <c r="R1" s="2" t="n"/>
      <c r="S1" s="2" t="n"/>
      <c r="T1" s="2" t="n"/>
    </row>
    <row r="2">
      <c r="A2" s="6" t="inlineStr">
        <is>
          <t>Structure: Power Sector Reform Tracker 2013 (Urpelainen and Yang; 3 if wholesale market, 2 if IPPs, else 1), curated for countries PSRT does not cover and where it is out of date, raised to 2 where World Bank PPI shows two or more private generation projects 2014-2024. Cost recovery from the IMF CPAT 2024 panel. RISE 2023.</t>
        </is>
      </c>
    </row>
    <row r="3" ht="52" customHeight="1">
      <c r="A3" s="22" t="inlineStr">
        <is>
          <t>ISO3</t>
        </is>
      </c>
      <c r="B3" s="22" t="inlineStr">
        <is>
          <t>Market structure (1 VIU, 2 single buyer, 3 wholesale)</t>
        </is>
      </c>
      <c r="C3" s="22" t="inlineStr">
        <is>
          <t>Source</t>
        </is>
      </c>
      <c r="D3" s="22" t="inlineStr">
        <is>
          <t>Note</t>
        </is>
      </c>
      <c r="E3" s="22" t="inlineStr">
        <is>
          <t>Independent regulator</t>
        </is>
      </c>
      <c r="F3" s="22" t="inlineStr">
        <is>
          <t>Generation unbundled</t>
        </is>
      </c>
      <c r="G3" s="22" t="inlineStr">
        <is>
          <t>Privatisation</t>
        </is>
      </c>
      <c r="H3" s="22" t="inlineStr">
        <is>
          <t>Cost-reflective tariffs (PSRT)</t>
        </is>
      </c>
      <c r="I3" s="22" t="inlineStr">
        <is>
          <t>Cost recovery: retail price / supply cost (CPAT)</t>
        </is>
      </c>
      <c r="J3" s="22" t="inlineStr">
        <is>
          <t>Explicit electricity subsidy, % GDP</t>
        </is>
      </c>
      <c r="K3" s="22" t="inlineStr">
        <is>
          <t>Explicit fossil subsidies, % GDP</t>
        </is>
      </c>
      <c r="L3" s="22" t="inlineStr">
        <is>
          <t>PPI private electricity, USD bn a year 2015-24</t>
        </is>
      </c>
      <c r="M3" s="22" t="inlineStr">
        <is>
          <t>PPI private electricity, % GDP</t>
        </is>
      </c>
      <c r="N3" s="22" t="inlineStr">
        <is>
          <t>PPI generation projects 2015-24</t>
        </is>
      </c>
      <c r="O3" s="22" t="inlineStr">
        <is>
          <t>Solar and wind share of PPI generation</t>
        </is>
      </c>
      <c r="P3" s="22" t="inlineStr">
        <is>
          <t>Merchant share of PPI generation</t>
        </is>
      </c>
      <c r="Q3" s="22" t="inlineStr">
        <is>
          <t>Private distribution (PPI)</t>
        </is>
      </c>
      <c r="R3" s="22" t="inlineStr">
        <is>
          <t>Private transmission (PPI)</t>
        </is>
      </c>
      <c r="S3" s="22" t="inlineStr">
        <is>
          <t>RISE renewable energy score</t>
        </is>
      </c>
      <c r="T3" s="22" t="inlineStr">
        <is>
          <t>RISE levelling the playing field</t>
        </is>
      </c>
    </row>
    <row r="4">
      <c r="A4" s="9" t="inlineStr">
        <is>
          <t>ABW</t>
        </is>
      </c>
      <c r="B4" s="9" t="n">
        <v>1</v>
      </c>
      <c r="C4" s="9" t="inlineStr">
        <is>
          <t>PSRT 2013</t>
        </is>
      </c>
      <c r="D4" s="9" t="n"/>
      <c r="E4" s="9" t="n">
        <v>0</v>
      </c>
      <c r="F4" s="9" t="n">
        <v>0</v>
      </c>
      <c r="G4" s="9" t="n">
        <v>0</v>
      </c>
      <c r="H4" s="9" t="n">
        <v>0</v>
      </c>
      <c r="I4" s="9" t="n">
        <v>1.3703</v>
      </c>
      <c r="J4" s="9" t="n">
        <v>0</v>
      </c>
      <c r="K4" s="9" t="n">
        <v>0</v>
      </c>
      <c r="L4" s="9" t="n">
        <v>0</v>
      </c>
      <c r="M4" s="9" t="n">
        <v>0</v>
      </c>
      <c r="N4" s="9" t="n">
        <v>0</v>
      </c>
      <c r="O4" s="9" t="n"/>
      <c r="P4" s="9" t="n"/>
      <c r="Q4" s="9" t="n">
        <v>0</v>
      </c>
      <c r="R4" s="9" t="n">
        <v>0</v>
      </c>
      <c r="S4" s="9" t="n"/>
      <c r="T4" s="9" t="n"/>
    </row>
    <row r="5">
      <c r="A5" s="9" t="inlineStr">
        <is>
          <t>AFG</t>
        </is>
      </c>
      <c r="B5" s="9" t="n">
        <v>2</v>
      </c>
      <c r="C5" s="9" t="inlineStr">
        <is>
          <t>PSRT 2013, curated update</t>
        </is>
      </c>
      <c r="D5" s="9" t="inlineStr">
        <is>
          <t>PSRT codes a market; DABS buys imports and IPP power (single buyer)</t>
        </is>
      </c>
      <c r="E5" s="9" t="n">
        <v>0</v>
      </c>
      <c r="F5" s="9" t="n">
        <v>0</v>
      </c>
      <c r="G5" s="9" t="n">
        <v>0</v>
      </c>
      <c r="H5" s="9" t="n">
        <v>0</v>
      </c>
      <c r="I5" s="9" t="n">
        <v>0.3022</v>
      </c>
      <c r="J5" s="9" t="n">
        <v>0.2066</v>
      </c>
      <c r="K5" s="9" t="n">
        <v>1.383</v>
      </c>
      <c r="L5" s="9" t="n">
        <v>0.0251</v>
      </c>
      <c r="M5" s="9" t="n">
        <v>0.1407</v>
      </c>
      <c r="N5" s="9" t="n">
        <v>4</v>
      </c>
      <c r="O5" s="9" t="n">
        <v>0.184</v>
      </c>
      <c r="P5" s="9" t="n">
        <v>0</v>
      </c>
      <c r="Q5" s="9" t="n">
        <v>0</v>
      </c>
      <c r="R5" s="9" t="n">
        <v>0</v>
      </c>
      <c r="S5" s="9" t="n">
        <v>12.116</v>
      </c>
      <c r="T5" s="9" t="n">
        <v>0</v>
      </c>
    </row>
    <row r="6">
      <c r="A6" s="9" t="inlineStr">
        <is>
          <t>AGO</t>
        </is>
      </c>
      <c r="B6" s="9" t="n">
        <v>2</v>
      </c>
      <c r="C6" s="9" t="inlineStr">
        <is>
          <t>PSRT 2013, PPI update</t>
        </is>
      </c>
      <c r="D6" s="9" t="inlineStr">
        <is>
          <t>2 private generation projects 2014-2024 (PPI)</t>
        </is>
      </c>
      <c r="E6" s="9" t="n">
        <v>1</v>
      </c>
      <c r="F6" s="9" t="n">
        <v>0</v>
      </c>
      <c r="G6" s="9" t="n">
        <v>0</v>
      </c>
      <c r="H6" s="9" t="n">
        <v>0</v>
      </c>
      <c r="I6" s="9" t="n">
        <v>0.08400000000000001</v>
      </c>
      <c r="J6" s="9" t="n">
        <v>0.4155</v>
      </c>
      <c r="K6" s="9" t="n">
        <v>3.212</v>
      </c>
      <c r="L6" s="9" t="n">
        <v>0.1739</v>
      </c>
      <c r="M6" s="9" t="n">
        <v>0.1455</v>
      </c>
      <c r="N6" s="9" t="n">
        <v>2</v>
      </c>
      <c r="O6" s="9" t="n">
        <v>0.92</v>
      </c>
      <c r="P6" s="9" t="n">
        <v>0</v>
      </c>
      <c r="Q6" s="9" t="n">
        <v>0</v>
      </c>
      <c r="R6" s="9" t="n">
        <v>0</v>
      </c>
      <c r="S6" s="9" t="n">
        <v>28.259</v>
      </c>
      <c r="T6" s="9" t="n">
        <v>0</v>
      </c>
    </row>
    <row r="7">
      <c r="A7" s="9" t="inlineStr">
        <is>
          <t>ALB</t>
        </is>
      </c>
      <c r="B7" s="9" t="n">
        <v>3</v>
      </c>
      <c r="C7" s="9" t="inlineStr">
        <is>
          <t>PSRT 2013</t>
        </is>
      </c>
      <c r="D7" s="9" t="n"/>
      <c r="E7" s="9" t="n">
        <v>1</v>
      </c>
      <c r="F7" s="9" t="n">
        <v>1</v>
      </c>
      <c r="G7" s="9" t="n">
        <v>1</v>
      </c>
      <c r="H7" s="9" t="n">
        <v>0</v>
      </c>
      <c r="I7" s="9" t="n">
        <v>1.0202</v>
      </c>
      <c r="J7" s="9" t="n">
        <v>0</v>
      </c>
      <c r="K7" s="9" t="n">
        <v>0</v>
      </c>
      <c r="L7" s="9" t="n">
        <v>0.0187</v>
      </c>
      <c r="M7" s="9" t="n">
        <v>0.0692</v>
      </c>
      <c r="N7" s="9" t="n">
        <v>2</v>
      </c>
      <c r="O7" s="9" t="n">
        <v>1</v>
      </c>
      <c r="P7" s="9" t="n">
        <v>0</v>
      </c>
      <c r="Q7" s="9" t="n">
        <v>0</v>
      </c>
      <c r="R7" s="9" t="n">
        <v>0</v>
      </c>
      <c r="S7" s="9" t="n">
        <v>51.011</v>
      </c>
      <c r="T7" s="9" t="n">
        <v>40</v>
      </c>
    </row>
    <row r="8">
      <c r="A8" s="9" t="inlineStr">
        <is>
          <t>ARE</t>
        </is>
      </c>
      <c r="B8" s="9" t="n">
        <v>2</v>
      </c>
      <c r="C8" s="9" t="inlineStr">
        <is>
          <t>PSRT 2013, curated update</t>
        </is>
      </c>
      <c r="D8" s="9" t="inlineStr">
        <is>
          <t>Single buyers (EWEC, DEWA) from IWPPs</t>
        </is>
      </c>
      <c r="E8" s="9" t="n">
        <v>1</v>
      </c>
      <c r="F8" s="9" t="n">
        <v>0</v>
      </c>
      <c r="G8" s="9" t="n">
        <v>0</v>
      </c>
      <c r="H8" s="9" t="n">
        <v>0</v>
      </c>
      <c r="I8" s="9" t="n">
        <v>0.7796999999999999</v>
      </c>
      <c r="J8" s="9" t="n">
        <v>0.4504</v>
      </c>
      <c r="K8" s="9" t="n">
        <v>2.028</v>
      </c>
      <c r="L8" s="9" t="n">
        <v>0</v>
      </c>
      <c r="M8" s="9" t="n">
        <v>0</v>
      </c>
      <c r="N8" s="9" t="n">
        <v>0</v>
      </c>
      <c r="O8" s="9" t="n"/>
      <c r="P8" s="9" t="n"/>
      <c r="Q8" s="9" t="n">
        <v>0</v>
      </c>
      <c r="R8" s="9" t="n">
        <v>0</v>
      </c>
      <c r="S8" s="9" t="n">
        <v>53.889</v>
      </c>
      <c r="T8" s="9" t="n">
        <v>20</v>
      </c>
    </row>
    <row r="9">
      <c r="A9" s="9" t="inlineStr">
        <is>
          <t>ARG</t>
        </is>
      </c>
      <c r="B9" s="9" t="n">
        <v>3</v>
      </c>
      <c r="C9" s="9" t="inlineStr">
        <is>
          <t>PSRT 2013</t>
        </is>
      </c>
      <c r="D9" s="9" t="n"/>
      <c r="E9" s="9" t="n">
        <v>1</v>
      </c>
      <c r="F9" s="9" t="n">
        <v>1</v>
      </c>
      <c r="G9" s="9" t="n">
        <v>1</v>
      </c>
      <c r="H9" s="9" t="n">
        <v>0</v>
      </c>
      <c r="I9" s="9" t="n">
        <v>0.8086</v>
      </c>
      <c r="J9" s="9" t="n">
        <v>0.4601</v>
      </c>
      <c r="K9" s="9" t="n">
        <v>2.164</v>
      </c>
      <c r="L9" s="9" t="n">
        <v>0.7756</v>
      </c>
      <c r="M9" s="9" t="n">
        <v>0.1217</v>
      </c>
      <c r="N9" s="9" t="n">
        <v>51</v>
      </c>
      <c r="O9" s="9" t="n">
        <v>0.6838</v>
      </c>
      <c r="P9" s="9" t="n">
        <v>0.225</v>
      </c>
      <c r="Q9" s="9" t="n">
        <v>1</v>
      </c>
      <c r="R9" s="9" t="n">
        <v>1</v>
      </c>
      <c r="S9" s="9" t="n">
        <v>49.622</v>
      </c>
      <c r="T9" s="9" t="n">
        <v>40</v>
      </c>
    </row>
    <row r="10">
      <c r="A10" s="9" t="inlineStr">
        <is>
          <t>ARM</t>
        </is>
      </c>
      <c r="B10" s="9" t="n">
        <v>3</v>
      </c>
      <c r="C10" s="9" t="inlineStr">
        <is>
          <t>PSRT 2013</t>
        </is>
      </c>
      <c r="D10" s="9" t="n"/>
      <c r="E10" s="9" t="n">
        <v>1</v>
      </c>
      <c r="F10" s="9" t="n">
        <v>1</v>
      </c>
      <c r="G10" s="9" t="n">
        <v>1</v>
      </c>
      <c r="H10" s="9" t="n">
        <v>0</v>
      </c>
      <c r="I10" s="9" t="n">
        <v>1.1464</v>
      </c>
      <c r="J10" s="9" t="n">
        <v>0</v>
      </c>
      <c r="K10" s="9" t="n">
        <v>0</v>
      </c>
      <c r="L10" s="9" t="n">
        <v>0.0829</v>
      </c>
      <c r="M10" s="9" t="n">
        <v>0.3192</v>
      </c>
      <c r="N10" s="9" t="n">
        <v>5</v>
      </c>
      <c r="O10" s="9" t="n">
        <v>0.1184</v>
      </c>
      <c r="P10" s="9" t="n">
        <v>0.0314</v>
      </c>
      <c r="Q10" s="9" t="n">
        <v>1</v>
      </c>
      <c r="R10" s="9" t="n">
        <v>0</v>
      </c>
      <c r="S10" s="9" t="n">
        <v>36.267</v>
      </c>
      <c r="T10" s="9" t="n">
        <v>0</v>
      </c>
    </row>
    <row r="11">
      <c r="A11" s="9" t="inlineStr">
        <is>
          <t>ATG</t>
        </is>
      </c>
      <c r="B11" s="9" t="n">
        <v>2</v>
      </c>
      <c r="C11" s="9" t="inlineStr">
        <is>
          <t>PSRT 2013</t>
        </is>
      </c>
      <c r="D11" s="9" t="n"/>
      <c r="E11" s="9" t="n">
        <v>0</v>
      </c>
      <c r="F11" s="9" t="n">
        <v>0</v>
      </c>
      <c r="G11" s="9" t="n">
        <v>0</v>
      </c>
      <c r="H11" s="9" t="n">
        <v>0</v>
      </c>
      <c r="I11" s="9" t="n">
        <v>1.1138</v>
      </c>
      <c r="J11" s="9" t="n">
        <v>0.2775</v>
      </c>
      <c r="K11" s="9" t="n">
        <v>0.35</v>
      </c>
      <c r="L11" s="9" t="n">
        <v>0</v>
      </c>
      <c r="M11" s="9" t="n">
        <v>0</v>
      </c>
      <c r="N11" s="9" t="n">
        <v>0</v>
      </c>
      <c r="O11" s="9" t="n"/>
      <c r="P11" s="9" t="n"/>
      <c r="Q11" s="9" t="n">
        <v>0</v>
      </c>
      <c r="R11" s="9" t="n">
        <v>0</v>
      </c>
      <c r="S11" s="9" t="n"/>
      <c r="T11" s="9" t="n"/>
    </row>
    <row r="12">
      <c r="A12" s="9" t="inlineStr">
        <is>
          <t>AUS</t>
        </is>
      </c>
      <c r="B12" s="9" t="n">
        <v>3</v>
      </c>
      <c r="C12" s="9" t="inlineStr">
        <is>
          <t>Curated (not in PSRT)</t>
        </is>
      </c>
      <c r="D12" s="9" t="inlineStr">
        <is>
          <t>NEM wholesale and retail competition (WA separate)</t>
        </is>
      </c>
      <c r="E12" s="9" t="n">
        <v>1</v>
      </c>
      <c r="F12" s="9" t="n">
        <v>1</v>
      </c>
      <c r="G12" s="9" t="n">
        <v>1</v>
      </c>
      <c r="H12" s="9" t="n"/>
      <c r="I12" s="9" t="n">
        <v>1.4963</v>
      </c>
      <c r="J12" s="9" t="n">
        <v>0</v>
      </c>
      <c r="K12" s="9" t="n">
        <v>0.115</v>
      </c>
      <c r="L12" s="9" t="n">
        <v>0</v>
      </c>
      <c r="M12" s="9" t="n">
        <v>0</v>
      </c>
      <c r="N12" s="9" t="n">
        <v>0</v>
      </c>
      <c r="O12" s="9" t="n"/>
      <c r="P12" s="9" t="n"/>
      <c r="Q12" s="9" t="n">
        <v>0</v>
      </c>
      <c r="R12" s="9" t="n">
        <v>0</v>
      </c>
      <c r="S12" s="9" t="n">
        <v>67.98099999999999</v>
      </c>
      <c r="T12" s="9" t="n">
        <v>60</v>
      </c>
    </row>
    <row r="13">
      <c r="A13" s="9" t="inlineStr">
        <is>
          <t>AUT</t>
        </is>
      </c>
      <c r="B13" s="9" t="n">
        <v>3</v>
      </c>
      <c r="C13" s="9" t="inlineStr">
        <is>
          <t>Curated (not in PSRT)</t>
        </is>
      </c>
      <c r="D13" s="9" t="inlineStr">
        <is>
          <t>EU internal market; utilities majority public</t>
        </is>
      </c>
      <c r="E13" s="9" t="n">
        <v>1</v>
      </c>
      <c r="F13" s="9" t="n">
        <v>1</v>
      </c>
      <c r="G13" s="9" t="n">
        <v>0</v>
      </c>
      <c r="H13" s="9" t="n"/>
      <c r="I13" s="9" t="n">
        <v>0.8993</v>
      </c>
      <c r="J13" s="9" t="n">
        <v>0.0335</v>
      </c>
      <c r="K13" s="9" t="n">
        <v>0.041</v>
      </c>
      <c r="L13" s="9" t="n">
        <v>0</v>
      </c>
      <c r="M13" s="9" t="n">
        <v>0</v>
      </c>
      <c r="N13" s="9" t="n">
        <v>0</v>
      </c>
      <c r="O13" s="9" t="n"/>
      <c r="P13" s="9" t="n"/>
      <c r="Q13" s="9" t="n">
        <v>0</v>
      </c>
      <c r="R13" s="9" t="n">
        <v>0</v>
      </c>
      <c r="S13" s="9" t="n">
        <v>82.426</v>
      </c>
      <c r="T13" s="9" t="n">
        <v>40</v>
      </c>
    </row>
    <row r="14">
      <c r="A14" s="9" t="inlineStr">
        <is>
          <t>AZE</t>
        </is>
      </c>
      <c r="B14" s="9" t="n">
        <v>2</v>
      </c>
      <c r="C14" s="9" t="inlineStr">
        <is>
          <t>PSRT 2013, PPI update</t>
        </is>
      </c>
      <c r="D14" s="9" t="inlineStr">
        <is>
          <t>6 private generation projects 2014-2024 (PPI)</t>
        </is>
      </c>
      <c r="E14" s="9" t="n">
        <v>0</v>
      </c>
      <c r="F14" s="9" t="n">
        <v>0</v>
      </c>
      <c r="G14" s="9" t="n">
        <v>0</v>
      </c>
      <c r="H14" s="9" t="n">
        <v>0</v>
      </c>
      <c r="I14" s="9" t="n">
        <v>0.4385</v>
      </c>
      <c r="J14" s="9" t="n">
        <v>1.9231</v>
      </c>
      <c r="K14" s="9" t="n">
        <v>5.538</v>
      </c>
      <c r="L14" s="9" t="n">
        <v>0.1857</v>
      </c>
      <c r="M14" s="9" t="n">
        <v>0.2495</v>
      </c>
      <c r="N14" s="9" t="n">
        <v>6</v>
      </c>
      <c r="O14" s="9" t="n">
        <v>1</v>
      </c>
      <c r="P14" s="9" t="n">
        <v>0</v>
      </c>
      <c r="Q14" s="9" t="n">
        <v>0</v>
      </c>
      <c r="R14" s="9" t="n">
        <v>0</v>
      </c>
      <c r="S14" s="9" t="n">
        <v>11.283</v>
      </c>
      <c r="T14" s="9" t="n">
        <v>0</v>
      </c>
    </row>
    <row r="15">
      <c r="A15" s="9" t="inlineStr">
        <is>
          <t>BDI</t>
        </is>
      </c>
      <c r="B15" s="9" t="n">
        <v>2</v>
      </c>
      <c r="C15" s="9" t="inlineStr">
        <is>
          <t>PSRT 2013, PPI update</t>
        </is>
      </c>
      <c r="D15" s="9" t="inlineStr">
        <is>
          <t>3 private generation projects 2014-2024 (PPI)</t>
        </is>
      </c>
      <c r="E15" s="9" t="n">
        <v>0</v>
      </c>
      <c r="F15" s="9" t="n">
        <v>0</v>
      </c>
      <c r="G15" s="9" t="n">
        <v>0</v>
      </c>
      <c r="H15" s="9" t="n">
        <v>0</v>
      </c>
      <c r="I15" s="9" t="n">
        <v>0.6178</v>
      </c>
      <c r="J15" s="9" t="n">
        <v>0.2381</v>
      </c>
      <c r="K15" s="9" t="n">
        <v>0.238</v>
      </c>
      <c r="L15" s="9" t="n">
        <v>0.0032</v>
      </c>
      <c r="M15" s="9" t="n">
        <v>0.0665</v>
      </c>
      <c r="N15" s="9" t="n">
        <v>3</v>
      </c>
      <c r="O15" s="9" t="n">
        <v>0.7167</v>
      </c>
      <c r="P15" s="9" t="n">
        <v>0.0368</v>
      </c>
      <c r="Q15" s="9" t="n">
        <v>1</v>
      </c>
      <c r="R15" s="9" t="n">
        <v>0</v>
      </c>
      <c r="S15" s="9" t="n">
        <v>10.489</v>
      </c>
      <c r="T15" s="9" t="n">
        <v>0</v>
      </c>
    </row>
    <row r="16">
      <c r="A16" s="9" t="inlineStr">
        <is>
          <t>BEL</t>
        </is>
      </c>
      <c r="B16" s="9" t="n">
        <v>3</v>
      </c>
      <c r="C16" s="9" t="inlineStr">
        <is>
          <t>Curated (not in PSRT)</t>
        </is>
      </c>
      <c r="D16" s="9" t="inlineStr">
        <is>
          <t>EU internal market</t>
        </is>
      </c>
      <c r="E16" s="9" t="n">
        <v>1</v>
      </c>
      <c r="F16" s="9" t="n">
        <v>1</v>
      </c>
      <c r="G16" s="9" t="n">
        <v>1</v>
      </c>
      <c r="H16" s="9" t="n"/>
      <c r="I16" s="9" t="n">
        <v>1.266</v>
      </c>
      <c r="J16" s="9" t="n">
        <v>0</v>
      </c>
      <c r="K16" s="9" t="n">
        <v>0</v>
      </c>
      <c r="L16" s="9" t="n">
        <v>0</v>
      </c>
      <c r="M16" s="9" t="n">
        <v>0</v>
      </c>
      <c r="N16" s="9" t="n">
        <v>0</v>
      </c>
      <c r="O16" s="9" t="n"/>
      <c r="P16" s="9" t="n"/>
      <c r="Q16" s="9" t="n">
        <v>0</v>
      </c>
      <c r="R16" s="9" t="n">
        <v>0</v>
      </c>
      <c r="S16" s="9" t="n">
        <v>80.593</v>
      </c>
      <c r="T16" s="9" t="n">
        <v>60</v>
      </c>
    </row>
    <row r="17">
      <c r="A17" s="9" t="inlineStr">
        <is>
          <t>BEN</t>
        </is>
      </c>
      <c r="B17" s="9" t="n">
        <v>2</v>
      </c>
      <c r="C17" s="9" t="inlineStr">
        <is>
          <t>PSRT 2013</t>
        </is>
      </c>
      <c r="D17" s="9" t="n"/>
      <c r="E17" s="9" t="n">
        <v>0</v>
      </c>
      <c r="F17" s="9" t="n">
        <v>0</v>
      </c>
      <c r="G17" s="9" t="n">
        <v>0</v>
      </c>
      <c r="H17" s="9" t="n">
        <v>0</v>
      </c>
      <c r="I17" s="9" t="n">
        <v>2.0782</v>
      </c>
      <c r="J17" s="9" t="n">
        <v>0</v>
      </c>
      <c r="K17" s="9" t="n">
        <v>0</v>
      </c>
      <c r="L17" s="9" t="n">
        <v>0.0026</v>
      </c>
      <c r="M17" s="9" t="n">
        <v>0.0121</v>
      </c>
      <c r="N17" s="9" t="n">
        <v>7</v>
      </c>
      <c r="O17" s="9" t="n">
        <v>1</v>
      </c>
      <c r="P17" s="9" t="n">
        <v>0.0607</v>
      </c>
      <c r="Q17" s="9" t="n">
        <v>0</v>
      </c>
      <c r="R17" s="9" t="n">
        <v>0</v>
      </c>
      <c r="S17" s="9" t="n">
        <v>15.317</v>
      </c>
      <c r="T17" s="9" t="n">
        <v>0</v>
      </c>
    </row>
    <row r="18">
      <c r="A18" s="9" t="inlineStr">
        <is>
          <t>BFA</t>
        </is>
      </c>
      <c r="B18" s="9" t="n">
        <v>2</v>
      </c>
      <c r="C18" s="9" t="inlineStr">
        <is>
          <t>PSRT 2013</t>
        </is>
      </c>
      <c r="D18" s="9" t="n"/>
      <c r="E18" s="9" t="n">
        <v>0</v>
      </c>
      <c r="F18" s="9" t="n">
        <v>0</v>
      </c>
      <c r="G18" s="9" t="n">
        <v>0</v>
      </c>
      <c r="H18" s="9" t="n">
        <v>0</v>
      </c>
      <c r="I18" s="9" t="n">
        <v>0.8076</v>
      </c>
      <c r="J18" s="9" t="n">
        <v>0.6568000000000001</v>
      </c>
      <c r="K18" s="9" t="n">
        <v>0.955</v>
      </c>
      <c r="L18" s="9" t="n">
        <v>0.0285</v>
      </c>
      <c r="M18" s="9" t="n">
        <v>0.1233</v>
      </c>
      <c r="N18" s="9" t="n">
        <v>7</v>
      </c>
      <c r="O18" s="9" t="n">
        <v>1</v>
      </c>
      <c r="P18" s="9" t="n">
        <v>0.3009</v>
      </c>
      <c r="Q18" s="9" t="n">
        <v>0</v>
      </c>
      <c r="R18" s="9" t="n">
        <v>0</v>
      </c>
      <c r="S18" s="9" t="n">
        <v>25.759</v>
      </c>
      <c r="T18" s="9" t="n">
        <v>0</v>
      </c>
    </row>
    <row r="19">
      <c r="A19" s="9" t="inlineStr">
        <is>
          <t>BGD</t>
        </is>
      </c>
      <c r="B19" s="9" t="n">
        <v>2</v>
      </c>
      <c r="C19" s="9" t="inlineStr">
        <is>
          <t>PSRT 2013</t>
        </is>
      </c>
      <c r="D19" s="9" t="n"/>
      <c r="E19" s="9" t="n">
        <v>1</v>
      </c>
      <c r="F19" s="9" t="n">
        <v>1</v>
      </c>
      <c r="G19" s="9" t="n">
        <v>0</v>
      </c>
      <c r="H19" s="9" t="n">
        <v>0</v>
      </c>
      <c r="I19" s="9" t="n">
        <v>0.5879</v>
      </c>
      <c r="J19" s="9" t="n">
        <v>2.1546</v>
      </c>
      <c r="K19" s="9" t="n">
        <v>2.547</v>
      </c>
      <c r="L19" s="9" t="n">
        <v>0.4882</v>
      </c>
      <c r="M19" s="9" t="n">
        <v>0.1084</v>
      </c>
      <c r="N19" s="9" t="n">
        <v>17</v>
      </c>
      <c r="O19" s="9" t="n">
        <v>0.0965</v>
      </c>
      <c r="P19" s="9" t="n">
        <v>0</v>
      </c>
      <c r="Q19" s="9" t="n">
        <v>1</v>
      </c>
      <c r="R19" s="9" t="n">
        <v>1</v>
      </c>
      <c r="S19" s="9" t="n">
        <v>26.786</v>
      </c>
      <c r="T19" s="9" t="n">
        <v>0</v>
      </c>
    </row>
    <row r="20">
      <c r="A20" s="9" t="inlineStr">
        <is>
          <t>BGR</t>
        </is>
      </c>
      <c r="B20" s="9" t="n">
        <v>3</v>
      </c>
      <c r="C20" s="9" t="inlineStr">
        <is>
          <t>PSRT 2013</t>
        </is>
      </c>
      <c r="D20" s="9" t="n"/>
      <c r="E20" s="9" t="n">
        <v>1</v>
      </c>
      <c r="F20" s="9" t="n">
        <v>1</v>
      </c>
      <c r="G20" s="9" t="n">
        <v>1</v>
      </c>
      <c r="H20" s="9" t="n">
        <v>1</v>
      </c>
      <c r="I20" s="9" t="n">
        <v>0.9996</v>
      </c>
      <c r="J20" s="9" t="n">
        <v>0.167</v>
      </c>
      <c r="K20" s="9" t="n">
        <v>0.292</v>
      </c>
      <c r="L20" s="9" t="n">
        <v>0.0709</v>
      </c>
      <c r="M20" s="9" t="n">
        <v>0.0626</v>
      </c>
      <c r="N20" s="9" t="n">
        <v>8</v>
      </c>
      <c r="O20" s="9" t="n">
        <v>1</v>
      </c>
      <c r="P20" s="9" t="n">
        <v>0</v>
      </c>
      <c r="Q20" s="9" t="n">
        <v>1</v>
      </c>
      <c r="R20" s="9" t="n">
        <v>0</v>
      </c>
      <c r="S20" s="9" t="n">
        <v>65.074</v>
      </c>
      <c r="T20" s="9" t="n">
        <v>0</v>
      </c>
    </row>
    <row r="21">
      <c r="A21" s="9" t="inlineStr">
        <is>
          <t>BHR</t>
        </is>
      </c>
      <c r="B21" s="9" t="n">
        <v>2</v>
      </c>
      <c r="C21" s="9" t="inlineStr">
        <is>
          <t>PSRT 2013</t>
        </is>
      </c>
      <c r="D21" s="9" t="n"/>
      <c r="E21" s="9" t="n">
        <v>1</v>
      </c>
      <c r="F21" s="9" t="n">
        <v>0</v>
      </c>
      <c r="G21" s="9" t="n">
        <v>1</v>
      </c>
      <c r="H21" s="9" t="n">
        <v>0</v>
      </c>
      <c r="I21" s="9" t="n">
        <v>0.301</v>
      </c>
      <c r="J21" s="9" t="n">
        <v>5.4704</v>
      </c>
      <c r="K21" s="9" t="n">
        <v>6.783</v>
      </c>
      <c r="L21" s="9" t="n">
        <v>0</v>
      </c>
      <c r="M21" s="9" t="n">
        <v>0</v>
      </c>
      <c r="N21" s="9" t="n">
        <v>0</v>
      </c>
      <c r="O21" s="9" t="n"/>
      <c r="P21" s="9" t="n"/>
      <c r="Q21" s="9" t="n">
        <v>0</v>
      </c>
      <c r="R21" s="9" t="n">
        <v>0</v>
      </c>
      <c r="S21" s="9" t="n">
        <v>16.019</v>
      </c>
      <c r="T21" s="9" t="n">
        <v>0</v>
      </c>
    </row>
    <row r="22">
      <c r="A22" s="9" t="inlineStr">
        <is>
          <t>BHS</t>
        </is>
      </c>
      <c r="B22" s="9" t="n">
        <v>2</v>
      </c>
      <c r="C22" s="9" t="inlineStr">
        <is>
          <t>PSRT 2013</t>
        </is>
      </c>
      <c r="D22" s="9" t="n"/>
      <c r="E22" s="9" t="n">
        <v>1</v>
      </c>
      <c r="F22" s="9" t="n">
        <v>0</v>
      </c>
      <c r="G22" s="9" t="n">
        <v>0</v>
      </c>
      <c r="H22" s="9" t="n">
        <v>0</v>
      </c>
      <c r="I22" s="9" t="n">
        <v>1.508</v>
      </c>
      <c r="J22" s="9" t="n">
        <v>0</v>
      </c>
      <c r="K22" s="9" t="n">
        <v>0</v>
      </c>
      <c r="L22" s="9" t="n">
        <v>0</v>
      </c>
      <c r="M22" s="9" t="n">
        <v>0</v>
      </c>
      <c r="N22" s="9" t="n">
        <v>0</v>
      </c>
      <c r="O22" s="9" t="n"/>
      <c r="P22" s="9" t="n"/>
      <c r="Q22" s="9" t="n">
        <v>0</v>
      </c>
      <c r="R22" s="9" t="n">
        <v>0</v>
      </c>
      <c r="S22" s="9" t="n"/>
      <c r="T22" s="9" t="n"/>
    </row>
    <row r="23">
      <c r="A23" s="9" t="inlineStr">
        <is>
          <t>BIH</t>
        </is>
      </c>
      <c r="B23" s="9" t="n">
        <v>3</v>
      </c>
      <c r="C23" s="9" t="inlineStr">
        <is>
          <t>PSRT 2013</t>
        </is>
      </c>
      <c r="D23" s="9" t="n"/>
      <c r="E23" s="9" t="n">
        <v>1</v>
      </c>
      <c r="F23" s="9" t="n">
        <v>1</v>
      </c>
      <c r="G23" s="9" t="n">
        <v>0</v>
      </c>
      <c r="H23" s="9" t="n">
        <v>0</v>
      </c>
      <c r="I23" s="9" t="n">
        <v>1.0189</v>
      </c>
      <c r="J23" s="9" t="n">
        <v>0</v>
      </c>
      <c r="K23" s="9" t="n">
        <v>0.218</v>
      </c>
      <c r="L23" s="9" t="n">
        <v>0.0659</v>
      </c>
      <c r="M23" s="9" t="n">
        <v>0.2217</v>
      </c>
      <c r="N23" s="9" t="n">
        <v>5</v>
      </c>
      <c r="O23" s="9" t="n">
        <v>0.8915999999999999</v>
      </c>
      <c r="P23" s="9" t="n">
        <v>0</v>
      </c>
      <c r="Q23" s="9" t="n">
        <v>0</v>
      </c>
      <c r="R23" s="9" t="n">
        <v>0</v>
      </c>
      <c r="S23" s="9" t="n">
        <v>35.833</v>
      </c>
      <c r="T23" s="9" t="n">
        <v>0</v>
      </c>
    </row>
    <row r="24">
      <c r="A24" s="9" t="inlineStr">
        <is>
          <t>BLR</t>
        </is>
      </c>
      <c r="B24" s="9" t="n">
        <v>1</v>
      </c>
      <c r="C24" s="9" t="inlineStr">
        <is>
          <t>PSRT 2013</t>
        </is>
      </c>
      <c r="D24" s="9" t="n"/>
      <c r="E24" s="9" t="n">
        <v>0</v>
      </c>
      <c r="F24" s="9" t="n">
        <v>0</v>
      </c>
      <c r="G24" s="9" t="n">
        <v>0</v>
      </c>
      <c r="H24" s="9" t="n">
        <v>0</v>
      </c>
      <c r="I24" s="9" t="n">
        <v>0.6842</v>
      </c>
      <c r="J24" s="9" t="n">
        <v>1.5441</v>
      </c>
      <c r="K24" s="9" t="n">
        <v>5.205</v>
      </c>
      <c r="L24" s="9" t="n">
        <v>0.0013</v>
      </c>
      <c r="M24" s="9" t="n">
        <v>0.0017</v>
      </c>
      <c r="N24" s="9" t="n">
        <v>1</v>
      </c>
      <c r="O24" s="9" t="n">
        <v>0</v>
      </c>
      <c r="P24" s="9" t="n">
        <v>0</v>
      </c>
      <c r="Q24" s="9" t="n">
        <v>0</v>
      </c>
      <c r="R24" s="9" t="n">
        <v>0</v>
      </c>
      <c r="S24" s="9" t="n">
        <v>22.474</v>
      </c>
      <c r="T24" s="9" t="n">
        <v>0</v>
      </c>
    </row>
    <row r="25">
      <c r="A25" s="9" t="inlineStr">
        <is>
          <t>BLZ</t>
        </is>
      </c>
      <c r="B25" s="9" t="n">
        <v>2</v>
      </c>
      <c r="C25" s="9" t="inlineStr">
        <is>
          <t>PSRT 2013</t>
        </is>
      </c>
      <c r="D25" s="9" t="n"/>
      <c r="E25" s="9" t="n">
        <v>1</v>
      </c>
      <c r="F25" s="9" t="n">
        <v>0</v>
      </c>
      <c r="G25" s="9" t="n">
        <v>0</v>
      </c>
      <c r="H25" s="9" t="n">
        <v>0</v>
      </c>
      <c r="I25" s="9" t="n">
        <v>0.5826</v>
      </c>
      <c r="J25" s="9" t="n">
        <v>0.7568</v>
      </c>
      <c r="K25" s="9" t="n">
        <v>0.757</v>
      </c>
      <c r="L25" s="9" t="n">
        <v>0</v>
      </c>
      <c r="M25" s="9" t="n">
        <v>0</v>
      </c>
      <c r="N25" s="9" t="n">
        <v>0</v>
      </c>
      <c r="O25" s="9" t="n"/>
      <c r="P25" s="9" t="n"/>
      <c r="Q25" s="9" t="n">
        <v>0</v>
      </c>
      <c r="R25" s="9" t="n">
        <v>0</v>
      </c>
      <c r="S25" s="9" t="n"/>
      <c r="T25" s="9" t="n"/>
    </row>
    <row r="26">
      <c r="A26" s="9" t="inlineStr">
        <is>
          <t>BOL</t>
        </is>
      </c>
      <c r="B26" s="9" t="n">
        <v>3</v>
      </c>
      <c r="C26" s="9" t="inlineStr">
        <is>
          <t>PSRT 2013</t>
        </is>
      </c>
      <c r="D26" s="9" t="n"/>
      <c r="E26" s="9" t="n">
        <v>1</v>
      </c>
      <c r="F26" s="9" t="n">
        <v>1</v>
      </c>
      <c r="G26" s="9" t="n">
        <v>1</v>
      </c>
      <c r="H26" s="9" t="n">
        <v>1</v>
      </c>
      <c r="I26" s="9" t="n">
        <v>1.0109</v>
      </c>
      <c r="J26" s="9" t="n">
        <v>0</v>
      </c>
      <c r="K26" s="9" t="n">
        <v>4.201</v>
      </c>
      <c r="L26" s="9" t="n">
        <v>0</v>
      </c>
      <c r="M26" s="9" t="n">
        <v>0</v>
      </c>
      <c r="N26" s="9" t="n">
        <v>0</v>
      </c>
      <c r="O26" s="9" t="n"/>
      <c r="P26" s="9" t="n"/>
      <c r="Q26" s="9" t="n">
        <v>1</v>
      </c>
      <c r="R26" s="9" t="n">
        <v>1</v>
      </c>
      <c r="S26" s="9" t="n">
        <v>22.426</v>
      </c>
      <c r="T26" s="9" t="n">
        <v>0</v>
      </c>
    </row>
    <row r="27">
      <c r="A27" s="9" t="inlineStr">
        <is>
          <t>BRA</t>
        </is>
      </c>
      <c r="B27" s="9" t="n">
        <v>3</v>
      </c>
      <c r="C27" s="9" t="inlineStr">
        <is>
          <t>PSRT 2013</t>
        </is>
      </c>
      <c r="D27" s="9" t="n"/>
      <c r="E27" s="9" t="n">
        <v>1</v>
      </c>
      <c r="F27" s="9" t="n">
        <v>1</v>
      </c>
      <c r="G27" s="9" t="n">
        <v>1</v>
      </c>
      <c r="H27" s="9" t="n">
        <v>0</v>
      </c>
      <c r="I27" s="9" t="n">
        <v>1.0181</v>
      </c>
      <c r="J27" s="9" t="n">
        <v>0.0044</v>
      </c>
      <c r="K27" s="9" t="n">
        <v>0.146</v>
      </c>
      <c r="L27" s="9" t="n">
        <v>6.7391</v>
      </c>
      <c r="M27" s="9" t="n">
        <v>0.3083</v>
      </c>
      <c r="N27" s="9" t="n">
        <v>258</v>
      </c>
      <c r="O27" s="9" t="n">
        <v>0.6512</v>
      </c>
      <c r="P27" s="9" t="n">
        <v>0.0595</v>
      </c>
      <c r="Q27" s="9" t="n">
        <v>1</v>
      </c>
      <c r="R27" s="9" t="n">
        <v>1</v>
      </c>
      <c r="S27" s="9" t="n">
        <v>65.093</v>
      </c>
      <c r="T27" s="9" t="n">
        <v>20</v>
      </c>
    </row>
    <row r="28">
      <c r="A28" s="9" t="inlineStr">
        <is>
          <t>BRB</t>
        </is>
      </c>
      <c r="B28" s="9" t="n">
        <v>1</v>
      </c>
      <c r="C28" s="9" t="inlineStr">
        <is>
          <t>Curated (not in PSRT)</t>
        </is>
      </c>
      <c r="D28" s="9" t="inlineStr">
        <is>
          <t>Private VIU (Barbados Light &amp; Power) under FTC regulation</t>
        </is>
      </c>
      <c r="E28" s="9" t="n">
        <v>1</v>
      </c>
      <c r="F28" s="9" t="n">
        <v>0</v>
      </c>
      <c r="G28" s="9" t="n">
        <v>1</v>
      </c>
      <c r="H28" s="9" t="n"/>
      <c r="I28" s="9" t="n">
        <v>0.9278999999999999</v>
      </c>
      <c r="J28" s="9" t="n">
        <v>0.2825</v>
      </c>
      <c r="K28" s="9" t="n">
        <v>0.282</v>
      </c>
      <c r="L28" s="9" t="n">
        <v>0</v>
      </c>
      <c r="M28" s="9" t="n">
        <v>0</v>
      </c>
      <c r="N28" s="9" t="n">
        <v>0</v>
      </c>
      <c r="O28" s="9" t="n"/>
      <c r="P28" s="9" t="n"/>
      <c r="Q28" s="9" t="n">
        <v>0</v>
      </c>
      <c r="R28" s="9" t="n">
        <v>0</v>
      </c>
      <c r="S28" s="9" t="n"/>
      <c r="T28" s="9" t="n"/>
    </row>
    <row r="29">
      <c r="A29" s="9" t="inlineStr">
        <is>
          <t>BRN</t>
        </is>
      </c>
      <c r="B29" s="9" t="n">
        <v>1</v>
      </c>
      <c r="C29" s="9" t="inlineStr">
        <is>
          <t>PSRT 2013</t>
        </is>
      </c>
      <c r="D29" s="9" t="n"/>
      <c r="E29" s="9" t="n">
        <v>0</v>
      </c>
      <c r="F29" s="9" t="n">
        <v>0</v>
      </c>
      <c r="G29" s="9" t="n">
        <v>0</v>
      </c>
      <c r="H29" s="9" t="n">
        <v>0</v>
      </c>
      <c r="I29" s="9" t="n">
        <v>0.7423</v>
      </c>
      <c r="J29" s="9" t="n">
        <v>0.6388</v>
      </c>
      <c r="K29" s="9" t="n">
        <v>2.549</v>
      </c>
      <c r="L29" s="9" t="n">
        <v>0</v>
      </c>
      <c r="M29" s="9" t="n">
        <v>0</v>
      </c>
      <c r="N29" s="9" t="n">
        <v>0</v>
      </c>
      <c r="O29" s="9" t="n"/>
      <c r="P29" s="9" t="n"/>
      <c r="Q29" s="9" t="n">
        <v>0</v>
      </c>
      <c r="R29" s="9" t="n">
        <v>0</v>
      </c>
      <c r="S29" s="9" t="n"/>
      <c r="T29" s="9" t="n"/>
    </row>
    <row r="30">
      <c r="A30" s="9" t="inlineStr">
        <is>
          <t>BTN</t>
        </is>
      </c>
      <c r="B30" s="9" t="n">
        <v>1</v>
      </c>
      <c r="C30" s="9" t="inlineStr">
        <is>
          <t>PSRT 2013</t>
        </is>
      </c>
      <c r="D30" s="9" t="n"/>
      <c r="E30" s="9" t="n">
        <v>1</v>
      </c>
      <c r="F30" s="9" t="n">
        <v>0</v>
      </c>
      <c r="G30" s="9" t="n">
        <v>0</v>
      </c>
      <c r="H30" s="9" t="n">
        <v>0</v>
      </c>
      <c r="I30" s="9" t="n">
        <v>0.1472</v>
      </c>
      <c r="J30" s="9" t="n">
        <v>0.0377</v>
      </c>
      <c r="K30" s="9" t="n">
        <v>0.038</v>
      </c>
      <c r="L30" s="9" t="n">
        <v>0</v>
      </c>
      <c r="M30" s="9" t="n">
        <v>0</v>
      </c>
      <c r="N30" s="9" t="n">
        <v>0</v>
      </c>
      <c r="O30" s="9" t="n"/>
      <c r="P30" s="9" t="n"/>
      <c r="Q30" s="9" t="n">
        <v>0</v>
      </c>
      <c r="R30" s="9" t="n">
        <v>0</v>
      </c>
      <c r="S30" s="9" t="n"/>
      <c r="T30" s="9" t="n"/>
    </row>
    <row r="31">
      <c r="A31" s="9" t="inlineStr">
        <is>
          <t>BWA</t>
        </is>
      </c>
      <c r="B31" s="9" t="n">
        <v>2</v>
      </c>
      <c r="C31" s="9" t="inlineStr">
        <is>
          <t>PSRT 2013</t>
        </is>
      </c>
      <c r="D31" s="9" t="n"/>
      <c r="E31" s="9" t="n">
        <v>0</v>
      </c>
      <c r="F31" s="9" t="n">
        <v>0</v>
      </c>
      <c r="G31" s="9" t="n">
        <v>0</v>
      </c>
      <c r="H31" s="9" t="n">
        <v>0</v>
      </c>
      <c r="I31" s="9" t="n">
        <v>0.929</v>
      </c>
      <c r="J31" s="9" t="n">
        <v>0.3187</v>
      </c>
      <c r="K31" s="9" t="n">
        <v>0.319</v>
      </c>
      <c r="L31" s="9" t="n">
        <v>0.0126</v>
      </c>
      <c r="M31" s="9" t="n">
        <v>0.0649</v>
      </c>
      <c r="N31" s="9" t="n">
        <v>5</v>
      </c>
      <c r="O31" s="9" t="n">
        <v>1</v>
      </c>
      <c r="P31" s="9" t="n">
        <v>0</v>
      </c>
      <c r="Q31" s="9" t="n">
        <v>0</v>
      </c>
      <c r="R31" s="9" t="n">
        <v>0</v>
      </c>
      <c r="S31" s="9" t="n"/>
      <c r="T31" s="9" t="n"/>
    </row>
    <row r="32">
      <c r="A32" s="9" t="inlineStr">
        <is>
          <t>CAF</t>
        </is>
      </c>
      <c r="B32" s="9" t="n">
        <v>2</v>
      </c>
      <c r="C32" s="9" t="inlineStr">
        <is>
          <t>PSRT 2013</t>
        </is>
      </c>
      <c r="D32" s="9" t="n"/>
      <c r="E32" s="9" t="n">
        <v>0</v>
      </c>
      <c r="F32" s="9" t="n">
        <v>0</v>
      </c>
      <c r="G32" s="9" t="n">
        <v>0</v>
      </c>
      <c r="H32" s="9" t="n">
        <v>0</v>
      </c>
      <c r="I32" s="9" t="n">
        <v>0.6804</v>
      </c>
      <c r="J32" s="9" t="n">
        <v>0</v>
      </c>
      <c r="K32" s="9" t="n">
        <v>0.001</v>
      </c>
      <c r="L32" s="9" t="n">
        <v>0</v>
      </c>
      <c r="M32" s="9" t="n">
        <v>0</v>
      </c>
      <c r="N32" s="9" t="n">
        <v>0</v>
      </c>
      <c r="O32" s="9" t="n"/>
      <c r="P32" s="9" t="n"/>
      <c r="Q32" s="9" t="n">
        <v>0</v>
      </c>
      <c r="R32" s="9" t="n">
        <v>0</v>
      </c>
      <c r="S32" s="9" t="n">
        <v>8.333</v>
      </c>
      <c r="T32" s="9" t="n">
        <v>0</v>
      </c>
    </row>
    <row r="33">
      <c r="A33" s="9" t="inlineStr">
        <is>
          <t>CAN</t>
        </is>
      </c>
      <c r="B33" s="9" t="n">
        <v>2</v>
      </c>
      <c r="C33" s="9" t="inlineStr">
        <is>
          <t>Curated (not in PSRT)</t>
        </is>
      </c>
      <c r="D33" s="9" t="inlineStr">
        <is>
          <t>Mixed: Alberta and Ontario markets; most provinces crown VIUs buying from IPPs</t>
        </is>
      </c>
      <c r="E33" s="9" t="n">
        <v>1</v>
      </c>
      <c r="F33" s="9" t="n">
        <v>1</v>
      </c>
      <c r="G33" s="9" t="n">
        <v>0</v>
      </c>
      <c r="H33" s="9" t="n"/>
      <c r="I33" s="9" t="n">
        <v>1.1083</v>
      </c>
      <c r="J33" s="9" t="n">
        <v>0</v>
      </c>
      <c r="K33" s="9" t="n">
        <v>0.082</v>
      </c>
      <c r="L33" s="9" t="n">
        <v>0</v>
      </c>
      <c r="M33" s="9" t="n">
        <v>0</v>
      </c>
      <c r="N33" s="9" t="n">
        <v>0</v>
      </c>
      <c r="O33" s="9" t="n"/>
      <c r="P33" s="9" t="n"/>
      <c r="Q33" s="9" t="n">
        <v>0</v>
      </c>
      <c r="R33" s="9" t="n">
        <v>0</v>
      </c>
      <c r="S33" s="9" t="n">
        <v>66.87</v>
      </c>
      <c r="T33" s="9" t="n">
        <v>60</v>
      </c>
    </row>
    <row r="34">
      <c r="A34" s="9" t="inlineStr">
        <is>
          <t>CHE</t>
        </is>
      </c>
      <c r="B34" s="9" t="n">
        <v>3</v>
      </c>
      <c r="C34" s="9" t="inlineStr">
        <is>
          <t>Curated (not in PSRT)</t>
        </is>
      </c>
      <c r="D34" s="9" t="inlineStr">
        <is>
          <t>Wholesale market; retail open to large users; cantonal public utilities</t>
        </is>
      </c>
      <c r="E34" s="9" t="n">
        <v>1</v>
      </c>
      <c r="F34" s="9" t="n">
        <v>1</v>
      </c>
      <c r="G34" s="9" t="n">
        <v>0</v>
      </c>
      <c r="H34" s="9" t="n"/>
      <c r="I34" s="9" t="n">
        <v>1.131</v>
      </c>
      <c r="J34" s="9" t="n">
        <v>0</v>
      </c>
      <c r="K34" s="9" t="n">
        <v>0.002</v>
      </c>
      <c r="L34" s="9" t="n">
        <v>0</v>
      </c>
      <c r="M34" s="9" t="n">
        <v>0</v>
      </c>
      <c r="N34" s="9" t="n">
        <v>0</v>
      </c>
      <c r="O34" s="9" t="n"/>
      <c r="P34" s="9" t="n"/>
      <c r="Q34" s="9" t="n">
        <v>0</v>
      </c>
      <c r="R34" s="9" t="n">
        <v>0</v>
      </c>
      <c r="S34" s="9" t="n">
        <v>76.307</v>
      </c>
      <c r="T34" s="9" t="n">
        <v>60</v>
      </c>
    </row>
    <row r="35">
      <c r="A35" s="9" t="inlineStr">
        <is>
          <t>CHL</t>
        </is>
      </c>
      <c r="B35" s="9" t="n">
        <v>3</v>
      </c>
      <c r="C35" s="9" t="inlineStr">
        <is>
          <t>Curated (not in PSRT)</t>
        </is>
      </c>
      <c r="D35" s="9" t="inlineStr">
        <is>
          <t>Unbundled, privatised, cost-based pool and regulated auctions</t>
        </is>
      </c>
      <c r="E35" s="9" t="n">
        <v>1</v>
      </c>
      <c r="F35" s="9" t="n">
        <v>1</v>
      </c>
      <c r="G35" s="9" t="n">
        <v>1</v>
      </c>
      <c r="H35" s="9" t="n"/>
      <c r="I35" s="9" t="n">
        <v>0.9739</v>
      </c>
      <c r="J35" s="9" t="n">
        <v>0.0604</v>
      </c>
      <c r="K35" s="9" t="n">
        <v>0.083</v>
      </c>
      <c r="L35" s="9" t="n">
        <v>0</v>
      </c>
      <c r="M35" s="9" t="n">
        <v>0</v>
      </c>
      <c r="N35" s="9" t="n">
        <v>0</v>
      </c>
      <c r="O35" s="9" t="n"/>
      <c r="P35" s="9" t="n"/>
      <c r="Q35" s="9" t="n">
        <v>0</v>
      </c>
      <c r="R35" s="9" t="n">
        <v>0</v>
      </c>
      <c r="S35" s="9" t="n">
        <v>67.056</v>
      </c>
      <c r="T35" s="9" t="n">
        <v>40</v>
      </c>
    </row>
    <row r="36">
      <c r="A36" s="9" t="inlineStr">
        <is>
          <t>CHN</t>
        </is>
      </c>
      <c r="B36" s="9" t="n">
        <v>2</v>
      </c>
      <c r="C36" s="9" t="inlineStr">
        <is>
          <t>PSRT 2013</t>
        </is>
      </c>
      <c r="D36" s="9" t="n"/>
      <c r="E36" s="9" t="n">
        <v>1</v>
      </c>
      <c r="F36" s="9" t="n">
        <v>1</v>
      </c>
      <c r="G36" s="9" t="n">
        <v>0</v>
      </c>
      <c r="H36" s="9" t="n">
        <v>0</v>
      </c>
      <c r="I36" s="9" t="n">
        <v>0.9676</v>
      </c>
      <c r="J36" s="9" t="n">
        <v>0.0707</v>
      </c>
      <c r="K36" s="9" t="n">
        <v>0.243</v>
      </c>
      <c r="L36" s="9" t="n">
        <v>8.903499999999999</v>
      </c>
      <c r="M36" s="9" t="n">
        <v>0.047</v>
      </c>
      <c r="N36" s="9" t="n">
        <v>201</v>
      </c>
      <c r="O36" s="9" t="n">
        <v>0.7214</v>
      </c>
      <c r="P36" s="9" t="n">
        <v>0.1214</v>
      </c>
      <c r="Q36" s="9" t="n">
        <v>1</v>
      </c>
      <c r="R36" s="9" t="n">
        <v>1</v>
      </c>
      <c r="S36" s="9" t="n">
        <v>58.41</v>
      </c>
      <c r="T36" s="9" t="n">
        <v>60</v>
      </c>
    </row>
    <row r="37">
      <c r="A37" s="9" t="inlineStr">
        <is>
          <t>CIV</t>
        </is>
      </c>
      <c r="B37" s="9" t="n">
        <v>2</v>
      </c>
      <c r="C37" s="9" t="inlineStr">
        <is>
          <t>PSRT 2013</t>
        </is>
      </c>
      <c r="D37" s="9" t="n"/>
      <c r="E37" s="9" t="n">
        <v>1</v>
      </c>
      <c r="F37" s="9" t="n">
        <v>0</v>
      </c>
      <c r="G37" s="9" t="n">
        <v>1</v>
      </c>
      <c r="H37" s="9" t="n">
        <v>0</v>
      </c>
      <c r="I37" s="9" t="n">
        <v>0.9006999999999999</v>
      </c>
      <c r="J37" s="9" t="n">
        <v>0.2361</v>
      </c>
      <c r="K37" s="9" t="n">
        <v>0.338</v>
      </c>
      <c r="L37" s="9" t="n">
        <v>0.1543</v>
      </c>
      <c r="M37" s="9" t="n">
        <v>0.177</v>
      </c>
      <c r="N37" s="9" t="n">
        <v>6</v>
      </c>
      <c r="O37" s="9" t="n">
        <v>0.07820000000000001</v>
      </c>
      <c r="P37" s="9" t="n">
        <v>0</v>
      </c>
      <c r="Q37" s="9" t="n">
        <v>1</v>
      </c>
      <c r="R37" s="9" t="n">
        <v>1</v>
      </c>
      <c r="S37" s="9" t="n">
        <v>28.407</v>
      </c>
      <c r="T37" s="9" t="n">
        <v>0</v>
      </c>
    </row>
    <row r="38">
      <c r="A38" s="9" t="inlineStr">
        <is>
          <t>CMR</t>
        </is>
      </c>
      <c r="B38" s="9" t="n">
        <v>2</v>
      </c>
      <c r="C38" s="9" t="inlineStr">
        <is>
          <t>PSRT 2013, PPI update</t>
        </is>
      </c>
      <c r="D38" s="9" t="inlineStr">
        <is>
          <t>2 private generation projects 2014-2024 (PPI)</t>
        </is>
      </c>
      <c r="E38" s="9" t="n">
        <v>1</v>
      </c>
      <c r="F38" s="9" t="n">
        <v>0</v>
      </c>
      <c r="G38" s="9" t="n">
        <v>1</v>
      </c>
      <c r="H38" s="9" t="n">
        <v>0</v>
      </c>
      <c r="I38" s="9" t="n">
        <v>1.4488</v>
      </c>
      <c r="J38" s="9" t="n">
        <v>0.0134</v>
      </c>
      <c r="K38" s="9" t="n">
        <v>0.105</v>
      </c>
      <c r="L38" s="9" t="n">
        <v>0.1735</v>
      </c>
      <c r="M38" s="9" t="n">
        <v>0.3254</v>
      </c>
      <c r="N38" s="9" t="n">
        <v>2</v>
      </c>
      <c r="O38" s="9" t="n">
        <v>0.0288</v>
      </c>
      <c r="P38" s="9" t="n">
        <v>0</v>
      </c>
      <c r="Q38" s="9" t="n">
        <v>1</v>
      </c>
      <c r="R38" s="9" t="n">
        <v>1</v>
      </c>
      <c r="S38" s="9" t="n">
        <v>13.854</v>
      </c>
      <c r="T38" s="9" t="n">
        <v>0</v>
      </c>
    </row>
    <row r="39">
      <c r="A39" s="9" t="inlineStr">
        <is>
          <t>COD</t>
        </is>
      </c>
      <c r="B39" s="9" t="n">
        <v>2</v>
      </c>
      <c r="C39" s="9" t="inlineStr">
        <is>
          <t>PSRT 2013, PPI update</t>
        </is>
      </c>
      <c r="D39" s="9" t="inlineStr">
        <is>
          <t>4 private generation projects 2014-2024 (PPI)</t>
        </is>
      </c>
      <c r="E39" s="9" t="n">
        <v>0</v>
      </c>
      <c r="F39" s="9" t="n">
        <v>0</v>
      </c>
      <c r="G39" s="9" t="n">
        <v>0</v>
      </c>
      <c r="H39" s="9" t="n">
        <v>0</v>
      </c>
      <c r="I39" s="9" t="n">
        <v>0.4572</v>
      </c>
      <c r="J39" s="9" t="n">
        <v>0.0001</v>
      </c>
      <c r="K39" s="9" t="n">
        <v>0</v>
      </c>
      <c r="L39" s="9" t="n">
        <v>0.09080000000000001</v>
      </c>
      <c r="M39" s="9" t="n">
        <v>0.1184</v>
      </c>
      <c r="N39" s="9" t="n">
        <v>4</v>
      </c>
      <c r="O39" s="9" t="n">
        <v>1</v>
      </c>
      <c r="P39" s="9" t="n">
        <v>0</v>
      </c>
      <c r="Q39" s="9" t="n">
        <v>0</v>
      </c>
      <c r="R39" s="9" t="n">
        <v>0</v>
      </c>
      <c r="S39" s="9" t="n">
        <v>16.394</v>
      </c>
      <c r="T39" s="9" t="n">
        <v>0</v>
      </c>
    </row>
    <row r="40">
      <c r="A40" s="9" t="inlineStr">
        <is>
          <t>COG</t>
        </is>
      </c>
      <c r="B40" s="9" t="n">
        <v>1</v>
      </c>
      <c r="C40" s="9" t="inlineStr">
        <is>
          <t>PPI rule (no PSRT)</t>
        </is>
      </c>
      <c r="D40" s="9" t="inlineStr">
        <is>
          <t>0 private generation projects 2014-2024 (PPI)</t>
        </is>
      </c>
      <c r="E40" s="9" t="n"/>
      <c r="F40" s="9" t="n"/>
      <c r="G40" s="9" t="n"/>
      <c r="H40" s="9" t="n"/>
      <c r="I40" s="9" t="n">
        <v>0.5797</v>
      </c>
      <c r="J40" s="9" t="n">
        <v>0.5</v>
      </c>
      <c r="K40" s="9" t="n">
        <v>0.9320000000000001</v>
      </c>
      <c r="L40" s="9" t="n">
        <v>0</v>
      </c>
      <c r="M40" s="9" t="n">
        <v>0</v>
      </c>
      <c r="N40" s="9" t="n">
        <v>0</v>
      </c>
      <c r="O40" s="9" t="n"/>
      <c r="P40" s="9" t="n"/>
      <c r="Q40" s="9" t="n">
        <v>0</v>
      </c>
      <c r="R40" s="9" t="n">
        <v>0</v>
      </c>
      <c r="S40" s="9" t="n">
        <v>3.056</v>
      </c>
      <c r="T40" s="9" t="n">
        <v>0</v>
      </c>
    </row>
    <row r="41">
      <c r="A41" s="9" t="inlineStr">
        <is>
          <t>COL</t>
        </is>
      </c>
      <c r="B41" s="9" t="n">
        <v>3</v>
      </c>
      <c r="C41" s="9" t="inlineStr">
        <is>
          <t>PSRT 2013</t>
        </is>
      </c>
      <c r="D41" s="9" t="n"/>
      <c r="E41" s="9" t="n">
        <v>1</v>
      </c>
      <c r="F41" s="9" t="n">
        <v>1</v>
      </c>
      <c r="G41" s="9" t="n">
        <v>1</v>
      </c>
      <c r="H41" s="9" t="n">
        <v>0</v>
      </c>
      <c r="I41" s="9" t="n">
        <v>0.9315</v>
      </c>
      <c r="J41" s="9" t="n">
        <v>0.08019999999999999</v>
      </c>
      <c r="K41" s="9" t="n">
        <v>0.438</v>
      </c>
      <c r="L41" s="9" t="n">
        <v>0.479</v>
      </c>
      <c r="M41" s="9" t="n">
        <v>0.1139</v>
      </c>
      <c r="N41" s="9" t="n">
        <v>20</v>
      </c>
      <c r="O41" s="9" t="n">
        <v>0.3077</v>
      </c>
      <c r="P41" s="9" t="n">
        <v>0</v>
      </c>
      <c r="Q41" s="9" t="n">
        <v>1</v>
      </c>
      <c r="R41" s="9" t="n">
        <v>1</v>
      </c>
      <c r="S41" s="9" t="n">
        <v>48.923</v>
      </c>
      <c r="T41" s="9" t="n">
        <v>20</v>
      </c>
    </row>
    <row r="42">
      <c r="A42" s="9" t="inlineStr">
        <is>
          <t>COM</t>
        </is>
      </c>
      <c r="B42" s="9" t="n">
        <v>1</v>
      </c>
      <c r="C42" s="9" t="inlineStr">
        <is>
          <t>Curated (not in PSRT)</t>
        </is>
      </c>
      <c r="D42" s="9" t="inlineStr">
        <is>
          <t>State VIU</t>
        </is>
      </c>
      <c r="E42" s="9" t="n">
        <v>0</v>
      </c>
      <c r="F42" s="9" t="n">
        <v>0</v>
      </c>
      <c r="G42" s="9" t="n">
        <v>0</v>
      </c>
      <c r="H42" s="9" t="n"/>
      <c r="I42" s="9" t="n">
        <v>1</v>
      </c>
      <c r="J42" s="9" t="n">
        <v>0</v>
      </c>
      <c r="K42" s="9" t="n">
        <v>0</v>
      </c>
      <c r="L42" s="9" t="n">
        <v>0</v>
      </c>
      <c r="M42" s="9" t="n">
        <v>0</v>
      </c>
      <c r="N42" s="9" t="n">
        <v>0</v>
      </c>
      <c r="O42" s="9" t="n"/>
      <c r="P42" s="9" t="n"/>
      <c r="Q42" s="9" t="n">
        <v>0</v>
      </c>
      <c r="R42" s="9" t="n">
        <v>0</v>
      </c>
      <c r="S42" s="9" t="n"/>
      <c r="T42" s="9" t="n"/>
    </row>
    <row r="43">
      <c r="A43" s="9" t="inlineStr">
        <is>
          <t>CPV</t>
        </is>
      </c>
      <c r="B43" s="9" t="n">
        <v>2</v>
      </c>
      <c r="C43" s="9" t="inlineStr">
        <is>
          <t>Curated (not in PSRT)</t>
        </is>
      </c>
      <c r="D43" s="9" t="inlineStr">
        <is>
          <t>State utility (Electra) buying from wind IPP (Cabeolica)</t>
        </is>
      </c>
      <c r="E43" s="9" t="n">
        <v>1</v>
      </c>
      <c r="F43" s="9" t="n">
        <v>0</v>
      </c>
      <c r="G43" s="9" t="n">
        <v>0</v>
      </c>
      <c r="H43" s="9" t="n"/>
      <c r="I43" s="9" t="n">
        <v>0.9357</v>
      </c>
      <c r="J43" s="9" t="n">
        <v>0.3503</v>
      </c>
      <c r="K43" s="9" t="n">
        <v>0.35</v>
      </c>
      <c r="L43" s="9" t="n">
        <v>0.0004</v>
      </c>
      <c r="M43" s="9" t="n">
        <v>0.0138</v>
      </c>
      <c r="N43" s="9" t="n">
        <v>1</v>
      </c>
      <c r="O43" s="9" t="n">
        <v>1</v>
      </c>
      <c r="P43" s="9" t="n">
        <v>0</v>
      </c>
      <c r="Q43" s="9" t="n">
        <v>0</v>
      </c>
      <c r="R43" s="9" t="n">
        <v>0</v>
      </c>
      <c r="S43" s="9" t="n"/>
      <c r="T43" s="9" t="n"/>
    </row>
    <row r="44">
      <c r="A44" s="9" t="inlineStr">
        <is>
          <t>CRI</t>
        </is>
      </c>
      <c r="B44" s="9" t="n">
        <v>3</v>
      </c>
      <c r="C44" s="9" t="inlineStr">
        <is>
          <t>PSRT 2013</t>
        </is>
      </c>
      <c r="D44" s="9" t="n"/>
      <c r="E44" s="9" t="n">
        <v>1</v>
      </c>
      <c r="F44" s="9" t="n">
        <v>0</v>
      </c>
      <c r="G44" s="9" t="n">
        <v>0</v>
      </c>
      <c r="H44" s="9" t="n">
        <v>0</v>
      </c>
      <c r="I44" s="9" t="n">
        <v>1.0275</v>
      </c>
      <c r="J44" s="9" t="n">
        <v>0</v>
      </c>
      <c r="K44" s="9" t="n">
        <v>0.183</v>
      </c>
      <c r="L44" s="9" t="n">
        <v>0.0242</v>
      </c>
      <c r="M44" s="9" t="n">
        <v>0.025</v>
      </c>
      <c r="N44" s="9" t="n">
        <v>2</v>
      </c>
      <c r="O44" s="9" t="n">
        <v>1</v>
      </c>
      <c r="P44" s="9" t="n">
        <v>0</v>
      </c>
      <c r="Q44" s="9" t="n">
        <v>0</v>
      </c>
      <c r="R44" s="9" t="n">
        <v>0</v>
      </c>
      <c r="S44" s="9" t="n">
        <v>52.241</v>
      </c>
      <c r="T44" s="9" t="n">
        <v>20</v>
      </c>
    </row>
    <row r="45">
      <c r="A45" s="9" t="inlineStr">
        <is>
          <t>CYP</t>
        </is>
      </c>
      <c r="B45" s="9" t="n">
        <v>1</v>
      </c>
      <c r="C45" s="9" t="inlineStr">
        <is>
          <t>PSRT 2013</t>
        </is>
      </c>
      <c r="D45" s="9" t="n"/>
      <c r="E45" s="9" t="n">
        <v>1</v>
      </c>
      <c r="F45" s="9" t="n">
        <v>0</v>
      </c>
      <c r="G45" s="9" t="n">
        <v>0</v>
      </c>
      <c r="H45" s="9" t="n">
        <v>0</v>
      </c>
      <c r="I45" s="9" t="n">
        <v>1.3633</v>
      </c>
      <c r="J45" s="9" t="n">
        <v>0</v>
      </c>
      <c r="K45" s="9" t="n">
        <v>0</v>
      </c>
      <c r="L45" s="9" t="n">
        <v>0</v>
      </c>
      <c r="M45" s="9" t="n">
        <v>0</v>
      </c>
      <c r="N45" s="9" t="n">
        <v>0</v>
      </c>
      <c r="O45" s="9" t="n"/>
      <c r="P45" s="9" t="n"/>
      <c r="Q45" s="9" t="n">
        <v>0</v>
      </c>
      <c r="R45" s="9" t="n">
        <v>0</v>
      </c>
      <c r="S45" s="9" t="n"/>
      <c r="T45" s="9" t="n"/>
    </row>
    <row r="46">
      <c r="A46" s="9" t="inlineStr">
        <is>
          <t>CZE</t>
        </is>
      </c>
      <c r="B46" s="9" t="n">
        <v>3</v>
      </c>
      <c r="C46" s="9" t="inlineStr">
        <is>
          <t>Curated (not in PSRT)</t>
        </is>
      </c>
      <c r="D46" s="9" t="inlineStr">
        <is>
          <t>EU internal market; CEZ majority state</t>
        </is>
      </c>
      <c r="E46" s="9" t="n">
        <v>1</v>
      </c>
      <c r="F46" s="9" t="n">
        <v>1</v>
      </c>
      <c r="G46" s="9" t="n">
        <v>0</v>
      </c>
      <c r="H46" s="9" t="n"/>
      <c r="I46" s="9" t="n">
        <v>1.1107</v>
      </c>
      <c r="J46" s="9" t="n">
        <v>0</v>
      </c>
      <c r="K46" s="9" t="n">
        <v>0</v>
      </c>
      <c r="L46" s="9" t="n">
        <v>0</v>
      </c>
      <c r="M46" s="9" t="n">
        <v>0</v>
      </c>
      <c r="N46" s="9" t="n">
        <v>0</v>
      </c>
      <c r="O46" s="9" t="n"/>
      <c r="P46" s="9" t="n"/>
      <c r="Q46" s="9" t="n">
        <v>0</v>
      </c>
      <c r="R46" s="9" t="n">
        <v>0</v>
      </c>
      <c r="S46" s="9" t="n">
        <v>77.70399999999999</v>
      </c>
      <c r="T46" s="9" t="n">
        <v>40</v>
      </c>
    </row>
    <row r="47">
      <c r="A47" s="9" t="inlineStr">
        <is>
          <t>DEU</t>
        </is>
      </c>
      <c r="B47" s="9" t="n">
        <v>3</v>
      </c>
      <c r="C47" s="9" t="inlineStr">
        <is>
          <t>Curated (not in PSRT)</t>
        </is>
      </c>
      <c r="D47" s="9" t="inlineStr">
        <is>
          <t>EU internal market</t>
        </is>
      </c>
      <c r="E47" s="9" t="n">
        <v>1</v>
      </c>
      <c r="F47" s="9" t="n">
        <v>1</v>
      </c>
      <c r="G47" s="9" t="n">
        <v>1</v>
      </c>
      <c r="H47" s="9" t="n"/>
      <c r="I47" s="9" t="n">
        <v>1.1808</v>
      </c>
      <c r="J47" s="9" t="n">
        <v>0</v>
      </c>
      <c r="K47" s="9" t="n">
        <v>0.016</v>
      </c>
      <c r="L47" s="9" t="n">
        <v>0</v>
      </c>
      <c r="M47" s="9" t="n">
        <v>0</v>
      </c>
      <c r="N47" s="9" t="n">
        <v>0</v>
      </c>
      <c r="O47" s="9" t="n"/>
      <c r="P47" s="9" t="n"/>
      <c r="Q47" s="9" t="n">
        <v>0</v>
      </c>
      <c r="R47" s="9" t="n">
        <v>0</v>
      </c>
      <c r="S47" s="9" t="n">
        <v>85.94199999999999</v>
      </c>
      <c r="T47" s="9" t="n">
        <v>60</v>
      </c>
    </row>
    <row r="48">
      <c r="A48" s="9" t="inlineStr">
        <is>
          <t>DJI</t>
        </is>
      </c>
      <c r="B48" s="9" t="n">
        <v>2</v>
      </c>
      <c r="C48" s="9" t="inlineStr">
        <is>
          <t>PSRT 2013, PPI update</t>
        </is>
      </c>
      <c r="D48" s="9" t="inlineStr">
        <is>
          <t>2 private generation projects 2014-2024 (PPI)</t>
        </is>
      </c>
      <c r="E48" s="9" t="n">
        <v>0</v>
      </c>
      <c r="F48" s="9" t="n">
        <v>0</v>
      </c>
      <c r="G48" s="9" t="n">
        <v>0</v>
      </c>
      <c r="H48" s="9" t="n">
        <v>0</v>
      </c>
      <c r="I48" s="9" t="n">
        <v>1</v>
      </c>
      <c r="J48" s="9" t="n">
        <v>0</v>
      </c>
      <c r="K48" s="9" t="n">
        <v>0</v>
      </c>
      <c r="L48" s="9" t="n">
        <v>0.0145</v>
      </c>
      <c r="M48" s="9" t="n">
        <v>0.3502</v>
      </c>
      <c r="N48" s="9" t="n">
        <v>2</v>
      </c>
      <c r="O48" s="9" t="n">
        <v>1</v>
      </c>
      <c r="P48" s="9" t="n">
        <v>0</v>
      </c>
      <c r="Q48" s="9" t="n">
        <v>0</v>
      </c>
      <c r="R48" s="9" t="n">
        <v>0</v>
      </c>
      <c r="S48" s="9" t="n"/>
      <c r="T48" s="9" t="n"/>
    </row>
    <row r="49">
      <c r="A49" s="9" t="inlineStr">
        <is>
          <t>DMA</t>
        </is>
      </c>
      <c r="B49" s="9" t="n">
        <v>1</v>
      </c>
      <c r="C49" s="9" t="inlineStr">
        <is>
          <t>PSRT 2013, curated update</t>
        </is>
      </c>
      <c r="D49" s="9" t="inlineStr">
        <is>
          <t>Private VIU (DOMLEC)</t>
        </is>
      </c>
      <c r="E49" s="9" t="n">
        <v>1</v>
      </c>
      <c r="F49" s="9" t="n">
        <v>0</v>
      </c>
      <c r="G49" s="9" t="n">
        <v>1</v>
      </c>
      <c r="H49" s="9" t="n">
        <v>0</v>
      </c>
      <c r="I49" s="9" t="n">
        <v>1.0387</v>
      </c>
      <c r="J49" s="9" t="n">
        <v>0.2254</v>
      </c>
      <c r="K49" s="9" t="n">
        <v>0.225</v>
      </c>
      <c r="L49" s="9" t="n">
        <v>0</v>
      </c>
      <c r="M49" s="9" t="n">
        <v>0</v>
      </c>
      <c r="N49" s="9" t="n">
        <v>0</v>
      </c>
      <c r="O49" s="9" t="n"/>
      <c r="P49" s="9" t="n"/>
      <c r="Q49" s="9" t="n">
        <v>1</v>
      </c>
      <c r="R49" s="9" t="n">
        <v>1</v>
      </c>
      <c r="S49" s="9" t="n"/>
      <c r="T49" s="9" t="n"/>
    </row>
    <row r="50">
      <c r="A50" s="9" t="inlineStr">
        <is>
          <t>DNK</t>
        </is>
      </c>
      <c r="B50" s="9" t="n">
        <v>3</v>
      </c>
      <c r="C50" s="9" t="inlineStr">
        <is>
          <t>Curated (not in PSRT)</t>
        </is>
      </c>
      <c r="D50" s="9" t="inlineStr">
        <is>
          <t>EU internal market (Nord Pool)</t>
        </is>
      </c>
      <c r="E50" s="9" t="n">
        <v>1</v>
      </c>
      <c r="F50" s="9" t="n">
        <v>1</v>
      </c>
      <c r="G50" s="9" t="n">
        <v>0</v>
      </c>
      <c r="H50" s="9" t="n"/>
      <c r="I50" s="9" t="n">
        <v>1.3827</v>
      </c>
      <c r="J50" s="9" t="n">
        <v>0</v>
      </c>
      <c r="K50" s="9" t="n">
        <v>0.102</v>
      </c>
      <c r="L50" s="9" t="n">
        <v>0</v>
      </c>
      <c r="M50" s="9" t="n">
        <v>0</v>
      </c>
      <c r="N50" s="9" t="n">
        <v>0</v>
      </c>
      <c r="O50" s="9" t="n"/>
      <c r="P50" s="9" t="n"/>
      <c r="Q50" s="9" t="n">
        <v>0</v>
      </c>
      <c r="R50" s="9" t="n">
        <v>0</v>
      </c>
      <c r="S50" s="9" t="n">
        <v>89.51900000000001</v>
      </c>
      <c r="T50" s="9" t="n">
        <v>80</v>
      </c>
    </row>
    <row r="51">
      <c r="A51" s="9" t="inlineStr">
        <is>
          <t>DOM</t>
        </is>
      </c>
      <c r="B51" s="9" t="n">
        <v>3</v>
      </c>
      <c r="C51" s="9" t="inlineStr">
        <is>
          <t>PSRT 2013</t>
        </is>
      </c>
      <c r="D51" s="9" t="n"/>
      <c r="E51" s="9" t="n">
        <v>1</v>
      </c>
      <c r="F51" s="9" t="n">
        <v>1</v>
      </c>
      <c r="G51" s="9" t="n">
        <v>1</v>
      </c>
      <c r="H51" s="9" t="n">
        <v>0</v>
      </c>
      <c r="I51" s="9" t="n">
        <v>0.5934</v>
      </c>
      <c r="J51" s="9" t="n">
        <v>1.0295</v>
      </c>
      <c r="K51" s="9" t="n">
        <v>1.089</v>
      </c>
      <c r="L51" s="9" t="n">
        <v>0.239</v>
      </c>
      <c r="M51" s="9" t="n">
        <v>0.1918</v>
      </c>
      <c r="N51" s="9" t="n">
        <v>24</v>
      </c>
      <c r="O51" s="9" t="n">
        <v>0.8651</v>
      </c>
      <c r="P51" s="9" t="n">
        <v>0</v>
      </c>
      <c r="Q51" s="9" t="n">
        <v>1</v>
      </c>
      <c r="R51" s="9" t="n">
        <v>1</v>
      </c>
      <c r="S51" s="9" t="n">
        <v>31.249</v>
      </c>
      <c r="T51" s="9" t="n">
        <v>0</v>
      </c>
    </row>
    <row r="52">
      <c r="A52" s="9" t="inlineStr">
        <is>
          <t>DZA</t>
        </is>
      </c>
      <c r="B52" s="9" t="n">
        <v>2</v>
      </c>
      <c r="C52" s="9" t="inlineStr">
        <is>
          <t>PSRT 2013</t>
        </is>
      </c>
      <c r="D52" s="9" t="n"/>
      <c r="E52" s="9" t="n">
        <v>1</v>
      </c>
      <c r="F52" s="9" t="n">
        <v>1</v>
      </c>
      <c r="G52" s="9" t="n">
        <v>0</v>
      </c>
      <c r="H52" s="9" t="n">
        <v>0</v>
      </c>
      <c r="I52" s="9" t="n">
        <v>0.233</v>
      </c>
      <c r="J52" s="9" t="n">
        <v>1.8445</v>
      </c>
      <c r="K52" s="9" t="n">
        <v>9.347</v>
      </c>
      <c r="L52" s="9" t="n">
        <v>0</v>
      </c>
      <c r="M52" s="9" t="n">
        <v>0</v>
      </c>
      <c r="N52" s="9" t="n">
        <v>0</v>
      </c>
      <c r="O52" s="9" t="n"/>
      <c r="P52" s="9" t="n"/>
      <c r="Q52" s="9" t="n">
        <v>0</v>
      </c>
      <c r="R52" s="9" t="n">
        <v>0</v>
      </c>
      <c r="S52" s="9" t="n">
        <v>19.339</v>
      </c>
      <c r="T52" s="9" t="n">
        <v>0</v>
      </c>
    </row>
    <row r="53">
      <c r="A53" s="9" t="inlineStr">
        <is>
          <t>ECU</t>
        </is>
      </c>
      <c r="B53" s="9" t="n">
        <v>3</v>
      </c>
      <c r="C53" s="9" t="inlineStr">
        <is>
          <t>PSRT 2013</t>
        </is>
      </c>
      <c r="D53" s="9" t="n"/>
      <c r="E53" s="9" t="n">
        <v>1</v>
      </c>
      <c r="F53" s="9" t="n">
        <v>1</v>
      </c>
      <c r="G53" s="9" t="n">
        <v>1</v>
      </c>
      <c r="H53" s="9" t="n">
        <v>0</v>
      </c>
      <c r="I53" s="9" t="n">
        <v>0.9229000000000001</v>
      </c>
      <c r="J53" s="9" t="n">
        <v>0.031</v>
      </c>
      <c r="K53" s="9" t="n">
        <v>4.171</v>
      </c>
      <c r="L53" s="9" t="n">
        <v>0.0461</v>
      </c>
      <c r="M53" s="9" t="n">
        <v>0.0372</v>
      </c>
      <c r="N53" s="9" t="n">
        <v>3</v>
      </c>
      <c r="O53" s="9" t="n">
        <v>0.3927</v>
      </c>
      <c r="P53" s="9" t="n">
        <v>0.3004</v>
      </c>
      <c r="Q53" s="9" t="n">
        <v>0</v>
      </c>
      <c r="R53" s="9" t="n">
        <v>0</v>
      </c>
      <c r="S53" s="9" t="n">
        <v>40.87</v>
      </c>
      <c r="T53" s="9" t="n">
        <v>0</v>
      </c>
    </row>
    <row r="54">
      <c r="A54" s="9" t="inlineStr">
        <is>
          <t>EGY</t>
        </is>
      </c>
      <c r="B54" s="9" t="n">
        <v>2</v>
      </c>
      <c r="C54" s="9" t="inlineStr">
        <is>
          <t>PSRT 2013, curated update</t>
        </is>
      </c>
      <c r="D54" s="9" t="inlineStr">
        <is>
          <t>2015 Electricity Law allows a market; EETC still single buyer from IPPs</t>
        </is>
      </c>
      <c r="E54" s="9" t="n">
        <v>1</v>
      </c>
      <c r="F54" s="9" t="n">
        <v>1</v>
      </c>
      <c r="G54" s="9" t="n">
        <v>0</v>
      </c>
      <c r="H54" s="9" t="n">
        <v>0</v>
      </c>
      <c r="I54" s="9" t="n">
        <v>0.4486</v>
      </c>
      <c r="J54" s="9" t="n">
        <v>2.5671</v>
      </c>
      <c r="K54" s="9" t="n">
        <v>12.535</v>
      </c>
      <c r="L54" s="9" t="n">
        <v>0.5642</v>
      </c>
      <c r="M54" s="9" t="n">
        <v>0.1473</v>
      </c>
      <c r="N54" s="9" t="n">
        <v>33</v>
      </c>
      <c r="O54" s="9" t="n">
        <v>0.9784</v>
      </c>
      <c r="P54" s="9" t="n">
        <v>0</v>
      </c>
      <c r="Q54" s="9" t="n">
        <v>0</v>
      </c>
      <c r="R54" s="9" t="n">
        <v>0</v>
      </c>
      <c r="S54" s="9" t="n">
        <v>44.188</v>
      </c>
      <c r="T54" s="9" t="n">
        <v>0</v>
      </c>
    </row>
    <row r="55">
      <c r="A55" s="9" t="inlineStr">
        <is>
          <t>ESP</t>
        </is>
      </c>
      <c r="B55" s="9" t="n">
        <v>3</v>
      </c>
      <c r="C55" s="9" t="inlineStr">
        <is>
          <t>Curated (not in PSRT)</t>
        </is>
      </c>
      <c r="D55" s="9" t="inlineStr">
        <is>
          <t>EU internal market</t>
        </is>
      </c>
      <c r="E55" s="9" t="n">
        <v>1</v>
      </c>
      <c r="F55" s="9" t="n">
        <v>1</v>
      </c>
      <c r="G55" s="9" t="n">
        <v>1</v>
      </c>
      <c r="H55" s="9" t="n"/>
      <c r="I55" s="9" t="n">
        <v>1.1664</v>
      </c>
      <c r="J55" s="9" t="n">
        <v>0.0143</v>
      </c>
      <c r="K55" s="9" t="n">
        <v>0.014</v>
      </c>
      <c r="L55" s="9" t="n">
        <v>0</v>
      </c>
      <c r="M55" s="9" t="n">
        <v>0</v>
      </c>
      <c r="N55" s="9" t="n">
        <v>0</v>
      </c>
      <c r="O55" s="9" t="n"/>
      <c r="P55" s="9" t="n"/>
      <c r="Q55" s="9" t="n">
        <v>0</v>
      </c>
      <c r="R55" s="9" t="n">
        <v>0</v>
      </c>
      <c r="S55" s="9" t="n">
        <v>83.333</v>
      </c>
      <c r="T55" s="9" t="n">
        <v>60</v>
      </c>
    </row>
    <row r="56">
      <c r="A56" s="9" t="inlineStr">
        <is>
          <t>EST</t>
        </is>
      </c>
      <c r="B56" s="9" t="n">
        <v>3</v>
      </c>
      <c r="C56" s="9" t="inlineStr">
        <is>
          <t>Curated (not in PSRT)</t>
        </is>
      </c>
      <c r="D56" s="9" t="inlineStr">
        <is>
          <t>EU internal market (Nord Pool); Eesti Energia state</t>
        </is>
      </c>
      <c r="E56" s="9" t="n">
        <v>1</v>
      </c>
      <c r="F56" s="9" t="n">
        <v>1</v>
      </c>
      <c r="G56" s="9" t="n">
        <v>0</v>
      </c>
      <c r="H56" s="9" t="n"/>
      <c r="I56" s="9" t="n">
        <v>1.1146</v>
      </c>
      <c r="J56" s="9" t="n">
        <v>0</v>
      </c>
      <c r="K56" s="9" t="n">
        <v>0.045</v>
      </c>
      <c r="L56" s="9" t="n">
        <v>0</v>
      </c>
      <c r="M56" s="9" t="n">
        <v>0</v>
      </c>
      <c r="N56" s="9" t="n">
        <v>0</v>
      </c>
      <c r="O56" s="9" t="n"/>
      <c r="P56" s="9" t="n"/>
      <c r="Q56" s="9" t="n">
        <v>0</v>
      </c>
      <c r="R56" s="9" t="n">
        <v>0</v>
      </c>
      <c r="S56" s="9" t="n"/>
      <c r="T56" s="9" t="n"/>
    </row>
    <row r="57">
      <c r="A57" s="9" t="inlineStr">
        <is>
          <t>ETH</t>
        </is>
      </c>
      <c r="B57" s="9" t="n">
        <v>2</v>
      </c>
      <c r="C57" s="9" t="inlineStr">
        <is>
          <t>PSRT 2013</t>
        </is>
      </c>
      <c r="D57" s="9" t="n"/>
      <c r="E57" s="9" t="n">
        <v>1</v>
      </c>
      <c r="F57" s="9" t="n">
        <v>0</v>
      </c>
      <c r="G57" s="9" t="n">
        <v>0</v>
      </c>
      <c r="H57" s="9" t="n">
        <v>0</v>
      </c>
      <c r="I57" s="9" t="n">
        <v>0.1814</v>
      </c>
      <c r="J57" s="9" t="n">
        <v>0.1052</v>
      </c>
      <c r="K57" s="9" t="n">
        <v>0.105</v>
      </c>
      <c r="L57" s="9" t="n">
        <v>0.0305</v>
      </c>
      <c r="M57" s="9" t="n">
        <v>0.0214</v>
      </c>
      <c r="N57" s="9" t="n">
        <v>1</v>
      </c>
      <c r="O57" s="9" t="n">
        <v>0</v>
      </c>
      <c r="P57" s="9" t="n">
        <v>0</v>
      </c>
      <c r="Q57" s="9" t="n">
        <v>0</v>
      </c>
      <c r="R57" s="9" t="n">
        <v>0</v>
      </c>
      <c r="S57" s="9" t="n">
        <v>33.146</v>
      </c>
      <c r="T57" s="9" t="n">
        <v>0</v>
      </c>
    </row>
    <row r="58">
      <c r="A58" s="9" t="inlineStr">
        <is>
          <t>FIN</t>
        </is>
      </c>
      <c r="B58" s="9" t="n">
        <v>3</v>
      </c>
      <c r="C58" s="9" t="inlineStr">
        <is>
          <t>Curated (not in PSRT)</t>
        </is>
      </c>
      <c r="D58" s="9" t="inlineStr">
        <is>
          <t>EU internal market (Nord Pool)</t>
        </is>
      </c>
      <c r="E58" s="9" t="n">
        <v>1</v>
      </c>
      <c r="F58" s="9" t="n">
        <v>1</v>
      </c>
      <c r="G58" s="9" t="n">
        <v>0</v>
      </c>
      <c r="H58" s="9" t="n"/>
      <c r="I58" s="9" t="n">
        <v>1.1189</v>
      </c>
      <c r="J58" s="9" t="n">
        <v>0</v>
      </c>
      <c r="K58" s="9" t="n">
        <v>0</v>
      </c>
      <c r="L58" s="9" t="n">
        <v>0</v>
      </c>
      <c r="M58" s="9" t="n">
        <v>0</v>
      </c>
      <c r="N58" s="9" t="n">
        <v>0</v>
      </c>
      <c r="O58" s="9" t="n"/>
      <c r="P58" s="9" t="n"/>
      <c r="Q58" s="9" t="n">
        <v>0</v>
      </c>
      <c r="R58" s="9" t="n">
        <v>0</v>
      </c>
      <c r="S58" s="9" t="n">
        <v>80.96299999999999</v>
      </c>
      <c r="T58" s="9" t="n">
        <v>60</v>
      </c>
    </row>
    <row r="59">
      <c r="A59" s="9" t="inlineStr">
        <is>
          <t>FJI</t>
        </is>
      </c>
      <c r="B59" s="9" t="n">
        <v>1</v>
      </c>
      <c r="C59" s="9" t="inlineStr">
        <is>
          <t>PSRT 2013</t>
        </is>
      </c>
      <c r="D59" s="9" t="n"/>
      <c r="E59" s="9" t="n">
        <v>0</v>
      </c>
      <c r="F59" s="9" t="n">
        <v>0</v>
      </c>
      <c r="G59" s="9" t="n">
        <v>0</v>
      </c>
      <c r="H59" s="9" t="n">
        <v>0</v>
      </c>
      <c r="I59" s="9" t="n">
        <v>1.0607</v>
      </c>
      <c r="J59" s="9" t="n">
        <v>0.042</v>
      </c>
      <c r="K59" s="9" t="n">
        <v>0.042</v>
      </c>
      <c r="L59" s="9" t="n">
        <v>0</v>
      </c>
      <c r="M59" s="9" t="n">
        <v>0</v>
      </c>
      <c r="N59" s="9" t="n">
        <v>0</v>
      </c>
      <c r="O59" s="9" t="n"/>
      <c r="P59" s="9" t="n"/>
      <c r="Q59" s="9" t="n">
        <v>0</v>
      </c>
      <c r="R59" s="9" t="n">
        <v>0</v>
      </c>
      <c r="S59" s="9" t="n"/>
      <c r="T59" s="9" t="n"/>
    </row>
    <row r="60">
      <c r="A60" s="9" t="inlineStr">
        <is>
          <t>FRA</t>
        </is>
      </c>
      <c r="B60" s="9" t="n">
        <v>3</v>
      </c>
      <c r="C60" s="9" t="inlineStr">
        <is>
          <t>Curated (not in PSRT)</t>
        </is>
      </c>
      <c r="D60" s="9" t="inlineStr">
        <is>
          <t>EU internal market; EDF state-owned</t>
        </is>
      </c>
      <c r="E60" s="9" t="n">
        <v>1</v>
      </c>
      <c r="F60" s="9" t="n">
        <v>1</v>
      </c>
      <c r="G60" s="9" t="n">
        <v>0</v>
      </c>
      <c r="H60" s="9" t="n"/>
      <c r="I60" s="9" t="n">
        <v>1.1236</v>
      </c>
      <c r="J60" s="9" t="n">
        <v>0</v>
      </c>
      <c r="K60" s="9" t="n">
        <v>0.002</v>
      </c>
      <c r="L60" s="9" t="n">
        <v>0</v>
      </c>
      <c r="M60" s="9" t="n">
        <v>0</v>
      </c>
      <c r="N60" s="9" t="n">
        <v>0</v>
      </c>
      <c r="O60" s="9" t="n"/>
      <c r="P60" s="9" t="n"/>
      <c r="Q60" s="9" t="n">
        <v>0</v>
      </c>
      <c r="R60" s="9" t="n">
        <v>0</v>
      </c>
      <c r="S60" s="9" t="n">
        <v>88.074</v>
      </c>
      <c r="T60" s="9" t="n">
        <v>60</v>
      </c>
    </row>
    <row r="61">
      <c r="A61" s="9" t="inlineStr">
        <is>
          <t>GAB</t>
        </is>
      </c>
      <c r="B61" s="9" t="n">
        <v>2</v>
      </c>
      <c r="C61" s="9" t="inlineStr">
        <is>
          <t>PSRT 2013</t>
        </is>
      </c>
      <c r="D61" s="9" t="n"/>
      <c r="E61" s="9" t="n">
        <v>1</v>
      </c>
      <c r="F61" s="9" t="n">
        <v>0</v>
      </c>
      <c r="G61" s="9" t="n">
        <v>0</v>
      </c>
      <c r="H61" s="9" t="n">
        <v>0</v>
      </c>
      <c r="I61" s="9" t="n">
        <v>0.9272</v>
      </c>
      <c r="J61" s="9" t="n">
        <v>0.08649999999999999</v>
      </c>
      <c r="K61" s="9" t="n">
        <v>0.223</v>
      </c>
      <c r="L61" s="9" t="n">
        <v>0.0599</v>
      </c>
      <c r="M61" s="9" t="n">
        <v>0.2864</v>
      </c>
      <c r="N61" s="9" t="n">
        <v>4</v>
      </c>
      <c r="O61" s="9" t="n">
        <v>0.2713</v>
      </c>
      <c r="P61" s="9" t="n">
        <v>0</v>
      </c>
      <c r="Q61" s="9" t="n">
        <v>0</v>
      </c>
      <c r="R61" s="9" t="n">
        <v>0</v>
      </c>
      <c r="S61" s="9" t="n"/>
      <c r="T61" s="9" t="n"/>
    </row>
    <row r="62">
      <c r="A62" s="9" t="inlineStr">
        <is>
          <t>GBR</t>
        </is>
      </c>
      <c r="B62" s="9" t="n">
        <v>3</v>
      </c>
      <c r="C62" s="9" t="inlineStr">
        <is>
          <t>Curated (not in PSRT)</t>
        </is>
      </c>
      <c r="D62" s="9" t="inlineStr">
        <is>
          <t>Wholesale and retail competition; private networks</t>
        </is>
      </c>
      <c r="E62" s="9" t="n">
        <v>1</v>
      </c>
      <c r="F62" s="9" t="n">
        <v>1</v>
      </c>
      <c r="G62" s="9" t="n">
        <v>1</v>
      </c>
      <c r="H62" s="9" t="n"/>
      <c r="I62" s="9" t="n">
        <v>1.095</v>
      </c>
      <c r="J62" s="9" t="n">
        <v>0</v>
      </c>
      <c r="K62" s="9" t="n">
        <v>0.373</v>
      </c>
      <c r="L62" s="9" t="n">
        <v>0</v>
      </c>
      <c r="M62" s="9" t="n">
        <v>0</v>
      </c>
      <c r="N62" s="9" t="n">
        <v>0</v>
      </c>
      <c r="O62" s="9" t="n"/>
      <c r="P62" s="9" t="n"/>
      <c r="Q62" s="9" t="n">
        <v>0</v>
      </c>
      <c r="R62" s="9" t="n">
        <v>0</v>
      </c>
      <c r="S62" s="9" t="n">
        <v>78.63</v>
      </c>
      <c r="T62" s="9" t="n">
        <v>40</v>
      </c>
    </row>
    <row r="63">
      <c r="A63" s="9" t="inlineStr">
        <is>
          <t>GEO</t>
        </is>
      </c>
      <c r="B63" s="9" t="n">
        <v>3</v>
      </c>
      <c r="C63" s="9" t="inlineStr">
        <is>
          <t>PSRT 2013</t>
        </is>
      </c>
      <c r="D63" s="9" t="n"/>
      <c r="E63" s="9" t="n">
        <v>1</v>
      </c>
      <c r="F63" s="9" t="n">
        <v>1</v>
      </c>
      <c r="G63" s="9" t="n">
        <v>1</v>
      </c>
      <c r="H63" s="9" t="n">
        <v>0</v>
      </c>
      <c r="I63" s="9" t="n">
        <v>1.0129</v>
      </c>
      <c r="J63" s="9" t="n">
        <v>0</v>
      </c>
      <c r="K63" s="9" t="n">
        <v>2.054</v>
      </c>
      <c r="L63" s="9" t="n">
        <v>0.08690000000000001</v>
      </c>
      <c r="M63" s="9" t="n">
        <v>0.2542</v>
      </c>
      <c r="N63" s="9" t="n">
        <v>6</v>
      </c>
      <c r="O63" s="9" t="n">
        <v>0.2843</v>
      </c>
      <c r="P63" s="9" t="n">
        <v>0</v>
      </c>
      <c r="Q63" s="9" t="n">
        <v>1</v>
      </c>
      <c r="R63" s="9" t="n">
        <v>1</v>
      </c>
      <c r="S63" s="9" t="n">
        <v>47.28</v>
      </c>
      <c r="T63" s="9" t="n">
        <v>20</v>
      </c>
    </row>
    <row r="64">
      <c r="A64" s="9" t="inlineStr">
        <is>
          <t>GHA</t>
        </is>
      </c>
      <c r="B64" s="9" t="n">
        <v>2</v>
      </c>
      <c r="C64" s="9" t="inlineStr">
        <is>
          <t>PSRT 2013, curated update</t>
        </is>
      </c>
      <c r="D64" s="9" t="inlineStr">
        <is>
          <t>Wholesale market rules (2016) not operating; ECG buys from IPPs</t>
        </is>
      </c>
      <c r="E64" s="9" t="n">
        <v>1</v>
      </c>
      <c r="F64" s="9" t="n">
        <v>1</v>
      </c>
      <c r="G64" s="9" t="n">
        <v>1</v>
      </c>
      <c r="H64" s="9" t="n">
        <v>0</v>
      </c>
      <c r="I64" s="9" t="n">
        <v>0.7393</v>
      </c>
      <c r="J64" s="9" t="n">
        <v>0.4863</v>
      </c>
      <c r="K64" s="9" t="n">
        <v>0.487</v>
      </c>
      <c r="L64" s="9" t="n">
        <v>0.2091</v>
      </c>
      <c r="M64" s="9" t="n">
        <v>0.251</v>
      </c>
      <c r="N64" s="9" t="n">
        <v>4</v>
      </c>
      <c r="O64" s="9" t="n">
        <v>0</v>
      </c>
      <c r="P64" s="9" t="n">
        <v>0</v>
      </c>
      <c r="Q64" s="9" t="n">
        <v>0</v>
      </c>
      <c r="R64" s="9" t="n">
        <v>0</v>
      </c>
      <c r="S64" s="9" t="n">
        <v>30.963</v>
      </c>
      <c r="T64" s="9" t="n">
        <v>0</v>
      </c>
    </row>
    <row r="65">
      <c r="A65" s="9" t="inlineStr">
        <is>
          <t>GIN</t>
        </is>
      </c>
      <c r="B65" s="9" t="n">
        <v>2</v>
      </c>
      <c r="C65" s="9" t="inlineStr">
        <is>
          <t>PSRT 2013, PPI update</t>
        </is>
      </c>
      <c r="D65" s="9" t="inlineStr">
        <is>
          <t>3 private generation projects 2014-2024 (PPI)</t>
        </is>
      </c>
      <c r="E65" s="9" t="n">
        <v>1</v>
      </c>
      <c r="F65" s="9" t="n">
        <v>0</v>
      </c>
      <c r="G65" s="9" t="n">
        <v>0</v>
      </c>
      <c r="H65" s="9" t="n">
        <v>0</v>
      </c>
      <c r="I65" s="9" t="n">
        <v>0.9923999999999999</v>
      </c>
      <c r="J65" s="9" t="n">
        <v>0.0622</v>
      </c>
      <c r="K65" s="9" t="n">
        <v>0.062</v>
      </c>
      <c r="L65" s="9" t="n">
        <v>0.0237</v>
      </c>
      <c r="M65" s="9" t="n">
        <v>0.0978</v>
      </c>
      <c r="N65" s="9" t="n">
        <v>3</v>
      </c>
      <c r="O65" s="9" t="n">
        <v>0.3802</v>
      </c>
      <c r="P65" s="9" t="n">
        <v>0</v>
      </c>
      <c r="Q65" s="9" t="n">
        <v>0</v>
      </c>
      <c r="R65" s="9" t="n">
        <v>0</v>
      </c>
      <c r="S65" s="9" t="n">
        <v>9.563000000000001</v>
      </c>
      <c r="T65" s="9" t="n">
        <v>0</v>
      </c>
    </row>
    <row r="66">
      <c r="A66" s="9" t="inlineStr">
        <is>
          <t>GMB</t>
        </is>
      </c>
      <c r="B66" s="9" t="n">
        <v>2</v>
      </c>
      <c r="C66" s="9" t="inlineStr">
        <is>
          <t>PSRT 2013</t>
        </is>
      </c>
      <c r="D66" s="9" t="n"/>
      <c r="E66" s="9" t="n">
        <v>0</v>
      </c>
      <c r="F66" s="9" t="n">
        <v>0</v>
      </c>
      <c r="G66" s="9" t="n">
        <v>0</v>
      </c>
      <c r="H66" s="9" t="n">
        <v>0</v>
      </c>
      <c r="I66" s="9" t="n">
        <v>1</v>
      </c>
      <c r="J66" s="9" t="n">
        <v>0</v>
      </c>
      <c r="K66" s="9" t="n">
        <v>0</v>
      </c>
      <c r="L66" s="9" t="n">
        <v>0</v>
      </c>
      <c r="M66" s="9" t="n">
        <v>0</v>
      </c>
      <c r="N66" s="9" t="n">
        <v>0</v>
      </c>
      <c r="O66" s="9" t="n"/>
      <c r="P66" s="9" t="n"/>
      <c r="Q66" s="9" t="n">
        <v>0</v>
      </c>
      <c r="R66" s="9" t="n">
        <v>0</v>
      </c>
      <c r="S66" s="9" t="n"/>
      <c r="T66" s="9" t="n"/>
    </row>
    <row r="67">
      <c r="A67" s="9" t="inlineStr">
        <is>
          <t>GNB</t>
        </is>
      </c>
      <c r="B67" s="9" t="n">
        <v>2</v>
      </c>
      <c r="C67" s="9" t="inlineStr">
        <is>
          <t>PSRT 2013</t>
        </is>
      </c>
      <c r="D67" s="9" t="n"/>
      <c r="E67" s="9" t="n">
        <v>0</v>
      </c>
      <c r="F67" s="9" t="n">
        <v>0</v>
      </c>
      <c r="G67" s="9" t="n">
        <v>0</v>
      </c>
      <c r="H67" s="9" t="n">
        <v>0</v>
      </c>
      <c r="I67" s="9" t="n">
        <v>0.8166</v>
      </c>
      <c r="J67" s="9" t="n">
        <v>0.6902</v>
      </c>
      <c r="K67" s="9" t="n">
        <v>0.6899999999999999</v>
      </c>
      <c r="L67" s="9" t="n">
        <v>0</v>
      </c>
      <c r="M67" s="9" t="n">
        <v>0</v>
      </c>
      <c r="N67" s="9" t="n">
        <v>0</v>
      </c>
      <c r="O67" s="9" t="n"/>
      <c r="P67" s="9" t="n"/>
      <c r="Q67" s="9" t="n">
        <v>0</v>
      </c>
      <c r="R67" s="9" t="n">
        <v>0</v>
      </c>
      <c r="S67" s="9" t="n"/>
      <c r="T67" s="9" t="n"/>
    </row>
    <row r="68">
      <c r="A68" s="9" t="inlineStr">
        <is>
          <t>GNQ</t>
        </is>
      </c>
      <c r="B68" s="9" t="n">
        <v>1</v>
      </c>
      <c r="C68" s="9" t="inlineStr">
        <is>
          <t>PSRT 2013</t>
        </is>
      </c>
      <c r="D68" s="9" t="n"/>
      <c r="E68" s="9" t="n">
        <v>1</v>
      </c>
      <c r="F68" s="9" t="n">
        <v>0</v>
      </c>
      <c r="G68" s="9" t="n">
        <v>0</v>
      </c>
      <c r="H68" s="9" t="n">
        <v>0</v>
      </c>
      <c r="I68" s="9" t="n">
        <v>0.9462</v>
      </c>
      <c r="J68" s="9" t="n">
        <v>0.0313</v>
      </c>
      <c r="K68" s="9" t="n">
        <v>0.161</v>
      </c>
      <c r="L68" s="9" t="n">
        <v>0</v>
      </c>
      <c r="M68" s="9" t="n">
        <v>0</v>
      </c>
      <c r="N68" s="9" t="n">
        <v>0</v>
      </c>
      <c r="O68" s="9" t="n"/>
      <c r="P68" s="9" t="n"/>
      <c r="Q68" s="9" t="n">
        <v>0</v>
      </c>
      <c r="R68" s="9" t="n">
        <v>0</v>
      </c>
      <c r="S68" s="9" t="n"/>
      <c r="T68" s="9" t="n"/>
    </row>
    <row r="69">
      <c r="A69" s="9" t="inlineStr">
        <is>
          <t>GRC</t>
        </is>
      </c>
      <c r="B69" s="9" t="n">
        <v>3</v>
      </c>
      <c r="C69" s="9" t="inlineStr">
        <is>
          <t>Curated (not in PSRT)</t>
        </is>
      </c>
      <c r="D69" s="9" t="inlineStr">
        <is>
          <t>EU internal market; PPC majority private since 2021</t>
        </is>
      </c>
      <c r="E69" s="9" t="n">
        <v>1</v>
      </c>
      <c r="F69" s="9" t="n">
        <v>1</v>
      </c>
      <c r="G69" s="9" t="n">
        <v>1</v>
      </c>
      <c r="H69" s="9" t="n"/>
      <c r="I69" s="9" t="n">
        <v>1.144</v>
      </c>
      <c r="J69" s="9" t="n">
        <v>0</v>
      </c>
      <c r="K69" s="9" t="n">
        <v>0</v>
      </c>
      <c r="L69" s="9" t="n">
        <v>0</v>
      </c>
      <c r="M69" s="9" t="n">
        <v>0</v>
      </c>
      <c r="N69" s="9" t="n">
        <v>0</v>
      </c>
      <c r="O69" s="9" t="n"/>
      <c r="P69" s="9" t="n"/>
      <c r="Q69" s="9" t="n">
        <v>0</v>
      </c>
      <c r="R69" s="9" t="n">
        <v>0</v>
      </c>
      <c r="S69" s="9" t="n">
        <v>76.667</v>
      </c>
      <c r="T69" s="9" t="n">
        <v>20</v>
      </c>
    </row>
    <row r="70">
      <c r="A70" s="9" t="inlineStr">
        <is>
          <t>GRD</t>
        </is>
      </c>
      <c r="B70" s="9" t="n">
        <v>1</v>
      </c>
      <c r="C70" s="9" t="inlineStr">
        <is>
          <t>PSRT 2013</t>
        </is>
      </c>
      <c r="D70" s="9" t="n"/>
      <c r="E70" s="9" t="n">
        <v>0</v>
      </c>
      <c r="F70" s="9" t="n">
        <v>0</v>
      </c>
      <c r="G70" s="9" t="n">
        <v>1</v>
      </c>
      <c r="H70" s="9" t="n">
        <v>0</v>
      </c>
      <c r="I70" s="9" t="n">
        <v>0.9732</v>
      </c>
      <c r="J70" s="9" t="n">
        <v>0.1307</v>
      </c>
      <c r="K70" s="9" t="n">
        <v>0.131</v>
      </c>
      <c r="L70" s="9" t="n">
        <v>0</v>
      </c>
      <c r="M70" s="9" t="n">
        <v>0</v>
      </c>
      <c r="N70" s="9" t="n">
        <v>0</v>
      </c>
      <c r="O70" s="9" t="n"/>
      <c r="P70" s="9" t="n"/>
      <c r="Q70" s="9" t="n">
        <v>1</v>
      </c>
      <c r="R70" s="9" t="n">
        <v>1</v>
      </c>
      <c r="S70" s="9" t="n"/>
      <c r="T70" s="9" t="n"/>
    </row>
    <row r="71">
      <c r="A71" s="9" t="inlineStr">
        <is>
          <t>GTM</t>
        </is>
      </c>
      <c r="B71" s="9" t="n">
        <v>3</v>
      </c>
      <c r="C71" s="9" t="inlineStr">
        <is>
          <t>PSRT 2013</t>
        </is>
      </c>
      <c r="D71" s="9" t="n"/>
      <c r="E71" s="9" t="n">
        <v>1</v>
      </c>
      <c r="F71" s="9" t="n">
        <v>1</v>
      </c>
      <c r="G71" s="9" t="n">
        <v>1</v>
      </c>
      <c r="H71" s="9" t="n">
        <v>0</v>
      </c>
      <c r="I71" s="9" t="n">
        <v>0.9647</v>
      </c>
      <c r="J71" s="9" t="n">
        <v>0.0287</v>
      </c>
      <c r="K71" s="9" t="n">
        <v>0.225</v>
      </c>
      <c r="L71" s="9" t="n">
        <v>0.0295</v>
      </c>
      <c r="M71" s="9" t="n">
        <v>0.0261</v>
      </c>
      <c r="N71" s="9" t="n">
        <v>5</v>
      </c>
      <c r="O71" s="9" t="n">
        <v>0.706</v>
      </c>
      <c r="P71" s="9" t="n">
        <v>0</v>
      </c>
      <c r="Q71" s="9" t="n">
        <v>1</v>
      </c>
      <c r="R71" s="9" t="n">
        <v>1</v>
      </c>
      <c r="S71" s="9" t="n">
        <v>22.458</v>
      </c>
      <c r="T71" s="9" t="n">
        <v>0</v>
      </c>
    </row>
    <row r="72">
      <c r="A72" s="9" t="inlineStr">
        <is>
          <t>GUY</t>
        </is>
      </c>
      <c r="B72" s="9" t="n">
        <v>2</v>
      </c>
      <c r="C72" s="9" t="inlineStr">
        <is>
          <t>PSRT 2013</t>
        </is>
      </c>
      <c r="D72" s="9" t="n"/>
      <c r="E72" s="9" t="n">
        <v>0</v>
      </c>
      <c r="F72" s="9" t="n">
        <v>0</v>
      </c>
      <c r="G72" s="9" t="n">
        <v>0</v>
      </c>
      <c r="H72" s="9" t="n">
        <v>0</v>
      </c>
      <c r="I72" s="9" t="n">
        <v>0.8897</v>
      </c>
      <c r="J72" s="9" t="n">
        <v>0.1671</v>
      </c>
      <c r="K72" s="9" t="n">
        <v>0.179</v>
      </c>
      <c r="L72" s="9" t="n">
        <v>0</v>
      </c>
      <c r="M72" s="9" t="n">
        <v>0</v>
      </c>
      <c r="N72" s="9" t="n">
        <v>0</v>
      </c>
      <c r="O72" s="9" t="n"/>
      <c r="P72" s="9" t="n"/>
      <c r="Q72" s="9" t="n">
        <v>0</v>
      </c>
      <c r="R72" s="9" t="n">
        <v>0</v>
      </c>
      <c r="S72" s="9" t="n"/>
      <c r="T72" s="9" t="n"/>
    </row>
    <row r="73">
      <c r="A73" s="9" t="inlineStr">
        <is>
          <t>HKG</t>
        </is>
      </c>
      <c r="B73" s="9" t="n">
        <v>1</v>
      </c>
      <c r="C73" s="9" t="inlineStr">
        <is>
          <t>Curated (not in PSRT)</t>
        </is>
      </c>
      <c r="D73" s="9" t="inlineStr">
        <is>
          <t>Two private VIUs under Scheme of Control agreements</t>
        </is>
      </c>
      <c r="E73" s="9" t="n">
        <v>0</v>
      </c>
      <c r="F73" s="9" t="n">
        <v>0</v>
      </c>
      <c r="G73" s="9" t="n">
        <v>1</v>
      </c>
      <c r="H73" s="9" t="n"/>
      <c r="I73" s="9" t="n">
        <v>1</v>
      </c>
      <c r="J73" s="9" t="n">
        <v>0</v>
      </c>
      <c r="K73" s="9" t="n">
        <v>0.024</v>
      </c>
      <c r="L73" s="9" t="n">
        <v>0</v>
      </c>
      <c r="M73" s="9" t="n">
        <v>0</v>
      </c>
      <c r="N73" s="9" t="n">
        <v>0</v>
      </c>
      <c r="O73" s="9" t="n"/>
      <c r="P73" s="9" t="n"/>
      <c r="Q73" s="9" t="n">
        <v>0</v>
      </c>
      <c r="R73" s="9" t="n">
        <v>0</v>
      </c>
      <c r="S73" s="9" t="n"/>
      <c r="T73" s="9" t="n"/>
    </row>
    <row r="74">
      <c r="A74" s="9" t="inlineStr">
        <is>
          <t>HND</t>
        </is>
      </c>
      <c r="B74" s="9" t="n">
        <v>2</v>
      </c>
      <c r="C74" s="9" t="inlineStr">
        <is>
          <t>PSRT 2013</t>
        </is>
      </c>
      <c r="D74" s="9" t="n"/>
      <c r="E74" s="9" t="n">
        <v>1</v>
      </c>
      <c r="F74" s="9" t="n">
        <v>1</v>
      </c>
      <c r="G74" s="9" t="n">
        <v>1</v>
      </c>
      <c r="H74" s="9" t="n">
        <v>0</v>
      </c>
      <c r="I74" s="9" t="n">
        <v>1.2233</v>
      </c>
      <c r="J74" s="9" t="n">
        <v>0</v>
      </c>
      <c r="K74" s="9" t="n">
        <v>0.079</v>
      </c>
      <c r="L74" s="9" t="n">
        <v>0.1689</v>
      </c>
      <c r="M74" s="9" t="n">
        <v>0.4552</v>
      </c>
      <c r="N74" s="9" t="n">
        <v>10</v>
      </c>
      <c r="O74" s="9" t="n">
        <v>0.8647</v>
      </c>
      <c r="P74" s="9" t="n">
        <v>0</v>
      </c>
      <c r="Q74" s="9" t="n">
        <v>1</v>
      </c>
      <c r="R74" s="9" t="n">
        <v>1</v>
      </c>
      <c r="S74" s="9" t="n">
        <v>22.757</v>
      </c>
      <c r="T74" s="9" t="n">
        <v>0</v>
      </c>
    </row>
    <row r="75">
      <c r="A75" s="9" t="inlineStr">
        <is>
          <t>HRV</t>
        </is>
      </c>
      <c r="B75" s="9" t="n">
        <v>3</v>
      </c>
      <c r="C75" s="9" t="inlineStr">
        <is>
          <t>PSRT 2013</t>
        </is>
      </c>
      <c r="D75" s="9" t="n"/>
      <c r="E75" s="9" t="n">
        <v>1</v>
      </c>
      <c r="F75" s="9" t="n">
        <v>1</v>
      </c>
      <c r="G75" s="9" t="n">
        <v>1</v>
      </c>
      <c r="H75" s="9" t="n">
        <v>1</v>
      </c>
      <c r="I75" s="9" t="n">
        <v>1.0561</v>
      </c>
      <c r="J75" s="9" t="n">
        <v>0.0097</v>
      </c>
      <c r="K75" s="9" t="n">
        <v>0.779</v>
      </c>
      <c r="L75" s="9" t="n">
        <v>0</v>
      </c>
      <c r="M75" s="9" t="n">
        <v>0</v>
      </c>
      <c r="N75" s="9" t="n">
        <v>0</v>
      </c>
      <c r="O75" s="9" t="n"/>
      <c r="P75" s="9" t="n"/>
      <c r="Q75" s="9" t="n">
        <v>0</v>
      </c>
      <c r="R75" s="9" t="n">
        <v>0</v>
      </c>
      <c r="S75" s="9" t="n">
        <v>59.222</v>
      </c>
      <c r="T75" s="9" t="n">
        <v>20</v>
      </c>
    </row>
    <row r="76">
      <c r="A76" s="9" t="inlineStr">
        <is>
          <t>HTI</t>
        </is>
      </c>
      <c r="B76" s="9" t="n">
        <v>2</v>
      </c>
      <c r="C76" s="9" t="inlineStr">
        <is>
          <t>PSRT 2013</t>
        </is>
      </c>
      <c r="D76" s="9" t="n"/>
      <c r="E76" s="9" t="n">
        <v>0</v>
      </c>
      <c r="F76" s="9" t="n">
        <v>0</v>
      </c>
      <c r="G76" s="9" t="n">
        <v>0</v>
      </c>
      <c r="H76" s="9" t="n">
        <v>0</v>
      </c>
      <c r="I76" s="9" t="n">
        <v>0.2814</v>
      </c>
      <c r="J76" s="9" t="n">
        <v>0.669</v>
      </c>
      <c r="K76" s="9" t="n">
        <v>0.669</v>
      </c>
      <c r="L76" s="9" t="n">
        <v>0</v>
      </c>
      <c r="M76" s="9" t="n">
        <v>0</v>
      </c>
      <c r="N76" s="9" t="n">
        <v>0</v>
      </c>
      <c r="O76" s="9" t="n"/>
      <c r="P76" s="9" t="n"/>
      <c r="Q76" s="9" t="n">
        <v>1</v>
      </c>
      <c r="R76" s="9" t="n">
        <v>1</v>
      </c>
      <c r="S76" s="9" t="n">
        <v>5.648</v>
      </c>
      <c r="T76" s="9" t="n">
        <v>0</v>
      </c>
    </row>
    <row r="77">
      <c r="A77" s="9" t="inlineStr">
        <is>
          <t>HUN</t>
        </is>
      </c>
      <c r="B77" s="9" t="n">
        <v>3</v>
      </c>
      <c r="C77" s="9" t="inlineStr">
        <is>
          <t>Curated (not in PSRT)</t>
        </is>
      </c>
      <c r="D77" s="9" t="inlineStr">
        <is>
          <t>EU internal market; MVM state</t>
        </is>
      </c>
      <c r="E77" s="9" t="n">
        <v>1</v>
      </c>
      <c r="F77" s="9" t="n">
        <v>1</v>
      </c>
      <c r="G77" s="9" t="n">
        <v>0</v>
      </c>
      <c r="H77" s="9" t="n"/>
      <c r="I77" s="9" t="n">
        <v>1.1077</v>
      </c>
      <c r="J77" s="9" t="n">
        <v>0</v>
      </c>
      <c r="K77" s="9" t="n">
        <v>1.435</v>
      </c>
      <c r="L77" s="9" t="n">
        <v>0</v>
      </c>
      <c r="M77" s="9" t="n">
        <v>0</v>
      </c>
      <c r="N77" s="9" t="n">
        <v>0</v>
      </c>
      <c r="O77" s="9" t="n"/>
      <c r="P77" s="9" t="n"/>
      <c r="Q77" s="9" t="n">
        <v>0</v>
      </c>
      <c r="R77" s="9" t="n">
        <v>0</v>
      </c>
      <c r="S77" s="9" t="n">
        <v>72.315</v>
      </c>
      <c r="T77" s="9" t="n">
        <v>40</v>
      </c>
    </row>
    <row r="78">
      <c r="A78" s="9" t="inlineStr">
        <is>
          <t>IDN</t>
        </is>
      </c>
      <c r="B78" s="9" t="n">
        <v>2</v>
      </c>
      <c r="C78" s="9" t="inlineStr">
        <is>
          <t>PSRT 2013</t>
        </is>
      </c>
      <c r="D78" s="9" t="n"/>
      <c r="E78" s="9" t="n">
        <v>1</v>
      </c>
      <c r="F78" s="9" t="n">
        <v>1</v>
      </c>
      <c r="G78" s="9" t="n">
        <v>1</v>
      </c>
      <c r="H78" s="9" t="n">
        <v>0</v>
      </c>
      <c r="I78" s="9" t="n">
        <v>0.9282</v>
      </c>
      <c r="J78" s="9" t="n">
        <v>0.1074</v>
      </c>
      <c r="K78" s="9" t="n">
        <v>2.981</v>
      </c>
      <c r="L78" s="9" t="n">
        <v>2.6442</v>
      </c>
      <c r="M78" s="9" t="n">
        <v>0.1894</v>
      </c>
      <c r="N78" s="9" t="n">
        <v>26</v>
      </c>
      <c r="O78" s="9" t="n">
        <v>0.0244</v>
      </c>
      <c r="P78" s="9" t="n">
        <v>0</v>
      </c>
      <c r="Q78" s="9" t="n">
        <v>0</v>
      </c>
      <c r="R78" s="9" t="n">
        <v>0</v>
      </c>
      <c r="S78" s="9" t="n">
        <v>46.667</v>
      </c>
      <c r="T78" s="9" t="n">
        <v>80</v>
      </c>
    </row>
    <row r="79">
      <c r="A79" s="9" t="inlineStr">
        <is>
          <t>IND</t>
        </is>
      </c>
      <c r="B79" s="9" t="n">
        <v>3</v>
      </c>
      <c r="C79" s="9" t="inlineStr">
        <is>
          <t>PSRT 2013</t>
        </is>
      </c>
      <c r="D79" s="9" t="n"/>
      <c r="E79" s="9" t="n">
        <v>1</v>
      </c>
      <c r="F79" s="9" t="n">
        <v>1</v>
      </c>
      <c r="G79" s="9" t="n">
        <v>1</v>
      </c>
      <c r="H79" s="9" t="n">
        <v>0</v>
      </c>
      <c r="I79" s="9" t="n">
        <v>0.7965</v>
      </c>
      <c r="J79" s="9" t="n">
        <v>0.7433999999999999</v>
      </c>
      <c r="K79" s="9" t="n">
        <v>0.967</v>
      </c>
      <c r="L79" s="9" t="n">
        <v>2.5557</v>
      </c>
      <c r="M79" s="9" t="n">
        <v>0.068</v>
      </c>
      <c r="N79" s="9" t="n">
        <v>126</v>
      </c>
      <c r="O79" s="9" t="n">
        <v>0.9135</v>
      </c>
      <c r="P79" s="9" t="n">
        <v>0.0446</v>
      </c>
      <c r="Q79" s="9" t="n">
        <v>1</v>
      </c>
      <c r="R79" s="9" t="n">
        <v>1</v>
      </c>
      <c r="S79" s="9" t="n">
        <v>67.785</v>
      </c>
      <c r="T79" s="9" t="n">
        <v>20</v>
      </c>
    </row>
    <row r="80">
      <c r="A80" s="9" t="inlineStr">
        <is>
          <t>IRL</t>
        </is>
      </c>
      <c r="B80" s="9" t="n">
        <v>3</v>
      </c>
      <c r="C80" s="9" t="inlineStr">
        <is>
          <t>Curated (not in PSRT)</t>
        </is>
      </c>
      <c r="D80" s="9" t="inlineStr">
        <is>
          <t>Single Electricity Market; ESB state</t>
        </is>
      </c>
      <c r="E80" s="9" t="n">
        <v>1</v>
      </c>
      <c r="F80" s="9" t="n">
        <v>1</v>
      </c>
      <c r="G80" s="9" t="n">
        <v>0</v>
      </c>
      <c r="H80" s="9" t="n"/>
      <c r="I80" s="9" t="n">
        <v>0.8596</v>
      </c>
      <c r="J80" s="9" t="n">
        <v>0.1077</v>
      </c>
      <c r="K80" s="9" t="n">
        <v>0.124</v>
      </c>
      <c r="L80" s="9" t="n">
        <v>0</v>
      </c>
      <c r="M80" s="9" t="n">
        <v>0</v>
      </c>
      <c r="N80" s="9" t="n">
        <v>0</v>
      </c>
      <c r="O80" s="9" t="n"/>
      <c r="P80" s="9" t="n"/>
      <c r="Q80" s="9" t="n">
        <v>0</v>
      </c>
      <c r="R80" s="9" t="n">
        <v>0</v>
      </c>
      <c r="S80" s="9" t="n">
        <v>84.63</v>
      </c>
      <c r="T80" s="9" t="n">
        <v>60</v>
      </c>
    </row>
    <row r="81">
      <c r="A81" s="9" t="inlineStr">
        <is>
          <t>IRN</t>
        </is>
      </c>
      <c r="B81" s="9" t="n">
        <v>3</v>
      </c>
      <c r="C81" s="9" t="inlineStr">
        <is>
          <t>PSRT 2013</t>
        </is>
      </c>
      <c r="D81" s="9" t="n"/>
      <c r="E81" s="9" t="n">
        <v>1</v>
      </c>
      <c r="F81" s="9" t="n">
        <v>1</v>
      </c>
      <c r="G81" s="9" t="n">
        <v>1</v>
      </c>
      <c r="H81" s="9" t="n">
        <v>0</v>
      </c>
      <c r="I81" s="9" t="n">
        <v>0.2463</v>
      </c>
      <c r="J81" s="9" t="n">
        <v>6.1813</v>
      </c>
      <c r="K81" s="9" t="n">
        <v>17.16</v>
      </c>
      <c r="L81" s="9" t="n">
        <v>0.0117</v>
      </c>
      <c r="M81" s="9" t="n">
        <v>0.0028</v>
      </c>
      <c r="N81" s="9" t="n">
        <v>4</v>
      </c>
      <c r="O81" s="9" t="n">
        <v>1</v>
      </c>
      <c r="P81" s="9" t="n">
        <v>0</v>
      </c>
      <c r="Q81" s="9" t="n">
        <v>0</v>
      </c>
      <c r="R81" s="9" t="n">
        <v>0</v>
      </c>
      <c r="S81" s="9" t="n">
        <v>38.333</v>
      </c>
      <c r="T81" s="9" t="n">
        <v>0</v>
      </c>
    </row>
    <row r="82">
      <c r="A82" s="9" t="inlineStr">
        <is>
          <t>IRQ</t>
        </is>
      </c>
      <c r="B82" s="9" t="n">
        <v>1</v>
      </c>
      <c r="C82" s="9" t="inlineStr">
        <is>
          <t>PSRT 2013</t>
        </is>
      </c>
      <c r="D82" s="9" t="n"/>
      <c r="E82" s="9" t="n">
        <v>0</v>
      </c>
      <c r="F82" s="9" t="n">
        <v>0</v>
      </c>
      <c r="G82" s="9" t="n">
        <v>0</v>
      </c>
      <c r="H82" s="9" t="n">
        <v>0</v>
      </c>
      <c r="I82" s="9" t="n">
        <v>0.2225</v>
      </c>
      <c r="J82" s="9" t="n">
        <v>1.4602</v>
      </c>
      <c r="K82" s="9" t="n">
        <v>4.774</v>
      </c>
      <c r="L82" s="9" t="n">
        <v>0.0635</v>
      </c>
      <c r="M82" s="9" t="n">
        <v>0.0222</v>
      </c>
      <c r="N82" s="9" t="n">
        <v>1</v>
      </c>
      <c r="O82" s="9" t="n">
        <v>0</v>
      </c>
      <c r="P82" s="9" t="n">
        <v>0</v>
      </c>
      <c r="Q82" s="9" t="n">
        <v>0</v>
      </c>
      <c r="R82" s="9" t="n">
        <v>0</v>
      </c>
      <c r="S82" s="9" t="n"/>
      <c r="T82" s="9" t="n"/>
    </row>
    <row r="83">
      <c r="A83" s="9" t="inlineStr">
        <is>
          <t>ISL</t>
        </is>
      </c>
      <c r="B83" s="9" t="n">
        <v>3</v>
      </c>
      <c r="C83" s="9" t="inlineStr">
        <is>
          <t>Curated (not in PSRT)</t>
        </is>
      </c>
      <c r="D83" s="9" t="inlineStr">
        <is>
          <t>Unbundled; Landsvirkjun state-dominant</t>
        </is>
      </c>
      <c r="E83" s="9" t="n">
        <v>1</v>
      </c>
      <c r="F83" s="9" t="n">
        <v>1</v>
      </c>
      <c r="G83" s="9" t="n">
        <v>0</v>
      </c>
      <c r="H83" s="9" t="n"/>
      <c r="I83" s="9" t="n">
        <v>1.0312</v>
      </c>
      <c r="J83" s="9" t="n">
        <v>0</v>
      </c>
      <c r="K83" s="9" t="n">
        <v>0</v>
      </c>
      <c r="L83" s="9" t="n">
        <v>0</v>
      </c>
      <c r="M83" s="9" t="n">
        <v>0</v>
      </c>
      <c r="N83" s="9" t="n">
        <v>0</v>
      </c>
      <c r="O83" s="9" t="n"/>
      <c r="P83" s="9" t="n"/>
      <c r="Q83" s="9" t="n">
        <v>0</v>
      </c>
      <c r="R83" s="9" t="n">
        <v>0</v>
      </c>
      <c r="S83" s="9" t="n"/>
      <c r="T83" s="9" t="n"/>
    </row>
    <row r="84">
      <c r="A84" s="9" t="inlineStr">
        <is>
          <t>ISR</t>
        </is>
      </c>
      <c r="B84" s="9" t="n">
        <v>2</v>
      </c>
      <c r="C84" s="9" t="inlineStr">
        <is>
          <t>Curated (not in PSRT)</t>
        </is>
      </c>
      <c r="D84" s="9" t="inlineStr">
        <is>
          <t>IEC dominant, buying from IPPs; 2018 reform</t>
        </is>
      </c>
      <c r="E84" s="9" t="n">
        <v>1</v>
      </c>
      <c r="F84" s="9" t="n">
        <v>0</v>
      </c>
      <c r="G84" s="9" t="n">
        <v>0</v>
      </c>
      <c r="H84" s="9" t="n"/>
      <c r="I84" s="9" t="n">
        <v>1.1643</v>
      </c>
      <c r="J84" s="9" t="n">
        <v>0</v>
      </c>
      <c r="K84" s="9" t="n">
        <v>0.057</v>
      </c>
      <c r="L84" s="9" t="n">
        <v>0</v>
      </c>
      <c r="M84" s="9" t="n">
        <v>0</v>
      </c>
      <c r="N84" s="9" t="n">
        <v>0</v>
      </c>
      <c r="O84" s="9" t="n"/>
      <c r="P84" s="9" t="n"/>
      <c r="Q84" s="9" t="n">
        <v>0</v>
      </c>
      <c r="R84" s="9" t="n">
        <v>0</v>
      </c>
      <c r="S84" s="9" t="n">
        <v>35.921</v>
      </c>
      <c r="T84" s="9" t="n">
        <v>0</v>
      </c>
    </row>
    <row r="85">
      <c r="A85" s="9" t="inlineStr">
        <is>
          <t>ITA</t>
        </is>
      </c>
      <c r="B85" s="9" t="n">
        <v>3</v>
      </c>
      <c r="C85" s="9" t="inlineStr">
        <is>
          <t>Curated (not in PSRT)</t>
        </is>
      </c>
      <c r="D85" s="9" t="inlineStr">
        <is>
          <t>EU internal market</t>
        </is>
      </c>
      <c r="E85" s="9" t="n">
        <v>1</v>
      </c>
      <c r="F85" s="9" t="n">
        <v>1</v>
      </c>
      <c r="G85" s="9" t="n">
        <v>1</v>
      </c>
      <c r="H85" s="9" t="n"/>
      <c r="I85" s="9" t="n">
        <v>1.2138</v>
      </c>
      <c r="J85" s="9" t="n">
        <v>0</v>
      </c>
      <c r="K85" s="9" t="n">
        <v>0.001</v>
      </c>
      <c r="L85" s="9" t="n">
        <v>0</v>
      </c>
      <c r="M85" s="9" t="n">
        <v>0</v>
      </c>
      <c r="N85" s="9" t="n">
        <v>0</v>
      </c>
      <c r="O85" s="9" t="n"/>
      <c r="P85" s="9" t="n"/>
      <c r="Q85" s="9" t="n">
        <v>0</v>
      </c>
      <c r="R85" s="9" t="n">
        <v>0</v>
      </c>
      <c r="S85" s="9" t="n">
        <v>84.111</v>
      </c>
      <c r="T85" s="9" t="n">
        <v>60</v>
      </c>
    </row>
    <row r="86">
      <c r="A86" s="9" t="inlineStr">
        <is>
          <t>JAM</t>
        </is>
      </c>
      <c r="B86" s="9" t="n">
        <v>2</v>
      </c>
      <c r="C86" s="9" t="inlineStr">
        <is>
          <t>PSRT 2013</t>
        </is>
      </c>
      <c r="D86" s="9" t="n"/>
      <c r="E86" s="9" t="n">
        <v>1</v>
      </c>
      <c r="F86" s="9" t="n">
        <v>1</v>
      </c>
      <c r="G86" s="9" t="n">
        <v>1</v>
      </c>
      <c r="H86" s="9" t="n">
        <v>0</v>
      </c>
      <c r="I86" s="9" t="n">
        <v>1.7795</v>
      </c>
      <c r="J86" s="9" t="n">
        <v>0.1001</v>
      </c>
      <c r="K86" s="9" t="n">
        <v>1.001</v>
      </c>
      <c r="L86" s="9" t="n">
        <v>0.09569999999999999</v>
      </c>
      <c r="M86" s="9" t="n">
        <v>0.4372</v>
      </c>
      <c r="N86" s="9" t="n">
        <v>7</v>
      </c>
      <c r="O86" s="9" t="n">
        <v>0.5216</v>
      </c>
      <c r="P86" s="9" t="n">
        <v>0</v>
      </c>
      <c r="Q86" s="9" t="n">
        <v>1</v>
      </c>
      <c r="R86" s="9" t="n">
        <v>1</v>
      </c>
      <c r="S86" s="9" t="n">
        <v>32.944</v>
      </c>
      <c r="T86" s="9" t="n">
        <v>0</v>
      </c>
    </row>
    <row r="87">
      <c r="A87" s="9" t="inlineStr">
        <is>
          <t>JOR</t>
        </is>
      </c>
      <c r="B87" s="9" t="n">
        <v>2</v>
      </c>
      <c r="C87" s="9" t="inlineStr">
        <is>
          <t>PSRT 2013, curated update</t>
        </is>
      </c>
      <c r="D87" s="9" t="inlineStr">
        <is>
          <t>NEPCO single buyer from IPPs</t>
        </is>
      </c>
      <c r="E87" s="9" t="n">
        <v>1</v>
      </c>
      <c r="F87" s="9" t="n">
        <v>1</v>
      </c>
      <c r="G87" s="9" t="n">
        <v>0</v>
      </c>
      <c r="H87" s="9" t="n">
        <v>1</v>
      </c>
      <c r="I87" s="9" t="n">
        <v>1.6702</v>
      </c>
      <c r="J87" s="9" t="n">
        <v>0</v>
      </c>
      <c r="K87" s="9" t="n">
        <v>0.873</v>
      </c>
      <c r="L87" s="9" t="n">
        <v>0.547</v>
      </c>
      <c r="M87" s="9" t="n">
        <v>0.9319</v>
      </c>
      <c r="N87" s="9" t="n">
        <v>22</v>
      </c>
      <c r="O87" s="9" t="n">
        <v>0.4105</v>
      </c>
      <c r="P87" s="9" t="n">
        <v>0</v>
      </c>
      <c r="Q87" s="9" t="n">
        <v>1</v>
      </c>
      <c r="R87" s="9" t="n">
        <v>0</v>
      </c>
      <c r="S87" s="9" t="n">
        <v>37.817</v>
      </c>
      <c r="T87" s="9" t="n">
        <v>0</v>
      </c>
    </row>
    <row r="88">
      <c r="A88" s="9" t="inlineStr">
        <is>
          <t>JPN</t>
        </is>
      </c>
      <c r="B88" s="9" t="n">
        <v>3</v>
      </c>
      <c r="C88" s="9" t="inlineStr">
        <is>
          <t>Curated (not in PSRT)</t>
        </is>
      </c>
      <c r="D88" s="9" t="inlineStr">
        <is>
          <t>JEPX wholesale; retail fully open 2016; legal unbundling of networks 2020</t>
        </is>
      </c>
      <c r="E88" s="9" t="n">
        <v>1</v>
      </c>
      <c r="F88" s="9" t="n">
        <v>1</v>
      </c>
      <c r="G88" s="9" t="n">
        <v>1</v>
      </c>
      <c r="H88" s="9" t="n"/>
      <c r="I88" s="9" t="n">
        <v>1.0476</v>
      </c>
      <c r="J88" s="9" t="n">
        <v>0</v>
      </c>
      <c r="K88" s="9" t="n">
        <v>0.098</v>
      </c>
      <c r="L88" s="9" t="n">
        <v>0</v>
      </c>
      <c r="M88" s="9" t="n">
        <v>0</v>
      </c>
      <c r="N88" s="9" t="n">
        <v>0</v>
      </c>
      <c r="O88" s="9" t="n"/>
      <c r="P88" s="9" t="n"/>
      <c r="Q88" s="9" t="n">
        <v>0</v>
      </c>
      <c r="R88" s="9" t="n">
        <v>0</v>
      </c>
      <c r="S88" s="9" t="n">
        <v>63.537</v>
      </c>
      <c r="T88" s="9" t="n">
        <v>40</v>
      </c>
    </row>
    <row r="89">
      <c r="A89" s="9" t="inlineStr">
        <is>
          <t>KAZ</t>
        </is>
      </c>
      <c r="B89" s="9" t="n">
        <v>3</v>
      </c>
      <c r="C89" s="9" t="inlineStr">
        <is>
          <t>PSRT 2013</t>
        </is>
      </c>
      <c r="D89" s="9" t="n"/>
      <c r="E89" s="9" t="n">
        <v>1</v>
      </c>
      <c r="F89" s="9" t="n">
        <v>1</v>
      </c>
      <c r="G89" s="9" t="n">
        <v>1</v>
      </c>
      <c r="H89" s="9" t="n">
        <v>1</v>
      </c>
      <c r="I89" s="9" t="n">
        <v>0.6335</v>
      </c>
      <c r="J89" s="9" t="n">
        <v>1.0226</v>
      </c>
      <c r="K89" s="9" t="n">
        <v>5.679</v>
      </c>
      <c r="L89" s="9" t="n">
        <v>0.1502</v>
      </c>
      <c r="M89" s="9" t="n">
        <v>0.0515</v>
      </c>
      <c r="N89" s="9" t="n">
        <v>15</v>
      </c>
      <c r="O89" s="9" t="n">
        <v>0.8401999999999999</v>
      </c>
      <c r="P89" s="9" t="n">
        <v>0.0423</v>
      </c>
      <c r="Q89" s="9" t="n">
        <v>1</v>
      </c>
      <c r="R89" s="9" t="n">
        <v>1</v>
      </c>
      <c r="S89" s="9" t="n">
        <v>24.923</v>
      </c>
      <c r="T89" s="9" t="n">
        <v>20</v>
      </c>
    </row>
    <row r="90">
      <c r="A90" s="9" t="inlineStr">
        <is>
          <t>KEN</t>
        </is>
      </c>
      <c r="B90" s="9" t="n">
        <v>2</v>
      </c>
      <c r="C90" s="9" t="inlineStr">
        <is>
          <t>PSRT 2013</t>
        </is>
      </c>
      <c r="D90" s="9" t="n"/>
      <c r="E90" s="9" t="n">
        <v>1</v>
      </c>
      <c r="F90" s="9" t="n">
        <v>1</v>
      </c>
      <c r="G90" s="9" t="n">
        <v>1</v>
      </c>
      <c r="H90" s="9" t="n">
        <v>0</v>
      </c>
      <c r="I90" s="9" t="n">
        <v>1.8142</v>
      </c>
      <c r="J90" s="9" t="n">
        <v>0</v>
      </c>
      <c r="K90" s="9" t="n">
        <v>0</v>
      </c>
      <c r="L90" s="9" t="n">
        <v>0.1039</v>
      </c>
      <c r="M90" s="9" t="n">
        <v>0.0871</v>
      </c>
      <c r="N90" s="9" t="n">
        <v>11</v>
      </c>
      <c r="O90" s="9" t="n">
        <v>0.9258999999999999</v>
      </c>
      <c r="P90" s="9" t="n">
        <v>0.015</v>
      </c>
      <c r="Q90" s="9" t="n">
        <v>0</v>
      </c>
      <c r="R90" s="9" t="n">
        <v>0</v>
      </c>
      <c r="S90" s="9" t="n">
        <v>42.926</v>
      </c>
      <c r="T90" s="9" t="n">
        <v>0</v>
      </c>
    </row>
    <row r="91">
      <c r="A91" s="9" t="inlineStr">
        <is>
          <t>KGZ</t>
        </is>
      </c>
      <c r="B91" s="9" t="n">
        <v>2</v>
      </c>
      <c r="C91" s="9" t="inlineStr">
        <is>
          <t>PSRT 2013</t>
        </is>
      </c>
      <c r="D91" s="9" t="n"/>
      <c r="E91" s="9" t="n">
        <v>0</v>
      </c>
      <c r="F91" s="9" t="n">
        <v>1</v>
      </c>
      <c r="G91" s="9" t="n">
        <v>1</v>
      </c>
      <c r="H91" s="9" t="n">
        <v>0</v>
      </c>
      <c r="I91" s="9" t="n">
        <v>0.1208</v>
      </c>
      <c r="J91" s="9" t="n">
        <v>1.3099</v>
      </c>
      <c r="K91" s="9" t="n">
        <v>1.98</v>
      </c>
      <c r="L91" s="9" t="n">
        <v>0.0336</v>
      </c>
      <c r="M91" s="9" t="n">
        <v>0.1848</v>
      </c>
      <c r="N91" s="9" t="n">
        <v>3</v>
      </c>
      <c r="O91" s="9" t="n">
        <v>0.6254</v>
      </c>
      <c r="P91" s="9" t="n">
        <v>0</v>
      </c>
      <c r="Q91" s="9" t="n">
        <v>0</v>
      </c>
      <c r="R91" s="9" t="n">
        <v>0</v>
      </c>
      <c r="S91" s="9" t="n">
        <v>17.069</v>
      </c>
      <c r="T91" s="9" t="n">
        <v>0</v>
      </c>
    </row>
    <row r="92">
      <c r="A92" s="9" t="inlineStr">
        <is>
          <t>KHM</t>
        </is>
      </c>
      <c r="B92" s="9" t="n">
        <v>2</v>
      </c>
      <c r="C92" s="9" t="inlineStr">
        <is>
          <t>PSRT 2013</t>
        </is>
      </c>
      <c r="D92" s="9" t="n"/>
      <c r="E92" s="9" t="n">
        <v>1</v>
      </c>
      <c r="F92" s="9" t="n">
        <v>0</v>
      </c>
      <c r="G92" s="9" t="n">
        <v>0</v>
      </c>
      <c r="H92" s="9" t="n">
        <v>0</v>
      </c>
      <c r="I92" s="9" t="n">
        <v>1.0461</v>
      </c>
      <c r="J92" s="9" t="n">
        <v>0.1647</v>
      </c>
      <c r="K92" s="9" t="n">
        <v>0.182</v>
      </c>
      <c r="L92" s="9" t="n">
        <v>0.07489999999999999</v>
      </c>
      <c r="M92" s="9" t="n">
        <v>0.1624</v>
      </c>
      <c r="N92" s="9" t="n">
        <v>4</v>
      </c>
      <c r="O92" s="9" t="n">
        <v>0.2042</v>
      </c>
      <c r="P92" s="9" t="n">
        <v>0</v>
      </c>
      <c r="Q92" s="9" t="n">
        <v>0</v>
      </c>
      <c r="R92" s="9" t="n">
        <v>1</v>
      </c>
      <c r="S92" s="9" t="n">
        <v>16.508</v>
      </c>
      <c r="T92" s="9" t="n">
        <v>0</v>
      </c>
    </row>
    <row r="93">
      <c r="A93" s="9" t="inlineStr">
        <is>
          <t>KNA</t>
        </is>
      </c>
      <c r="B93" s="9" t="n">
        <v>1</v>
      </c>
      <c r="C93" s="9" t="inlineStr">
        <is>
          <t>Curated (not in PSRT)</t>
        </is>
      </c>
      <c r="D93" s="9" t="inlineStr">
        <is>
          <t>State VIU (SKELEC)</t>
        </is>
      </c>
      <c r="E93" s="9" t="n">
        <v>0</v>
      </c>
      <c r="F93" s="9" t="n">
        <v>0</v>
      </c>
      <c r="G93" s="9" t="n">
        <v>0</v>
      </c>
      <c r="H93" s="9" t="n"/>
      <c r="I93" s="9" t="n">
        <v>1</v>
      </c>
      <c r="J93" s="9" t="n">
        <v>0</v>
      </c>
      <c r="K93" s="9" t="n">
        <v>0</v>
      </c>
      <c r="L93" s="9" t="n">
        <v>0.0056</v>
      </c>
      <c r="M93" s="9" t="n">
        <v>0.536</v>
      </c>
      <c r="N93" s="9" t="n">
        <v>1</v>
      </c>
      <c r="O93" s="9" t="n">
        <v>1</v>
      </c>
      <c r="P93" s="9" t="n">
        <v>0</v>
      </c>
      <c r="Q93" s="9" t="n">
        <v>0</v>
      </c>
      <c r="R93" s="9" t="n">
        <v>0</v>
      </c>
      <c r="S93" s="9" t="n"/>
      <c r="T93" s="9" t="n"/>
    </row>
    <row r="94">
      <c r="A94" s="9" t="inlineStr">
        <is>
          <t>KOR</t>
        </is>
      </c>
      <c r="B94" s="9" t="n">
        <v>2</v>
      </c>
      <c r="C94" s="9" t="inlineStr">
        <is>
          <t>Curated (not in PSRT)</t>
        </is>
      </c>
      <c r="D94" s="9" t="inlineStr">
        <is>
          <t>KEPCO single buyer from its generation subsidiaries and IPPs (cost-based pool)</t>
        </is>
      </c>
      <c r="E94" s="9" t="n">
        <v>0</v>
      </c>
      <c r="F94" s="9" t="n">
        <v>1</v>
      </c>
      <c r="G94" s="9" t="n">
        <v>0</v>
      </c>
      <c r="H94" s="9" t="n"/>
      <c r="I94" s="9" t="n">
        <v>1.0217</v>
      </c>
      <c r="J94" s="9" t="n">
        <v>0.0226</v>
      </c>
      <c r="K94" s="9" t="n">
        <v>0.291</v>
      </c>
      <c r="L94" s="9" t="n">
        <v>0</v>
      </c>
      <c r="M94" s="9" t="n">
        <v>0</v>
      </c>
      <c r="N94" s="9" t="n">
        <v>0</v>
      </c>
      <c r="O94" s="9" t="n"/>
      <c r="P94" s="9" t="n"/>
      <c r="Q94" s="9" t="n">
        <v>0</v>
      </c>
      <c r="R94" s="9" t="n">
        <v>0</v>
      </c>
      <c r="S94" s="9" t="n">
        <v>61.241</v>
      </c>
      <c r="T94" s="9" t="n">
        <v>60</v>
      </c>
    </row>
    <row r="95">
      <c r="A95" s="9" t="inlineStr">
        <is>
          <t>KWT</t>
        </is>
      </c>
      <c r="B95" s="9" t="n">
        <v>1</v>
      </c>
      <c r="C95" s="9" t="inlineStr">
        <is>
          <t>PSRT 2013</t>
        </is>
      </c>
      <c r="D95" s="9" t="n"/>
      <c r="E95" s="9" t="n">
        <v>0</v>
      </c>
      <c r="F95" s="9" t="n">
        <v>0</v>
      </c>
      <c r="G95" s="9" t="n">
        <v>0</v>
      </c>
      <c r="H95" s="9" t="n">
        <v>0</v>
      </c>
      <c r="I95" s="9" t="n">
        <v>0.3648</v>
      </c>
      <c r="J95" s="9" t="n">
        <v>2.9451</v>
      </c>
      <c r="K95" s="9" t="n">
        <v>6.114</v>
      </c>
      <c r="L95" s="9" t="n">
        <v>0</v>
      </c>
      <c r="M95" s="9" t="n">
        <v>0</v>
      </c>
      <c r="N95" s="9" t="n">
        <v>0</v>
      </c>
      <c r="O95" s="9" t="n"/>
      <c r="P95" s="9" t="n"/>
      <c r="Q95" s="9" t="n">
        <v>0</v>
      </c>
      <c r="R95" s="9" t="n">
        <v>0</v>
      </c>
      <c r="S95" s="9" t="n">
        <v>11.759</v>
      </c>
      <c r="T95" s="9" t="n">
        <v>0</v>
      </c>
    </row>
    <row r="96">
      <c r="A96" s="9" t="inlineStr">
        <is>
          <t>LAO</t>
        </is>
      </c>
      <c r="B96" s="9" t="n">
        <v>2</v>
      </c>
      <c r="C96" s="9" t="inlineStr">
        <is>
          <t>PSRT 2013</t>
        </is>
      </c>
      <c r="D96" s="9" t="n"/>
      <c r="E96" s="9" t="n">
        <v>0</v>
      </c>
      <c r="F96" s="9" t="n">
        <v>0</v>
      </c>
      <c r="G96" s="9" t="n">
        <v>0</v>
      </c>
      <c r="H96" s="9" t="n">
        <v>0</v>
      </c>
      <c r="I96" s="9" t="n">
        <v>0.3776</v>
      </c>
      <c r="J96" s="9" t="n">
        <v>0.9758</v>
      </c>
      <c r="K96" s="9" t="n">
        <v>2.315</v>
      </c>
      <c r="L96" s="9" t="n">
        <v>0.3317</v>
      </c>
      <c r="M96" s="9" t="n">
        <v>2.1005</v>
      </c>
      <c r="N96" s="9" t="n">
        <v>5</v>
      </c>
      <c r="O96" s="9" t="n">
        <v>0.2891</v>
      </c>
      <c r="P96" s="9" t="n">
        <v>0</v>
      </c>
      <c r="Q96" s="9" t="n">
        <v>0</v>
      </c>
      <c r="R96" s="9" t="n">
        <v>1</v>
      </c>
      <c r="S96" s="9" t="n">
        <v>23.894</v>
      </c>
      <c r="T96" s="9" t="n">
        <v>0</v>
      </c>
    </row>
    <row r="97">
      <c r="A97" s="9" t="inlineStr">
        <is>
          <t>LBN</t>
        </is>
      </c>
      <c r="B97" s="9" t="n">
        <v>1</v>
      </c>
      <c r="C97" s="9" t="inlineStr">
        <is>
          <t>PSRT 2013</t>
        </is>
      </c>
      <c r="D97" s="9" t="n"/>
      <c r="E97" s="9" t="n">
        <v>0</v>
      </c>
      <c r="F97" s="9" t="n">
        <v>0</v>
      </c>
      <c r="G97" s="9" t="n">
        <v>0</v>
      </c>
      <c r="H97" s="9" t="n">
        <v>0</v>
      </c>
      <c r="I97" s="9" t="n">
        <v>0.0556</v>
      </c>
      <c r="J97" s="9" t="n">
        <v>13.09</v>
      </c>
      <c r="K97" s="9" t="n">
        <v>13.102</v>
      </c>
      <c r="L97" s="9" t="n">
        <v>0.0229</v>
      </c>
      <c r="M97" s="9" t="n">
        <v>0.0779</v>
      </c>
      <c r="N97" s="9" t="n">
        <v>1</v>
      </c>
      <c r="O97" s="9" t="n">
        <v>0</v>
      </c>
      <c r="P97" s="9" t="n">
        <v>0</v>
      </c>
      <c r="Q97" s="9" t="n">
        <v>0</v>
      </c>
      <c r="R97" s="9" t="n">
        <v>0</v>
      </c>
      <c r="S97" s="9" t="n">
        <v>33.381</v>
      </c>
      <c r="T97" s="9" t="n">
        <v>0</v>
      </c>
    </row>
    <row r="98">
      <c r="A98" s="9" t="inlineStr">
        <is>
          <t>LBR</t>
        </is>
      </c>
      <c r="B98" s="9" t="n">
        <v>1</v>
      </c>
      <c r="C98" s="9" t="inlineStr">
        <is>
          <t>PSRT 2013</t>
        </is>
      </c>
      <c r="D98" s="9" t="n"/>
      <c r="E98" s="9" t="n">
        <v>0</v>
      </c>
      <c r="F98" s="9" t="n">
        <v>0</v>
      </c>
      <c r="G98" s="9" t="n">
        <v>0</v>
      </c>
      <c r="H98" s="9" t="n">
        <v>0</v>
      </c>
      <c r="I98" s="9" t="n">
        <v>0.8004</v>
      </c>
      <c r="J98" s="9" t="n">
        <v>0.2527</v>
      </c>
      <c r="K98" s="9" t="n">
        <v>1.032</v>
      </c>
      <c r="L98" s="9" t="n">
        <v>0</v>
      </c>
      <c r="M98" s="9" t="n">
        <v>0</v>
      </c>
      <c r="N98" s="9" t="n">
        <v>0</v>
      </c>
      <c r="O98" s="9" t="n"/>
      <c r="P98" s="9" t="n"/>
      <c r="Q98" s="9" t="n">
        <v>1</v>
      </c>
      <c r="R98" s="9" t="n">
        <v>0</v>
      </c>
      <c r="S98" s="9" t="n">
        <v>14.468</v>
      </c>
      <c r="T98" s="9" t="n">
        <v>0</v>
      </c>
    </row>
    <row r="99">
      <c r="A99" s="9" t="inlineStr">
        <is>
          <t>LBY</t>
        </is>
      </c>
      <c r="B99" s="9" t="n">
        <v>1</v>
      </c>
      <c r="C99" s="9" t="inlineStr">
        <is>
          <t>PSRT 2013</t>
        </is>
      </c>
      <c r="D99" s="9" t="n"/>
      <c r="E99" s="9" t="n">
        <v>0</v>
      </c>
      <c r="F99" s="9" t="n">
        <v>0</v>
      </c>
      <c r="G99" s="9" t="n">
        <v>0</v>
      </c>
      <c r="H99" s="9" t="n">
        <v>0</v>
      </c>
      <c r="I99" s="9" t="n">
        <v>0.1971</v>
      </c>
      <c r="J99" s="9" t="n">
        <v>4.6605</v>
      </c>
      <c r="K99" s="9" t="n">
        <v>26.179</v>
      </c>
      <c r="L99" s="9" t="n">
        <v>0</v>
      </c>
      <c r="M99" s="9" t="n">
        <v>0</v>
      </c>
      <c r="N99" s="9" t="n">
        <v>0</v>
      </c>
      <c r="O99" s="9" t="n"/>
      <c r="P99" s="9" t="n"/>
      <c r="Q99" s="9" t="n">
        <v>0</v>
      </c>
      <c r="R99" s="9" t="n">
        <v>0</v>
      </c>
      <c r="S99" s="9" t="n"/>
      <c r="T99" s="9" t="n"/>
    </row>
    <row r="100">
      <c r="A100" s="9" t="inlineStr">
        <is>
          <t>LCA</t>
        </is>
      </c>
      <c r="B100" s="9" t="n">
        <v>1</v>
      </c>
      <c r="C100" s="9" t="inlineStr">
        <is>
          <t>PSRT 2013</t>
        </is>
      </c>
      <c r="D100" s="9" t="n"/>
      <c r="E100" s="9" t="n">
        <v>0</v>
      </c>
      <c r="F100" s="9" t="n">
        <v>0</v>
      </c>
      <c r="G100" s="9" t="n">
        <v>0</v>
      </c>
      <c r="H100" s="9" t="n">
        <v>0</v>
      </c>
      <c r="I100" s="9" t="n">
        <v>0.9597</v>
      </c>
      <c r="J100" s="9" t="n">
        <v>0.1899</v>
      </c>
      <c r="K100" s="9" t="n">
        <v>0.19</v>
      </c>
      <c r="L100" s="9" t="n">
        <v>0.0025</v>
      </c>
      <c r="M100" s="9" t="n">
        <v>0.09660000000000001</v>
      </c>
      <c r="N100" s="9" t="n">
        <v>1</v>
      </c>
      <c r="O100" s="9" t="n">
        <v>1</v>
      </c>
      <c r="P100" s="9" t="n">
        <v>0</v>
      </c>
      <c r="Q100" s="9" t="n">
        <v>1</v>
      </c>
      <c r="R100" s="9" t="n">
        <v>1</v>
      </c>
      <c r="S100" s="9" t="n"/>
      <c r="T100" s="9" t="n"/>
    </row>
    <row r="101">
      <c r="A101" s="9" t="inlineStr">
        <is>
          <t>LKA</t>
        </is>
      </c>
      <c r="B101" s="9" t="n">
        <v>2</v>
      </c>
      <c r="C101" s="9" t="inlineStr">
        <is>
          <t>PSRT 2013</t>
        </is>
      </c>
      <c r="D101" s="9" t="n"/>
      <c r="E101" s="9" t="n">
        <v>1</v>
      </c>
      <c r="F101" s="9" t="n">
        <v>0</v>
      </c>
      <c r="G101" s="9" t="n">
        <v>0</v>
      </c>
      <c r="H101" s="9" t="n">
        <v>0</v>
      </c>
      <c r="I101" s="9" t="n">
        <v>0.6608000000000001</v>
      </c>
      <c r="J101" s="9" t="n">
        <v>0.2548</v>
      </c>
      <c r="K101" s="9" t="n">
        <v>0.259</v>
      </c>
      <c r="L101" s="9" t="n">
        <v>0.0008</v>
      </c>
      <c r="M101" s="9" t="n">
        <v>0.0008</v>
      </c>
      <c r="N101" s="9" t="n">
        <v>1</v>
      </c>
      <c r="O101" s="9" t="n">
        <v>1</v>
      </c>
      <c r="P101" s="9" t="n">
        <v>0</v>
      </c>
      <c r="Q101" s="9" t="n">
        <v>0</v>
      </c>
      <c r="R101" s="9" t="n">
        <v>0</v>
      </c>
      <c r="S101" s="9" t="n">
        <v>41.09</v>
      </c>
      <c r="T101" s="9" t="n">
        <v>0</v>
      </c>
    </row>
    <row r="102">
      <c r="A102" s="9" t="inlineStr">
        <is>
          <t>LSO</t>
        </is>
      </c>
      <c r="B102" s="9" t="n">
        <v>1</v>
      </c>
      <c r="C102" s="9" t="inlineStr">
        <is>
          <t>PSRT 2013</t>
        </is>
      </c>
      <c r="D102" s="9" t="n"/>
      <c r="E102" s="9" t="n">
        <v>1</v>
      </c>
      <c r="F102" s="9" t="n">
        <v>0</v>
      </c>
      <c r="G102" s="9" t="n">
        <v>0</v>
      </c>
      <c r="H102" s="9" t="n">
        <v>0</v>
      </c>
      <c r="I102" s="9" t="n">
        <v>0.4104</v>
      </c>
      <c r="J102" s="9" t="n">
        <v>0</v>
      </c>
      <c r="K102" s="9" t="n">
        <v>0</v>
      </c>
      <c r="L102" s="9" t="n">
        <v>0.0013</v>
      </c>
      <c r="M102" s="9" t="n">
        <v>0.0504</v>
      </c>
      <c r="N102" s="9" t="n">
        <v>1</v>
      </c>
      <c r="O102" s="9" t="n">
        <v>1</v>
      </c>
      <c r="P102" s="9" t="n">
        <v>0</v>
      </c>
      <c r="Q102" s="9" t="n">
        <v>1</v>
      </c>
      <c r="R102" s="9" t="n">
        <v>1</v>
      </c>
      <c r="S102" s="9" t="n"/>
      <c r="T102" s="9" t="n"/>
    </row>
    <row r="103">
      <c r="A103" s="9" t="inlineStr">
        <is>
          <t>LTU</t>
        </is>
      </c>
      <c r="B103" s="9" t="n">
        <v>3</v>
      </c>
      <c r="C103" s="9" t="inlineStr">
        <is>
          <t>PSRT 2013</t>
        </is>
      </c>
      <c r="D103" s="9" t="n"/>
      <c r="E103" s="9" t="n">
        <v>1</v>
      </c>
      <c r="F103" s="9" t="n">
        <v>1</v>
      </c>
      <c r="G103" s="9" t="n">
        <v>1</v>
      </c>
      <c r="H103" s="9" t="n">
        <v>1</v>
      </c>
      <c r="I103" s="9" t="n">
        <v>1.0183</v>
      </c>
      <c r="J103" s="9" t="n">
        <v>0</v>
      </c>
      <c r="K103" s="9" t="n">
        <v>0.064</v>
      </c>
      <c r="L103" s="9" t="n">
        <v>0</v>
      </c>
      <c r="M103" s="9" t="n">
        <v>0</v>
      </c>
      <c r="N103" s="9" t="n">
        <v>0</v>
      </c>
      <c r="O103" s="9" t="n"/>
      <c r="P103" s="9" t="n"/>
      <c r="Q103" s="9" t="n">
        <v>0</v>
      </c>
      <c r="R103" s="9" t="n">
        <v>0</v>
      </c>
      <c r="S103" s="9" t="n"/>
      <c r="T103" s="9" t="n"/>
    </row>
    <row r="104">
      <c r="A104" s="9" t="inlineStr">
        <is>
          <t>LUX</t>
        </is>
      </c>
      <c r="B104" s="9" t="n">
        <v>3</v>
      </c>
      <c r="C104" s="9" t="inlineStr">
        <is>
          <t>Curated (not in PSRT)</t>
        </is>
      </c>
      <c r="D104" s="9" t="inlineStr">
        <is>
          <t>EU internal market</t>
        </is>
      </c>
      <c r="E104" s="9" t="n">
        <v>1</v>
      </c>
      <c r="F104" s="9" t="n">
        <v>1</v>
      </c>
      <c r="G104" s="9" t="n">
        <v>0</v>
      </c>
      <c r="H104" s="9" t="n"/>
      <c r="I104" s="9" t="n">
        <v>0.883</v>
      </c>
      <c r="J104" s="9" t="n">
        <v>0.0151</v>
      </c>
      <c r="K104" s="9" t="n">
        <v>0.103</v>
      </c>
      <c r="L104" s="9" t="n">
        <v>0</v>
      </c>
      <c r="M104" s="9" t="n">
        <v>0</v>
      </c>
      <c r="N104" s="9" t="n">
        <v>0</v>
      </c>
      <c r="O104" s="9" t="n"/>
      <c r="P104" s="9" t="n"/>
      <c r="Q104" s="9" t="n">
        <v>0</v>
      </c>
      <c r="R104" s="9" t="n">
        <v>0</v>
      </c>
      <c r="S104" s="9" t="n"/>
      <c r="T104" s="9" t="n"/>
    </row>
    <row r="105">
      <c r="A105" s="9" t="inlineStr">
        <is>
          <t>LVA</t>
        </is>
      </c>
      <c r="B105" s="9" t="n">
        <v>3</v>
      </c>
      <c r="C105" s="9" t="inlineStr">
        <is>
          <t>PSRT 2013</t>
        </is>
      </c>
      <c r="D105" s="9" t="n"/>
      <c r="E105" s="9" t="n">
        <v>1</v>
      </c>
      <c r="F105" s="9" t="n">
        <v>1</v>
      </c>
      <c r="G105" s="9" t="n">
        <v>0</v>
      </c>
      <c r="H105" s="9" t="n">
        <v>1</v>
      </c>
      <c r="I105" s="9" t="n">
        <v>1.0098</v>
      </c>
      <c r="J105" s="9" t="n">
        <v>0</v>
      </c>
      <c r="K105" s="9" t="n">
        <v>0.346</v>
      </c>
      <c r="L105" s="9" t="n">
        <v>0</v>
      </c>
      <c r="M105" s="9" t="n">
        <v>0</v>
      </c>
      <c r="N105" s="9" t="n">
        <v>0</v>
      </c>
      <c r="O105" s="9" t="n"/>
      <c r="P105" s="9" t="n"/>
      <c r="Q105" s="9" t="n">
        <v>0</v>
      </c>
      <c r="R105" s="9" t="n">
        <v>0</v>
      </c>
      <c r="S105" s="9" t="n"/>
      <c r="T105" s="9" t="n"/>
    </row>
    <row r="106">
      <c r="A106" s="9" t="inlineStr">
        <is>
          <t>MAC</t>
        </is>
      </c>
      <c r="B106" s="9" t="n">
        <v>1</v>
      </c>
      <c r="C106" s="9" t="inlineStr">
        <is>
          <t>Curated (not in PSRT)</t>
        </is>
      </c>
      <c r="D106" s="9" t="inlineStr">
        <is>
          <t>Private concession VIU (CEM)</t>
        </is>
      </c>
      <c r="E106" s="9" t="n">
        <v>1</v>
      </c>
      <c r="F106" s="9" t="n">
        <v>0</v>
      </c>
      <c r="G106" s="9" t="n">
        <v>1</v>
      </c>
      <c r="H106" s="9" t="n"/>
      <c r="I106" s="9" t="n">
        <v>0.7514999999999999</v>
      </c>
      <c r="J106" s="9" t="n">
        <v>0.3884</v>
      </c>
      <c r="K106" s="9" t="n">
        <v>0.388</v>
      </c>
      <c r="L106" s="9" t="n">
        <v>0</v>
      </c>
      <c r="M106" s="9" t="n">
        <v>0</v>
      </c>
      <c r="N106" s="9" t="n">
        <v>0</v>
      </c>
      <c r="O106" s="9" t="n"/>
      <c r="P106" s="9" t="n"/>
      <c r="Q106" s="9" t="n">
        <v>0</v>
      </c>
      <c r="R106" s="9" t="n">
        <v>0</v>
      </c>
      <c r="S106" s="9" t="n"/>
      <c r="T106" s="9" t="n"/>
    </row>
    <row r="107">
      <c r="A107" s="9" t="inlineStr">
        <is>
          <t>MAR</t>
        </is>
      </c>
      <c r="B107" s="9" t="n">
        <v>2</v>
      </c>
      <c r="C107" s="9" t="inlineStr">
        <is>
          <t>PSRT 2013</t>
        </is>
      </c>
      <c r="D107" s="9" t="n"/>
      <c r="E107" s="9" t="n">
        <v>0</v>
      </c>
      <c r="F107" s="9" t="n">
        <v>1</v>
      </c>
      <c r="G107" s="9" t="n">
        <v>1</v>
      </c>
      <c r="H107" s="9" t="n">
        <v>0</v>
      </c>
      <c r="I107" s="9" t="n">
        <v>0.753</v>
      </c>
      <c r="J107" s="9" t="n">
        <v>0.5026</v>
      </c>
      <c r="K107" s="9" t="n">
        <v>1.869</v>
      </c>
      <c r="L107" s="9" t="n">
        <v>0.4462</v>
      </c>
      <c r="M107" s="9" t="n">
        <v>0.2778</v>
      </c>
      <c r="N107" s="9" t="n">
        <v>10</v>
      </c>
      <c r="O107" s="9" t="n">
        <v>1</v>
      </c>
      <c r="P107" s="9" t="n">
        <v>0</v>
      </c>
      <c r="Q107" s="9" t="n">
        <v>1</v>
      </c>
      <c r="R107" s="9" t="n">
        <v>0</v>
      </c>
      <c r="S107" s="9" t="n">
        <v>41.172</v>
      </c>
      <c r="T107" s="9" t="n">
        <v>0</v>
      </c>
    </row>
    <row r="108">
      <c r="A108" s="9" t="inlineStr">
        <is>
          <t>MDA</t>
        </is>
      </c>
      <c r="B108" s="9" t="n">
        <v>3</v>
      </c>
      <c r="C108" s="9" t="inlineStr">
        <is>
          <t>PSRT 2013</t>
        </is>
      </c>
      <c r="D108" s="9" t="n"/>
      <c r="E108" s="9" t="n">
        <v>1</v>
      </c>
      <c r="F108" s="9" t="n">
        <v>1</v>
      </c>
      <c r="G108" s="9" t="n">
        <v>1</v>
      </c>
      <c r="H108" s="9" t="n">
        <v>0</v>
      </c>
      <c r="I108" s="9" t="n">
        <v>0.9169</v>
      </c>
      <c r="J108" s="9" t="n">
        <v>0.2451</v>
      </c>
      <c r="K108" s="9" t="n">
        <v>0.857</v>
      </c>
      <c r="L108" s="9" t="n">
        <v>0</v>
      </c>
      <c r="M108" s="9" t="n">
        <v>0</v>
      </c>
      <c r="N108" s="9" t="n">
        <v>0</v>
      </c>
      <c r="O108" s="9" t="n"/>
      <c r="P108" s="9" t="n"/>
      <c r="Q108" s="9" t="n">
        <v>1</v>
      </c>
      <c r="R108" s="9" t="n">
        <v>0</v>
      </c>
      <c r="S108" s="9" t="n">
        <v>24.746</v>
      </c>
      <c r="T108" s="9" t="n">
        <v>20</v>
      </c>
    </row>
    <row r="109">
      <c r="A109" s="9" t="inlineStr">
        <is>
          <t>MDG</t>
        </is>
      </c>
      <c r="B109" s="9" t="n">
        <v>2</v>
      </c>
      <c r="C109" s="9" t="inlineStr">
        <is>
          <t>PSRT 2013</t>
        </is>
      </c>
      <c r="D109" s="9" t="n"/>
      <c r="E109" s="9" t="n">
        <v>1</v>
      </c>
      <c r="F109" s="9" t="n">
        <v>1</v>
      </c>
      <c r="G109" s="9" t="n">
        <v>0</v>
      </c>
      <c r="H109" s="9" t="n">
        <v>0</v>
      </c>
      <c r="I109" s="9" t="n">
        <v>0.9209000000000001</v>
      </c>
      <c r="J109" s="9" t="n">
        <v>0.2447</v>
      </c>
      <c r="K109" s="9" t="n">
        <v>0.344</v>
      </c>
      <c r="L109" s="9" t="n">
        <v>0.0075</v>
      </c>
      <c r="M109" s="9" t="n">
        <v>0.0427</v>
      </c>
      <c r="N109" s="9" t="n">
        <v>4</v>
      </c>
      <c r="O109" s="9" t="n">
        <v>1</v>
      </c>
      <c r="P109" s="9" t="n">
        <v>0</v>
      </c>
      <c r="Q109" s="9" t="n">
        <v>0</v>
      </c>
      <c r="R109" s="9" t="n">
        <v>0</v>
      </c>
      <c r="S109" s="9" t="n">
        <v>9.468</v>
      </c>
      <c r="T109" s="9" t="n">
        <v>0</v>
      </c>
    </row>
    <row r="110">
      <c r="A110" s="9" t="inlineStr">
        <is>
          <t>MDV</t>
        </is>
      </c>
      <c r="B110" s="9" t="n">
        <v>2</v>
      </c>
      <c r="C110" s="9" t="inlineStr">
        <is>
          <t>PSRT 2013</t>
        </is>
      </c>
      <c r="D110" s="9" t="n"/>
      <c r="E110" s="9" t="n">
        <v>0</v>
      </c>
      <c r="F110" s="9" t="n">
        <v>0</v>
      </c>
      <c r="G110" s="9" t="n">
        <v>0</v>
      </c>
      <c r="H110" s="9" t="n">
        <v>0</v>
      </c>
      <c r="I110" s="9" t="n">
        <v>0.6413</v>
      </c>
      <c r="J110" s="9" t="n">
        <v>1.8421</v>
      </c>
      <c r="K110" s="9" t="n">
        <v>1.842</v>
      </c>
      <c r="L110" s="9" t="n">
        <v>0</v>
      </c>
      <c r="M110" s="9" t="n">
        <v>0</v>
      </c>
      <c r="N110" s="9" t="n">
        <v>1</v>
      </c>
      <c r="O110" s="9" t="n"/>
      <c r="P110" s="9" t="n"/>
      <c r="Q110" s="9" t="n">
        <v>0</v>
      </c>
      <c r="R110" s="9" t="n">
        <v>0</v>
      </c>
      <c r="S110" s="9" t="n">
        <v>18.185</v>
      </c>
      <c r="T110" s="9" t="n">
        <v>0</v>
      </c>
    </row>
    <row r="111">
      <c r="A111" s="9" t="inlineStr">
        <is>
          <t>MEX</t>
        </is>
      </c>
      <c r="B111" s="9" t="n">
        <v>3</v>
      </c>
      <c r="C111" s="9" t="inlineStr">
        <is>
          <t>Curated (not in PSRT)</t>
        </is>
      </c>
      <c r="D111" s="9" t="inlineStr">
        <is>
          <t>Wholesale market (MEM) since 2016; CFE dominant; 2025 law restores CFE priority</t>
        </is>
      </c>
      <c r="E111" s="9" t="n">
        <v>1</v>
      </c>
      <c r="F111" s="9" t="n">
        <v>1</v>
      </c>
      <c r="G111" s="9" t="n">
        <v>0</v>
      </c>
      <c r="H111" s="9" t="n"/>
      <c r="I111" s="9" t="n">
        <v>0.9915</v>
      </c>
      <c r="J111" s="9" t="n">
        <v>0.0181</v>
      </c>
      <c r="K111" s="9" t="n">
        <v>0.609</v>
      </c>
      <c r="L111" s="9" t="n">
        <v>1.7151</v>
      </c>
      <c r="M111" s="9" t="n">
        <v>0.09370000000000001</v>
      </c>
      <c r="N111" s="9" t="n">
        <v>61</v>
      </c>
      <c r="O111" s="9" t="n">
        <v>0.7601</v>
      </c>
      <c r="P111" s="9" t="n">
        <v>0.1102</v>
      </c>
      <c r="Q111" s="9" t="n">
        <v>0</v>
      </c>
      <c r="R111" s="9" t="n">
        <v>0</v>
      </c>
      <c r="S111" s="9" t="n">
        <v>74.96299999999999</v>
      </c>
      <c r="T111" s="9" t="n">
        <v>80</v>
      </c>
    </row>
    <row r="112">
      <c r="A112" s="9" t="inlineStr">
        <is>
          <t>MKD</t>
        </is>
      </c>
      <c r="B112" s="9" t="n">
        <v>3</v>
      </c>
      <c r="C112" s="9" t="inlineStr">
        <is>
          <t>PSRT 2013</t>
        </is>
      </c>
      <c r="D112" s="9" t="n"/>
      <c r="E112" s="9" t="n">
        <v>1</v>
      </c>
      <c r="F112" s="9" t="n">
        <v>1</v>
      </c>
      <c r="G112" s="9" t="n">
        <v>1</v>
      </c>
      <c r="H112" s="9" t="n">
        <v>0</v>
      </c>
      <c r="I112" s="9" t="n">
        <v>1.019</v>
      </c>
      <c r="J112" s="9" t="n">
        <v>0</v>
      </c>
      <c r="K112" s="9" t="n">
        <v>0</v>
      </c>
      <c r="L112" s="9" t="n">
        <v>0.01</v>
      </c>
      <c r="M112" s="9" t="n">
        <v>0.0588</v>
      </c>
      <c r="N112" s="9" t="n">
        <v>3</v>
      </c>
      <c r="O112" s="9" t="n">
        <v>0.8467</v>
      </c>
      <c r="P112" s="9" t="n">
        <v>0</v>
      </c>
      <c r="Q112" s="9" t="n">
        <v>1</v>
      </c>
      <c r="R112" s="9" t="n">
        <v>0</v>
      </c>
      <c r="S112" s="9" t="n">
        <v>39.384</v>
      </c>
      <c r="T112" s="9" t="n">
        <v>0</v>
      </c>
    </row>
    <row r="113">
      <c r="A113" s="9" t="inlineStr">
        <is>
          <t>MLI</t>
        </is>
      </c>
      <c r="B113" s="9" t="n">
        <v>2</v>
      </c>
      <c r="C113" s="9" t="inlineStr">
        <is>
          <t>PSRT 2013</t>
        </is>
      </c>
      <c r="D113" s="9" t="n"/>
      <c r="E113" s="9" t="n">
        <v>1</v>
      </c>
      <c r="F113" s="9" t="n">
        <v>0</v>
      </c>
      <c r="G113" s="9" t="n">
        <v>1</v>
      </c>
      <c r="H113" s="9" t="n">
        <v>0</v>
      </c>
      <c r="I113" s="9" t="n">
        <v>0.5232</v>
      </c>
      <c r="J113" s="9" t="n">
        <v>1.7094</v>
      </c>
      <c r="K113" s="9" t="n">
        <v>1.709</v>
      </c>
      <c r="L113" s="9" t="n">
        <v>0.051</v>
      </c>
      <c r="M113" s="9" t="n">
        <v>0.1905</v>
      </c>
      <c r="N113" s="9" t="n">
        <v>4</v>
      </c>
      <c r="O113" s="9" t="n">
        <v>0.6675</v>
      </c>
      <c r="P113" s="9" t="n">
        <v>0</v>
      </c>
      <c r="Q113" s="9" t="n">
        <v>0</v>
      </c>
      <c r="R113" s="9" t="n">
        <v>0</v>
      </c>
      <c r="S113" s="9" t="n">
        <v>24.661</v>
      </c>
      <c r="T113" s="9" t="n">
        <v>0</v>
      </c>
    </row>
    <row r="114">
      <c r="A114" s="9" t="inlineStr">
        <is>
          <t>MLT</t>
        </is>
      </c>
      <c r="B114" s="9" t="n">
        <v>1</v>
      </c>
      <c r="C114" s="9" t="inlineStr">
        <is>
          <t>Curated (not in PSRT)</t>
        </is>
      </c>
      <c r="D114" s="9" t="inlineStr">
        <is>
          <t>Enemalta VIU (EU derogation)</t>
        </is>
      </c>
      <c r="E114" s="9" t="n">
        <v>1</v>
      </c>
      <c r="F114" s="9" t="n">
        <v>0</v>
      </c>
      <c r="G114" s="9" t="n">
        <v>0</v>
      </c>
      <c r="H114" s="9" t="n"/>
      <c r="I114" s="9" t="n">
        <v>1.0326</v>
      </c>
      <c r="J114" s="9" t="n">
        <v>0</v>
      </c>
      <c r="K114" s="9" t="n">
        <v>0</v>
      </c>
      <c r="L114" s="9" t="n">
        <v>0</v>
      </c>
      <c r="M114" s="9" t="n">
        <v>0</v>
      </c>
      <c r="N114" s="9" t="n">
        <v>0</v>
      </c>
      <c r="O114" s="9" t="n"/>
      <c r="P114" s="9" t="n"/>
      <c r="Q114" s="9" t="n">
        <v>0</v>
      </c>
      <c r="R114" s="9" t="n">
        <v>0</v>
      </c>
      <c r="S114" s="9" t="n"/>
      <c r="T114" s="9" t="n"/>
    </row>
    <row r="115">
      <c r="A115" s="9" t="inlineStr">
        <is>
          <t>MMR</t>
        </is>
      </c>
      <c r="B115" s="9" t="n">
        <v>2</v>
      </c>
      <c r="C115" s="9" t="inlineStr">
        <is>
          <t>PSRT 2013, PPI update</t>
        </is>
      </c>
      <c r="D115" s="9" t="inlineStr">
        <is>
          <t>2 private generation projects 2014-2024 (PPI)</t>
        </is>
      </c>
      <c r="E115" s="9" t="n">
        <v>0</v>
      </c>
      <c r="F115" s="9" t="n">
        <v>0</v>
      </c>
      <c r="G115" s="9" t="n">
        <v>0</v>
      </c>
      <c r="H115" s="9" t="n">
        <v>0</v>
      </c>
      <c r="I115" s="9" t="n">
        <v>0.3584</v>
      </c>
      <c r="J115" s="9" t="n">
        <v>1.0435</v>
      </c>
      <c r="K115" s="9" t="n">
        <v>1.044</v>
      </c>
      <c r="L115" s="9" t="n">
        <v>0.0747</v>
      </c>
      <c r="M115" s="9" t="n">
        <v>0.0973</v>
      </c>
      <c r="N115" s="9" t="n">
        <v>2</v>
      </c>
      <c r="O115" s="9" t="n">
        <v>0.4759</v>
      </c>
      <c r="P115" s="9" t="n">
        <v>0</v>
      </c>
      <c r="Q115" s="9" t="n">
        <v>0</v>
      </c>
      <c r="R115" s="9" t="n">
        <v>0</v>
      </c>
      <c r="S115" s="9" t="n">
        <v>14.963</v>
      </c>
      <c r="T115" s="9" t="n">
        <v>0</v>
      </c>
    </row>
    <row r="116">
      <c r="A116" s="9" t="inlineStr">
        <is>
          <t>MNE</t>
        </is>
      </c>
      <c r="B116" s="9" t="n">
        <v>2</v>
      </c>
      <c r="C116" s="9" t="inlineStr">
        <is>
          <t>PSRT 2013, PPI update</t>
        </is>
      </c>
      <c r="D116" s="9" t="inlineStr">
        <is>
          <t>2 private generation projects 2014-2024 (PPI)</t>
        </is>
      </c>
      <c r="E116" s="9" t="n">
        <v>1</v>
      </c>
      <c r="F116" s="9" t="n">
        <v>1</v>
      </c>
      <c r="G116" s="9" t="n">
        <v>0</v>
      </c>
      <c r="H116" s="9" t="n">
        <v>0</v>
      </c>
      <c r="I116" s="9" t="n">
        <v>1</v>
      </c>
      <c r="J116" s="9" t="n">
        <v>0.0418</v>
      </c>
      <c r="K116" s="9" t="n">
        <v>0.042</v>
      </c>
      <c r="L116" s="9" t="n">
        <v>0.032</v>
      </c>
      <c r="M116" s="9" t="n">
        <v>0.3866</v>
      </c>
      <c r="N116" s="9" t="n">
        <v>2</v>
      </c>
      <c r="O116" s="9" t="n">
        <v>1</v>
      </c>
      <c r="P116" s="9" t="n">
        <v>0</v>
      </c>
      <c r="Q116" s="9" t="n">
        <v>1</v>
      </c>
      <c r="R116" s="9" t="n">
        <v>1</v>
      </c>
      <c r="S116" s="9" t="n">
        <v>42.788</v>
      </c>
      <c r="T116" s="9" t="n">
        <v>20</v>
      </c>
    </row>
    <row r="117">
      <c r="A117" s="9" t="inlineStr">
        <is>
          <t>MNG</t>
        </is>
      </c>
      <c r="B117" s="9" t="n">
        <v>2</v>
      </c>
      <c r="C117" s="9" t="inlineStr">
        <is>
          <t>PSRT 2013, curated update</t>
        </is>
      </c>
      <c r="D117" s="9" t="inlineStr">
        <is>
          <t>Single buyer model</t>
        </is>
      </c>
      <c r="E117" s="9" t="n">
        <v>1</v>
      </c>
      <c r="F117" s="9" t="n">
        <v>1</v>
      </c>
      <c r="G117" s="9" t="n">
        <v>1</v>
      </c>
      <c r="H117" s="9" t="n">
        <v>0</v>
      </c>
      <c r="I117" s="9" t="n">
        <v>0.4264</v>
      </c>
      <c r="J117" s="9" t="n">
        <v>2.2383</v>
      </c>
      <c r="K117" s="9" t="n">
        <v>2.469</v>
      </c>
      <c r="L117" s="9" t="n">
        <v>0.0399</v>
      </c>
      <c r="M117" s="9" t="n">
        <v>0.1679</v>
      </c>
      <c r="N117" s="9" t="n">
        <v>4</v>
      </c>
      <c r="O117" s="9" t="n">
        <v>1</v>
      </c>
      <c r="P117" s="9" t="n">
        <v>0</v>
      </c>
      <c r="Q117" s="9" t="n">
        <v>0</v>
      </c>
      <c r="R117" s="9" t="n">
        <v>0</v>
      </c>
      <c r="S117" s="9" t="n">
        <v>9.778</v>
      </c>
      <c r="T117" s="9" t="n">
        <v>0</v>
      </c>
    </row>
    <row r="118">
      <c r="A118" s="9" t="inlineStr">
        <is>
          <t>MOZ</t>
        </is>
      </c>
      <c r="B118" s="9" t="n">
        <v>2</v>
      </c>
      <c r="C118" s="9" t="inlineStr">
        <is>
          <t>PSRT 2013</t>
        </is>
      </c>
      <c r="D118" s="9" t="n"/>
      <c r="E118" s="9" t="n">
        <v>1</v>
      </c>
      <c r="F118" s="9" t="n">
        <v>0</v>
      </c>
      <c r="G118" s="9" t="n">
        <v>0</v>
      </c>
      <c r="H118" s="9" t="n">
        <v>0</v>
      </c>
      <c r="I118" s="9" t="n">
        <v>0.9317</v>
      </c>
      <c r="J118" s="9" t="n">
        <v>0.0326</v>
      </c>
      <c r="K118" s="9" t="n">
        <v>0.033</v>
      </c>
      <c r="L118" s="9" t="n">
        <v>0.215</v>
      </c>
      <c r="M118" s="9" t="n">
        <v>0.9452</v>
      </c>
      <c r="N118" s="9" t="n">
        <v>8</v>
      </c>
      <c r="O118" s="9" t="n">
        <v>0.721</v>
      </c>
      <c r="P118" s="9" t="n">
        <v>0</v>
      </c>
      <c r="Q118" s="9" t="n">
        <v>0</v>
      </c>
      <c r="R118" s="9" t="n">
        <v>1</v>
      </c>
      <c r="S118" s="9" t="n">
        <v>33.5</v>
      </c>
      <c r="T118" s="9" t="n">
        <v>0</v>
      </c>
    </row>
    <row r="119">
      <c r="A119" s="9" t="inlineStr">
        <is>
          <t>MRT</t>
        </is>
      </c>
      <c r="B119" s="9" t="n">
        <v>1</v>
      </c>
      <c r="C119" s="9" t="inlineStr">
        <is>
          <t>PSRT 2013</t>
        </is>
      </c>
      <c r="D119" s="9" t="n"/>
      <c r="E119" s="9" t="n">
        <v>0</v>
      </c>
      <c r="F119" s="9" t="n">
        <v>0</v>
      </c>
      <c r="G119" s="9" t="n">
        <v>0</v>
      </c>
      <c r="H119" s="9" t="n">
        <v>0</v>
      </c>
      <c r="I119" s="9" t="n">
        <v>0.4292</v>
      </c>
      <c r="J119" s="9" t="n">
        <v>2.9124</v>
      </c>
      <c r="K119" s="9" t="n">
        <v>3.256</v>
      </c>
      <c r="L119" s="9" t="n">
        <v>0</v>
      </c>
      <c r="M119" s="9" t="n">
        <v>0</v>
      </c>
      <c r="N119" s="9" t="n">
        <v>0</v>
      </c>
      <c r="O119" s="9" t="n"/>
      <c r="P119" s="9" t="n"/>
      <c r="Q119" s="9" t="n">
        <v>0</v>
      </c>
      <c r="R119" s="9" t="n">
        <v>0</v>
      </c>
      <c r="S119" s="9" t="n">
        <v>14.357</v>
      </c>
      <c r="T119" s="9" t="n">
        <v>0</v>
      </c>
    </row>
    <row r="120">
      <c r="A120" s="9" t="inlineStr">
        <is>
          <t>MUS</t>
        </is>
      </c>
      <c r="B120" s="9" t="n">
        <v>2</v>
      </c>
      <c r="C120" s="9" t="inlineStr">
        <is>
          <t>PSRT 2013</t>
        </is>
      </c>
      <c r="D120" s="9" t="n"/>
      <c r="E120" s="9" t="n">
        <v>0</v>
      </c>
      <c r="F120" s="9" t="n">
        <v>0</v>
      </c>
      <c r="G120" s="9" t="n">
        <v>0</v>
      </c>
      <c r="H120" s="9" t="n">
        <v>0</v>
      </c>
      <c r="I120" s="9" t="n">
        <v>0.722</v>
      </c>
      <c r="J120" s="9" t="n">
        <v>0.742</v>
      </c>
      <c r="K120" s="9" t="n">
        <v>0.768</v>
      </c>
      <c r="L120" s="9" t="n">
        <v>0</v>
      </c>
      <c r="M120" s="9" t="n">
        <v>0</v>
      </c>
      <c r="N120" s="9" t="n">
        <v>0</v>
      </c>
      <c r="O120" s="9" t="n"/>
      <c r="P120" s="9" t="n"/>
      <c r="Q120" s="9" t="n">
        <v>0</v>
      </c>
      <c r="R120" s="9" t="n">
        <v>0</v>
      </c>
      <c r="S120" s="9" t="n"/>
      <c r="T120" s="9" t="n"/>
    </row>
    <row r="121">
      <c r="A121" s="9" t="inlineStr">
        <is>
          <t>MWI</t>
        </is>
      </c>
      <c r="B121" s="9" t="n">
        <v>2</v>
      </c>
      <c r="C121" s="9" t="inlineStr">
        <is>
          <t>PSRT 2013, PPI update</t>
        </is>
      </c>
      <c r="D121" s="9" t="inlineStr">
        <is>
          <t>2 private generation projects 2014-2024 (PPI)</t>
        </is>
      </c>
      <c r="E121" s="9" t="n">
        <v>1</v>
      </c>
      <c r="F121" s="9" t="n">
        <v>0</v>
      </c>
      <c r="G121" s="9" t="n">
        <v>0</v>
      </c>
      <c r="H121" s="9" t="n">
        <v>0</v>
      </c>
      <c r="I121" s="9" t="n">
        <v>0.8172</v>
      </c>
      <c r="J121" s="9" t="n">
        <v>0.0295</v>
      </c>
      <c r="K121" s="9" t="n">
        <v>0.03</v>
      </c>
      <c r="L121" s="9" t="n">
        <v>0.0109</v>
      </c>
      <c r="M121" s="9" t="n">
        <v>0.0921</v>
      </c>
      <c r="N121" s="9" t="n">
        <v>2</v>
      </c>
      <c r="O121" s="9" t="n">
        <v>1</v>
      </c>
      <c r="P121" s="9" t="n">
        <v>0</v>
      </c>
      <c r="Q121" s="9" t="n">
        <v>0</v>
      </c>
      <c r="R121" s="9" t="n">
        <v>0</v>
      </c>
      <c r="S121" s="9" t="n">
        <v>38.037</v>
      </c>
      <c r="T121" s="9" t="n">
        <v>0</v>
      </c>
    </row>
    <row r="122">
      <c r="A122" s="9" t="inlineStr">
        <is>
          <t>MYS</t>
        </is>
      </c>
      <c r="B122" s="9" t="n">
        <v>2</v>
      </c>
      <c r="C122" s="9" t="inlineStr">
        <is>
          <t>PSRT 2013</t>
        </is>
      </c>
      <c r="D122" s="9" t="n"/>
      <c r="E122" s="9" t="n">
        <v>1</v>
      </c>
      <c r="F122" s="9" t="n">
        <v>1</v>
      </c>
      <c r="G122" s="9" t="n">
        <v>1</v>
      </c>
      <c r="H122" s="9" t="n">
        <v>0</v>
      </c>
      <c r="I122" s="9" t="n">
        <v>1.0011</v>
      </c>
      <c r="J122" s="9" t="n">
        <v>0</v>
      </c>
      <c r="K122" s="9" t="n">
        <v>1.712</v>
      </c>
      <c r="L122" s="9" t="n">
        <v>0.6317</v>
      </c>
      <c r="M122" s="9" t="n">
        <v>0.1496</v>
      </c>
      <c r="N122" s="9" t="n">
        <v>20</v>
      </c>
      <c r="O122" s="9" t="n">
        <v>0.2364</v>
      </c>
      <c r="P122" s="9" t="n">
        <v>0.06510000000000001</v>
      </c>
      <c r="Q122" s="9" t="n">
        <v>1</v>
      </c>
      <c r="R122" s="9" t="n">
        <v>1</v>
      </c>
      <c r="S122" s="9" t="n">
        <v>27.955</v>
      </c>
      <c r="T122" s="9" t="n">
        <v>0</v>
      </c>
    </row>
    <row r="123">
      <c r="A123" s="9" t="inlineStr">
        <is>
          <t>NAM</t>
        </is>
      </c>
      <c r="B123" s="9" t="n">
        <v>2</v>
      </c>
      <c r="C123" s="9" t="inlineStr">
        <is>
          <t>PSRT 2013, PPI update</t>
        </is>
      </c>
      <c r="D123" s="9" t="inlineStr">
        <is>
          <t>6 private generation projects 2014-2024 (PPI)</t>
        </is>
      </c>
      <c r="E123" s="9" t="n">
        <v>1</v>
      </c>
      <c r="F123" s="9" t="n">
        <v>0</v>
      </c>
      <c r="G123" s="9" t="n">
        <v>0</v>
      </c>
      <c r="H123" s="9" t="n">
        <v>0</v>
      </c>
      <c r="I123" s="9" t="n">
        <v>0.9489</v>
      </c>
      <c r="J123" s="9" t="n">
        <v>0.008699999999999999</v>
      </c>
      <c r="K123" s="9" t="n">
        <v>0.008999999999999999</v>
      </c>
      <c r="L123" s="9" t="n">
        <v>0.0177</v>
      </c>
      <c r="M123" s="9" t="n">
        <v>0.1326</v>
      </c>
      <c r="N123" s="9" t="n">
        <v>6</v>
      </c>
      <c r="O123" s="9" t="n">
        <v>1</v>
      </c>
      <c r="P123" s="9" t="n">
        <v>0.1607</v>
      </c>
      <c r="Q123" s="9" t="n">
        <v>1</v>
      </c>
      <c r="R123" s="9" t="n">
        <v>0</v>
      </c>
      <c r="S123" s="9" t="n"/>
      <c r="T123" s="9" t="n"/>
    </row>
    <row r="124">
      <c r="A124" s="9" t="inlineStr">
        <is>
          <t>NER</t>
        </is>
      </c>
      <c r="B124" s="9" t="n">
        <v>2</v>
      </c>
      <c r="C124" s="9" t="inlineStr">
        <is>
          <t>PSRT 2013</t>
        </is>
      </c>
      <c r="D124" s="9" t="n"/>
      <c r="E124" s="9" t="n">
        <v>1</v>
      </c>
      <c r="F124" s="9" t="n">
        <v>1</v>
      </c>
      <c r="G124" s="9" t="n">
        <v>0</v>
      </c>
      <c r="H124" s="9" t="n">
        <v>0</v>
      </c>
      <c r="I124" s="9" t="n">
        <v>0.6221</v>
      </c>
      <c r="J124" s="9" t="n">
        <v>0.5804</v>
      </c>
      <c r="K124" s="9" t="n">
        <v>0.869</v>
      </c>
      <c r="L124" s="9" t="n">
        <v>0</v>
      </c>
      <c r="M124" s="9" t="n">
        <v>0</v>
      </c>
      <c r="N124" s="9" t="n">
        <v>0</v>
      </c>
      <c r="O124" s="9" t="n"/>
      <c r="P124" s="9" t="n"/>
      <c r="Q124" s="9" t="n">
        <v>0</v>
      </c>
      <c r="R124" s="9" t="n">
        <v>0</v>
      </c>
      <c r="S124" s="9" t="n">
        <v>16.426</v>
      </c>
      <c r="T124" s="9" t="n">
        <v>0</v>
      </c>
    </row>
    <row r="125">
      <c r="A125" s="9" t="inlineStr">
        <is>
          <t>NGA</t>
        </is>
      </c>
      <c r="B125" s="9" t="n">
        <v>2</v>
      </c>
      <c r="C125" s="9" t="inlineStr">
        <is>
          <t>PSRT 2013, curated update</t>
        </is>
      </c>
      <c r="D125" s="9" t="inlineStr">
        <is>
          <t>Unbundled and privatised, but NBET bulk trader buys from gencos</t>
        </is>
      </c>
      <c r="E125" s="9" t="n">
        <v>1</v>
      </c>
      <c r="F125" s="9" t="n">
        <v>1</v>
      </c>
      <c r="G125" s="9" t="n">
        <v>1</v>
      </c>
      <c r="H125" s="9" t="n">
        <v>1</v>
      </c>
      <c r="I125" s="9" t="n">
        <v>0.8327</v>
      </c>
      <c r="J125" s="9" t="n">
        <v>0.2221</v>
      </c>
      <c r="K125" s="9" t="n">
        <v>2.834</v>
      </c>
      <c r="L125" s="9" t="n">
        <v>0.1348</v>
      </c>
      <c r="M125" s="9" t="n">
        <v>0.0535</v>
      </c>
      <c r="N125" s="9" t="n">
        <v>6</v>
      </c>
      <c r="O125" s="9" t="n">
        <v>0.1606</v>
      </c>
      <c r="P125" s="9" t="n">
        <v>0</v>
      </c>
      <c r="Q125" s="9" t="n">
        <v>0</v>
      </c>
      <c r="R125" s="9" t="n">
        <v>0</v>
      </c>
      <c r="S125" s="9" t="n">
        <v>32.415</v>
      </c>
      <c r="T125" s="9" t="n">
        <v>0</v>
      </c>
    </row>
    <row r="126">
      <c r="A126" s="9" t="inlineStr">
        <is>
          <t>NIC</t>
        </is>
      </c>
      <c r="B126" s="9" t="n">
        <v>3</v>
      </c>
      <c r="C126" s="9" t="inlineStr">
        <is>
          <t>PSRT 2013</t>
        </is>
      </c>
      <c r="D126" s="9" t="n"/>
      <c r="E126" s="9" t="n">
        <v>1</v>
      </c>
      <c r="F126" s="9" t="n">
        <v>1</v>
      </c>
      <c r="G126" s="9" t="n">
        <v>1</v>
      </c>
      <c r="H126" s="9" t="n">
        <v>0</v>
      </c>
      <c r="I126" s="9" t="n">
        <v>0.8444</v>
      </c>
      <c r="J126" s="9" t="n">
        <v>0.2272</v>
      </c>
      <c r="K126" s="9" t="n">
        <v>0.227</v>
      </c>
      <c r="L126" s="9" t="n">
        <v>0.0025</v>
      </c>
      <c r="M126" s="9" t="n">
        <v>0.0127</v>
      </c>
      <c r="N126" s="9" t="n">
        <v>2</v>
      </c>
      <c r="O126" s="9" t="n">
        <v>1</v>
      </c>
      <c r="P126" s="9" t="n">
        <v>0</v>
      </c>
      <c r="Q126" s="9" t="n">
        <v>1</v>
      </c>
      <c r="R126" s="9" t="n">
        <v>0</v>
      </c>
      <c r="S126" s="9" t="n">
        <v>35.876</v>
      </c>
      <c r="T126" s="9" t="n">
        <v>0</v>
      </c>
    </row>
    <row r="127">
      <c r="A127" s="9" t="inlineStr">
        <is>
          <t>NLD</t>
        </is>
      </c>
      <c r="B127" s="9" t="n">
        <v>3</v>
      </c>
      <c r="C127" s="9" t="inlineStr">
        <is>
          <t>Curated (not in PSRT)</t>
        </is>
      </c>
      <c r="D127" s="9" t="inlineStr">
        <is>
          <t>EU internal market; networks public</t>
        </is>
      </c>
      <c r="E127" s="9" t="n">
        <v>1</v>
      </c>
      <c r="F127" s="9" t="n">
        <v>1</v>
      </c>
      <c r="G127" s="9" t="n">
        <v>1</v>
      </c>
      <c r="H127" s="9" t="n"/>
      <c r="I127" s="9" t="n">
        <v>0.9691</v>
      </c>
      <c r="J127" s="9" t="n">
        <v>0.0425</v>
      </c>
      <c r="K127" s="9" t="n">
        <v>0.042</v>
      </c>
      <c r="L127" s="9" t="n">
        <v>0</v>
      </c>
      <c r="M127" s="9" t="n">
        <v>0</v>
      </c>
      <c r="N127" s="9" t="n">
        <v>0</v>
      </c>
      <c r="O127" s="9" t="n"/>
      <c r="P127" s="9" t="n"/>
      <c r="Q127" s="9" t="n">
        <v>0</v>
      </c>
      <c r="R127" s="9" t="n">
        <v>0</v>
      </c>
      <c r="S127" s="9" t="n">
        <v>82.611</v>
      </c>
      <c r="T127" s="9" t="n">
        <v>60</v>
      </c>
    </row>
    <row r="128">
      <c r="A128" s="9" t="inlineStr">
        <is>
          <t>NOR</t>
        </is>
      </c>
      <c r="B128" s="9" t="n">
        <v>3</v>
      </c>
      <c r="C128" s="9" t="inlineStr">
        <is>
          <t>Curated (not in PSRT)</t>
        </is>
      </c>
      <c r="D128" s="9" t="inlineStr">
        <is>
          <t>Nord Pool; Statkraft state</t>
        </is>
      </c>
      <c r="E128" s="9" t="n">
        <v>1</v>
      </c>
      <c r="F128" s="9" t="n">
        <v>1</v>
      </c>
      <c r="G128" s="9" t="n">
        <v>0</v>
      </c>
      <c r="H128" s="9" t="n"/>
      <c r="I128" s="9" t="n">
        <v>1.1374</v>
      </c>
      <c r="J128" s="9" t="n">
        <v>0</v>
      </c>
      <c r="K128" s="9" t="n">
        <v>0</v>
      </c>
      <c r="L128" s="9" t="n">
        <v>0</v>
      </c>
      <c r="M128" s="9" t="n">
        <v>0</v>
      </c>
      <c r="N128" s="9" t="n">
        <v>0</v>
      </c>
      <c r="O128" s="9" t="n"/>
      <c r="P128" s="9" t="n"/>
      <c r="Q128" s="9" t="n">
        <v>0</v>
      </c>
      <c r="R128" s="9" t="n">
        <v>0</v>
      </c>
      <c r="S128" s="9" t="n">
        <v>69.48099999999999</v>
      </c>
      <c r="T128" s="9" t="n">
        <v>40</v>
      </c>
    </row>
    <row r="129">
      <c r="A129" s="9" t="inlineStr">
        <is>
          <t>NPL</t>
        </is>
      </c>
      <c r="B129" s="9" t="n">
        <v>2</v>
      </c>
      <c r="C129" s="9" t="inlineStr">
        <is>
          <t>PSRT 2013</t>
        </is>
      </c>
      <c r="D129" s="9" t="n"/>
      <c r="E129" s="9" t="n">
        <v>0</v>
      </c>
      <c r="F129" s="9" t="n">
        <v>0</v>
      </c>
      <c r="G129" s="9" t="n">
        <v>0</v>
      </c>
      <c r="H129" s="9" t="n">
        <v>0</v>
      </c>
      <c r="I129" s="9" t="n">
        <v>0.9493</v>
      </c>
      <c r="J129" s="9" t="n">
        <v>0.007</v>
      </c>
      <c r="K129" s="9" t="n">
        <v>0.007</v>
      </c>
      <c r="L129" s="9" t="n">
        <v>0.1912</v>
      </c>
      <c r="M129" s="9" t="n">
        <v>0.4456</v>
      </c>
      <c r="N129" s="9" t="n">
        <v>8</v>
      </c>
      <c r="O129" s="9" t="n">
        <v>0.0092</v>
      </c>
      <c r="P129" s="9" t="n">
        <v>0</v>
      </c>
      <c r="Q129" s="9" t="n">
        <v>1</v>
      </c>
      <c r="R129" s="9" t="n">
        <v>0</v>
      </c>
      <c r="S129" s="9" t="n">
        <v>20.325</v>
      </c>
      <c r="T129" s="9" t="n">
        <v>0</v>
      </c>
    </row>
    <row r="130">
      <c r="A130" s="9" t="inlineStr">
        <is>
          <t>NRU</t>
        </is>
      </c>
      <c r="B130" s="9" t="n">
        <v>1</v>
      </c>
      <c r="C130" s="9" t="inlineStr">
        <is>
          <t>Curated (not in PSRT)</t>
        </is>
      </c>
      <c r="D130" s="9" t="inlineStr">
        <is>
          <t>State VIU</t>
        </is>
      </c>
      <c r="E130" s="9" t="n">
        <v>0</v>
      </c>
      <c r="F130" s="9" t="n">
        <v>0</v>
      </c>
      <c r="G130" s="9" t="n">
        <v>0</v>
      </c>
      <c r="H130" s="9" t="n"/>
      <c r="I130" s="9" t="n">
        <v>1</v>
      </c>
      <c r="J130" s="9" t="n">
        <v>0</v>
      </c>
      <c r="K130" s="9" t="n">
        <v>0</v>
      </c>
      <c r="L130" s="9" t="n">
        <v>0</v>
      </c>
      <c r="M130" s="9" t="n">
        <v>0</v>
      </c>
      <c r="N130" s="9" t="n">
        <v>0</v>
      </c>
      <c r="O130" s="9" t="n"/>
      <c r="P130" s="9" t="n"/>
      <c r="Q130" s="9" t="n">
        <v>0</v>
      </c>
      <c r="R130" s="9" t="n">
        <v>0</v>
      </c>
      <c r="S130" s="9" t="n"/>
      <c r="T130" s="9" t="n"/>
    </row>
    <row r="131">
      <c r="A131" s="9" t="inlineStr">
        <is>
          <t>NZL</t>
        </is>
      </c>
      <c r="B131" s="9" t="n">
        <v>3</v>
      </c>
      <c r="C131" s="9" t="inlineStr">
        <is>
          <t>Curated (not in PSRT)</t>
        </is>
      </c>
      <c r="D131" s="9" t="inlineStr">
        <is>
          <t>Wholesale market; gentailers majority state-owned</t>
        </is>
      </c>
      <c r="E131" s="9" t="n">
        <v>1</v>
      </c>
      <c r="F131" s="9" t="n">
        <v>1</v>
      </c>
      <c r="G131" s="9" t="n">
        <v>0</v>
      </c>
      <c r="H131" s="9" t="n"/>
      <c r="I131" s="9" t="n">
        <v>1.0226</v>
      </c>
      <c r="J131" s="9" t="n">
        <v>0</v>
      </c>
      <c r="K131" s="9" t="n">
        <v>0.008</v>
      </c>
      <c r="L131" s="9" t="n">
        <v>0</v>
      </c>
      <c r="M131" s="9" t="n">
        <v>0</v>
      </c>
      <c r="N131" s="9" t="n">
        <v>0</v>
      </c>
      <c r="O131" s="9" t="n"/>
      <c r="P131" s="9" t="n"/>
      <c r="Q131" s="9" t="n">
        <v>0</v>
      </c>
      <c r="R131" s="9" t="n">
        <v>0</v>
      </c>
      <c r="S131" s="9" t="n">
        <v>59.241</v>
      </c>
      <c r="T131" s="9" t="n">
        <v>60</v>
      </c>
    </row>
    <row r="132">
      <c r="A132" s="9" t="inlineStr">
        <is>
          <t>OMN</t>
        </is>
      </c>
      <c r="B132" s="9" t="n">
        <v>2</v>
      </c>
      <c r="C132" s="9" t="inlineStr">
        <is>
          <t>PSRT 2013, curated update</t>
        </is>
      </c>
      <c r="D132" s="9" t="inlineStr">
        <is>
          <t>Nama PWP single buyer; spot market from 2022 is small</t>
        </is>
      </c>
      <c r="E132" s="9" t="n">
        <v>1</v>
      </c>
      <c r="F132" s="9" t="n">
        <v>1</v>
      </c>
      <c r="G132" s="9" t="n">
        <v>1</v>
      </c>
      <c r="H132" s="9" t="n">
        <v>0</v>
      </c>
      <c r="I132" s="9" t="n">
        <v>0.9468</v>
      </c>
      <c r="J132" s="9" t="n">
        <v>0.6889999999999999</v>
      </c>
      <c r="K132" s="9" t="n">
        <v>3.626</v>
      </c>
      <c r="L132" s="9" t="n">
        <v>0</v>
      </c>
      <c r="M132" s="9" t="n">
        <v>0</v>
      </c>
      <c r="N132" s="9" t="n">
        <v>0</v>
      </c>
      <c r="O132" s="9" t="n"/>
      <c r="P132" s="9" t="n"/>
      <c r="Q132" s="9" t="n">
        <v>0</v>
      </c>
      <c r="R132" s="9" t="n">
        <v>0</v>
      </c>
      <c r="S132" s="9" t="n">
        <v>35.352</v>
      </c>
      <c r="T132" s="9" t="n">
        <v>0</v>
      </c>
    </row>
    <row r="133">
      <c r="A133" s="9" t="inlineStr">
        <is>
          <t>PAK</t>
        </is>
      </c>
      <c r="B133" s="9" t="n">
        <v>2</v>
      </c>
      <c r="C133" s="9" t="inlineStr">
        <is>
          <t>PSRT 2013, curated update</t>
        </is>
      </c>
      <c r="D133" s="9" t="inlineStr">
        <is>
          <t>CPPA-G single buyer; competitive market (CTBCM) only starting</t>
        </is>
      </c>
      <c r="E133" s="9" t="n">
        <v>1</v>
      </c>
      <c r="F133" s="9" t="n">
        <v>1</v>
      </c>
      <c r="G133" s="9" t="n">
        <v>1</v>
      </c>
      <c r="H133" s="9" t="n">
        <v>0</v>
      </c>
      <c r="I133" s="9" t="n">
        <v>0.8202</v>
      </c>
      <c r="J133" s="9" t="n">
        <v>0.6258</v>
      </c>
      <c r="K133" s="9" t="n">
        <v>1.029</v>
      </c>
      <c r="L133" s="9" t="n">
        <v>1.8524</v>
      </c>
      <c r="M133" s="9" t="n">
        <v>0.4976</v>
      </c>
      <c r="N133" s="9" t="n">
        <v>33</v>
      </c>
      <c r="O133" s="9" t="n">
        <v>0.17</v>
      </c>
      <c r="P133" s="9" t="n">
        <v>0</v>
      </c>
      <c r="Q133" s="9" t="n">
        <v>1</v>
      </c>
      <c r="R133" s="9" t="n">
        <v>1</v>
      </c>
      <c r="S133" s="9" t="n">
        <v>23.032</v>
      </c>
      <c r="T133" s="9" t="n">
        <v>0</v>
      </c>
    </row>
    <row r="134">
      <c r="A134" s="9" t="inlineStr">
        <is>
          <t>PAN</t>
        </is>
      </c>
      <c r="B134" s="9" t="n">
        <v>3</v>
      </c>
      <c r="C134" s="9" t="inlineStr">
        <is>
          <t>PSRT 2013</t>
        </is>
      </c>
      <c r="D134" s="9" t="n"/>
      <c r="E134" s="9" t="n">
        <v>1</v>
      </c>
      <c r="F134" s="9" t="n">
        <v>1</v>
      </c>
      <c r="G134" s="9" t="n">
        <v>1</v>
      </c>
      <c r="H134" s="9" t="n">
        <v>0</v>
      </c>
      <c r="I134" s="9" t="n">
        <v>1.4052</v>
      </c>
      <c r="J134" s="9" t="n">
        <v>0</v>
      </c>
      <c r="K134" s="9" t="n">
        <v>0.068</v>
      </c>
      <c r="L134" s="9" t="n">
        <v>0</v>
      </c>
      <c r="M134" s="9" t="n">
        <v>0</v>
      </c>
      <c r="N134" s="9" t="n">
        <v>0</v>
      </c>
      <c r="O134" s="9" t="n"/>
      <c r="P134" s="9" t="n"/>
      <c r="Q134" s="9" t="n">
        <v>0</v>
      </c>
      <c r="R134" s="9" t="n">
        <v>0</v>
      </c>
      <c r="S134" s="9" t="n">
        <v>29.315</v>
      </c>
      <c r="T134" s="9" t="n">
        <v>0</v>
      </c>
    </row>
    <row r="135">
      <c r="A135" s="9" t="inlineStr">
        <is>
          <t>PER</t>
        </is>
      </c>
      <c r="B135" s="9" t="n">
        <v>3</v>
      </c>
      <c r="C135" s="9" t="inlineStr">
        <is>
          <t>PSRT 2013</t>
        </is>
      </c>
      <c r="D135" s="9" t="n"/>
      <c r="E135" s="9" t="n">
        <v>1</v>
      </c>
      <c r="F135" s="9" t="n">
        <v>1</v>
      </c>
      <c r="G135" s="9" t="n">
        <v>1</v>
      </c>
      <c r="H135" s="9" t="n">
        <v>1</v>
      </c>
      <c r="I135" s="9" t="n">
        <v>1.2299</v>
      </c>
      <c r="J135" s="9" t="n">
        <v>0</v>
      </c>
      <c r="K135" s="9" t="n">
        <v>0</v>
      </c>
      <c r="L135" s="9" t="n">
        <v>0.7758</v>
      </c>
      <c r="M135" s="9" t="n">
        <v>0.2628</v>
      </c>
      <c r="N135" s="9" t="n">
        <v>32</v>
      </c>
      <c r="O135" s="9" t="n">
        <v>0.4821</v>
      </c>
      <c r="P135" s="9" t="n">
        <v>0</v>
      </c>
      <c r="Q135" s="9" t="n">
        <v>1</v>
      </c>
      <c r="R135" s="9" t="n">
        <v>1</v>
      </c>
      <c r="S135" s="9" t="n">
        <v>26.09</v>
      </c>
      <c r="T135" s="9" t="n">
        <v>0</v>
      </c>
    </row>
    <row r="136">
      <c r="A136" s="9" t="inlineStr">
        <is>
          <t>PHL</t>
        </is>
      </c>
      <c r="B136" s="9" t="n">
        <v>3</v>
      </c>
      <c r="C136" s="9" t="inlineStr">
        <is>
          <t>PSRT 2013</t>
        </is>
      </c>
      <c r="D136" s="9" t="n"/>
      <c r="E136" s="9" t="n">
        <v>1</v>
      </c>
      <c r="F136" s="9" t="n">
        <v>1</v>
      </c>
      <c r="G136" s="9" t="n">
        <v>1</v>
      </c>
      <c r="H136" s="9" t="n">
        <v>0</v>
      </c>
      <c r="I136" s="9" t="n">
        <v>0.9517</v>
      </c>
      <c r="J136" s="9" t="n">
        <v>0.146</v>
      </c>
      <c r="K136" s="9" t="n">
        <v>0.146</v>
      </c>
      <c r="L136" s="9" t="n">
        <v>1.9007</v>
      </c>
      <c r="M136" s="9" t="n">
        <v>0.4117</v>
      </c>
      <c r="N136" s="9" t="n">
        <v>49</v>
      </c>
      <c r="O136" s="9" t="n">
        <v>0.3828</v>
      </c>
      <c r="P136" s="9" t="n">
        <v>0.0563</v>
      </c>
      <c r="Q136" s="9" t="n">
        <v>1</v>
      </c>
      <c r="R136" s="9" t="n">
        <v>1</v>
      </c>
      <c r="S136" s="9" t="n">
        <v>39.341</v>
      </c>
      <c r="T136" s="9" t="n">
        <v>0</v>
      </c>
    </row>
    <row r="137">
      <c r="A137" s="9" t="inlineStr">
        <is>
          <t>PLW</t>
        </is>
      </c>
      <c r="B137" s="9" t="n">
        <v>1</v>
      </c>
      <c r="C137" s="9" t="inlineStr">
        <is>
          <t>Curated (not in PSRT)</t>
        </is>
      </c>
      <c r="D137" s="9" t="inlineStr">
        <is>
          <t>State VIU (PPUC)</t>
        </is>
      </c>
      <c r="E137" s="9" t="n">
        <v>0</v>
      </c>
      <c r="F137" s="9" t="n">
        <v>0</v>
      </c>
      <c r="G137" s="9" t="n">
        <v>0</v>
      </c>
      <c r="H137" s="9" t="n"/>
      <c r="I137" s="9" t="n">
        <v>1</v>
      </c>
      <c r="J137" s="9" t="n">
        <v>0</v>
      </c>
      <c r="K137" s="9" t="n">
        <v>0</v>
      </c>
      <c r="L137" s="9" t="n">
        <v>0.0023</v>
      </c>
      <c r="M137" s="9" t="n">
        <v>0.7114</v>
      </c>
      <c r="N137" s="9" t="n">
        <v>1</v>
      </c>
      <c r="O137" s="9" t="n">
        <v>1</v>
      </c>
      <c r="P137" s="9" t="n">
        <v>0</v>
      </c>
      <c r="Q137" s="9" t="n">
        <v>0</v>
      </c>
      <c r="R137" s="9" t="n">
        <v>0</v>
      </c>
      <c r="S137" s="9" t="n"/>
      <c r="T137" s="9" t="n"/>
    </row>
    <row r="138">
      <c r="A138" s="9" t="inlineStr">
        <is>
          <t>PNG</t>
        </is>
      </c>
      <c r="B138" s="9" t="n">
        <v>2</v>
      </c>
      <c r="C138" s="9" t="inlineStr">
        <is>
          <t>PSRT 2013</t>
        </is>
      </c>
      <c r="D138" s="9" t="n"/>
      <c r="E138" s="9" t="n">
        <v>1</v>
      </c>
      <c r="F138" s="9" t="n">
        <v>0</v>
      </c>
      <c r="G138" s="9" t="n">
        <v>0</v>
      </c>
      <c r="H138" s="9" t="n">
        <v>0</v>
      </c>
      <c r="I138" s="9" t="n">
        <v>1.0622</v>
      </c>
      <c r="J138" s="9" t="n">
        <v>0</v>
      </c>
      <c r="K138" s="9" t="n">
        <v>0</v>
      </c>
      <c r="L138" s="9" t="n">
        <v>0.0001</v>
      </c>
      <c r="M138" s="9" t="n">
        <v>0.0004</v>
      </c>
      <c r="N138" s="9" t="n">
        <v>1</v>
      </c>
      <c r="O138" s="9" t="n">
        <v>1</v>
      </c>
      <c r="P138" s="9" t="n">
        <v>0</v>
      </c>
      <c r="Q138" s="9" t="n">
        <v>0</v>
      </c>
      <c r="R138" s="9" t="n">
        <v>0</v>
      </c>
      <c r="S138" s="9" t="n">
        <v>24.587</v>
      </c>
      <c r="T138" s="9" t="n">
        <v>0</v>
      </c>
    </row>
    <row r="139">
      <c r="A139" s="9" t="inlineStr">
        <is>
          <t>POL</t>
        </is>
      </c>
      <c r="B139" s="9" t="n">
        <v>3</v>
      </c>
      <c r="C139" s="9" t="inlineStr">
        <is>
          <t>Curated (not in PSRT)</t>
        </is>
      </c>
      <c r="D139" s="9" t="inlineStr">
        <is>
          <t>EU internal market; utilities majority state</t>
        </is>
      </c>
      <c r="E139" s="9" t="n">
        <v>1</v>
      </c>
      <c r="F139" s="9" t="n">
        <v>1</v>
      </c>
      <c r="G139" s="9" t="n">
        <v>0</v>
      </c>
      <c r="H139" s="9" t="n"/>
      <c r="I139" s="9" t="n"/>
      <c r="J139" s="9" t="n">
        <v>3.6045</v>
      </c>
      <c r="K139" s="9" t="n">
        <v>3.985</v>
      </c>
      <c r="L139" s="9" t="n">
        <v>0</v>
      </c>
      <c r="M139" s="9" t="n">
        <v>0</v>
      </c>
      <c r="N139" s="9" t="n">
        <v>0</v>
      </c>
      <c r="O139" s="9" t="n"/>
      <c r="P139" s="9" t="n"/>
      <c r="Q139" s="9" t="n">
        <v>0</v>
      </c>
      <c r="R139" s="9" t="n">
        <v>0</v>
      </c>
      <c r="S139" s="9" t="n">
        <v>62.886</v>
      </c>
      <c r="T139" s="9" t="n">
        <v>40</v>
      </c>
    </row>
    <row r="140">
      <c r="A140" s="9" t="inlineStr">
        <is>
          <t>PRI</t>
        </is>
      </c>
      <c r="B140" s="9" t="n">
        <v>1</v>
      </c>
      <c r="C140" s="9" t="inlineStr">
        <is>
          <t>PPI rule (no PSRT)</t>
        </is>
      </c>
      <c r="D140" s="9" t="inlineStr">
        <is>
          <t>0 private generation projects 2014-2024 (PPI)</t>
        </is>
      </c>
      <c r="E140" s="9" t="n"/>
      <c r="F140" s="9" t="n"/>
      <c r="G140" s="9" t="n"/>
      <c r="H140" s="9" t="n"/>
      <c r="I140" s="9" t="n"/>
      <c r="J140" s="9" t="n">
        <v>0</v>
      </c>
      <c r="K140" s="9" t="n">
        <v>0</v>
      </c>
      <c r="L140" s="9" t="n">
        <v>0</v>
      </c>
      <c r="M140" s="9" t="n">
        <v>0</v>
      </c>
      <c r="N140" s="9" t="n">
        <v>0</v>
      </c>
      <c r="O140" s="9" t="n"/>
      <c r="P140" s="9" t="n"/>
      <c r="Q140" s="9" t="n">
        <v>0</v>
      </c>
      <c r="R140" s="9" t="n">
        <v>0</v>
      </c>
      <c r="S140" s="9" t="n"/>
      <c r="T140" s="9" t="n"/>
    </row>
    <row r="141">
      <c r="A141" s="9" t="inlineStr">
        <is>
          <t>PRT</t>
        </is>
      </c>
      <c r="B141" s="9" t="n">
        <v>3</v>
      </c>
      <c r="C141" s="9" t="inlineStr">
        <is>
          <t>Curated (not in PSRT)</t>
        </is>
      </c>
      <c r="D141" s="9" t="inlineStr">
        <is>
          <t>EU internal market (MIBEL)</t>
        </is>
      </c>
      <c r="E141" s="9" t="n">
        <v>1</v>
      </c>
      <c r="F141" s="9" t="n">
        <v>1</v>
      </c>
      <c r="G141" s="9" t="n">
        <v>1</v>
      </c>
      <c r="H141" s="9" t="n"/>
      <c r="I141" s="9" t="n">
        <v>1.1901</v>
      </c>
      <c r="J141" s="9" t="n">
        <v>0</v>
      </c>
      <c r="K141" s="9" t="n">
        <v>0</v>
      </c>
      <c r="L141" s="9" t="n">
        <v>0</v>
      </c>
      <c r="M141" s="9" t="n">
        <v>0</v>
      </c>
      <c r="N141" s="9" t="n">
        <v>0</v>
      </c>
      <c r="O141" s="9" t="n"/>
      <c r="P141" s="9" t="n"/>
      <c r="Q141" s="9" t="n">
        <v>0</v>
      </c>
      <c r="R141" s="9" t="n">
        <v>0</v>
      </c>
      <c r="S141" s="9" t="n">
        <v>79.333</v>
      </c>
      <c r="T141" s="9" t="n">
        <v>60</v>
      </c>
    </row>
    <row r="142">
      <c r="A142" s="9" t="inlineStr">
        <is>
          <t>PRY</t>
        </is>
      </c>
      <c r="B142" s="9" t="n">
        <v>1</v>
      </c>
      <c r="C142" s="9" t="inlineStr">
        <is>
          <t>PSRT 2013</t>
        </is>
      </c>
      <c r="D142" s="9" t="n"/>
      <c r="E142" s="9" t="n">
        <v>0</v>
      </c>
      <c r="F142" s="9" t="n">
        <v>0</v>
      </c>
      <c r="G142" s="9" t="n">
        <v>0</v>
      </c>
      <c r="H142" s="9" t="n">
        <v>0</v>
      </c>
      <c r="I142" s="9" t="n">
        <v>0.2633</v>
      </c>
      <c r="J142" s="9" t="n">
        <v>0.7492</v>
      </c>
      <c r="K142" s="9" t="n">
        <v>0.991</v>
      </c>
      <c r="L142" s="9" t="n">
        <v>0</v>
      </c>
      <c r="M142" s="9" t="n">
        <v>0</v>
      </c>
      <c r="N142" s="9" t="n">
        <v>0</v>
      </c>
      <c r="O142" s="9" t="n"/>
      <c r="P142" s="9" t="n"/>
      <c r="Q142" s="9" t="n">
        <v>0</v>
      </c>
      <c r="R142" s="9" t="n">
        <v>0</v>
      </c>
      <c r="S142" s="9" t="n">
        <v>30.831</v>
      </c>
      <c r="T142" s="9" t="n">
        <v>0</v>
      </c>
    </row>
    <row r="143">
      <c r="A143" s="9" t="inlineStr">
        <is>
          <t>QAT</t>
        </is>
      </c>
      <c r="B143" s="9" t="n">
        <v>2</v>
      </c>
      <c r="C143" s="9" t="inlineStr">
        <is>
          <t>PSRT 2013, curated update</t>
        </is>
      </c>
      <c r="D143" s="9" t="inlineStr">
        <is>
          <t>PSRT codes a market; Kahramaa single buyer from IWPPs</t>
        </is>
      </c>
      <c r="E143" s="9" t="n">
        <v>0</v>
      </c>
      <c r="F143" s="9" t="n">
        <v>0</v>
      </c>
      <c r="G143" s="9" t="n">
        <v>0</v>
      </c>
      <c r="H143" s="9" t="n">
        <v>0</v>
      </c>
      <c r="I143" s="9" t="n">
        <v>0.4967</v>
      </c>
      <c r="J143" s="9" t="n">
        <v>0.8078</v>
      </c>
      <c r="K143" s="9" t="n">
        <v>1.724</v>
      </c>
      <c r="L143" s="9" t="n">
        <v>0</v>
      </c>
      <c r="M143" s="9" t="n">
        <v>0</v>
      </c>
      <c r="N143" s="9" t="n">
        <v>0</v>
      </c>
      <c r="O143" s="9" t="n"/>
      <c r="P143" s="9" t="n"/>
      <c r="Q143" s="9" t="n">
        <v>0</v>
      </c>
      <c r="R143" s="9" t="n">
        <v>0</v>
      </c>
      <c r="S143" s="9" t="n">
        <v>24.32</v>
      </c>
      <c r="T143" s="9" t="n">
        <v>0</v>
      </c>
    </row>
    <row r="144">
      <c r="A144" s="9" t="inlineStr">
        <is>
          <t>ROU</t>
        </is>
      </c>
      <c r="B144" s="9" t="n">
        <v>3</v>
      </c>
      <c r="C144" s="9" t="inlineStr">
        <is>
          <t>PSRT 2013</t>
        </is>
      </c>
      <c r="D144" s="9" t="n"/>
      <c r="E144" s="9" t="n">
        <v>1</v>
      </c>
      <c r="F144" s="9" t="n">
        <v>1</v>
      </c>
      <c r="G144" s="9" t="n">
        <v>1</v>
      </c>
      <c r="H144" s="9" t="n">
        <v>1</v>
      </c>
      <c r="I144" s="9" t="n">
        <v>1.1376</v>
      </c>
      <c r="J144" s="9" t="n">
        <v>0.0098</v>
      </c>
      <c r="K144" s="9" t="n">
        <v>0.368</v>
      </c>
      <c r="L144" s="9" t="n">
        <v>0</v>
      </c>
      <c r="M144" s="9" t="n">
        <v>0</v>
      </c>
      <c r="N144" s="9" t="n">
        <v>0</v>
      </c>
      <c r="O144" s="9" t="n"/>
      <c r="P144" s="9" t="n"/>
      <c r="Q144" s="9" t="n">
        <v>0</v>
      </c>
      <c r="R144" s="9" t="n">
        <v>0</v>
      </c>
      <c r="S144" s="9" t="n">
        <v>65.77800000000001</v>
      </c>
      <c r="T144" s="9" t="n">
        <v>20</v>
      </c>
    </row>
    <row r="145">
      <c r="A145" s="9" t="inlineStr">
        <is>
          <t>RUS</t>
        </is>
      </c>
      <c r="B145" s="9" t="n">
        <v>3</v>
      </c>
      <c r="C145" s="9" t="inlineStr">
        <is>
          <t>PSRT 2013</t>
        </is>
      </c>
      <c r="D145" s="9" t="n"/>
      <c r="E145" s="9" t="n">
        <v>1</v>
      </c>
      <c r="F145" s="9" t="n">
        <v>1</v>
      </c>
      <c r="G145" s="9" t="n">
        <v>1</v>
      </c>
      <c r="H145" s="9" t="n">
        <v>0</v>
      </c>
      <c r="I145" s="9" t="n">
        <v>0.4543</v>
      </c>
      <c r="J145" s="9" t="n">
        <v>1.243</v>
      </c>
      <c r="K145" s="9" t="n">
        <v>3.712</v>
      </c>
      <c r="L145" s="9" t="n">
        <v>0.2881</v>
      </c>
      <c r="M145" s="9" t="n">
        <v>0.0132</v>
      </c>
      <c r="N145" s="9" t="n">
        <v>30</v>
      </c>
      <c r="O145" s="9" t="n">
        <v>0.801</v>
      </c>
      <c r="P145" s="9" t="n">
        <v>0.2753</v>
      </c>
      <c r="Q145" s="9" t="n">
        <v>1</v>
      </c>
      <c r="R145" s="9" t="n">
        <v>1</v>
      </c>
      <c r="S145" s="9" t="n">
        <v>29.593</v>
      </c>
      <c r="T145" s="9" t="n">
        <v>0</v>
      </c>
    </row>
    <row r="146">
      <c r="A146" s="9" t="inlineStr">
        <is>
          <t>RWA</t>
        </is>
      </c>
      <c r="B146" s="9" t="n">
        <v>2</v>
      </c>
      <c r="C146" s="9" t="inlineStr">
        <is>
          <t>PSRT 2013, PPI update</t>
        </is>
      </c>
      <c r="D146" s="9" t="inlineStr">
        <is>
          <t>7 private generation projects 2014-2024 (PPI)</t>
        </is>
      </c>
      <c r="E146" s="9" t="n">
        <v>1</v>
      </c>
      <c r="F146" s="9" t="n">
        <v>0</v>
      </c>
      <c r="G146" s="9" t="n">
        <v>0</v>
      </c>
      <c r="H146" s="9" t="n">
        <v>0</v>
      </c>
      <c r="I146" s="9" t="n">
        <v>1.0135</v>
      </c>
      <c r="J146" s="9" t="n">
        <v>0</v>
      </c>
      <c r="K146" s="9" t="n">
        <v>0.1</v>
      </c>
      <c r="L146" s="9" t="n">
        <v>0.0471</v>
      </c>
      <c r="M146" s="9" t="n">
        <v>0.3117</v>
      </c>
      <c r="N146" s="9" t="n">
        <v>5</v>
      </c>
      <c r="O146" s="9" t="n">
        <v>0.0292</v>
      </c>
      <c r="P146" s="9" t="n">
        <v>0</v>
      </c>
      <c r="Q146" s="9" t="n">
        <v>0</v>
      </c>
      <c r="R146" s="9" t="n">
        <v>0</v>
      </c>
      <c r="S146" s="9" t="n">
        <v>47.063</v>
      </c>
      <c r="T146" s="9" t="n">
        <v>0</v>
      </c>
    </row>
    <row r="147">
      <c r="A147" s="9" t="inlineStr">
        <is>
          <t>SAU</t>
        </is>
      </c>
      <c r="B147" s="9" t="n">
        <v>2</v>
      </c>
      <c r="C147" s="9" t="inlineStr">
        <is>
          <t>PSRT 2013</t>
        </is>
      </c>
      <c r="D147" s="9" t="n"/>
      <c r="E147" s="9" t="n">
        <v>1</v>
      </c>
      <c r="F147" s="9" t="n">
        <v>1</v>
      </c>
      <c r="G147" s="9" t="n">
        <v>0</v>
      </c>
      <c r="H147" s="9" t="n">
        <v>0</v>
      </c>
      <c r="I147" s="9" t="n">
        <v>0.5456</v>
      </c>
      <c r="J147" s="9" t="n">
        <v>1.0857</v>
      </c>
      <c r="K147" s="9" t="n">
        <v>4.58</v>
      </c>
      <c r="L147" s="9" t="n">
        <v>0</v>
      </c>
      <c r="M147" s="9" t="n">
        <v>0</v>
      </c>
      <c r="N147" s="9" t="n">
        <v>0</v>
      </c>
      <c r="O147" s="9" t="n"/>
      <c r="P147" s="9" t="n"/>
      <c r="Q147" s="9" t="n">
        <v>0</v>
      </c>
      <c r="R147" s="9" t="n">
        <v>0</v>
      </c>
      <c r="S147" s="9" t="n">
        <v>23.167</v>
      </c>
      <c r="T147" s="9" t="n">
        <v>0</v>
      </c>
    </row>
    <row r="148">
      <c r="A148" s="9" t="inlineStr">
        <is>
          <t>SDN</t>
        </is>
      </c>
      <c r="B148" s="9" t="n">
        <v>1</v>
      </c>
      <c r="C148" s="9" t="inlineStr">
        <is>
          <t>PSRT 2013</t>
        </is>
      </c>
      <c r="D148" s="9" t="n"/>
      <c r="E148" s="9" t="n">
        <v>1</v>
      </c>
      <c r="F148" s="9" t="n">
        <v>1</v>
      </c>
      <c r="G148" s="9" t="n">
        <v>0</v>
      </c>
      <c r="H148" s="9" t="n">
        <v>0</v>
      </c>
      <c r="I148" s="9" t="n">
        <v>1</v>
      </c>
      <c r="J148" s="9" t="n">
        <v>0</v>
      </c>
      <c r="K148" s="9" t="n">
        <v>0</v>
      </c>
      <c r="L148" s="9" t="n">
        <v>0</v>
      </c>
      <c r="M148" s="9" t="n">
        <v>0</v>
      </c>
      <c r="N148" s="9" t="n">
        <v>0</v>
      </c>
      <c r="O148" s="9" t="n"/>
      <c r="P148" s="9" t="n"/>
      <c r="Q148" s="9" t="n">
        <v>0</v>
      </c>
      <c r="R148" s="9" t="n">
        <v>0</v>
      </c>
      <c r="S148" s="9" t="n">
        <v>10.913</v>
      </c>
      <c r="T148" s="9" t="n">
        <v>0</v>
      </c>
    </row>
    <row r="149">
      <c r="A149" s="9" t="inlineStr">
        <is>
          <t>SEN</t>
        </is>
      </c>
      <c r="B149" s="9" t="n">
        <v>2</v>
      </c>
      <c r="C149" s="9" t="inlineStr">
        <is>
          <t>PSRT 2013</t>
        </is>
      </c>
      <c r="D149" s="9" t="n"/>
      <c r="E149" s="9" t="n">
        <v>1</v>
      </c>
      <c r="F149" s="9" t="n">
        <v>0</v>
      </c>
      <c r="G149" s="9" t="n">
        <v>0</v>
      </c>
      <c r="H149" s="9" t="n">
        <v>0</v>
      </c>
      <c r="I149" s="9" t="n">
        <v>1.1667</v>
      </c>
      <c r="J149" s="9" t="n">
        <v>0</v>
      </c>
      <c r="K149" s="9" t="n">
        <v>0.044</v>
      </c>
      <c r="L149" s="9" t="n">
        <v>0.1904</v>
      </c>
      <c r="M149" s="9" t="n">
        <v>0.5800999999999999</v>
      </c>
      <c r="N149" s="9" t="n">
        <v>15</v>
      </c>
      <c r="O149" s="9" t="n">
        <v>0.5306999999999999</v>
      </c>
      <c r="P149" s="9" t="n">
        <v>0.0308</v>
      </c>
      <c r="Q149" s="9" t="n">
        <v>1</v>
      </c>
      <c r="R149" s="9" t="n">
        <v>0</v>
      </c>
      <c r="S149" s="9" t="n">
        <v>27.63</v>
      </c>
      <c r="T149" s="9" t="n">
        <v>0</v>
      </c>
    </row>
    <row r="150">
      <c r="A150" s="9" t="inlineStr">
        <is>
          <t>SGP</t>
        </is>
      </c>
      <c r="B150" s="9" t="n">
        <v>3</v>
      </c>
      <c r="C150" s="9" t="inlineStr">
        <is>
          <t>PSRT 2013</t>
        </is>
      </c>
      <c r="D150" s="9" t="n"/>
      <c r="E150" s="9" t="n">
        <v>1</v>
      </c>
      <c r="F150" s="9" t="n">
        <v>1</v>
      </c>
      <c r="G150" s="9" t="n">
        <v>1</v>
      </c>
      <c r="H150" s="9" t="n">
        <v>0</v>
      </c>
      <c r="I150" s="9" t="n">
        <v>1.0009</v>
      </c>
      <c r="J150" s="9" t="n">
        <v>0</v>
      </c>
      <c r="K150" s="9" t="n">
        <v>0.005</v>
      </c>
      <c r="L150" s="9" t="n">
        <v>0</v>
      </c>
      <c r="M150" s="9" t="n">
        <v>0</v>
      </c>
      <c r="N150" s="9" t="n">
        <v>0</v>
      </c>
      <c r="O150" s="9" t="n"/>
      <c r="P150" s="9" t="n"/>
      <c r="Q150" s="9" t="n">
        <v>0</v>
      </c>
      <c r="R150" s="9" t="n">
        <v>0</v>
      </c>
      <c r="S150" s="9" t="n">
        <v>45.048</v>
      </c>
      <c r="T150" s="9" t="n">
        <v>40</v>
      </c>
    </row>
    <row r="151">
      <c r="A151" s="9" t="inlineStr">
        <is>
          <t>SLB</t>
        </is>
      </c>
      <c r="B151" s="9" t="n">
        <v>1</v>
      </c>
      <c r="C151" s="9" t="inlineStr">
        <is>
          <t>Curated (not in PSRT)</t>
        </is>
      </c>
      <c r="D151" s="9" t="inlineStr">
        <is>
          <t>State VIU (Solomon Power)</t>
        </is>
      </c>
      <c r="E151" s="9" t="n">
        <v>0</v>
      </c>
      <c r="F151" s="9" t="n">
        <v>0</v>
      </c>
      <c r="G151" s="9" t="n">
        <v>0</v>
      </c>
      <c r="H151" s="9" t="n"/>
      <c r="I151" s="9" t="n">
        <v>1</v>
      </c>
      <c r="J151" s="9" t="n">
        <v>0</v>
      </c>
      <c r="K151" s="9" t="n">
        <v>0</v>
      </c>
      <c r="L151" s="9" t="n">
        <v>0.0278</v>
      </c>
      <c r="M151" s="9" t="n">
        <v>1.7559</v>
      </c>
      <c r="N151" s="9" t="n">
        <v>1</v>
      </c>
      <c r="O151" s="9" t="n">
        <v>0</v>
      </c>
      <c r="P151" s="9" t="n">
        <v>0</v>
      </c>
      <c r="Q151" s="9" t="n">
        <v>0</v>
      </c>
      <c r="R151" s="9" t="n">
        <v>0</v>
      </c>
      <c r="S151" s="9" t="n">
        <v>11.984</v>
      </c>
      <c r="T151" s="9" t="n">
        <v>0</v>
      </c>
    </row>
    <row r="152">
      <c r="A152" s="9" t="inlineStr">
        <is>
          <t>SLE</t>
        </is>
      </c>
      <c r="B152" s="9" t="n">
        <v>2</v>
      </c>
      <c r="C152" s="9" t="inlineStr">
        <is>
          <t>PSRT 2013</t>
        </is>
      </c>
      <c r="D152" s="9" t="n"/>
      <c r="E152" s="9" t="n">
        <v>1</v>
      </c>
      <c r="F152" s="9" t="n">
        <v>0</v>
      </c>
      <c r="G152" s="9" t="n">
        <v>0</v>
      </c>
      <c r="H152" s="9" t="n">
        <v>0</v>
      </c>
      <c r="I152" s="9" t="n">
        <v>1.1658</v>
      </c>
      <c r="J152" s="9" t="n">
        <v>0.09520000000000001</v>
      </c>
      <c r="K152" s="9" t="n">
        <v>0.095</v>
      </c>
      <c r="L152" s="9" t="n">
        <v>0.0418</v>
      </c>
      <c r="M152" s="9" t="n">
        <v>0.6</v>
      </c>
      <c r="N152" s="9" t="n">
        <v>2</v>
      </c>
      <c r="O152" s="9" t="n">
        <v>0.0029</v>
      </c>
      <c r="P152" s="9" t="n">
        <v>0</v>
      </c>
      <c r="Q152" s="9" t="n">
        <v>0</v>
      </c>
      <c r="R152" s="9" t="n">
        <v>0</v>
      </c>
      <c r="S152" s="9" t="n">
        <v>13.593</v>
      </c>
      <c r="T152" s="9" t="n">
        <v>0</v>
      </c>
    </row>
    <row r="153">
      <c r="A153" s="9" t="inlineStr">
        <is>
          <t>SLV</t>
        </is>
      </c>
      <c r="B153" s="9" t="n">
        <v>3</v>
      </c>
      <c r="C153" s="9" t="inlineStr">
        <is>
          <t>PSRT 2013</t>
        </is>
      </c>
      <c r="D153" s="9" t="n"/>
      <c r="E153" s="9" t="n">
        <v>1</v>
      </c>
      <c r="F153" s="9" t="n">
        <v>1</v>
      </c>
      <c r="G153" s="9" t="n">
        <v>1</v>
      </c>
      <c r="H153" s="9" t="n">
        <v>1</v>
      </c>
      <c r="I153" s="9" t="n">
        <v>0.9933</v>
      </c>
      <c r="J153" s="9" t="n">
        <v>0.0709</v>
      </c>
      <c r="K153" s="9" t="n">
        <v>0.721</v>
      </c>
      <c r="L153" s="9" t="n">
        <v>0.1655</v>
      </c>
      <c r="M153" s="9" t="n">
        <v>0.4679</v>
      </c>
      <c r="N153" s="9" t="n">
        <v>10</v>
      </c>
      <c r="O153" s="9" t="n">
        <v>0.3683</v>
      </c>
      <c r="P153" s="9" t="n">
        <v>0</v>
      </c>
      <c r="Q153" s="9" t="n">
        <v>1</v>
      </c>
      <c r="R153" s="9" t="n">
        <v>0</v>
      </c>
      <c r="S153" s="9" t="n">
        <v>27.392</v>
      </c>
      <c r="T153" s="9" t="n">
        <v>20</v>
      </c>
    </row>
    <row r="154">
      <c r="A154" s="9" t="inlineStr">
        <is>
          <t>SOM</t>
        </is>
      </c>
      <c r="B154" s="9" t="n">
        <v>1</v>
      </c>
      <c r="C154" s="9" t="inlineStr">
        <is>
          <t>Curated (not in PSRT)</t>
        </is>
      </c>
      <c r="D154" s="9" t="inlineStr">
        <is>
          <t>No national grid; private local VIUs</t>
        </is>
      </c>
      <c r="E154" s="9" t="n">
        <v>0</v>
      </c>
      <c r="F154" s="9" t="n">
        <v>0</v>
      </c>
      <c r="G154" s="9" t="n">
        <v>1</v>
      </c>
      <c r="H154" s="9" t="n"/>
      <c r="I154" s="9" t="n">
        <v>0.2819</v>
      </c>
      <c r="J154" s="9" t="n">
        <v>0.7088</v>
      </c>
      <c r="K154" s="9" t="n">
        <v>0.844</v>
      </c>
      <c r="L154" s="9" t="n">
        <v>0.0005999999999999999</v>
      </c>
      <c r="M154" s="9" t="n">
        <v>0.0047</v>
      </c>
      <c r="N154" s="9" t="n">
        <v>1</v>
      </c>
      <c r="O154" s="9" t="n">
        <v>1</v>
      </c>
      <c r="P154" s="9" t="n">
        <v>0</v>
      </c>
      <c r="Q154" s="9" t="n">
        <v>0</v>
      </c>
      <c r="R154" s="9" t="n">
        <v>0</v>
      </c>
      <c r="S154" s="9" t="n">
        <v>3.833</v>
      </c>
      <c r="T154" s="9" t="n">
        <v>0</v>
      </c>
    </row>
    <row r="155">
      <c r="A155" s="9" t="inlineStr">
        <is>
          <t>SRB</t>
        </is>
      </c>
      <c r="B155" s="9" t="n">
        <v>2</v>
      </c>
      <c r="C155" s="9" t="inlineStr">
        <is>
          <t>PSRT 2013, PPI update</t>
        </is>
      </c>
      <c r="D155" s="9" t="inlineStr">
        <is>
          <t>11 private generation projects 2014-2024 (PPI)</t>
        </is>
      </c>
      <c r="E155" s="9" t="n">
        <v>1</v>
      </c>
      <c r="F155" s="9" t="n">
        <v>0</v>
      </c>
      <c r="G155" s="9" t="n">
        <v>0</v>
      </c>
      <c r="H155" s="9" t="n">
        <v>0</v>
      </c>
      <c r="I155" s="9" t="n">
        <v>1.1695</v>
      </c>
      <c r="J155" s="9" t="n">
        <v>0</v>
      </c>
      <c r="K155" s="9" t="n">
        <v>0.288</v>
      </c>
      <c r="L155" s="9" t="n">
        <v>0.161</v>
      </c>
      <c r="M155" s="9" t="n">
        <v>0.1787</v>
      </c>
      <c r="N155" s="9" t="n">
        <v>9</v>
      </c>
      <c r="O155" s="9" t="n">
        <v>1</v>
      </c>
      <c r="P155" s="9" t="n">
        <v>0</v>
      </c>
      <c r="Q155" s="9" t="n">
        <v>0</v>
      </c>
      <c r="R155" s="9" t="n">
        <v>0</v>
      </c>
      <c r="S155" s="9" t="n">
        <v>50.712</v>
      </c>
      <c r="T155" s="9" t="n">
        <v>20</v>
      </c>
    </row>
    <row r="156">
      <c r="A156" s="9" t="inlineStr">
        <is>
          <t>STP</t>
        </is>
      </c>
      <c r="B156" s="9" t="n">
        <v>1</v>
      </c>
      <c r="C156" s="9" t="inlineStr">
        <is>
          <t>Curated (not in PSRT)</t>
        </is>
      </c>
      <c r="D156" s="9" t="inlineStr">
        <is>
          <t>State VIU (EMAE)</t>
        </is>
      </c>
      <c r="E156" s="9" t="n">
        <v>0</v>
      </c>
      <c r="F156" s="9" t="n">
        <v>0</v>
      </c>
      <c r="G156" s="9" t="n">
        <v>0</v>
      </c>
      <c r="H156" s="9" t="n"/>
      <c r="I156" s="9" t="n">
        <v>0.4478</v>
      </c>
      <c r="J156" s="9" t="n">
        <v>1.0979</v>
      </c>
      <c r="K156" s="9" t="n">
        <v>1.098</v>
      </c>
      <c r="L156" s="9" t="n">
        <v>0.0004</v>
      </c>
      <c r="M156" s="9" t="n">
        <v>0.0453</v>
      </c>
      <c r="N156" s="9" t="n">
        <v>1</v>
      </c>
      <c r="O156" s="9" t="n">
        <v>1</v>
      </c>
      <c r="P156" s="9" t="n">
        <v>0</v>
      </c>
      <c r="Q156" s="9" t="n">
        <v>0</v>
      </c>
      <c r="R156" s="9" t="n">
        <v>0</v>
      </c>
      <c r="S156" s="9" t="n"/>
      <c r="T156" s="9" t="n"/>
    </row>
    <row r="157">
      <c r="A157" s="9" t="inlineStr">
        <is>
          <t>SUR</t>
        </is>
      </c>
      <c r="B157" s="9" t="n">
        <v>2</v>
      </c>
      <c r="C157" s="9" t="inlineStr">
        <is>
          <t>PSRT 2013</t>
        </is>
      </c>
      <c r="D157" s="9" t="n"/>
      <c r="E157" s="9" t="n">
        <v>0</v>
      </c>
      <c r="F157" s="9" t="n">
        <v>0</v>
      </c>
      <c r="G157" s="9" t="n">
        <v>0</v>
      </c>
      <c r="H157" s="9" t="n">
        <v>0</v>
      </c>
      <c r="I157" s="9" t="n">
        <v>0.3505</v>
      </c>
      <c r="J157" s="9" t="n">
        <v>4.0171</v>
      </c>
      <c r="K157" s="9" t="n">
        <v>4.361</v>
      </c>
      <c r="L157" s="9" t="n">
        <v>0</v>
      </c>
      <c r="M157" s="9" t="n">
        <v>0</v>
      </c>
      <c r="N157" s="9" t="n">
        <v>0</v>
      </c>
      <c r="O157" s="9" t="n"/>
      <c r="P157" s="9" t="n"/>
      <c r="Q157" s="9" t="n">
        <v>0</v>
      </c>
      <c r="R157" s="9" t="n">
        <v>0</v>
      </c>
      <c r="S157" s="9" t="n"/>
      <c r="T157" s="9" t="n"/>
    </row>
    <row r="158">
      <c r="A158" s="9" t="inlineStr">
        <is>
          <t>SVK</t>
        </is>
      </c>
      <c r="B158" s="9" t="n">
        <v>3</v>
      </c>
      <c r="C158" s="9" t="inlineStr">
        <is>
          <t>Curated (not in PSRT)</t>
        </is>
      </c>
      <c r="D158" s="9" t="inlineStr">
        <is>
          <t>EU internal market</t>
        </is>
      </c>
      <c r="E158" s="9" t="n">
        <v>1</v>
      </c>
      <c r="F158" s="9" t="n">
        <v>1</v>
      </c>
      <c r="G158" s="9" t="n">
        <v>0</v>
      </c>
      <c r="H158" s="9" t="n"/>
      <c r="I158" s="9" t="n">
        <v>1.1817</v>
      </c>
      <c r="J158" s="9" t="n">
        <v>0</v>
      </c>
      <c r="K158" s="9" t="n">
        <v>0.5600000000000001</v>
      </c>
      <c r="L158" s="9" t="n">
        <v>0</v>
      </c>
      <c r="M158" s="9" t="n">
        <v>0</v>
      </c>
      <c r="N158" s="9" t="n">
        <v>0</v>
      </c>
      <c r="O158" s="9" t="n"/>
      <c r="P158" s="9" t="n"/>
      <c r="Q158" s="9" t="n">
        <v>0</v>
      </c>
      <c r="R158" s="9" t="n">
        <v>0</v>
      </c>
      <c r="S158" s="9" t="n">
        <v>73.611</v>
      </c>
      <c r="T158" s="9" t="n">
        <v>40</v>
      </c>
    </row>
    <row r="159">
      <c r="A159" s="9" t="inlineStr">
        <is>
          <t>SVN</t>
        </is>
      </c>
      <c r="B159" s="9" t="n">
        <v>3</v>
      </c>
      <c r="C159" s="9" t="inlineStr">
        <is>
          <t>Curated (not in PSRT)</t>
        </is>
      </c>
      <c r="D159" s="9" t="inlineStr">
        <is>
          <t>EU internal market</t>
        </is>
      </c>
      <c r="E159" s="9" t="n">
        <v>1</v>
      </c>
      <c r="F159" s="9" t="n">
        <v>1</v>
      </c>
      <c r="G159" s="9" t="n">
        <v>0</v>
      </c>
      <c r="H159" s="9" t="n"/>
      <c r="I159" s="9" t="n">
        <v>1.0591</v>
      </c>
      <c r="J159" s="9" t="n">
        <v>0</v>
      </c>
      <c r="K159" s="9" t="n">
        <v>0</v>
      </c>
      <c r="L159" s="9" t="n">
        <v>0</v>
      </c>
      <c r="M159" s="9" t="n">
        <v>0</v>
      </c>
      <c r="N159" s="9" t="n">
        <v>0</v>
      </c>
      <c r="O159" s="9" t="n"/>
      <c r="P159" s="9" t="n"/>
      <c r="Q159" s="9" t="n">
        <v>0</v>
      </c>
      <c r="R159" s="9" t="n">
        <v>0</v>
      </c>
      <c r="S159" s="9" t="n"/>
      <c r="T159" s="9" t="n"/>
    </row>
    <row r="160">
      <c r="A160" s="9" t="inlineStr">
        <is>
          <t>SWE</t>
        </is>
      </c>
      <c r="B160" s="9" t="n">
        <v>3</v>
      </c>
      <c r="C160" s="9" t="inlineStr">
        <is>
          <t>Curated (not in PSRT)</t>
        </is>
      </c>
      <c r="D160" s="9" t="inlineStr">
        <is>
          <t>Nord Pool; Vattenfall state</t>
        </is>
      </c>
      <c r="E160" s="9" t="n">
        <v>1</v>
      </c>
      <c r="F160" s="9" t="n">
        <v>1</v>
      </c>
      <c r="G160" s="9" t="n">
        <v>0</v>
      </c>
      <c r="H160" s="9" t="n"/>
      <c r="I160" s="9" t="n">
        <v>1.2232</v>
      </c>
      <c r="J160" s="9" t="n">
        <v>0</v>
      </c>
      <c r="K160" s="9" t="n">
        <v>0</v>
      </c>
      <c r="L160" s="9" t="n">
        <v>0</v>
      </c>
      <c r="M160" s="9" t="n">
        <v>0</v>
      </c>
      <c r="N160" s="9" t="n">
        <v>0</v>
      </c>
      <c r="O160" s="9" t="n"/>
      <c r="P160" s="9" t="n"/>
      <c r="Q160" s="9" t="n">
        <v>0</v>
      </c>
      <c r="R160" s="9" t="n">
        <v>0</v>
      </c>
      <c r="S160" s="9" t="n">
        <v>83.15900000000001</v>
      </c>
      <c r="T160" s="9" t="n">
        <v>80</v>
      </c>
    </row>
    <row r="161">
      <c r="A161" s="9" t="inlineStr">
        <is>
          <t>SWZ</t>
        </is>
      </c>
      <c r="B161" s="9" t="n">
        <v>2</v>
      </c>
      <c r="C161" s="9" t="inlineStr">
        <is>
          <t>PSRT 2013</t>
        </is>
      </c>
      <c r="D161" s="9" t="n"/>
      <c r="E161" s="9" t="n">
        <v>1</v>
      </c>
      <c r="F161" s="9" t="n">
        <v>0</v>
      </c>
      <c r="G161" s="9" t="n">
        <v>0</v>
      </c>
      <c r="H161" s="9" t="n">
        <v>0</v>
      </c>
      <c r="I161" s="9" t="n">
        <v>0.5995</v>
      </c>
      <c r="J161" s="9" t="n">
        <v>0.0178</v>
      </c>
      <c r="K161" s="9" t="n">
        <v>0.018</v>
      </c>
      <c r="L161" s="9" t="n">
        <v>0.0129</v>
      </c>
      <c r="M161" s="9" t="n">
        <v>0.2664</v>
      </c>
      <c r="N161" s="9" t="n">
        <v>1</v>
      </c>
      <c r="O161" s="9" t="n">
        <v>1</v>
      </c>
      <c r="P161" s="9" t="n">
        <v>0</v>
      </c>
      <c r="Q161" s="9" t="n">
        <v>0</v>
      </c>
      <c r="R161" s="9" t="n">
        <v>0</v>
      </c>
      <c r="S161" s="9" t="n"/>
      <c r="T161" s="9" t="n"/>
    </row>
    <row r="162">
      <c r="A162" s="9" t="inlineStr">
        <is>
          <t>SYC</t>
        </is>
      </c>
      <c r="B162" s="9" t="n">
        <v>1</v>
      </c>
      <c r="C162" s="9" t="inlineStr">
        <is>
          <t>PSRT 2013</t>
        </is>
      </c>
      <c r="D162" s="9" t="n"/>
      <c r="E162" s="9" t="n">
        <v>0</v>
      </c>
      <c r="F162" s="9" t="n">
        <v>0</v>
      </c>
      <c r="G162" s="9" t="n">
        <v>0</v>
      </c>
      <c r="H162" s="9" t="n">
        <v>0</v>
      </c>
      <c r="I162" s="9" t="n">
        <v>1</v>
      </c>
      <c r="J162" s="9" t="n">
        <v>0</v>
      </c>
      <c r="K162" s="9" t="n">
        <v>0</v>
      </c>
      <c r="L162" s="9" t="n">
        <v>0</v>
      </c>
      <c r="M162" s="9" t="n">
        <v>0</v>
      </c>
      <c r="N162" s="9" t="n">
        <v>0</v>
      </c>
      <c r="O162" s="9" t="n"/>
      <c r="P162" s="9" t="n"/>
      <c r="Q162" s="9" t="n">
        <v>0</v>
      </c>
      <c r="R162" s="9" t="n">
        <v>0</v>
      </c>
      <c r="S162" s="9" t="n"/>
      <c r="T162" s="9" t="n"/>
    </row>
    <row r="163">
      <c r="A163" s="9" t="inlineStr">
        <is>
          <t>SYR</t>
        </is>
      </c>
      <c r="B163" s="9" t="n">
        <v>2</v>
      </c>
      <c r="C163" s="9" t="inlineStr">
        <is>
          <t>PSRT 2013</t>
        </is>
      </c>
      <c r="D163" s="9" t="n"/>
      <c r="E163" s="9" t="n">
        <v>0</v>
      </c>
      <c r="F163" s="9" t="n">
        <v>0</v>
      </c>
      <c r="G163" s="9" t="n">
        <v>0</v>
      </c>
      <c r="H163" s="9" t="n">
        <v>0</v>
      </c>
      <c r="I163" s="9" t="n">
        <v>0.239</v>
      </c>
      <c r="J163" s="9" t="n">
        <v>2.9066</v>
      </c>
      <c r="K163" s="9" t="n"/>
      <c r="L163" s="9" t="n">
        <v>0</v>
      </c>
      <c r="M163" s="9" t="n">
        <v>0</v>
      </c>
      <c r="N163" s="9" t="n">
        <v>0</v>
      </c>
      <c r="O163" s="9" t="n"/>
      <c r="P163" s="9" t="n"/>
      <c r="Q163" s="9" t="n">
        <v>0</v>
      </c>
      <c r="R163" s="9" t="n">
        <v>0</v>
      </c>
      <c r="S163" s="9" t="n"/>
      <c r="T163" s="9" t="n"/>
    </row>
    <row r="164">
      <c r="A164" s="9" t="inlineStr">
        <is>
          <t>TCD</t>
        </is>
      </c>
      <c r="B164" s="9" t="n">
        <v>2</v>
      </c>
      <c r="C164" s="9" t="inlineStr">
        <is>
          <t>PSRT 2013, PPI update</t>
        </is>
      </c>
      <c r="D164" s="9" t="inlineStr">
        <is>
          <t>4 private generation projects 2014-2024 (PPI)</t>
        </is>
      </c>
      <c r="E164" s="9" t="n">
        <v>0</v>
      </c>
      <c r="F164" s="9" t="n">
        <v>0</v>
      </c>
      <c r="G164" s="9" t="n">
        <v>0</v>
      </c>
      <c r="H164" s="9" t="n">
        <v>0</v>
      </c>
      <c r="I164" s="9" t="n">
        <v>0.4053</v>
      </c>
      <c r="J164" s="9" t="n">
        <v>0.2999</v>
      </c>
      <c r="K164" s="9" t="n">
        <v>0.477</v>
      </c>
      <c r="L164" s="9" t="n">
        <v>0.0307</v>
      </c>
      <c r="M164" s="9" t="n">
        <v>0.1485</v>
      </c>
      <c r="N164" s="9" t="n">
        <v>4</v>
      </c>
      <c r="O164" s="9" t="n">
        <v>1</v>
      </c>
      <c r="P164" s="9" t="n">
        <v>0.1515</v>
      </c>
      <c r="Q164" s="9" t="n">
        <v>0</v>
      </c>
      <c r="R164" s="9" t="n">
        <v>0</v>
      </c>
      <c r="S164" s="9" t="n">
        <v>32.093</v>
      </c>
      <c r="T164" s="9" t="n">
        <v>0</v>
      </c>
    </row>
    <row r="165">
      <c r="A165" s="9" t="inlineStr">
        <is>
          <t>TGO</t>
        </is>
      </c>
      <c r="B165" s="9" t="n">
        <v>2</v>
      </c>
      <c r="C165" s="9" t="inlineStr">
        <is>
          <t>PSRT 2013</t>
        </is>
      </c>
      <c r="D165" s="9" t="n"/>
      <c r="E165" s="9" t="n">
        <v>1</v>
      </c>
      <c r="F165" s="9" t="n">
        <v>0</v>
      </c>
      <c r="G165" s="9" t="n">
        <v>0</v>
      </c>
      <c r="H165" s="9" t="n">
        <v>0</v>
      </c>
      <c r="I165" s="9" t="n">
        <v>1.1959</v>
      </c>
      <c r="J165" s="9" t="n">
        <v>0</v>
      </c>
      <c r="K165" s="9" t="n">
        <v>0</v>
      </c>
      <c r="L165" s="9" t="n">
        <v>0.0294</v>
      </c>
      <c r="M165" s="9" t="n">
        <v>0.276</v>
      </c>
      <c r="N165" s="9" t="n">
        <v>5</v>
      </c>
      <c r="O165" s="9" t="n">
        <v>0.4154</v>
      </c>
      <c r="P165" s="9" t="n">
        <v>0.0404</v>
      </c>
      <c r="Q165" s="9" t="n">
        <v>0</v>
      </c>
      <c r="R165" s="9" t="n">
        <v>0</v>
      </c>
      <c r="S165" s="9" t="n">
        <v>30.587</v>
      </c>
      <c r="T165" s="9" t="n">
        <v>0</v>
      </c>
    </row>
    <row r="166">
      <c r="A166" s="9" t="inlineStr">
        <is>
          <t>THA</t>
        </is>
      </c>
      <c r="B166" s="9" t="n">
        <v>2</v>
      </c>
      <c r="C166" s="9" t="inlineStr">
        <is>
          <t>PSRT 2013</t>
        </is>
      </c>
      <c r="D166" s="9" t="n"/>
      <c r="E166" s="9" t="n">
        <v>1</v>
      </c>
      <c r="F166" s="9" t="n">
        <v>0</v>
      </c>
      <c r="G166" s="9" t="n">
        <v>1</v>
      </c>
      <c r="H166" s="9" t="n">
        <v>0</v>
      </c>
      <c r="I166" s="9" t="n">
        <v>1.0017</v>
      </c>
      <c r="J166" s="9" t="n">
        <v>0</v>
      </c>
      <c r="K166" s="9" t="n">
        <v>0.311</v>
      </c>
      <c r="L166" s="9" t="n">
        <v>1.1528</v>
      </c>
      <c r="M166" s="9" t="n">
        <v>0.2178</v>
      </c>
      <c r="N166" s="9" t="n">
        <v>34</v>
      </c>
      <c r="O166" s="9" t="n">
        <v>0.4713</v>
      </c>
      <c r="P166" s="9" t="n">
        <v>0</v>
      </c>
      <c r="Q166" s="9" t="n">
        <v>0</v>
      </c>
      <c r="R166" s="9" t="n">
        <v>0</v>
      </c>
      <c r="S166" s="9" t="n">
        <v>49.593</v>
      </c>
      <c r="T166" s="9" t="n">
        <v>20</v>
      </c>
    </row>
    <row r="167">
      <c r="A167" s="9" t="inlineStr">
        <is>
          <t>TJK</t>
        </is>
      </c>
      <c r="B167" s="9" t="n">
        <v>2</v>
      </c>
      <c r="C167" s="9" t="inlineStr">
        <is>
          <t>PSRT 2013</t>
        </is>
      </c>
      <c r="D167" s="9" t="n"/>
      <c r="E167" s="9" t="n">
        <v>1</v>
      </c>
      <c r="F167" s="9" t="n">
        <v>0</v>
      </c>
      <c r="G167" s="9" t="n">
        <v>0</v>
      </c>
      <c r="H167" s="9" t="n">
        <v>0</v>
      </c>
      <c r="I167" s="9" t="n">
        <v>0.3344</v>
      </c>
      <c r="J167" s="9" t="n">
        <v>0.8539</v>
      </c>
      <c r="K167" s="9" t="n">
        <v>1.123</v>
      </c>
      <c r="L167" s="9" t="n">
        <v>0</v>
      </c>
      <c r="M167" s="9" t="n">
        <v>0</v>
      </c>
      <c r="N167" s="9" t="n">
        <v>0</v>
      </c>
      <c r="O167" s="9" t="n"/>
      <c r="P167" s="9" t="n"/>
      <c r="Q167" s="9" t="n">
        <v>1</v>
      </c>
      <c r="R167" s="9" t="n">
        <v>0</v>
      </c>
      <c r="S167" s="9" t="n">
        <v>16.466</v>
      </c>
      <c r="T167" s="9" t="n">
        <v>0</v>
      </c>
    </row>
    <row r="168">
      <c r="A168" s="9" t="inlineStr">
        <is>
          <t>TKM</t>
        </is>
      </c>
      <c r="B168" s="9" t="n">
        <v>1</v>
      </c>
      <c r="C168" s="9" t="inlineStr">
        <is>
          <t>PSRT 2013</t>
        </is>
      </c>
      <c r="D168" s="9" t="n"/>
      <c r="E168" s="9" t="n">
        <v>0</v>
      </c>
      <c r="F168" s="9" t="n">
        <v>0</v>
      </c>
      <c r="G168" s="9" t="n">
        <v>0</v>
      </c>
      <c r="H168" s="9" t="n">
        <v>0</v>
      </c>
      <c r="I168" s="9" t="n">
        <v>0.1651</v>
      </c>
      <c r="J168" s="9" t="n">
        <v>1.0913</v>
      </c>
      <c r="K168" s="9" t="n">
        <v>15.226</v>
      </c>
      <c r="L168" s="9" t="n">
        <v>0</v>
      </c>
      <c r="M168" s="9" t="n">
        <v>0</v>
      </c>
      <c r="N168" s="9" t="n">
        <v>0</v>
      </c>
      <c r="O168" s="9" t="n"/>
      <c r="P168" s="9" t="n"/>
      <c r="Q168" s="9" t="n">
        <v>0</v>
      </c>
      <c r="R168" s="9" t="n">
        <v>0</v>
      </c>
      <c r="S168" s="9" t="n">
        <v>3.148</v>
      </c>
      <c r="T168" s="9" t="n">
        <v>0</v>
      </c>
    </row>
    <row r="169">
      <c r="A169" s="9" t="inlineStr">
        <is>
          <t>TLS</t>
        </is>
      </c>
      <c r="B169" s="9" t="n">
        <v>1</v>
      </c>
      <c r="C169" s="9" t="inlineStr">
        <is>
          <t>PSRT 2013</t>
        </is>
      </c>
      <c r="D169" s="9" t="n"/>
      <c r="E169" s="9" t="n">
        <v>0</v>
      </c>
      <c r="F169" s="9" t="n">
        <v>0</v>
      </c>
      <c r="G169" s="9" t="n">
        <v>0</v>
      </c>
      <c r="H169" s="9" t="n">
        <v>0</v>
      </c>
      <c r="I169" s="9" t="n">
        <v>1</v>
      </c>
      <c r="J169" s="9" t="n">
        <v>0</v>
      </c>
      <c r="K169" s="9" t="n">
        <v>0</v>
      </c>
      <c r="L169" s="9" t="n">
        <v>0</v>
      </c>
      <c r="M169" s="9" t="n">
        <v>0</v>
      </c>
      <c r="N169" s="9" t="n">
        <v>0</v>
      </c>
      <c r="O169" s="9" t="n"/>
      <c r="P169" s="9" t="n"/>
      <c r="Q169" s="9" t="n">
        <v>0</v>
      </c>
      <c r="R169" s="9" t="n">
        <v>0</v>
      </c>
      <c r="S169" s="9" t="n"/>
      <c r="T169" s="9" t="n"/>
    </row>
    <row r="170">
      <c r="A170" s="9" t="inlineStr">
        <is>
          <t>TON</t>
        </is>
      </c>
      <c r="B170" s="9" t="n">
        <v>2</v>
      </c>
      <c r="C170" s="9" t="inlineStr">
        <is>
          <t>PSRT 2013</t>
        </is>
      </c>
      <c r="D170" s="9" t="n"/>
      <c r="E170" s="9" t="n">
        <v>0</v>
      </c>
      <c r="F170" s="9" t="n">
        <v>0</v>
      </c>
      <c r="G170" s="9" t="n">
        <v>0</v>
      </c>
      <c r="H170" s="9" t="n">
        <v>0</v>
      </c>
      <c r="I170" s="9" t="n">
        <v>1</v>
      </c>
      <c r="J170" s="9" t="n">
        <v>0</v>
      </c>
      <c r="K170" s="9" t="n">
        <v>0</v>
      </c>
      <c r="L170" s="9" t="n">
        <v>0</v>
      </c>
      <c r="M170" s="9" t="n">
        <v>0</v>
      </c>
      <c r="N170" s="9" t="n">
        <v>0</v>
      </c>
      <c r="O170" s="9" t="n"/>
      <c r="P170" s="9" t="n"/>
      <c r="Q170" s="9" t="n">
        <v>1</v>
      </c>
      <c r="R170" s="9" t="n">
        <v>1</v>
      </c>
      <c r="S170" s="9" t="n"/>
      <c r="T170" s="9" t="n"/>
    </row>
    <row r="171">
      <c r="A171" s="9" t="inlineStr">
        <is>
          <t>TTO</t>
        </is>
      </c>
      <c r="B171" s="9" t="n">
        <v>2</v>
      </c>
      <c r="C171" s="9" t="inlineStr">
        <is>
          <t>PSRT 2013</t>
        </is>
      </c>
      <c r="D171" s="9" t="n"/>
      <c r="E171" s="9" t="n">
        <v>1</v>
      </c>
      <c r="F171" s="9" t="n">
        <v>0</v>
      </c>
      <c r="G171" s="9" t="n">
        <v>0</v>
      </c>
      <c r="H171" s="9" t="n">
        <v>0</v>
      </c>
      <c r="I171" s="9" t="n">
        <v>0.5971</v>
      </c>
      <c r="J171" s="9" t="n">
        <v>1.1272</v>
      </c>
      <c r="K171" s="9" t="n">
        <v>2.082</v>
      </c>
      <c r="L171" s="9" t="n">
        <v>0</v>
      </c>
      <c r="M171" s="9" t="n">
        <v>0</v>
      </c>
      <c r="N171" s="9" t="n">
        <v>0</v>
      </c>
      <c r="O171" s="9" t="n"/>
      <c r="P171" s="9" t="n"/>
      <c r="Q171" s="9" t="n">
        <v>0</v>
      </c>
      <c r="R171" s="9" t="n">
        <v>0</v>
      </c>
      <c r="S171" s="9" t="n"/>
      <c r="T171" s="9" t="n"/>
    </row>
    <row r="172">
      <c r="A172" s="9" t="inlineStr">
        <is>
          <t>TUN</t>
        </is>
      </c>
      <c r="B172" s="9" t="n">
        <v>2</v>
      </c>
      <c r="C172" s="9" t="inlineStr">
        <is>
          <t>PSRT 2013</t>
        </is>
      </c>
      <c r="D172" s="9" t="n"/>
      <c r="E172" s="9" t="n">
        <v>1</v>
      </c>
      <c r="F172" s="9" t="n">
        <v>0</v>
      </c>
      <c r="G172" s="9" t="n">
        <v>0</v>
      </c>
      <c r="H172" s="9" t="n">
        <v>0</v>
      </c>
      <c r="I172" s="9" t="n">
        <v>0.6385</v>
      </c>
      <c r="J172" s="9" t="n">
        <v>1.3516</v>
      </c>
      <c r="K172" s="9" t="n">
        <v>5.178</v>
      </c>
      <c r="L172" s="9" t="n">
        <v>0.0362</v>
      </c>
      <c r="M172" s="9" t="n">
        <v>0.07049999999999999</v>
      </c>
      <c r="N172" s="9" t="n">
        <v>8</v>
      </c>
      <c r="O172" s="9" t="n">
        <v>1</v>
      </c>
      <c r="P172" s="9" t="n">
        <v>0</v>
      </c>
      <c r="Q172" s="9" t="n">
        <v>0</v>
      </c>
      <c r="R172" s="9" t="n">
        <v>0</v>
      </c>
      <c r="S172" s="9" t="n">
        <v>43.579</v>
      </c>
      <c r="T172" s="9" t="n">
        <v>0</v>
      </c>
    </row>
    <row r="173">
      <c r="A173" s="9" t="inlineStr">
        <is>
          <t>TUR</t>
        </is>
      </c>
      <c r="B173" s="9" t="n">
        <v>3</v>
      </c>
      <c r="C173" s="9" t="inlineStr">
        <is>
          <t>Curated (not in PSRT)</t>
        </is>
      </c>
      <c r="D173" s="9" t="inlineStr">
        <is>
          <t>EPIAS wholesale market; privatised distribution</t>
        </is>
      </c>
      <c r="E173" s="9" t="n">
        <v>1</v>
      </c>
      <c r="F173" s="9" t="n">
        <v>1</v>
      </c>
      <c r="G173" s="9" t="n">
        <v>1</v>
      </c>
      <c r="H173" s="9" t="n"/>
      <c r="I173" s="9" t="n">
        <v>1.0181</v>
      </c>
      <c r="J173" s="9" t="n">
        <v>0</v>
      </c>
      <c r="K173" s="9" t="n">
        <v>0.539</v>
      </c>
      <c r="L173" s="9" t="n">
        <v>1.2916</v>
      </c>
      <c r="M173" s="9" t="n">
        <v>0.0951</v>
      </c>
      <c r="N173" s="9" t="n">
        <v>57</v>
      </c>
      <c r="O173" s="9" t="n">
        <v>0.4034</v>
      </c>
      <c r="P173" s="9" t="n">
        <v>0.1738</v>
      </c>
      <c r="Q173" s="9" t="n">
        <v>1</v>
      </c>
      <c r="R173" s="9" t="n">
        <v>1</v>
      </c>
      <c r="S173" s="9" t="n">
        <v>54.937</v>
      </c>
      <c r="T173" s="9" t="n">
        <v>20</v>
      </c>
    </row>
    <row r="174">
      <c r="A174" s="9" t="inlineStr">
        <is>
          <t>TZA</t>
        </is>
      </c>
      <c r="B174" s="9" t="n">
        <v>2</v>
      </c>
      <c r="C174" s="9" t="inlineStr">
        <is>
          <t>PSRT 2013</t>
        </is>
      </c>
      <c r="D174" s="9" t="n"/>
      <c r="E174" s="9" t="n">
        <v>1</v>
      </c>
      <c r="F174" s="9" t="n">
        <v>0</v>
      </c>
      <c r="G174" s="9" t="n">
        <v>1</v>
      </c>
      <c r="H174" s="9" t="n">
        <v>0</v>
      </c>
      <c r="I174" s="9" t="n">
        <v>1.3499</v>
      </c>
      <c r="J174" s="9" t="n">
        <v>0</v>
      </c>
      <c r="K174" s="9" t="n">
        <v>0</v>
      </c>
      <c r="L174" s="9" t="n">
        <v>0.003</v>
      </c>
      <c r="M174" s="9" t="n">
        <v>0.0038</v>
      </c>
      <c r="N174" s="9" t="n">
        <v>3</v>
      </c>
      <c r="O174" s="9" t="n">
        <v>0.2561</v>
      </c>
      <c r="P174" s="9" t="n">
        <v>0</v>
      </c>
      <c r="Q174" s="9" t="n">
        <v>1</v>
      </c>
      <c r="R174" s="9" t="n">
        <v>0</v>
      </c>
      <c r="S174" s="9" t="n">
        <v>22.497</v>
      </c>
      <c r="T174" s="9" t="n">
        <v>0</v>
      </c>
    </row>
    <row r="175">
      <c r="A175" s="9" t="inlineStr">
        <is>
          <t>UGA</t>
        </is>
      </c>
      <c r="B175" s="9" t="n">
        <v>2</v>
      </c>
      <c r="C175" s="9" t="inlineStr">
        <is>
          <t>PSRT 2013</t>
        </is>
      </c>
      <c r="D175" s="9" t="n"/>
      <c r="E175" s="9" t="n">
        <v>1</v>
      </c>
      <c r="F175" s="9" t="n">
        <v>1</v>
      </c>
      <c r="G175" s="9" t="n">
        <v>1</v>
      </c>
      <c r="H175" s="9" t="n">
        <v>0</v>
      </c>
      <c r="I175" s="9" t="n">
        <v>0.7154</v>
      </c>
      <c r="J175" s="9" t="n">
        <v>0.0063</v>
      </c>
      <c r="K175" s="9" t="n">
        <v>0.006</v>
      </c>
      <c r="L175" s="9" t="n">
        <v>0.0404</v>
      </c>
      <c r="M175" s="9" t="n">
        <v>0.0708</v>
      </c>
      <c r="N175" s="9" t="n">
        <v>11</v>
      </c>
      <c r="O175" s="9" t="n">
        <v>0.1533</v>
      </c>
      <c r="P175" s="9" t="n">
        <v>0</v>
      </c>
      <c r="Q175" s="9" t="n">
        <v>1</v>
      </c>
      <c r="R175" s="9" t="n">
        <v>1</v>
      </c>
      <c r="S175" s="9" t="n">
        <v>27.124</v>
      </c>
      <c r="T175" s="9" t="n">
        <v>0</v>
      </c>
    </row>
    <row r="176">
      <c r="A176" s="9" t="inlineStr">
        <is>
          <t>UKR</t>
        </is>
      </c>
      <c r="B176" s="9" t="n">
        <v>3</v>
      </c>
      <c r="C176" s="9" t="inlineStr">
        <is>
          <t>PSRT 2013</t>
        </is>
      </c>
      <c r="D176" s="9" t="n"/>
      <c r="E176" s="9" t="n">
        <v>1</v>
      </c>
      <c r="F176" s="9" t="n">
        <v>1</v>
      </c>
      <c r="G176" s="9" t="n">
        <v>1</v>
      </c>
      <c r="H176" s="9" t="n">
        <v>0</v>
      </c>
      <c r="I176" s="9" t="n">
        <v>0.7522</v>
      </c>
      <c r="J176" s="9" t="n">
        <v>1.0833</v>
      </c>
      <c r="K176" s="9" t="n">
        <v>2.285</v>
      </c>
      <c r="L176" s="9" t="n">
        <v>0.4099</v>
      </c>
      <c r="M176" s="9" t="n">
        <v>0.2148</v>
      </c>
      <c r="N176" s="9" t="n">
        <v>26</v>
      </c>
      <c r="O176" s="9" t="n">
        <v>1</v>
      </c>
      <c r="P176" s="9" t="n">
        <v>0.398</v>
      </c>
      <c r="Q176" s="9" t="n">
        <v>1</v>
      </c>
      <c r="R176" s="9" t="n">
        <v>1</v>
      </c>
      <c r="S176" s="9" t="n">
        <v>52.291</v>
      </c>
      <c r="T176" s="9" t="n">
        <v>20</v>
      </c>
    </row>
    <row r="177">
      <c r="A177" s="9" t="inlineStr">
        <is>
          <t>URY</t>
        </is>
      </c>
      <c r="B177" s="9" t="n">
        <v>2</v>
      </c>
      <c r="C177" s="9" t="inlineStr">
        <is>
          <t>PSRT 2013</t>
        </is>
      </c>
      <c r="D177" s="9" t="n"/>
      <c r="E177" s="9" t="n">
        <v>1</v>
      </c>
      <c r="F177" s="9" t="n">
        <v>0</v>
      </c>
      <c r="G177" s="9" t="n">
        <v>0</v>
      </c>
      <c r="H177" s="9" t="n">
        <v>0</v>
      </c>
      <c r="I177" s="9" t="n">
        <v>1.0242</v>
      </c>
      <c r="J177" s="9" t="n">
        <v>0</v>
      </c>
      <c r="K177" s="9" t="n">
        <v>0</v>
      </c>
      <c r="L177" s="9" t="n">
        <v>0.0075</v>
      </c>
      <c r="M177" s="9" t="n">
        <v>0.0092</v>
      </c>
      <c r="N177" s="9" t="n">
        <v>0</v>
      </c>
      <c r="O177" s="9" t="n"/>
      <c r="P177" s="9" t="n"/>
      <c r="Q177" s="9" t="n">
        <v>0</v>
      </c>
      <c r="R177" s="9" t="n">
        <v>1</v>
      </c>
      <c r="S177" s="9" t="n">
        <v>53.815</v>
      </c>
      <c r="T177" s="9" t="n">
        <v>40</v>
      </c>
    </row>
    <row r="178">
      <c r="A178" s="9" t="inlineStr">
        <is>
          <t>USA</t>
        </is>
      </c>
      <c r="B178" s="9" t="n">
        <v>3</v>
      </c>
      <c r="C178" s="9" t="inlineStr">
        <is>
          <t>Curated (not in PSRT)</t>
        </is>
      </c>
      <c r="D178" s="9" t="inlineStr">
        <is>
          <t>Mixed: ~two-thirds of load in ISO/RTO markets; rest regulated VIUs</t>
        </is>
      </c>
      <c r="E178" s="9" t="n">
        <v>1</v>
      </c>
      <c r="F178" s="9" t="n">
        <v>1</v>
      </c>
      <c r="G178" s="9" t="n">
        <v>1</v>
      </c>
      <c r="H178" s="9" t="n"/>
      <c r="I178" s="9" t="n">
        <v>1.0027</v>
      </c>
      <c r="J178" s="9" t="n">
        <v>0.0135</v>
      </c>
      <c r="K178" s="9" t="n">
        <v>0.075</v>
      </c>
      <c r="L178" s="9" t="n">
        <v>0</v>
      </c>
      <c r="M178" s="9" t="n">
        <v>0</v>
      </c>
      <c r="N178" s="9" t="n">
        <v>0</v>
      </c>
      <c r="O178" s="9" t="n"/>
      <c r="P178" s="9" t="n"/>
      <c r="Q178" s="9" t="n">
        <v>0</v>
      </c>
      <c r="R178" s="9" t="n">
        <v>0</v>
      </c>
      <c r="S178" s="9" t="n">
        <v>74.79600000000001</v>
      </c>
      <c r="T178" s="9" t="n">
        <v>20</v>
      </c>
    </row>
    <row r="179">
      <c r="A179" s="9" t="inlineStr">
        <is>
          <t>UZB</t>
        </is>
      </c>
      <c r="B179" s="9" t="n">
        <v>2</v>
      </c>
      <c r="C179" s="9" t="inlineStr">
        <is>
          <t>PSRT 2013, PPI update</t>
        </is>
      </c>
      <c r="D179" s="9" t="inlineStr">
        <is>
          <t>21 private generation projects 2014-2024 (PPI)</t>
        </is>
      </c>
      <c r="E179" s="9" t="n">
        <v>0</v>
      </c>
      <c r="F179" s="9" t="n">
        <v>0</v>
      </c>
      <c r="G179" s="9" t="n">
        <v>1</v>
      </c>
      <c r="H179" s="9" t="n">
        <v>0</v>
      </c>
      <c r="I179" s="9" t="n">
        <v>0.571</v>
      </c>
      <c r="J179" s="9" t="n">
        <v>2.0004</v>
      </c>
      <c r="K179" s="9" t="n">
        <v>11.476</v>
      </c>
      <c r="L179" s="9" t="n">
        <v>0.7247</v>
      </c>
      <c r="M179" s="9" t="n">
        <v>0.5972</v>
      </c>
      <c r="N179" s="9" t="n">
        <v>21</v>
      </c>
      <c r="O179" s="9" t="n">
        <v>0.6827</v>
      </c>
      <c r="P179" s="9" t="n">
        <v>0</v>
      </c>
      <c r="Q179" s="9" t="n">
        <v>0</v>
      </c>
      <c r="R179" s="9" t="n">
        <v>0</v>
      </c>
      <c r="S179" s="9" t="n">
        <v>16.209</v>
      </c>
      <c r="T179" s="9" t="n">
        <v>0</v>
      </c>
    </row>
    <row r="180">
      <c r="A180" s="9" t="inlineStr">
        <is>
          <t>VCT</t>
        </is>
      </c>
      <c r="B180" s="9" t="n">
        <v>1</v>
      </c>
      <c r="C180" s="9" t="inlineStr">
        <is>
          <t>Curated (not in PSRT)</t>
        </is>
      </c>
      <c r="D180" s="9" t="inlineStr">
        <is>
          <t>State VIU (VINLEC)</t>
        </is>
      </c>
      <c r="E180" s="9" t="n">
        <v>0</v>
      </c>
      <c r="F180" s="9" t="n">
        <v>0</v>
      </c>
      <c r="G180" s="9" t="n">
        <v>0</v>
      </c>
      <c r="H180" s="9" t="n"/>
      <c r="I180" s="9" t="n">
        <v>1</v>
      </c>
      <c r="J180" s="9" t="n">
        <v>0</v>
      </c>
      <c r="K180" s="9" t="n">
        <v>0</v>
      </c>
      <c r="L180" s="9" t="n">
        <v>0.0098</v>
      </c>
      <c r="M180" s="9" t="n">
        <v>0.8679</v>
      </c>
      <c r="N180" s="9" t="n">
        <v>1</v>
      </c>
      <c r="O180" s="9" t="n">
        <v>0</v>
      </c>
      <c r="P180" s="9" t="n">
        <v>0</v>
      </c>
      <c r="Q180" s="9" t="n">
        <v>0</v>
      </c>
      <c r="R180" s="9" t="n">
        <v>0</v>
      </c>
      <c r="S180" s="9" t="n"/>
      <c r="T180" s="9" t="n"/>
    </row>
    <row r="181">
      <c r="A181" s="9" t="inlineStr">
        <is>
          <t>VEN</t>
        </is>
      </c>
      <c r="B181" s="9" t="n">
        <v>2</v>
      </c>
      <c r="C181" s="9" t="inlineStr">
        <is>
          <t>PSRT 2013</t>
        </is>
      </c>
      <c r="D181" s="9" t="n"/>
      <c r="E181" s="9" t="n">
        <v>1</v>
      </c>
      <c r="F181" s="9" t="n">
        <v>0</v>
      </c>
      <c r="G181" s="9" t="n">
        <v>0</v>
      </c>
      <c r="H181" s="9" t="n">
        <v>0</v>
      </c>
      <c r="I181" s="9" t="n">
        <v>0.6671</v>
      </c>
      <c r="J181" s="9" t="n">
        <v>1.7432</v>
      </c>
      <c r="K181" s="9" t="n">
        <v>6.985</v>
      </c>
      <c r="L181" s="9" t="n">
        <v>0</v>
      </c>
      <c r="M181" s="9" t="n">
        <v>0</v>
      </c>
      <c r="N181" s="9" t="n">
        <v>0</v>
      </c>
      <c r="O181" s="9" t="n"/>
      <c r="P181" s="9" t="n"/>
      <c r="Q181" s="9" t="n">
        <v>1</v>
      </c>
      <c r="R181" s="9" t="n">
        <v>0</v>
      </c>
      <c r="S181" s="9" t="n">
        <v>10.635</v>
      </c>
      <c r="T181" s="9" t="n">
        <v>0</v>
      </c>
    </row>
    <row r="182">
      <c r="A182" s="9" t="inlineStr">
        <is>
          <t>VNM</t>
        </is>
      </c>
      <c r="B182" s="9" t="n">
        <v>3</v>
      </c>
      <c r="C182" s="9" t="inlineStr">
        <is>
          <t>PSRT 2013, curated update</t>
        </is>
      </c>
      <c r="D182" s="9" t="inlineStr">
        <is>
          <t>Vietnam Wholesale Electricity Market operating since 2019</t>
        </is>
      </c>
      <c r="E182" s="9" t="n">
        <v>1</v>
      </c>
      <c r="F182" s="9" t="n">
        <v>0</v>
      </c>
      <c r="G182" s="9" t="n">
        <v>0</v>
      </c>
      <c r="H182" s="9" t="n">
        <v>0</v>
      </c>
      <c r="I182" s="9" t="n">
        <v>0.8184</v>
      </c>
      <c r="J182" s="9" t="n">
        <v>0.5355</v>
      </c>
      <c r="K182" s="9" t="n">
        <v>0.643</v>
      </c>
      <c r="L182" s="9" t="n">
        <v>2.2886</v>
      </c>
      <c r="M182" s="9" t="n">
        <v>0.4981</v>
      </c>
      <c r="N182" s="9" t="n">
        <v>58</v>
      </c>
      <c r="O182" s="9" t="n">
        <v>0.319</v>
      </c>
      <c r="P182" s="9" t="n">
        <v>0.1127</v>
      </c>
      <c r="Q182" s="9" t="n">
        <v>0</v>
      </c>
      <c r="R182" s="9" t="n">
        <v>0</v>
      </c>
      <c r="S182" s="9" t="n">
        <v>39.852</v>
      </c>
      <c r="T182" s="9" t="n">
        <v>0</v>
      </c>
    </row>
    <row r="183">
      <c r="A183" s="9" t="inlineStr">
        <is>
          <t>VUT</t>
        </is>
      </c>
      <c r="B183" s="9" t="n">
        <v>1</v>
      </c>
      <c r="C183" s="9" t="inlineStr">
        <is>
          <t>PSRT 2013</t>
        </is>
      </c>
      <c r="D183" s="9" t="n"/>
      <c r="E183" s="9" t="n">
        <v>1</v>
      </c>
      <c r="F183" s="9" t="n">
        <v>0</v>
      </c>
      <c r="G183" s="9" t="n">
        <v>1</v>
      </c>
      <c r="H183" s="9" t="n">
        <v>1</v>
      </c>
      <c r="I183" s="9" t="n">
        <v>1</v>
      </c>
      <c r="J183" s="9" t="n">
        <v>0</v>
      </c>
      <c r="K183" s="9" t="n">
        <v>0</v>
      </c>
      <c r="L183" s="9" t="n">
        <v>0</v>
      </c>
      <c r="M183" s="9" t="n">
        <v>0</v>
      </c>
      <c r="N183" s="9" t="n">
        <v>0</v>
      </c>
      <c r="O183" s="9" t="n"/>
      <c r="P183" s="9" t="n"/>
      <c r="Q183" s="9" t="n">
        <v>1</v>
      </c>
      <c r="R183" s="9" t="n">
        <v>1</v>
      </c>
      <c r="S183" s="9" t="n">
        <v>8.333</v>
      </c>
      <c r="T183" s="9" t="n">
        <v>0</v>
      </c>
    </row>
    <row r="184">
      <c r="A184" s="9" t="inlineStr">
        <is>
          <t>WSM</t>
        </is>
      </c>
      <c r="B184" s="9" t="n">
        <v>2</v>
      </c>
      <c r="C184" s="9" t="inlineStr">
        <is>
          <t>Curated (not in PSRT)</t>
        </is>
      </c>
      <c r="D184" s="9" t="inlineStr">
        <is>
          <t>State utility (EPC) buying from solar IPPs</t>
        </is>
      </c>
      <c r="E184" s="9" t="n">
        <v>1</v>
      </c>
      <c r="F184" s="9" t="n">
        <v>0</v>
      </c>
      <c r="G184" s="9" t="n">
        <v>0</v>
      </c>
      <c r="H184" s="9" t="n"/>
      <c r="I184" s="9" t="n">
        <v>1</v>
      </c>
      <c r="J184" s="9" t="n">
        <v>0</v>
      </c>
      <c r="K184" s="9" t="n">
        <v>0</v>
      </c>
      <c r="L184" s="9" t="n">
        <v>0</v>
      </c>
      <c r="M184" s="9" t="n">
        <v>0</v>
      </c>
      <c r="N184" s="9" t="n">
        <v>0</v>
      </c>
      <c r="O184" s="9" t="n"/>
      <c r="P184" s="9" t="n"/>
      <c r="Q184" s="9" t="n">
        <v>0</v>
      </c>
      <c r="R184" s="9" t="n">
        <v>0</v>
      </c>
      <c r="S184" s="9" t="n"/>
      <c r="T184" s="9" t="n"/>
    </row>
    <row r="185">
      <c r="A185" s="9" t="inlineStr">
        <is>
          <t>XKX</t>
        </is>
      </c>
      <c r="B185" s="9" t="n">
        <v>2</v>
      </c>
      <c r="C185" s="9" t="inlineStr">
        <is>
          <t>PSRT 2013, PPI update</t>
        </is>
      </c>
      <c r="D185" s="9" t="inlineStr">
        <is>
          <t>2 private generation projects 2014-2024 (PPI)</t>
        </is>
      </c>
      <c r="E185" s="9" t="n">
        <v>1</v>
      </c>
      <c r="F185" s="9" t="n">
        <v>1</v>
      </c>
      <c r="G185" s="9" t="n">
        <v>1</v>
      </c>
      <c r="H185" s="9" t="n">
        <v>0</v>
      </c>
      <c r="I185" s="9" t="n">
        <v>0.9211</v>
      </c>
      <c r="J185" s="9" t="n">
        <v>0.1849</v>
      </c>
      <c r="K185" s="9" t="n">
        <v>0.185</v>
      </c>
      <c r="L185" s="9" t="n">
        <v>0.0252</v>
      </c>
      <c r="M185" s="9" t="n">
        <v>0.2253</v>
      </c>
      <c r="N185" s="9" t="n">
        <v>2</v>
      </c>
      <c r="O185" s="9" t="n">
        <v>1</v>
      </c>
      <c r="P185" s="9" t="n">
        <v>0</v>
      </c>
      <c r="Q185" s="9" t="n">
        <v>1</v>
      </c>
      <c r="R185" s="9" t="n">
        <v>0</v>
      </c>
      <c r="S185" s="9" t="n">
        <v>36.249</v>
      </c>
      <c r="T185" s="9" t="n">
        <v>0</v>
      </c>
    </row>
    <row r="186">
      <c r="A186" s="9" t="inlineStr">
        <is>
          <t>YEM</t>
        </is>
      </c>
      <c r="B186" s="9" t="n">
        <v>1</v>
      </c>
      <c r="C186" s="9" t="inlineStr">
        <is>
          <t>PSRT 2013</t>
        </is>
      </c>
      <c r="D186" s="9" t="n"/>
      <c r="E186" s="9" t="n">
        <v>1</v>
      </c>
      <c r="F186" s="9" t="n">
        <v>0</v>
      </c>
      <c r="G186" s="9" t="n">
        <v>0</v>
      </c>
      <c r="H186" s="9" t="n">
        <v>0</v>
      </c>
      <c r="I186" s="9" t="n">
        <v>1</v>
      </c>
      <c r="J186" s="9" t="n">
        <v>0</v>
      </c>
      <c r="K186" s="9" t="n">
        <v>0</v>
      </c>
      <c r="L186" s="9" t="n">
        <v>0</v>
      </c>
      <c r="M186" s="9" t="n">
        <v>0</v>
      </c>
      <c r="N186" s="9" t="n">
        <v>0</v>
      </c>
      <c r="O186" s="9" t="n"/>
      <c r="P186" s="9" t="n"/>
      <c r="Q186" s="9" t="n">
        <v>0</v>
      </c>
      <c r="R186" s="9" t="n">
        <v>0</v>
      </c>
      <c r="S186" s="9" t="n">
        <v>16.944</v>
      </c>
      <c r="T186" s="9" t="n">
        <v>0</v>
      </c>
    </row>
    <row r="187">
      <c r="A187" s="9" t="inlineStr">
        <is>
          <t>ZAF</t>
        </is>
      </c>
      <c r="B187" s="9" t="n">
        <v>2</v>
      </c>
      <c r="C187" s="9" t="inlineStr">
        <is>
          <t>PSRT 2013</t>
        </is>
      </c>
      <c r="D187" s="9" t="n"/>
      <c r="E187" s="9" t="n">
        <v>1</v>
      </c>
      <c r="F187" s="9" t="n">
        <v>1</v>
      </c>
      <c r="G187" s="9" t="n">
        <v>0</v>
      </c>
      <c r="H187" s="9" t="n">
        <v>0</v>
      </c>
      <c r="I187" s="9" t="n">
        <v>1.0102</v>
      </c>
      <c r="J187" s="9" t="n">
        <v>0</v>
      </c>
      <c r="K187" s="9" t="n">
        <v>0</v>
      </c>
      <c r="L187" s="9" t="n">
        <v>1.6759</v>
      </c>
      <c r="M187" s="9" t="n">
        <v>0.4178</v>
      </c>
      <c r="N187" s="9" t="n">
        <v>59</v>
      </c>
      <c r="O187" s="9" t="n">
        <v>0.9728</v>
      </c>
      <c r="P187" s="9" t="n">
        <v>0.009900000000000001</v>
      </c>
      <c r="Q187" s="9" t="n">
        <v>1</v>
      </c>
      <c r="R187" s="9" t="n">
        <v>0</v>
      </c>
      <c r="S187" s="9" t="n">
        <v>54.019</v>
      </c>
      <c r="T187" s="9" t="n">
        <v>40</v>
      </c>
    </row>
    <row r="188">
      <c r="A188" s="9" t="inlineStr">
        <is>
          <t>ZMB</t>
        </is>
      </c>
      <c r="B188" s="9" t="n">
        <v>2</v>
      </c>
      <c r="C188" s="9" t="inlineStr">
        <is>
          <t>PSRT 2013</t>
        </is>
      </c>
      <c r="D188" s="9" t="n"/>
      <c r="E188" s="9" t="n">
        <v>1</v>
      </c>
      <c r="F188" s="9" t="n">
        <v>0</v>
      </c>
      <c r="G188" s="9" t="n">
        <v>1</v>
      </c>
      <c r="H188" s="9" t="n">
        <v>0</v>
      </c>
      <c r="I188" s="9" t="n">
        <v>0.577</v>
      </c>
      <c r="J188" s="9" t="n">
        <v>0.3441</v>
      </c>
      <c r="K188" s="9" t="n">
        <v>0.344</v>
      </c>
      <c r="L188" s="9" t="n">
        <v>0.1677</v>
      </c>
      <c r="M188" s="9" t="n">
        <v>0.6627999999999999</v>
      </c>
      <c r="N188" s="9" t="n">
        <v>6</v>
      </c>
      <c r="O188" s="9" t="n">
        <v>0.3637</v>
      </c>
      <c r="P188" s="9" t="n">
        <v>0</v>
      </c>
      <c r="Q188" s="9" t="n">
        <v>1</v>
      </c>
      <c r="R188" s="9" t="n">
        <v>1</v>
      </c>
      <c r="S188" s="9" t="n">
        <v>22.384</v>
      </c>
      <c r="T188" s="9" t="n">
        <v>0</v>
      </c>
    </row>
    <row r="189">
      <c r="A189" s="9" t="inlineStr">
        <is>
          <t>ZWE</t>
        </is>
      </c>
      <c r="B189" s="9" t="n">
        <v>2</v>
      </c>
      <c r="C189" s="9" t="inlineStr">
        <is>
          <t>PSRT 2013</t>
        </is>
      </c>
      <c r="D189" s="9" t="n"/>
      <c r="E189" s="9" t="n">
        <v>1</v>
      </c>
      <c r="F189" s="9" t="n">
        <v>1</v>
      </c>
      <c r="G189" s="9" t="n">
        <v>0</v>
      </c>
      <c r="H189" s="9" t="n">
        <v>0</v>
      </c>
      <c r="I189" s="9" t="n">
        <v>0.8829</v>
      </c>
      <c r="J189" s="9" t="n">
        <v>0.1033</v>
      </c>
      <c r="K189" s="9" t="n">
        <v>1.08</v>
      </c>
      <c r="L189" s="9" t="n">
        <v>0.0378</v>
      </c>
      <c r="M189" s="9" t="n">
        <v>0.0769</v>
      </c>
      <c r="N189" s="9" t="n">
        <v>5</v>
      </c>
      <c r="O189" s="9" t="n">
        <v>0.9813</v>
      </c>
      <c r="P189" s="9" t="n">
        <v>0</v>
      </c>
      <c r="Q189" s="9" t="n">
        <v>0</v>
      </c>
      <c r="R189" s="9" t="n">
        <v>0</v>
      </c>
      <c r="S189" s="9" t="n">
        <v>32.81</v>
      </c>
      <c r="T189" s="9" t="n">
        <v>0</v>
      </c>
    </row>
  </sheetData>
  <autoFilter ref="A3:T18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094"/>
  <sheetViews>
    <sheetView workbookViewId="0">
      <selection activeCell="A1" sqref="A1"/>
    </sheetView>
  </sheetViews>
  <sheetFormatPr baseColWidth="8" defaultRowHeight="15"/>
  <sheetData>
    <row r="1">
      <c r="A1" t="inlineStr">
        <is>
          <t>Python results for the key rows (values; Check sheet reads these)</t>
        </is>
      </c>
    </row>
    <row r="2">
      <c r="A2" t="inlineStr">
        <is>
          <t>key</t>
        </is>
      </c>
      <c r="B2" t="inlineStr">
        <is>
          <t>iso</t>
        </is>
      </c>
      <c r="C2" t="inlineStr">
        <is>
          <t>code</t>
        </is>
      </c>
      <c r="D2" t="n">
        <v>2024</v>
      </c>
      <c r="E2" t="n">
        <v>2025</v>
      </c>
      <c r="F2" t="n">
        <v>2030</v>
      </c>
      <c r="G2" t="n">
        <v>2040</v>
      </c>
      <c r="H2" t="n">
        <v>2050</v>
      </c>
    </row>
    <row r="3">
      <c r="A3" t="inlineStr">
        <is>
          <t>ABW|mit.gdp.lvl</t>
        </is>
      </c>
      <c r="B3" t="inlineStr">
        <is>
          <t>ABW</t>
        </is>
      </c>
      <c r="C3" t="inlineStr">
        <is>
          <t>mit.gdp.lvl</t>
        </is>
      </c>
      <c r="D3" t="n">
        <v>4.285</v>
      </c>
      <c r="E3" t="n">
        <v>4.5253028</v>
      </c>
      <c r="F3" t="n">
        <v>5.031379268</v>
      </c>
      <c r="G3" t="n">
        <v>5.979228596</v>
      </c>
      <c r="H3" t="n">
        <v>6.939138887</v>
      </c>
    </row>
    <row r="4">
      <c r="A4" t="inlineStr">
        <is>
          <t>AFG|mit.gdp.lvl</t>
        </is>
      </c>
      <c r="B4" t="inlineStr">
        <is>
          <t>AFG</t>
        </is>
      </c>
      <c r="C4" t="inlineStr">
        <is>
          <t>mit.gdp.lvl</t>
        </is>
      </c>
      <c r="D4" t="n">
        <v>17.817</v>
      </c>
      <c r="E4" t="n">
        <v>18.35222268</v>
      </c>
      <c r="F4" t="n">
        <v>21.49737277</v>
      </c>
      <c r="G4" t="n">
        <v>31.87464869</v>
      </c>
      <c r="H4" t="n">
        <v>49.50035475</v>
      </c>
    </row>
    <row r="5">
      <c r="A5" t="inlineStr">
        <is>
          <t>AGO|mit.gdp.lvl</t>
        </is>
      </c>
      <c r="B5" t="inlineStr">
        <is>
          <t>AGO</t>
        </is>
      </c>
      <c r="C5" t="inlineStr">
        <is>
          <t>mit.gdp.lvl</t>
        </is>
      </c>
      <c r="D5" t="n">
        <v>119.574</v>
      </c>
      <c r="E5" t="n">
        <v>123.3166662</v>
      </c>
      <c r="F5" t="n">
        <v>139.7773715</v>
      </c>
      <c r="G5" t="n">
        <v>196.2392752</v>
      </c>
      <c r="H5" t="n">
        <v>290.4820656</v>
      </c>
    </row>
    <row r="6">
      <c r="A6" t="inlineStr">
        <is>
          <t>ALB|mit.gdp.lvl</t>
        </is>
      </c>
      <c r="B6" t="inlineStr">
        <is>
          <t>ALB</t>
        </is>
      </c>
      <c r="C6" t="inlineStr">
        <is>
          <t>mit.gdp.lvl</t>
        </is>
      </c>
      <c r="D6" t="n">
        <v>27.084</v>
      </c>
      <c r="E6" t="n">
        <v>28.0874622</v>
      </c>
      <c r="F6" t="n">
        <v>33.11896365</v>
      </c>
      <c r="G6" t="n">
        <v>45.08033566</v>
      </c>
      <c r="H6" t="n">
        <v>60.58420148</v>
      </c>
    </row>
    <row r="7">
      <c r="A7" t="inlineStr">
        <is>
          <t>ARE|mit.gdp.lvl</t>
        </is>
      </c>
      <c r="B7" t="inlineStr">
        <is>
          <t>ARE</t>
        </is>
      </c>
      <c r="C7" t="inlineStr">
        <is>
          <t>mit.gdp.lvl</t>
        </is>
      </c>
      <c r="D7" t="n">
        <v>552.325</v>
      </c>
      <c r="E7" t="n">
        <v>584.381943</v>
      </c>
      <c r="F7" t="n">
        <v>674.4436687</v>
      </c>
      <c r="G7" t="n">
        <v>824.3663869</v>
      </c>
      <c r="H7" t="n">
        <v>956.7108467</v>
      </c>
    </row>
    <row r="8">
      <c r="A8" t="inlineStr">
        <is>
          <t>ARG|mit.gdp.lvl</t>
        </is>
      </c>
      <c r="B8" t="inlineStr">
        <is>
          <t>ARG</t>
        </is>
      </c>
      <c r="C8" t="inlineStr">
        <is>
          <t>mit.gdp.lvl</t>
        </is>
      </c>
      <c r="D8" t="n">
        <v>637.234</v>
      </c>
      <c r="E8" t="n">
        <v>665.0620087999999</v>
      </c>
      <c r="F8" t="n">
        <v>779.0351204</v>
      </c>
      <c r="G8" t="n">
        <v>962.9461735</v>
      </c>
      <c r="H8" t="n">
        <v>1117.538347</v>
      </c>
    </row>
    <row r="9">
      <c r="A9" t="inlineStr">
        <is>
          <t>ARM|mit.gdp.lvl</t>
        </is>
      </c>
      <c r="B9" t="inlineStr">
        <is>
          <t>ARM</t>
        </is>
      </c>
      <c r="C9" t="inlineStr">
        <is>
          <t>mit.gdp.lvl</t>
        </is>
      </c>
      <c r="D9" t="n">
        <v>25.955</v>
      </c>
      <c r="E9" t="n">
        <v>27.8138971</v>
      </c>
      <c r="F9" t="n">
        <v>35.44965908</v>
      </c>
      <c r="G9" t="n">
        <v>51.16814437</v>
      </c>
      <c r="H9" t="n">
        <v>68.76570732</v>
      </c>
    </row>
    <row r="10">
      <c r="A10" t="inlineStr">
        <is>
          <t>ATG|mit.gdp.lvl</t>
        </is>
      </c>
      <c r="B10" t="inlineStr">
        <is>
          <t>ATG</t>
        </is>
      </c>
      <c r="C10" t="inlineStr">
        <is>
          <t>mit.gdp.lvl</t>
        </is>
      </c>
      <c r="D10" t="n">
        <v>2.162</v>
      </c>
      <c r="E10" t="n">
        <v>2.22770318</v>
      </c>
      <c r="F10" t="n">
        <v>2.512680623</v>
      </c>
      <c r="G10" t="n">
        <v>3.018515736</v>
      </c>
      <c r="H10" t="n">
        <v>3.503110743</v>
      </c>
    </row>
    <row r="11">
      <c r="A11" t="inlineStr">
        <is>
          <t>AUS|mit.gdp.lvl</t>
        </is>
      </c>
      <c r="B11" t="inlineStr">
        <is>
          <t>AUS</t>
        </is>
      </c>
      <c r="C11" t="inlineStr">
        <is>
          <t>mit.gdp.lvl</t>
        </is>
      </c>
      <c r="D11" t="n">
        <v>1799.418</v>
      </c>
      <c r="E11" t="n">
        <v>1834.884529</v>
      </c>
      <c r="F11" t="n">
        <v>2019.540131</v>
      </c>
      <c r="G11" t="n">
        <v>2381.8003</v>
      </c>
      <c r="H11" t="n">
        <v>2764.176485</v>
      </c>
    </row>
    <row r="12">
      <c r="A12" t="inlineStr">
        <is>
          <t>AUT|mit.gdp.lvl</t>
        </is>
      </c>
      <c r="B12" t="inlineStr">
        <is>
          <t>AUT</t>
        </is>
      </c>
      <c r="C12" t="inlineStr">
        <is>
          <t>mit.gdp.lvl</t>
        </is>
      </c>
      <c r="D12" t="n">
        <v>534.63</v>
      </c>
      <c r="E12" t="n">
        <v>537.9233208000001</v>
      </c>
      <c r="F12" t="n">
        <v>559.7546161</v>
      </c>
      <c r="G12" t="n">
        <v>632.9763023</v>
      </c>
      <c r="H12" t="n">
        <v>734.5948402</v>
      </c>
    </row>
    <row r="13">
      <c r="A13" t="inlineStr">
        <is>
          <t>AZE|mit.gdp.lvl</t>
        </is>
      </c>
      <c r="B13" t="inlineStr">
        <is>
          <t>AZE</t>
        </is>
      </c>
      <c r="C13" t="inlineStr">
        <is>
          <t>mit.gdp.lvl</t>
        </is>
      </c>
      <c r="D13" t="n">
        <v>74.426</v>
      </c>
      <c r="E13" t="n">
        <v>75.46796399999999</v>
      </c>
      <c r="F13" t="n">
        <v>84.67449276000001</v>
      </c>
      <c r="G13" t="n">
        <v>111.0438862</v>
      </c>
      <c r="H13" t="n">
        <v>149.2336975</v>
      </c>
    </row>
    <row r="14">
      <c r="A14" t="inlineStr">
        <is>
          <t>BDI|mit.gdp.lvl</t>
        </is>
      </c>
      <c r="B14" t="inlineStr">
        <is>
          <t>BDI</t>
        </is>
      </c>
      <c r="C14" t="inlineStr">
        <is>
          <t>mit.gdp.lvl</t>
        </is>
      </c>
      <c r="D14" t="n">
        <v>4.838</v>
      </c>
      <c r="E14" t="n">
        <v>5.02687552</v>
      </c>
      <c r="F14" t="n">
        <v>6.091380544</v>
      </c>
      <c r="G14" t="n">
        <v>9.263352011</v>
      </c>
      <c r="H14" t="n">
        <v>14.38570242</v>
      </c>
    </row>
    <row r="15">
      <c r="A15" t="inlineStr">
        <is>
          <t>BEL|mit.gdp.lvl</t>
        </is>
      </c>
      <c r="B15" t="inlineStr">
        <is>
          <t>BEL</t>
        </is>
      </c>
      <c r="C15" t="inlineStr">
        <is>
          <t>mit.gdp.lvl</t>
        </is>
      </c>
      <c r="D15" t="n">
        <v>671.168</v>
      </c>
      <c r="E15" t="n">
        <v>677.6917529999999</v>
      </c>
      <c r="F15" t="n">
        <v>704.5659831</v>
      </c>
      <c r="G15" t="n">
        <v>796.1988595</v>
      </c>
      <c r="H15" t="n">
        <v>924.0212813000001</v>
      </c>
    </row>
    <row r="16">
      <c r="A16" t="inlineStr">
        <is>
          <t>BEN|mit.gdp.lvl</t>
        </is>
      </c>
      <c r="B16" t="inlineStr">
        <is>
          <t>BEN</t>
        </is>
      </c>
      <c r="C16" t="inlineStr">
        <is>
          <t>mit.gdp.lvl</t>
        </is>
      </c>
      <c r="D16" t="n">
        <v>21.487</v>
      </c>
      <c r="E16" t="n">
        <v>23.098525</v>
      </c>
      <c r="F16" t="n">
        <v>31.82353407</v>
      </c>
      <c r="G16" t="n">
        <v>53.30375956</v>
      </c>
      <c r="H16" t="n">
        <v>82.77910866000001</v>
      </c>
    </row>
    <row r="17">
      <c r="A17" t="inlineStr">
        <is>
          <t>BFA|mit.gdp.lvl</t>
        </is>
      </c>
      <c r="B17" t="inlineStr">
        <is>
          <t>BFA</t>
        </is>
      </c>
      <c r="C17" t="inlineStr">
        <is>
          <t>mit.gdp.lvl</t>
        </is>
      </c>
      <c r="D17" t="n">
        <v>23.13</v>
      </c>
      <c r="E17" t="n">
        <v>24.2853435</v>
      </c>
      <c r="F17" t="n">
        <v>30.71090475</v>
      </c>
      <c r="G17" t="n">
        <v>48.22076543</v>
      </c>
      <c r="H17" t="n">
        <v>74.88537420999999</v>
      </c>
    </row>
    <row r="18">
      <c r="A18" t="inlineStr">
        <is>
          <t>BGD|mit.gdp.lvl</t>
        </is>
      </c>
      <c r="B18" t="inlineStr">
        <is>
          <t>BGD</t>
        </is>
      </c>
      <c r="C18" t="inlineStr">
        <is>
          <t>mit.gdp.lvl</t>
        </is>
      </c>
      <c r="D18" t="n">
        <v>450.461</v>
      </c>
      <c r="E18" t="n">
        <v>466.1820889</v>
      </c>
      <c r="F18" t="n">
        <v>583.5646250999999</v>
      </c>
      <c r="G18" t="n">
        <v>882.4908242</v>
      </c>
      <c r="H18" t="n">
        <v>1306.301999</v>
      </c>
    </row>
    <row r="19">
      <c r="A19" t="inlineStr">
        <is>
          <t>BGR|mit.gdp.lvl</t>
        </is>
      </c>
      <c r="B19" t="inlineStr">
        <is>
          <t>BGR</t>
        </is>
      </c>
      <c r="C19" t="inlineStr">
        <is>
          <t>mit.gdp.lvl</t>
        </is>
      </c>
      <c r="D19" t="n">
        <v>113.364</v>
      </c>
      <c r="E19" t="n">
        <v>116.8737494</v>
      </c>
      <c r="F19" t="n">
        <v>134.2137968</v>
      </c>
      <c r="G19" t="n">
        <v>179.0982619</v>
      </c>
      <c r="H19" t="n">
        <v>240.6930876</v>
      </c>
    </row>
    <row r="20">
      <c r="A20" t="inlineStr">
        <is>
          <t>BHR|mit.gdp.lvl</t>
        </is>
      </c>
      <c r="B20" t="inlineStr">
        <is>
          <t>BHR</t>
        </is>
      </c>
      <c r="C20" t="inlineStr">
        <is>
          <t>mit.gdp.lvl</t>
        </is>
      </c>
      <c r="D20" t="n">
        <v>47.21</v>
      </c>
      <c r="E20" t="n">
        <v>48.6777589</v>
      </c>
      <c r="F20" t="n">
        <v>48.16001726</v>
      </c>
      <c r="G20" t="n">
        <v>52.44827137</v>
      </c>
      <c r="H20" t="n">
        <v>60.86836013</v>
      </c>
    </row>
    <row r="21">
      <c r="A21" t="inlineStr">
        <is>
          <t>BHS|mit.gdp.lvl</t>
        </is>
      </c>
      <c r="B21" t="inlineStr">
        <is>
          <t>BHS</t>
        </is>
      </c>
      <c r="C21" t="inlineStr">
        <is>
          <t>mit.gdp.lvl</t>
        </is>
      </c>
      <c r="D21" t="n">
        <v>15.833</v>
      </c>
      <c r="E21" t="n">
        <v>16.276324</v>
      </c>
      <c r="F21" t="n">
        <v>17.98294883</v>
      </c>
      <c r="G21" t="n">
        <v>21.26974192</v>
      </c>
      <c r="H21" t="n">
        <v>24.68440383</v>
      </c>
    </row>
    <row r="22">
      <c r="A22" t="inlineStr">
        <is>
          <t>BIH|mit.gdp.lvl</t>
        </is>
      </c>
      <c r="B22" t="inlineStr">
        <is>
          <t>BIH</t>
        </is>
      </c>
      <c r="C22" t="inlineStr">
        <is>
          <t>mit.gdp.lvl</t>
        </is>
      </c>
      <c r="D22" t="n">
        <v>29.738</v>
      </c>
      <c r="E22" t="n">
        <v>30.33276</v>
      </c>
      <c r="F22" t="n">
        <v>34.00890389</v>
      </c>
      <c r="G22" t="n">
        <v>44.57624487</v>
      </c>
      <c r="H22" t="n">
        <v>59.90674561</v>
      </c>
    </row>
    <row r="23">
      <c r="A23" t="inlineStr">
        <is>
          <t>BLR|mit.gdp.lvl</t>
        </is>
      </c>
      <c r="B23" t="inlineStr">
        <is>
          <t>BLR</t>
        </is>
      </c>
      <c r="C23" t="inlineStr">
        <is>
          <t>mit.gdp.lvl</t>
        </is>
      </c>
      <c r="D23" t="n">
        <v>78.84699999999999</v>
      </c>
      <c r="E23" t="n">
        <v>79.84283761</v>
      </c>
      <c r="F23" t="n">
        <v>85.90383831</v>
      </c>
      <c r="G23" t="n">
        <v>109.1857186</v>
      </c>
      <c r="H23" t="n">
        <v>146.7364756</v>
      </c>
    </row>
    <row r="24">
      <c r="A24" t="inlineStr">
        <is>
          <t>BLZ|mit.gdp.lvl</t>
        </is>
      </c>
      <c r="B24" t="inlineStr">
        <is>
          <t>BLZ</t>
        </is>
      </c>
      <c r="C24" t="inlineStr">
        <is>
          <t>mit.gdp.lvl</t>
        </is>
      </c>
      <c r="D24" t="n">
        <v>3.204</v>
      </c>
      <c r="E24" t="n">
        <v>3.29201388</v>
      </c>
      <c r="F24" t="n">
        <v>3.689748901</v>
      </c>
      <c r="G24" t="n">
        <v>4.835026406</v>
      </c>
      <c r="H24" t="n">
        <v>6.497871181</v>
      </c>
    </row>
    <row r="25">
      <c r="A25" t="inlineStr">
        <is>
          <t>BOL|mit.gdp.lvl</t>
        </is>
      </c>
      <c r="B25" t="inlineStr">
        <is>
          <t>BOL</t>
        </is>
      </c>
      <c r="C25" t="inlineStr">
        <is>
          <t>mit.gdp.lvl</t>
        </is>
      </c>
      <c r="D25" t="n">
        <v>55.281</v>
      </c>
      <c r="E25" t="n">
        <v>54.617628</v>
      </c>
      <c r="F25" t="n">
        <v>48.75083639</v>
      </c>
      <c r="G25" t="n">
        <v>57.40437544</v>
      </c>
      <c r="H25" t="n">
        <v>84.97249868</v>
      </c>
    </row>
    <row r="26">
      <c r="A26" t="inlineStr">
        <is>
          <t>BRA|mit.gdp.lvl</t>
        </is>
      </c>
      <c r="B26" t="inlineStr">
        <is>
          <t>BRA</t>
        </is>
      </c>
      <c r="C26" t="inlineStr">
        <is>
          <t>mit.gdp.lvl</t>
        </is>
      </c>
      <c r="D26" t="n">
        <v>2185.822</v>
      </c>
      <c r="E26" t="n">
        <v>2235.789891</v>
      </c>
      <c r="F26" t="n">
        <v>2476.551474</v>
      </c>
      <c r="G26" t="n">
        <v>3216.807687</v>
      </c>
      <c r="H26" t="n">
        <v>4323.12054</v>
      </c>
    </row>
    <row r="27">
      <c r="A27" t="inlineStr">
        <is>
          <t>BRB|mit.gdp.lvl</t>
        </is>
      </c>
      <c r="B27" t="inlineStr">
        <is>
          <t>BRB</t>
        </is>
      </c>
      <c r="C27" t="inlineStr">
        <is>
          <t>mit.gdp.lvl</t>
        </is>
      </c>
      <c r="D27" t="n">
        <v>7.598</v>
      </c>
      <c r="E27" t="n">
        <v>7.80641314</v>
      </c>
      <c r="F27" t="n">
        <v>8.757996895</v>
      </c>
      <c r="G27" t="n">
        <v>10.47872799</v>
      </c>
      <c r="H27" t="n">
        <v>12.16099163</v>
      </c>
    </row>
    <row r="28">
      <c r="A28" t="inlineStr">
        <is>
          <t>BRN|mit.gdp.lvl</t>
        </is>
      </c>
      <c r="B28" t="inlineStr">
        <is>
          <t>BRN</t>
        </is>
      </c>
      <c r="C28" t="inlineStr">
        <is>
          <t>mit.gdp.lvl</t>
        </is>
      </c>
      <c r="D28" t="n">
        <v>15.334</v>
      </c>
      <c r="E28" t="n">
        <v>15.426004</v>
      </c>
      <c r="F28" t="n">
        <v>17.40446086</v>
      </c>
      <c r="G28" t="n">
        <v>20.91281678</v>
      </c>
      <c r="H28" t="n">
        <v>24.27017764</v>
      </c>
    </row>
    <row r="29">
      <c r="A29" t="inlineStr">
        <is>
          <t>BTN|mit.gdp.lvl</t>
        </is>
      </c>
      <c r="B29" t="inlineStr">
        <is>
          <t>BTN</t>
        </is>
      </c>
      <c r="C29" t="inlineStr">
        <is>
          <t>mit.gdp.lvl</t>
        </is>
      </c>
      <c r="D29" t="n">
        <v>3.147</v>
      </c>
      <c r="E29" t="n">
        <v>3.37116081</v>
      </c>
      <c r="F29" t="n">
        <v>4.72393513</v>
      </c>
      <c r="G29" t="n">
        <v>7.779860391</v>
      </c>
      <c r="H29" t="n">
        <v>11.51609388</v>
      </c>
    </row>
    <row r="30">
      <c r="A30" t="inlineStr">
        <is>
          <t>BWA|mit.gdp.lvl</t>
        </is>
      </c>
      <c r="B30" t="inlineStr">
        <is>
          <t>BWA</t>
        </is>
      </c>
      <c r="C30" t="inlineStr">
        <is>
          <t>mit.gdp.lvl</t>
        </is>
      </c>
      <c r="D30" t="n">
        <v>19.356</v>
      </c>
      <c r="E30" t="n">
        <v>19.18431228</v>
      </c>
      <c r="F30" t="n">
        <v>23.90599216</v>
      </c>
      <c r="G30" t="n">
        <v>33.92286168</v>
      </c>
      <c r="H30" t="n">
        <v>45.58948944</v>
      </c>
    </row>
    <row r="31">
      <c r="A31" t="inlineStr">
        <is>
          <t>CAF|mit.gdp.lvl</t>
        </is>
      </c>
      <c r="B31" t="inlineStr">
        <is>
          <t>CAF</t>
        </is>
      </c>
      <c r="C31" t="inlineStr">
        <is>
          <t>mit.gdp.lvl</t>
        </is>
      </c>
      <c r="D31" t="n">
        <v>2.868</v>
      </c>
      <c r="E31" t="n">
        <v>3.00569268</v>
      </c>
      <c r="F31" t="n">
        <v>3.464574453</v>
      </c>
      <c r="G31" t="n">
        <v>5.075771056</v>
      </c>
      <c r="H31" t="n">
        <v>7.882517241</v>
      </c>
    </row>
    <row r="32">
      <c r="A32" t="inlineStr">
        <is>
          <t>CAN|mit.gdp.lvl</t>
        </is>
      </c>
      <c r="B32" t="inlineStr">
        <is>
          <t>CAN</t>
        </is>
      </c>
      <c r="C32" t="inlineStr">
        <is>
          <t>mit.gdp.lvl</t>
        </is>
      </c>
      <c r="D32" t="n">
        <v>2270.076</v>
      </c>
      <c r="E32" t="n">
        <v>2309.643425</v>
      </c>
      <c r="F32" t="n">
        <v>2488.141916</v>
      </c>
      <c r="G32" t="n">
        <v>2887.590272</v>
      </c>
      <c r="H32" t="n">
        <v>3351.166397</v>
      </c>
    </row>
    <row r="33">
      <c r="A33" t="inlineStr">
        <is>
          <t>CHE|mit.gdp.lvl</t>
        </is>
      </c>
      <c r="B33" t="inlineStr">
        <is>
          <t>CHE</t>
        </is>
      </c>
      <c r="C33" t="inlineStr">
        <is>
          <t>mit.gdp.lvl</t>
        </is>
      </c>
      <c r="D33" t="n">
        <v>970.1900000000001</v>
      </c>
      <c r="E33" t="n">
        <v>982.5308168</v>
      </c>
      <c r="F33" t="n">
        <v>1051.422088</v>
      </c>
      <c r="G33" t="n">
        <v>1214.125982</v>
      </c>
      <c r="H33" t="n">
        <v>1409.042768</v>
      </c>
    </row>
    <row r="34">
      <c r="A34" t="inlineStr">
        <is>
          <t>CHL|mit.gdp.lvl</t>
        </is>
      </c>
      <c r="B34" t="inlineStr">
        <is>
          <t>CHL</t>
        </is>
      </c>
      <c r="C34" t="inlineStr">
        <is>
          <t>mit.gdp.lvl</t>
        </is>
      </c>
      <c r="D34" t="n">
        <v>330.21</v>
      </c>
      <c r="E34" t="n">
        <v>337.7784132</v>
      </c>
      <c r="F34" t="n">
        <v>377.8590728</v>
      </c>
      <c r="G34" t="n">
        <v>451.1163665</v>
      </c>
      <c r="H34" t="n">
        <v>523.5389602</v>
      </c>
    </row>
    <row r="35">
      <c r="A35" t="inlineStr">
        <is>
          <t>CHN|mit.gdp.lvl</t>
        </is>
      </c>
      <c r="B35" t="inlineStr">
        <is>
          <t>CHN</t>
        </is>
      </c>
      <c r="C35" t="inlineStr">
        <is>
          <t>mit.gdp.lvl</t>
        </is>
      </c>
      <c r="D35" t="n">
        <v>18945.112</v>
      </c>
      <c r="E35" t="n">
        <v>19884.6001</v>
      </c>
      <c r="F35" t="n">
        <v>24439.12306</v>
      </c>
      <c r="G35" t="n">
        <v>34320.13084</v>
      </c>
      <c r="H35" t="n">
        <v>46123.38598</v>
      </c>
    </row>
    <row r="36">
      <c r="A36" t="inlineStr">
        <is>
          <t>CIV|mit.gdp.lvl</t>
        </is>
      </c>
      <c r="B36" t="inlineStr">
        <is>
          <t>CIV</t>
        </is>
      </c>
      <c r="C36" t="inlineStr">
        <is>
          <t>mit.gdp.lvl</t>
        </is>
      </c>
      <c r="D36" t="n">
        <v>87.13200000000001</v>
      </c>
      <c r="E36" t="n">
        <v>92.79558</v>
      </c>
      <c r="F36" t="n">
        <v>123.5120588</v>
      </c>
      <c r="G36" t="n">
        <v>195.6284896</v>
      </c>
      <c r="H36" t="n">
        <v>289.5779537</v>
      </c>
    </row>
    <row r="37">
      <c r="A37" t="inlineStr">
        <is>
          <t>CMR|mit.gdp.lvl</t>
        </is>
      </c>
      <c r="B37" t="inlineStr">
        <is>
          <t>CMR</t>
        </is>
      </c>
      <c r="C37" t="inlineStr">
        <is>
          <t>mit.gdp.lvl</t>
        </is>
      </c>
      <c r="D37" t="n">
        <v>53.308</v>
      </c>
      <c r="E37" t="n">
        <v>54.94615484</v>
      </c>
      <c r="F37" t="n">
        <v>65.06260322</v>
      </c>
      <c r="G37" t="n">
        <v>94.37284289</v>
      </c>
      <c r="H37" t="n">
        <v>139.6948613</v>
      </c>
    </row>
    <row r="38">
      <c r="A38" t="inlineStr">
        <is>
          <t>COD|mit.gdp.lvl</t>
        </is>
      </c>
      <c r="B38" t="inlineStr">
        <is>
          <t>COD</t>
        </is>
      </c>
      <c r="C38" t="inlineStr">
        <is>
          <t>mit.gdp.lvl</t>
        </is>
      </c>
      <c r="D38" t="n">
        <v>76.73099999999999</v>
      </c>
      <c r="E38" t="n">
        <v>81.13996326</v>
      </c>
      <c r="F38" t="n">
        <v>107.0595481</v>
      </c>
      <c r="G38" t="n">
        <v>173.5588837</v>
      </c>
      <c r="H38" t="n">
        <v>269.5316392</v>
      </c>
    </row>
    <row r="39">
      <c r="A39" t="inlineStr">
        <is>
          <t>COG|mit.gdp.lvl</t>
        </is>
      </c>
      <c r="B39" t="inlineStr">
        <is>
          <t>COG</t>
        </is>
      </c>
      <c r="C39" t="inlineStr">
        <is>
          <t>mit.gdp.lvl</t>
        </is>
      </c>
      <c r="D39" t="n">
        <v>14.774</v>
      </c>
      <c r="E39" t="n">
        <v>15.12370058</v>
      </c>
      <c r="F39" t="n">
        <v>17.53513199</v>
      </c>
      <c r="G39" t="n">
        <v>25.03758035</v>
      </c>
      <c r="H39" t="n">
        <v>37.06173522</v>
      </c>
    </row>
    <row r="40">
      <c r="A40" t="inlineStr">
        <is>
          <t>COL|mit.gdp.lvl</t>
        </is>
      </c>
      <c r="B40" t="inlineStr">
        <is>
          <t>COL</t>
        </is>
      </c>
      <c r="C40" t="inlineStr">
        <is>
          <t>mit.gdp.lvl</t>
        </is>
      </c>
      <c r="D40" t="n">
        <v>420.504</v>
      </c>
      <c r="E40" t="n">
        <v>431.6137157</v>
      </c>
      <c r="F40" t="n">
        <v>486.8081464</v>
      </c>
      <c r="G40" t="n">
        <v>640.9134356</v>
      </c>
      <c r="H40" t="n">
        <v>861.3340638</v>
      </c>
    </row>
    <row r="41">
      <c r="A41" t="inlineStr">
        <is>
          <t>COM|mit.gdp.lvl</t>
        </is>
      </c>
      <c r="B41" t="inlineStr">
        <is>
          <t>COM</t>
        </is>
      </c>
      <c r="C41" t="inlineStr">
        <is>
          <t>mit.gdp.lvl</t>
        </is>
      </c>
      <c r="D41" t="n">
        <v>1.442</v>
      </c>
      <c r="E41" t="n">
        <v>1.49644992</v>
      </c>
      <c r="F41" t="n">
        <v>1.833173176</v>
      </c>
      <c r="G41" t="n">
        <v>2.810547541</v>
      </c>
      <c r="H41" t="n">
        <v>4.364694389</v>
      </c>
    </row>
    <row r="42">
      <c r="A42" t="inlineStr">
        <is>
          <t>CPV|mit.gdp.lvl</t>
        </is>
      </c>
      <c r="B42" t="inlineStr">
        <is>
          <t>CPV</t>
        </is>
      </c>
      <c r="C42" t="inlineStr">
        <is>
          <t>mit.gdp.lvl</t>
        </is>
      </c>
      <c r="D42" t="n">
        <v>2.726</v>
      </c>
      <c r="E42" t="n">
        <v>2.87628438</v>
      </c>
      <c r="F42" t="n">
        <v>3.614407824</v>
      </c>
      <c r="G42" t="n">
        <v>5.481710157</v>
      </c>
      <c r="H42" t="n">
        <v>8.114270132</v>
      </c>
    </row>
    <row r="43">
      <c r="A43" t="inlineStr">
        <is>
          <t>CRI|mit.gdp.lvl</t>
        </is>
      </c>
      <c r="B43" t="inlineStr">
        <is>
          <t>CRI</t>
        </is>
      </c>
      <c r="C43" t="inlineStr">
        <is>
          <t>mit.gdp.lvl</t>
        </is>
      </c>
      <c r="D43" t="n">
        <v>96.73</v>
      </c>
      <c r="E43" t="n">
        <v>101.140888</v>
      </c>
      <c r="F43" t="n">
        <v>120.0075413</v>
      </c>
      <c r="G43" t="n">
        <v>164.1198386</v>
      </c>
      <c r="H43" t="n">
        <v>220.5633392</v>
      </c>
    </row>
    <row r="44">
      <c r="A44" t="inlineStr">
        <is>
          <t>CYP|mit.gdp.lvl</t>
        </is>
      </c>
      <c r="B44" t="inlineStr">
        <is>
          <t>CYP</t>
        </is>
      </c>
      <c r="C44" t="inlineStr">
        <is>
          <t>mit.gdp.lvl</t>
        </is>
      </c>
      <c r="D44" t="n">
        <v>37.623</v>
      </c>
      <c r="E44" t="n">
        <v>39.04025841</v>
      </c>
      <c r="F44" t="n">
        <v>44.70159382</v>
      </c>
      <c r="G44" t="n">
        <v>54.31282462</v>
      </c>
      <c r="H44" t="n">
        <v>63.03225029</v>
      </c>
    </row>
    <row r="45">
      <c r="A45" t="inlineStr">
        <is>
          <t>CZE|mit.gdp.lvl</t>
        </is>
      </c>
      <c r="B45" t="inlineStr">
        <is>
          <t>CZE</t>
        </is>
      </c>
      <c r="C45" t="inlineStr">
        <is>
          <t>mit.gdp.lvl</t>
        </is>
      </c>
      <c r="D45" t="n">
        <v>347.083</v>
      </c>
      <c r="E45" t="n">
        <v>355.9266748</v>
      </c>
      <c r="F45" t="n">
        <v>395.4653161</v>
      </c>
      <c r="G45" t="n">
        <v>469.7287866</v>
      </c>
      <c r="H45" t="n">
        <v>545.1394335</v>
      </c>
    </row>
    <row r="46">
      <c r="A46" t="inlineStr">
        <is>
          <t>DEU|mit.gdp.lvl</t>
        </is>
      </c>
      <c r="B46" t="inlineStr">
        <is>
          <t>DEU</t>
        </is>
      </c>
      <c r="C46" t="inlineStr">
        <is>
          <t>mit.gdp.lvl</t>
        </is>
      </c>
      <c r="D46" t="n">
        <v>4684.182</v>
      </c>
      <c r="E46" t="n">
        <v>4695.424037</v>
      </c>
      <c r="F46" t="n">
        <v>4908.672722</v>
      </c>
      <c r="G46" t="n">
        <v>5570.03675</v>
      </c>
      <c r="H46" t="n">
        <v>6464.255045</v>
      </c>
    </row>
    <row r="47">
      <c r="A47" t="inlineStr">
        <is>
          <t>DJI|mit.gdp.lvl</t>
        </is>
      </c>
      <c r="B47" t="inlineStr">
        <is>
          <t>DJI</t>
        </is>
      </c>
      <c r="C47" t="inlineStr">
        <is>
          <t>mit.gdp.lvl</t>
        </is>
      </c>
      <c r="D47" t="n">
        <v>4.152</v>
      </c>
      <c r="E47" t="n">
        <v>4.40112</v>
      </c>
      <c r="F47" t="n">
        <v>5.810689154</v>
      </c>
      <c r="G47" t="n">
        <v>9.147241489000001</v>
      </c>
      <c r="H47" t="n">
        <v>13.54015194</v>
      </c>
    </row>
    <row r="48">
      <c r="A48" t="inlineStr">
        <is>
          <t>DMA|mit.gdp.lvl</t>
        </is>
      </c>
      <c r="B48" t="inlineStr">
        <is>
          <t>DMA</t>
        </is>
      </c>
      <c r="C48" t="inlineStr">
        <is>
          <t>mit.gdp.lvl</t>
        </is>
      </c>
      <c r="D48" t="n">
        <v>0.6889999999999999</v>
      </c>
      <c r="E48" t="n">
        <v>0.72029438</v>
      </c>
      <c r="F48" t="n">
        <v>0.8397893821</v>
      </c>
      <c r="G48" t="n">
        <v>1.133440724</v>
      </c>
      <c r="H48" t="n">
        <v>1.523249554</v>
      </c>
    </row>
    <row r="49">
      <c r="A49" t="inlineStr">
        <is>
          <t>DNK|mit.gdp.lvl</t>
        </is>
      </c>
      <c r="B49" t="inlineStr">
        <is>
          <t>DNK</t>
        </is>
      </c>
      <c r="C49" t="inlineStr">
        <is>
          <t>mit.gdp.lvl</t>
        </is>
      </c>
      <c r="D49" t="n">
        <v>424.525</v>
      </c>
      <c r="E49" t="n">
        <v>436.7470748</v>
      </c>
      <c r="F49" t="n">
        <v>480.5177396</v>
      </c>
      <c r="G49" t="n">
        <v>566.5507026</v>
      </c>
      <c r="H49" t="n">
        <v>657.5052199</v>
      </c>
    </row>
    <row r="50">
      <c r="A50" t="inlineStr">
        <is>
          <t>DOM|mit.gdp.lvl</t>
        </is>
      </c>
      <c r="B50" t="inlineStr">
        <is>
          <t>DOM</t>
        </is>
      </c>
      <c r="C50" t="inlineStr">
        <is>
          <t>mit.gdp.lvl</t>
        </is>
      </c>
      <c r="D50" t="n">
        <v>124.613</v>
      </c>
      <c r="E50" t="n">
        <v>127.2510572</v>
      </c>
      <c r="F50" t="n">
        <v>151.9913696</v>
      </c>
      <c r="G50" t="n">
        <v>208.8977951</v>
      </c>
      <c r="H50" t="n">
        <v>280.7411685</v>
      </c>
    </row>
    <row r="51">
      <c r="A51" t="inlineStr">
        <is>
          <t>DZA|mit.gdp.lvl</t>
        </is>
      </c>
      <c r="B51" t="inlineStr">
        <is>
          <t>DZA</t>
        </is>
      </c>
      <c r="C51" t="inlineStr">
        <is>
          <t>mit.gdp.lvl</t>
        </is>
      </c>
      <c r="D51" t="n">
        <v>269.14</v>
      </c>
      <c r="E51" t="n">
        <v>279.4265308</v>
      </c>
      <c r="F51" t="n">
        <v>334.5405168</v>
      </c>
      <c r="G51" t="n">
        <v>460.610289</v>
      </c>
      <c r="H51" t="n">
        <v>619.0217118</v>
      </c>
    </row>
    <row r="52">
      <c r="A52" t="inlineStr">
        <is>
          <t>ECU|mit.gdp.lvl</t>
        </is>
      </c>
      <c r="B52" t="inlineStr">
        <is>
          <t>ECU</t>
        </is>
      </c>
      <c r="C52" t="inlineStr">
        <is>
          <t>mit.gdp.lvl</t>
        </is>
      </c>
      <c r="D52" t="n">
        <v>123.802</v>
      </c>
      <c r="E52" t="n">
        <v>128.4148625</v>
      </c>
      <c r="F52" t="n">
        <v>145.8574149</v>
      </c>
      <c r="G52" t="n">
        <v>193.0423922</v>
      </c>
      <c r="H52" t="n">
        <v>259.4328328</v>
      </c>
    </row>
    <row r="53">
      <c r="A53" t="inlineStr">
        <is>
          <t>EGY|mit.gdp.lvl</t>
        </is>
      </c>
      <c r="B53" t="inlineStr">
        <is>
          <t>EGY</t>
        </is>
      </c>
      <c r="C53" t="inlineStr">
        <is>
          <t>mit.gdp.lvl</t>
        </is>
      </c>
      <c r="D53" t="n">
        <v>383.105</v>
      </c>
      <c r="E53" t="n">
        <v>399.9309716</v>
      </c>
      <c r="F53" t="n">
        <v>491.408488</v>
      </c>
      <c r="G53" t="n">
        <v>732.8174150999999</v>
      </c>
      <c r="H53" t="n">
        <v>1084.748791</v>
      </c>
    </row>
    <row r="54">
      <c r="A54" t="inlineStr">
        <is>
          <t>ESP|mit.gdp.lvl</t>
        </is>
      </c>
      <c r="B54" t="inlineStr">
        <is>
          <t>ESP</t>
        </is>
      </c>
      <c r="C54" t="inlineStr">
        <is>
          <t>mit.gdp.lvl</t>
        </is>
      </c>
      <c r="D54" t="n">
        <v>1725.152</v>
      </c>
      <c r="E54" t="n">
        <v>1772.869704</v>
      </c>
      <c r="F54" t="n">
        <v>1957.938086</v>
      </c>
      <c r="G54" t="n">
        <v>2315.064515</v>
      </c>
      <c r="H54" t="n">
        <v>2686.726882</v>
      </c>
    </row>
    <row r="55">
      <c r="A55" t="inlineStr">
        <is>
          <t>EST|mit.gdp.lvl</t>
        </is>
      </c>
      <c r="B55" t="inlineStr">
        <is>
          <t>EST</t>
        </is>
      </c>
      <c r="C55" t="inlineStr">
        <is>
          <t>mit.gdp.lvl</t>
        </is>
      </c>
      <c r="D55" t="n">
        <v>43.117</v>
      </c>
      <c r="E55" t="n">
        <v>43.36880328</v>
      </c>
      <c r="F55" t="n">
        <v>46.5806224</v>
      </c>
      <c r="G55" t="n">
        <v>53.93728479</v>
      </c>
      <c r="H55" t="n">
        <v>62.59642098</v>
      </c>
    </row>
    <row r="56">
      <c r="A56" t="inlineStr">
        <is>
          <t>ETH|mit.gdp.lvl</t>
        </is>
      </c>
      <c r="B56" t="inlineStr">
        <is>
          <t>ETH</t>
        </is>
      </c>
      <c r="C56" t="inlineStr">
        <is>
          <t>mit.gdp.lvl</t>
        </is>
      </c>
      <c r="D56" t="n">
        <v>142.073</v>
      </c>
      <c r="E56" t="n">
        <v>155.0741002</v>
      </c>
      <c r="F56" t="n">
        <v>233.5110777</v>
      </c>
      <c r="G56" t="n">
        <v>418.4829742</v>
      </c>
      <c r="H56" t="n">
        <v>649.8912625</v>
      </c>
    </row>
    <row r="57">
      <c r="A57" t="inlineStr">
        <is>
          <t>FIN|mit.gdp.lvl</t>
        </is>
      </c>
      <c r="B57" t="inlineStr">
        <is>
          <t>FIN</t>
        </is>
      </c>
      <c r="C57" t="inlineStr">
        <is>
          <t>mit.gdp.lvl</t>
        </is>
      </c>
      <c r="D57" t="n">
        <v>298.639</v>
      </c>
      <c r="E57" t="n">
        <v>299.1556455</v>
      </c>
      <c r="F57" t="n">
        <v>316.1581261</v>
      </c>
      <c r="G57" t="n">
        <v>361.6831591</v>
      </c>
      <c r="H57" t="n">
        <v>419.7480718</v>
      </c>
    </row>
    <row r="58">
      <c r="A58" t="inlineStr">
        <is>
          <t>FJI|mit.gdp.lvl</t>
        </is>
      </c>
      <c r="B58" t="inlineStr">
        <is>
          <t>FJI</t>
        </is>
      </c>
      <c r="C58" t="inlineStr">
        <is>
          <t>mit.gdp.lvl</t>
        </is>
      </c>
      <c r="D58" t="n">
        <v>5.968</v>
      </c>
      <c r="E58" t="n">
        <v>6.15843888</v>
      </c>
      <c r="F58" t="n">
        <v>6.971588132</v>
      </c>
      <c r="G58" t="n">
        <v>9.203841688000001</v>
      </c>
      <c r="H58" t="n">
        <v>12.3691936</v>
      </c>
    </row>
    <row r="59">
      <c r="A59" t="inlineStr">
        <is>
          <t>FRA|mit.gdp.lvl</t>
        </is>
      </c>
      <c r="B59" t="inlineStr">
        <is>
          <t>FRA</t>
        </is>
      </c>
      <c r="C59" t="inlineStr">
        <is>
          <t>mit.gdp.lvl</t>
        </is>
      </c>
      <c r="D59" t="n">
        <v>3161.042</v>
      </c>
      <c r="E59" t="n">
        <v>3190.37647</v>
      </c>
      <c r="F59" t="n">
        <v>3344.775366</v>
      </c>
      <c r="G59" t="n">
        <v>3803.515455</v>
      </c>
      <c r="H59" t="n">
        <v>4414.134965</v>
      </c>
    </row>
    <row r="60">
      <c r="A60" t="inlineStr">
        <is>
          <t>GAB|mit.gdp.lvl</t>
        </is>
      </c>
      <c r="B60" t="inlineStr">
        <is>
          <t>GAB</t>
        </is>
      </c>
      <c r="C60" t="inlineStr">
        <is>
          <t>mit.gdp.lvl</t>
        </is>
      </c>
      <c r="D60" t="n">
        <v>20.9</v>
      </c>
      <c r="E60" t="n">
        <v>21.425008</v>
      </c>
      <c r="F60" t="n">
        <v>24.49316596</v>
      </c>
      <c r="G60" t="n">
        <v>32.57418916</v>
      </c>
      <c r="H60" t="n">
        <v>43.77698636</v>
      </c>
    </row>
    <row r="61">
      <c r="A61" t="inlineStr">
        <is>
          <t>GBR|mit.gdp.lvl</t>
        </is>
      </c>
      <c r="B61" t="inlineStr">
        <is>
          <t>GBR</t>
        </is>
      </c>
      <c r="C61" t="inlineStr">
        <is>
          <t>mit.gdp.lvl</t>
        </is>
      </c>
      <c r="D61" t="n">
        <v>3695.355</v>
      </c>
      <c r="E61" t="n">
        <v>3744.244547</v>
      </c>
      <c r="F61" t="n">
        <v>3915.292016</v>
      </c>
      <c r="G61" t="n">
        <v>4443.661019</v>
      </c>
      <c r="H61" t="n">
        <v>5157.050025</v>
      </c>
    </row>
    <row r="62">
      <c r="A62" t="inlineStr">
        <is>
          <t>GEO|mit.gdp.lvl</t>
        </is>
      </c>
      <c r="B62" t="inlineStr">
        <is>
          <t>GEO</t>
        </is>
      </c>
      <c r="C62" t="inlineStr">
        <is>
          <t>mit.gdp.lvl</t>
        </is>
      </c>
      <c r="D62" t="n">
        <v>34.191</v>
      </c>
      <c r="E62" t="n">
        <v>36.74233242</v>
      </c>
      <c r="F62" t="n">
        <v>47.16067028</v>
      </c>
      <c r="G62" t="n">
        <v>72.67644029</v>
      </c>
      <c r="H62" t="n">
        <v>107.5788854</v>
      </c>
    </row>
    <row r="63">
      <c r="A63" t="inlineStr">
        <is>
          <t>GHA|mit.gdp.lvl</t>
        </is>
      </c>
      <c r="B63" t="inlineStr">
        <is>
          <t>GHA</t>
        </is>
      </c>
      <c r="C63" t="inlineStr">
        <is>
          <t>mit.gdp.lvl</t>
        </is>
      </c>
      <c r="D63" t="n">
        <v>83.289</v>
      </c>
      <c r="E63" t="n">
        <v>88.24802706</v>
      </c>
      <c r="F63" t="n">
        <v>110.7267061</v>
      </c>
      <c r="G63" t="n">
        <v>167.7398749</v>
      </c>
      <c r="H63" t="n">
        <v>248.2959912</v>
      </c>
    </row>
    <row r="64">
      <c r="A64" t="inlineStr">
        <is>
          <t>GIN|mit.gdp.lvl</t>
        </is>
      </c>
      <c r="B64" t="inlineStr">
        <is>
          <t>GIN</t>
        </is>
      </c>
      <c r="C64" t="inlineStr">
        <is>
          <t>mit.gdp.lvl</t>
        </is>
      </c>
      <c r="D64" t="n">
        <v>24.233</v>
      </c>
      <c r="E64" t="n">
        <v>25.85346071</v>
      </c>
      <c r="F64" t="n">
        <v>38.12716888</v>
      </c>
      <c r="G64" t="n">
        <v>67.25080521</v>
      </c>
      <c r="H64" t="n">
        <v>104.4384441</v>
      </c>
    </row>
    <row r="65">
      <c r="A65" t="inlineStr">
        <is>
          <t>GMB|mit.gdp.lvl</t>
        </is>
      </c>
      <c r="B65" t="inlineStr">
        <is>
          <t>GMB</t>
        </is>
      </c>
      <c r="C65" t="inlineStr">
        <is>
          <t>mit.gdp.lvl</t>
        </is>
      </c>
      <c r="D65" t="n">
        <v>2.403</v>
      </c>
      <c r="E65" t="n">
        <v>2.54727612</v>
      </c>
      <c r="F65" t="n">
        <v>3.254844448</v>
      </c>
      <c r="G65" t="n">
        <v>5.150597805</v>
      </c>
      <c r="H65" t="n">
        <v>7.998720895</v>
      </c>
    </row>
    <row r="66">
      <c r="A66" t="inlineStr">
        <is>
          <t>GNB|mit.gdp.lvl</t>
        </is>
      </c>
      <c r="B66" t="inlineStr">
        <is>
          <t>GNB</t>
        </is>
      </c>
      <c r="C66" t="inlineStr">
        <is>
          <t>mit.gdp.lvl</t>
        </is>
      </c>
      <c r="D66" t="n">
        <v>2.186</v>
      </c>
      <c r="E66" t="n">
        <v>2.30623</v>
      </c>
      <c r="F66" t="n">
        <v>2.921438138</v>
      </c>
      <c r="G66" t="n">
        <v>4.593019769</v>
      </c>
      <c r="H66" t="n">
        <v>7.132819254</v>
      </c>
    </row>
    <row r="67">
      <c r="A67" t="inlineStr">
        <is>
          <t>GNQ|mit.gdp.lvl</t>
        </is>
      </c>
      <c r="B67" t="inlineStr">
        <is>
          <t>GNQ</t>
        </is>
      </c>
      <c r="C67" t="inlineStr">
        <is>
          <t>mit.gdp.lvl</t>
        </is>
      </c>
      <c r="D67" t="n">
        <v>12.769</v>
      </c>
      <c r="E67" t="n">
        <v>11.95714698</v>
      </c>
      <c r="F67" t="n">
        <v>10.87720135</v>
      </c>
      <c r="G67" t="n">
        <v>12.21369642</v>
      </c>
      <c r="H67" t="n">
        <v>16.41418667</v>
      </c>
    </row>
    <row r="68">
      <c r="A68" t="inlineStr">
        <is>
          <t>GRC|mit.gdp.lvl</t>
        </is>
      </c>
      <c r="B68" t="inlineStr">
        <is>
          <t>GRC</t>
        </is>
      </c>
      <c r="C68" t="inlineStr">
        <is>
          <t>mit.gdp.lvl</t>
        </is>
      </c>
      <c r="D68" t="n">
        <v>256.161</v>
      </c>
      <c r="E68" t="n">
        <v>261.4712175</v>
      </c>
      <c r="F68" t="n">
        <v>285.2889137</v>
      </c>
      <c r="G68" t="n">
        <v>334.2689076</v>
      </c>
      <c r="H68" t="n">
        <v>387.9327138</v>
      </c>
    </row>
    <row r="69">
      <c r="A69" t="inlineStr">
        <is>
          <t>GRD|mit.gdp.lvl</t>
        </is>
      </c>
      <c r="B69" t="inlineStr">
        <is>
          <t>GRD</t>
        </is>
      </c>
      <c r="C69" t="inlineStr">
        <is>
          <t>mit.gdp.lvl</t>
        </is>
      </c>
      <c r="D69" t="n">
        <v>1.351</v>
      </c>
      <c r="E69" t="n">
        <v>1.4105791</v>
      </c>
      <c r="F69" t="n">
        <v>1.642882522</v>
      </c>
      <c r="G69" t="n">
        <v>2.215625248</v>
      </c>
      <c r="H69" t="n">
        <v>2.977615062</v>
      </c>
    </row>
    <row r="70">
      <c r="A70" t="inlineStr">
        <is>
          <t>GTM|mit.gdp.lvl</t>
        </is>
      </c>
      <c r="B70" t="inlineStr">
        <is>
          <t>GTM</t>
        </is>
      </c>
      <c r="C70" t="inlineStr">
        <is>
          <t>mit.gdp.lvl</t>
        </is>
      </c>
      <c r="D70" t="n">
        <v>113.19</v>
      </c>
      <c r="E70" t="n">
        <v>117.8511642</v>
      </c>
      <c r="F70" t="n">
        <v>142.0493577</v>
      </c>
      <c r="G70" t="n">
        <v>196.5735182</v>
      </c>
      <c r="H70" t="n">
        <v>264.1783709</v>
      </c>
    </row>
    <row r="71">
      <c r="A71" t="inlineStr">
        <is>
          <t>GUY|mit.gdp.lvl</t>
        </is>
      </c>
      <c r="B71" t="inlineStr">
        <is>
          <t>GUY</t>
        </is>
      </c>
      <c r="C71" t="inlineStr">
        <is>
          <t>mit.gdp.lvl</t>
        </is>
      </c>
      <c r="D71" t="n">
        <v>24.659</v>
      </c>
      <c r="E71" t="n">
        <v>29.42040631</v>
      </c>
      <c r="F71" t="n">
        <v>57.34334482</v>
      </c>
      <c r="G71" t="n">
        <v>114.91353</v>
      </c>
      <c r="H71" t="n">
        <v>154.4341752</v>
      </c>
    </row>
    <row r="72">
      <c r="A72" t="inlineStr">
        <is>
          <t>HKG|mit.gdp.lvl</t>
        </is>
      </c>
      <c r="B72" t="inlineStr">
        <is>
          <t>HKG</t>
        </is>
      </c>
      <c r="C72" t="inlineStr">
        <is>
          <t>mit.gdp.lvl</t>
        </is>
      </c>
      <c r="D72" t="n">
        <v>408.369</v>
      </c>
      <c r="E72" t="n">
        <v>422.6129107</v>
      </c>
      <c r="F72" t="n">
        <v>473.2356248</v>
      </c>
      <c r="G72" t="n">
        <v>565.4118494000001</v>
      </c>
      <c r="H72" t="n">
        <v>656.1835342000001</v>
      </c>
    </row>
    <row r="73">
      <c r="A73" t="inlineStr">
        <is>
          <t>HND|mit.gdp.lvl</t>
        </is>
      </c>
      <c r="B73" t="inlineStr">
        <is>
          <t>HND</t>
        </is>
      </c>
      <c r="C73" t="inlineStr">
        <is>
          <t>mit.gdp.lvl</t>
        </is>
      </c>
      <c r="D73" t="n">
        <v>37.1</v>
      </c>
      <c r="E73" t="n">
        <v>38.4727</v>
      </c>
      <c r="F73" t="n">
        <v>45.47313037</v>
      </c>
      <c r="G73" t="n">
        <v>65.86855161</v>
      </c>
      <c r="H73" t="n">
        <v>97.50154707</v>
      </c>
    </row>
    <row r="74">
      <c r="A74" t="inlineStr">
        <is>
          <t>HRV|mit.gdp.lvl</t>
        </is>
      </c>
      <c r="B74" t="inlineStr">
        <is>
          <t>HRV</t>
        </is>
      </c>
      <c r="C74" t="inlineStr">
        <is>
          <t>mit.gdp.lvl</t>
        </is>
      </c>
      <c r="D74" t="n">
        <v>92.955</v>
      </c>
      <c r="E74" t="n">
        <v>95.88680069999999</v>
      </c>
      <c r="F74" t="n">
        <v>108.3568019</v>
      </c>
      <c r="G74" t="n">
        <v>130.3551413</v>
      </c>
      <c r="H74" t="n">
        <v>151.2824633</v>
      </c>
    </row>
    <row r="75">
      <c r="A75" t="inlineStr">
        <is>
          <t>HTI|mit.gdp.lvl</t>
        </is>
      </c>
      <c r="B75" t="inlineStr">
        <is>
          <t>HTI</t>
        </is>
      </c>
      <c r="C75" t="inlineStr">
        <is>
          <t>mit.gdp.lvl</t>
        </is>
      </c>
      <c r="D75" t="n">
        <v>25.285</v>
      </c>
      <c r="E75" t="n">
        <v>24.59901795</v>
      </c>
      <c r="F75" t="n">
        <v>23.61131116</v>
      </c>
      <c r="G75" t="n">
        <v>30.22226271</v>
      </c>
      <c r="H75" t="n">
        <v>46.93424985</v>
      </c>
    </row>
    <row r="76">
      <c r="A76" t="inlineStr">
        <is>
          <t>HUN|mit.gdp.lvl</t>
        </is>
      </c>
      <c r="B76" t="inlineStr">
        <is>
          <t>HUN</t>
        </is>
      </c>
      <c r="C76" t="inlineStr">
        <is>
          <t>mit.gdp.lvl</t>
        </is>
      </c>
      <c r="D76" t="n">
        <v>222.878</v>
      </c>
      <c r="E76" t="n">
        <v>223.789571</v>
      </c>
      <c r="F76" t="n">
        <v>242.7385096</v>
      </c>
      <c r="G76" t="n">
        <v>283.1563548</v>
      </c>
      <c r="H76" t="n">
        <v>328.6145096</v>
      </c>
    </row>
    <row r="77">
      <c r="A77" t="inlineStr">
        <is>
          <t>IDN|mit.gdp.lvl</t>
        </is>
      </c>
      <c r="B77" t="inlineStr">
        <is>
          <t>IDN</t>
        </is>
      </c>
      <c r="C77" t="inlineStr">
        <is>
          <t>mit.gdp.lvl</t>
        </is>
      </c>
      <c r="D77" t="n">
        <v>1396.302</v>
      </c>
      <c r="E77" t="n">
        <v>1467.625106</v>
      </c>
      <c r="F77" t="n">
        <v>1856.592611</v>
      </c>
      <c r="G77" t="n">
        <v>2829.926657</v>
      </c>
      <c r="H77" t="n">
        <v>4188.98276</v>
      </c>
    </row>
    <row r="78">
      <c r="A78" t="inlineStr">
        <is>
          <t>IND|mit.gdp.lvl</t>
        </is>
      </c>
      <c r="B78" t="inlineStr">
        <is>
          <t>IND</t>
        </is>
      </c>
      <c r="C78" t="inlineStr">
        <is>
          <t>mit.gdp.lvl</t>
        </is>
      </c>
      <c r="D78" t="n">
        <v>3760.814</v>
      </c>
      <c r="E78" t="n">
        <v>4047.312811</v>
      </c>
      <c r="F78" t="n">
        <v>5447.895717</v>
      </c>
      <c r="G78" t="n">
        <v>8702.528675</v>
      </c>
      <c r="H78" t="n">
        <v>12881.86833</v>
      </c>
    </row>
    <row r="79">
      <c r="A79" t="inlineStr">
        <is>
          <t>IRL|mit.gdp.lvl</t>
        </is>
      </c>
      <c r="B79" t="inlineStr">
        <is>
          <t>IRL</t>
        </is>
      </c>
      <c r="C79" t="inlineStr">
        <is>
          <t>mit.gdp.lvl</t>
        </is>
      </c>
      <c r="D79" t="n">
        <v>608.974</v>
      </c>
      <c r="E79" t="n">
        <v>684.1092121</v>
      </c>
      <c r="F79" t="n">
        <v>769.1411467</v>
      </c>
      <c r="G79" t="n">
        <v>921.7394088</v>
      </c>
      <c r="H79" t="n">
        <v>1069.716214</v>
      </c>
    </row>
    <row r="80">
      <c r="A80" t="inlineStr">
        <is>
          <t>IRN|mit.gdp.lvl</t>
        </is>
      </c>
      <c r="B80" t="inlineStr">
        <is>
          <t>IRN</t>
        </is>
      </c>
      <c r="C80" t="inlineStr">
        <is>
          <t>mit.gdp.lvl</t>
        </is>
      </c>
      <c r="D80" t="n">
        <v>416.676</v>
      </c>
      <c r="E80" t="n">
        <v>410.321691</v>
      </c>
      <c r="F80" t="n">
        <v>321.2145091</v>
      </c>
      <c r="G80" t="n">
        <v>323.3841432</v>
      </c>
      <c r="H80" t="n">
        <v>434.6012468</v>
      </c>
    </row>
    <row r="81">
      <c r="A81" t="inlineStr">
        <is>
          <t>IRQ|mit.gdp.lvl</t>
        </is>
      </c>
      <c r="B81" t="inlineStr">
        <is>
          <t>IRQ</t>
        </is>
      </c>
      <c r="C81" t="inlineStr">
        <is>
          <t>mit.gdp.lvl</t>
        </is>
      </c>
      <c r="D81" t="n">
        <v>286.523</v>
      </c>
      <c r="E81" t="n">
        <v>285.3367948</v>
      </c>
      <c r="F81" t="n">
        <v>216.4042672</v>
      </c>
      <c r="G81" t="n">
        <v>212.9494497</v>
      </c>
      <c r="H81" t="n">
        <v>286.1862535</v>
      </c>
    </row>
    <row r="82">
      <c r="A82" t="inlineStr">
        <is>
          <t>ISL|mit.gdp.lvl</t>
        </is>
      </c>
      <c r="B82" t="inlineStr">
        <is>
          <t>ISL</t>
        </is>
      </c>
      <c r="C82" t="inlineStr">
        <is>
          <t>mit.gdp.lvl</t>
        </is>
      </c>
      <c r="D82" t="n">
        <v>33.187</v>
      </c>
      <c r="E82" t="n">
        <v>33.61146173</v>
      </c>
      <c r="F82" t="n">
        <v>36.8278743</v>
      </c>
      <c r="G82" t="n">
        <v>43.28734025</v>
      </c>
      <c r="H82" t="n">
        <v>50.23672557</v>
      </c>
    </row>
    <row r="83">
      <c r="A83" t="inlineStr">
        <is>
          <t>ISR|mit.gdp.lvl</t>
        </is>
      </c>
      <c r="B83" t="inlineStr">
        <is>
          <t>ISR</t>
        </is>
      </c>
      <c r="C83" t="inlineStr">
        <is>
          <t>mit.gdp.lvl</t>
        </is>
      </c>
      <c r="D83" t="n">
        <v>542.285</v>
      </c>
      <c r="E83" t="n">
        <v>558.1793733</v>
      </c>
      <c r="F83" t="n">
        <v>654.6504634</v>
      </c>
      <c r="G83" t="n">
        <v>809.9596443</v>
      </c>
      <c r="H83" t="n">
        <v>939.9912339</v>
      </c>
    </row>
    <row r="84">
      <c r="A84" t="inlineStr">
        <is>
          <t>ITA|mit.gdp.lvl</t>
        </is>
      </c>
      <c r="B84" t="inlineStr">
        <is>
          <t>ITA</t>
        </is>
      </c>
      <c r="C84" t="inlineStr">
        <is>
          <t>mit.gdp.lvl</t>
        </is>
      </c>
      <c r="D84" t="n">
        <v>2382.718</v>
      </c>
      <c r="E84" t="n">
        <v>2395.584677</v>
      </c>
      <c r="F84" t="n">
        <v>2475.788831</v>
      </c>
      <c r="G84" t="n">
        <v>2785.35272</v>
      </c>
      <c r="H84" t="n">
        <v>3232.515543</v>
      </c>
    </row>
    <row r="85">
      <c r="A85" t="inlineStr">
        <is>
          <t>JAM|mit.gdp.lvl</t>
        </is>
      </c>
      <c r="B85" t="inlineStr">
        <is>
          <t>JAM</t>
        </is>
      </c>
      <c r="C85" t="inlineStr">
        <is>
          <t>mit.gdp.lvl</t>
        </is>
      </c>
      <c r="D85" t="n">
        <v>21.9</v>
      </c>
      <c r="E85" t="n">
        <v>21.88686</v>
      </c>
      <c r="F85" t="n">
        <v>21.28112976</v>
      </c>
      <c r="G85" t="n">
        <v>25.09430548</v>
      </c>
      <c r="H85" t="n">
        <v>33.72464817</v>
      </c>
    </row>
    <row r="86">
      <c r="A86" t="inlineStr">
        <is>
          <t>JOR|mit.gdp.lvl</t>
        </is>
      </c>
      <c r="B86" t="inlineStr">
        <is>
          <t>JOR</t>
        </is>
      </c>
      <c r="C86" t="inlineStr">
        <is>
          <t>mit.gdp.lvl</t>
        </is>
      </c>
      <c r="D86" t="n">
        <v>58.701</v>
      </c>
      <c r="E86" t="n">
        <v>60.27594783</v>
      </c>
      <c r="F86" t="n">
        <v>69.14671559999999</v>
      </c>
      <c r="G86" t="n">
        <v>92.19907974</v>
      </c>
      <c r="H86" t="n">
        <v>123.9078534</v>
      </c>
    </row>
    <row r="87">
      <c r="A87" t="inlineStr">
        <is>
          <t>JPN|mit.gdp.lvl</t>
        </is>
      </c>
      <c r="B87" t="inlineStr">
        <is>
          <t>JPN</t>
        </is>
      </c>
      <c r="C87" t="inlineStr">
        <is>
          <t>mit.gdp.lvl</t>
        </is>
      </c>
      <c r="D87" t="n">
        <v>4190.008</v>
      </c>
      <c r="E87" t="n">
        <v>4239.994795</v>
      </c>
      <c r="F87" t="n">
        <v>4419.01831</v>
      </c>
      <c r="G87" t="n">
        <v>5002.951077</v>
      </c>
      <c r="H87" t="n">
        <v>5806.12897</v>
      </c>
    </row>
    <row r="88">
      <c r="A88" t="inlineStr">
        <is>
          <t>KAZ|mit.gdp.lvl</t>
        </is>
      </c>
      <c r="B88" t="inlineStr">
        <is>
          <t>KAZ</t>
        </is>
      </c>
      <c r="C88" t="inlineStr">
        <is>
          <t>mit.gdp.lvl</t>
        </is>
      </c>
      <c r="D88" t="n">
        <v>291.48</v>
      </c>
      <c r="E88" t="n">
        <v>310.382478</v>
      </c>
      <c r="F88" t="n">
        <v>384.55919</v>
      </c>
      <c r="G88" t="n">
        <v>543.3321167</v>
      </c>
      <c r="H88" t="n">
        <v>730.1929311</v>
      </c>
    </row>
    <row r="89">
      <c r="A89" t="inlineStr">
        <is>
          <t>KEN|mit.gdp.lvl</t>
        </is>
      </c>
      <c r="B89" t="inlineStr">
        <is>
          <t>KEN</t>
        </is>
      </c>
      <c r="C89" t="inlineStr">
        <is>
          <t>mit.gdp.lvl</t>
        </is>
      </c>
      <c r="D89" t="n">
        <v>119.307</v>
      </c>
      <c r="E89" t="n">
        <v>125.1291816</v>
      </c>
      <c r="F89" t="n">
        <v>155.2357003</v>
      </c>
      <c r="G89" t="n">
        <v>233.1743335</v>
      </c>
      <c r="H89" t="n">
        <v>345.1549746</v>
      </c>
    </row>
    <row r="90">
      <c r="A90" t="inlineStr">
        <is>
          <t>KGZ|mit.gdp.lvl</t>
        </is>
      </c>
      <c r="B90" t="inlineStr">
        <is>
          <t>KGZ</t>
        </is>
      </c>
      <c r="C90" t="inlineStr">
        <is>
          <t>mit.gdp.lvl</t>
        </is>
      </c>
      <c r="D90" t="n">
        <v>18.175</v>
      </c>
      <c r="E90" t="n">
        <v>20.191698</v>
      </c>
      <c r="F90" t="n">
        <v>26.73973297</v>
      </c>
      <c r="G90" t="n">
        <v>42.19076746</v>
      </c>
      <c r="H90" t="n">
        <v>62.45264242</v>
      </c>
    </row>
    <row r="91">
      <c r="A91" t="inlineStr">
        <is>
          <t>KHM|mit.gdp.lvl</t>
        </is>
      </c>
      <c r="B91" t="inlineStr">
        <is>
          <t>KHM</t>
        </is>
      </c>
      <c r="C91" t="inlineStr">
        <is>
          <t>mit.gdp.lvl</t>
        </is>
      </c>
      <c r="D91" t="n">
        <v>46.098</v>
      </c>
      <c r="E91" t="n">
        <v>48.40889274</v>
      </c>
      <c r="F91" t="n">
        <v>58.95023462</v>
      </c>
      <c r="G91" t="n">
        <v>87.32009773999999</v>
      </c>
      <c r="H91" t="n">
        <v>129.2550756</v>
      </c>
    </row>
    <row r="92">
      <c r="A92" t="inlineStr">
        <is>
          <t>KNA|mit.gdp.lvl</t>
        </is>
      </c>
      <c r="B92" t="inlineStr">
        <is>
          <t>KNA</t>
        </is>
      </c>
      <c r="C92" t="inlineStr">
        <is>
          <t>mit.gdp.lvl</t>
        </is>
      </c>
      <c r="D92" t="n">
        <v>1.051</v>
      </c>
      <c r="E92" t="n">
        <v>1.06671245</v>
      </c>
      <c r="F92" t="n">
        <v>1.175543711</v>
      </c>
      <c r="G92" t="n">
        <v>1.38772456</v>
      </c>
      <c r="H92" t="n">
        <v>1.610511005</v>
      </c>
    </row>
    <row r="93">
      <c r="A93" t="inlineStr">
        <is>
          <t>KOR|mit.gdp.lvl</t>
        </is>
      </c>
      <c r="B93" t="inlineStr">
        <is>
          <t>KOR</t>
        </is>
      </c>
      <c r="C93" t="inlineStr">
        <is>
          <t>mit.gdp.lvl</t>
        </is>
      </c>
      <c r="D93" t="n">
        <v>1875.388</v>
      </c>
      <c r="E93" t="n">
        <v>1894.273157</v>
      </c>
      <c r="F93" t="n">
        <v>2072.052458</v>
      </c>
      <c r="G93" t="n">
        <v>2432.404533</v>
      </c>
      <c r="H93" t="n">
        <v>2822.904763</v>
      </c>
    </row>
    <row r="94">
      <c r="A94" t="inlineStr">
        <is>
          <t>KWT|mit.gdp.lvl</t>
        </is>
      </c>
      <c r="B94" t="inlineStr">
        <is>
          <t>KWT</t>
        </is>
      </c>
      <c r="C94" t="inlineStr">
        <is>
          <t>mit.gdp.lvl</t>
        </is>
      </c>
      <c r="D94" t="n">
        <v>160.902</v>
      </c>
      <c r="E94" t="n">
        <v>166.4820814</v>
      </c>
      <c r="F94" t="n">
        <v>164.2731222</v>
      </c>
      <c r="G94" t="n">
        <v>178.5461813</v>
      </c>
      <c r="H94" t="n">
        <v>207.2101326</v>
      </c>
    </row>
    <row r="95">
      <c r="A95" t="inlineStr">
        <is>
          <t>LAO|mit.gdp.lvl</t>
        </is>
      </c>
      <c r="B95" t="inlineStr">
        <is>
          <t>LAO</t>
        </is>
      </c>
      <c r="C95" t="inlineStr">
        <is>
          <t>mit.gdp.lvl</t>
        </is>
      </c>
      <c r="D95" t="n">
        <v>15.792</v>
      </c>
      <c r="E95" t="n">
        <v>16.54559424</v>
      </c>
      <c r="F95" t="n">
        <v>20.14103162</v>
      </c>
      <c r="G95" t="n">
        <v>29.82562771</v>
      </c>
      <c r="H95" t="n">
        <v>44.14921496</v>
      </c>
    </row>
    <row r="96">
      <c r="A96" t="inlineStr">
        <is>
          <t>LBN|mit.gdp.lvl</t>
        </is>
      </c>
      <c r="B96" t="inlineStr">
        <is>
          <t>LBN</t>
        </is>
      </c>
      <c r="C96" t="inlineStr">
        <is>
          <t>mit.gdp.lvl</t>
        </is>
      </c>
      <c r="D96" t="n">
        <v>29.339</v>
      </c>
      <c r="E96" t="n">
        <v>30.51256</v>
      </c>
      <c r="F96" t="n">
        <v>35.37241975</v>
      </c>
      <c r="G96" t="n">
        <v>47.53757428</v>
      </c>
      <c r="H96" t="n">
        <v>63.88652471</v>
      </c>
    </row>
    <row r="97">
      <c r="A97" t="inlineStr">
        <is>
          <t>LBR|mit.gdp.lvl</t>
        </is>
      </c>
      <c r="B97" t="inlineStr">
        <is>
          <t>LBR</t>
        </is>
      </c>
      <c r="C97" t="inlineStr">
        <is>
          <t>mit.gdp.lvl</t>
        </is>
      </c>
      <c r="D97" t="n">
        <v>4.778</v>
      </c>
      <c r="E97" t="n">
        <v>5.0235892</v>
      </c>
      <c r="F97" t="n">
        <v>6.418752216</v>
      </c>
      <c r="G97" t="n">
        <v>10.15698213</v>
      </c>
      <c r="H97" t="n">
        <v>15.77348266</v>
      </c>
    </row>
    <row r="98">
      <c r="A98" t="inlineStr">
        <is>
          <t>LBY|mit.gdp.lvl</t>
        </is>
      </c>
      <c r="B98" t="inlineStr">
        <is>
          <t>LBY</t>
        </is>
      </c>
      <c r="C98" t="inlineStr">
        <is>
          <t>mit.gdp.lvl</t>
        </is>
      </c>
      <c r="D98" t="n">
        <v>49.349</v>
      </c>
      <c r="E98" t="n">
        <v>57.18117979</v>
      </c>
      <c r="F98" t="n">
        <v>77.20197417</v>
      </c>
      <c r="G98" t="n">
        <v>116.4154065</v>
      </c>
      <c r="H98" t="n">
        <v>156.4525717</v>
      </c>
    </row>
    <row r="99">
      <c r="A99" t="inlineStr">
        <is>
          <t>LCA|mit.gdp.lvl</t>
        </is>
      </c>
      <c r="B99" t="inlineStr">
        <is>
          <t>LCA</t>
        </is>
      </c>
      <c r="C99" t="inlineStr">
        <is>
          <t>mit.gdp.lvl</t>
        </is>
      </c>
      <c r="D99" t="n">
        <v>2.574</v>
      </c>
      <c r="E99" t="n">
        <v>2.61657396</v>
      </c>
      <c r="F99" t="n">
        <v>2.904675069</v>
      </c>
      <c r="G99" t="n">
        <v>3.779056226</v>
      </c>
      <c r="H99" t="n">
        <v>5.07873556</v>
      </c>
    </row>
    <row r="100">
      <c r="A100" t="inlineStr">
        <is>
          <t>LKA|mit.gdp.lvl</t>
        </is>
      </c>
      <c r="B100" t="inlineStr">
        <is>
          <t>LKA</t>
        </is>
      </c>
      <c r="C100" t="inlineStr">
        <is>
          <t>mit.gdp.lvl</t>
        </is>
      </c>
      <c r="D100" t="n">
        <v>98.964</v>
      </c>
      <c r="E100" t="n">
        <v>101.93292</v>
      </c>
      <c r="F100" t="n">
        <v>118.9896567</v>
      </c>
      <c r="G100" t="n">
        <v>170.7618116</v>
      </c>
      <c r="H100" t="n">
        <v>252.7691957</v>
      </c>
    </row>
    <row r="101">
      <c r="A101" t="inlineStr">
        <is>
          <t>LSO|mit.gdp.lvl</t>
        </is>
      </c>
      <c r="B101" t="inlineStr">
        <is>
          <t>LSO</t>
        </is>
      </c>
      <c r="C101" t="inlineStr">
        <is>
          <t>mit.gdp.lvl</t>
        </is>
      </c>
      <c r="D101" t="n">
        <v>2.514</v>
      </c>
      <c r="E101" t="n">
        <v>2.5488189</v>
      </c>
      <c r="F101" t="n">
        <v>2.748954164</v>
      </c>
      <c r="G101" t="n">
        <v>3.719436409</v>
      </c>
      <c r="H101" t="n">
        <v>5.505674488</v>
      </c>
    </row>
    <row r="102">
      <c r="A102" t="inlineStr">
        <is>
          <t>LTU|mit.gdp.lvl</t>
        </is>
      </c>
      <c r="B102" t="inlineStr">
        <is>
          <t>LTU</t>
        </is>
      </c>
      <c r="C102" t="inlineStr">
        <is>
          <t>mit.gdp.lvl</t>
        </is>
      </c>
      <c r="D102" t="n">
        <v>85.482</v>
      </c>
      <c r="E102" t="n">
        <v>87.92507556</v>
      </c>
      <c r="F102" t="n">
        <v>100.5033049</v>
      </c>
      <c r="G102" t="n">
        <v>121.9549463</v>
      </c>
      <c r="H102" t="n">
        <v>141.5336939</v>
      </c>
    </row>
    <row r="103">
      <c r="A103" t="inlineStr">
        <is>
          <t>LUX|mit.gdp.lvl</t>
        </is>
      </c>
      <c r="B103" t="inlineStr">
        <is>
          <t>LUX</t>
        </is>
      </c>
      <c r="C103" t="inlineStr">
        <is>
          <t>mit.gdp.lvl</t>
        </is>
      </c>
      <c r="D103" t="n">
        <v>93.252</v>
      </c>
      <c r="E103" t="n">
        <v>93.84694776000001</v>
      </c>
      <c r="F103" t="n">
        <v>101.4931554</v>
      </c>
      <c r="G103" t="n">
        <v>118.1305455</v>
      </c>
      <c r="H103" t="n">
        <v>137.0953207</v>
      </c>
    </row>
    <row r="104">
      <c r="A104" t="inlineStr">
        <is>
          <t>LVA|mit.gdp.lvl</t>
        </is>
      </c>
      <c r="B104" t="inlineStr">
        <is>
          <t>LVA</t>
        </is>
      </c>
      <c r="C104" t="inlineStr">
        <is>
          <t>mit.gdp.lvl</t>
        </is>
      </c>
      <c r="D104" t="n">
        <v>43.988</v>
      </c>
      <c r="E104" t="n">
        <v>44.92846344</v>
      </c>
      <c r="F104" t="n">
        <v>49.88590325</v>
      </c>
      <c r="G104" t="n">
        <v>59.22393706</v>
      </c>
      <c r="H104" t="n">
        <v>68.73179678</v>
      </c>
    </row>
    <row r="105">
      <c r="A105" t="inlineStr">
        <is>
          <t>MAC|mit.gdp.lvl</t>
        </is>
      </c>
      <c r="B105" t="inlineStr">
        <is>
          <t>MAC</t>
        </is>
      </c>
      <c r="C105" t="inlineStr">
        <is>
          <t>mit.gdp.lvl</t>
        </is>
      </c>
      <c r="D105" t="n">
        <v>49.467</v>
      </c>
      <c r="E105" t="n">
        <v>51.77760357</v>
      </c>
      <c r="F105" t="n">
        <v>59.38498329</v>
      </c>
      <c r="G105" t="n">
        <v>72.24412936</v>
      </c>
      <c r="H105" t="n">
        <v>83.84226149</v>
      </c>
    </row>
    <row r="106">
      <c r="A106" t="inlineStr">
        <is>
          <t>MAR|mit.gdp.lvl</t>
        </is>
      </c>
      <c r="B106" t="inlineStr">
        <is>
          <t>MAR</t>
        </is>
      </c>
      <c r="C106" t="inlineStr">
        <is>
          <t>mit.gdp.lvl</t>
        </is>
      </c>
      <c r="D106" t="n">
        <v>160.606</v>
      </c>
      <c r="E106" t="n">
        <v>168.475694</v>
      </c>
      <c r="F106" t="n">
        <v>212.448338</v>
      </c>
      <c r="G106" t="n">
        <v>323.0494982</v>
      </c>
      <c r="H106" t="n">
        <v>478.1921735</v>
      </c>
    </row>
    <row r="107">
      <c r="A107" t="inlineStr">
        <is>
          <t>MDA|mit.gdp.lvl</t>
        </is>
      </c>
      <c r="B107" t="inlineStr">
        <is>
          <t>MDA</t>
        </is>
      </c>
      <c r="C107" t="inlineStr">
        <is>
          <t>mit.gdp.lvl</t>
        </is>
      </c>
      <c r="D107" t="n">
        <v>18.208</v>
      </c>
      <c r="E107" t="n">
        <v>18.64790528</v>
      </c>
      <c r="F107" t="n">
        <v>20.79121435</v>
      </c>
      <c r="G107" t="n">
        <v>28.83342539</v>
      </c>
      <c r="H107" t="n">
        <v>42.68051315</v>
      </c>
    </row>
    <row r="108">
      <c r="A108" t="inlineStr">
        <is>
          <t>MDG|mit.gdp.lvl</t>
        </is>
      </c>
      <c r="B108" t="inlineStr">
        <is>
          <t>MDG</t>
        </is>
      </c>
      <c r="C108" t="inlineStr">
        <is>
          <t>mit.gdp.lvl</t>
        </is>
      </c>
      <c r="D108" t="n">
        <v>17.593</v>
      </c>
      <c r="E108" t="n">
        <v>18.09176155</v>
      </c>
      <c r="F108" t="n">
        <v>21.75794845</v>
      </c>
      <c r="G108" t="n">
        <v>32.90164387</v>
      </c>
      <c r="H108" t="n">
        <v>51.09524685</v>
      </c>
    </row>
    <row r="109">
      <c r="A109" t="inlineStr">
        <is>
          <t>MDV|mit.gdp.lvl</t>
        </is>
      </c>
      <c r="B109" t="inlineStr">
        <is>
          <t>MDV</t>
        </is>
      </c>
      <c r="C109" t="inlineStr">
        <is>
          <t>mit.gdp.lvl</t>
        </is>
      </c>
      <c r="D109" t="n">
        <v>7.052</v>
      </c>
      <c r="E109" t="n">
        <v>7.40678612</v>
      </c>
      <c r="F109" t="n">
        <v>8.594358028</v>
      </c>
      <c r="G109" t="n">
        <v>11.55803054</v>
      </c>
      <c r="H109" t="n">
        <v>15.53302656</v>
      </c>
    </row>
    <row r="110">
      <c r="A110" t="inlineStr">
        <is>
          <t>MEX|mit.gdp.lvl</t>
        </is>
      </c>
      <c r="B110" t="inlineStr">
        <is>
          <t>MEX</t>
        </is>
      </c>
      <c r="C110" t="inlineStr">
        <is>
          <t>mit.gdp.lvl</t>
        </is>
      </c>
      <c r="D110" t="n">
        <v>1830.489</v>
      </c>
      <c r="E110" t="n">
        <v>1840.776348</v>
      </c>
      <c r="F110" t="n">
        <v>2015.815948</v>
      </c>
      <c r="G110" t="n">
        <v>2596.105145</v>
      </c>
      <c r="H110" t="n">
        <v>3488.948227</v>
      </c>
    </row>
    <row r="111">
      <c r="A111" t="inlineStr">
        <is>
          <t>MKD|mit.gdp.lvl</t>
        </is>
      </c>
      <c r="B111" t="inlineStr">
        <is>
          <t>MKD</t>
        </is>
      </c>
      <c r="C111" t="inlineStr">
        <is>
          <t>mit.gdp.lvl</t>
        </is>
      </c>
      <c r="D111" t="n">
        <v>16.954</v>
      </c>
      <c r="E111" t="n">
        <v>17.54518598</v>
      </c>
      <c r="F111" t="n">
        <v>20.42445084</v>
      </c>
      <c r="G111" t="n">
        <v>27.53452734</v>
      </c>
      <c r="H111" t="n">
        <v>37.00410229</v>
      </c>
    </row>
    <row r="112">
      <c r="A112" t="inlineStr">
        <is>
          <t>MLI|mit.gdp.lvl</t>
        </is>
      </c>
      <c r="B112" t="inlineStr">
        <is>
          <t>MLI</t>
        </is>
      </c>
      <c r="C112" t="inlineStr">
        <is>
          <t>mit.gdp.lvl</t>
        </is>
      </c>
      <c r="D112" t="n">
        <v>26.777</v>
      </c>
      <c r="E112" t="n">
        <v>28.089073</v>
      </c>
      <c r="F112" t="n">
        <v>36.46333033</v>
      </c>
      <c r="G112" t="n">
        <v>58.39138219</v>
      </c>
      <c r="H112" t="n">
        <v>90.68003104</v>
      </c>
    </row>
    <row r="113">
      <c r="A113" t="inlineStr">
        <is>
          <t>MLT|mit.gdp.lvl</t>
        </is>
      </c>
      <c r="B113" t="inlineStr">
        <is>
          <t>MLT</t>
        </is>
      </c>
      <c r="C113" t="inlineStr">
        <is>
          <t>mit.gdp.lvl</t>
        </is>
      </c>
      <c r="D113" t="n">
        <v>25.035</v>
      </c>
      <c r="E113" t="n">
        <v>26.0268867</v>
      </c>
      <c r="F113" t="n">
        <v>30.74113285</v>
      </c>
      <c r="G113" t="n">
        <v>38.2375448</v>
      </c>
      <c r="H113" t="n">
        <v>44.37623179</v>
      </c>
    </row>
    <row r="114">
      <c r="A114" t="inlineStr">
        <is>
          <t>MMR|mit.gdp.lvl</t>
        </is>
      </c>
      <c r="B114" t="inlineStr">
        <is>
          <t>MMR</t>
        </is>
      </c>
      <c r="C114" t="inlineStr">
        <is>
          <t>mit.gdp.lvl</t>
        </is>
      </c>
      <c r="D114" t="n">
        <v>76.759</v>
      </c>
      <c r="E114" t="n">
        <v>75.25145324</v>
      </c>
      <c r="F114" t="n">
        <v>87.82525065</v>
      </c>
      <c r="G114" t="n">
        <v>126.0182757</v>
      </c>
      <c r="H114" t="n">
        <v>186.5378324</v>
      </c>
    </row>
    <row r="115">
      <c r="A115" t="inlineStr">
        <is>
          <t>MNE|mit.gdp.lvl</t>
        </is>
      </c>
      <c r="B115" t="inlineStr">
        <is>
          <t>MNE</t>
        </is>
      </c>
      <c r="C115" t="inlineStr">
        <is>
          <t>mit.gdp.lvl</t>
        </is>
      </c>
      <c r="D115" t="n">
        <v>8.272</v>
      </c>
      <c r="E115" t="n">
        <v>8.495343999999999</v>
      </c>
      <c r="F115" t="n">
        <v>9.766747026000001</v>
      </c>
      <c r="G115" t="n">
        <v>13.04398885</v>
      </c>
      <c r="H115" t="n">
        <v>17.53003027</v>
      </c>
    </row>
    <row r="116">
      <c r="A116" t="inlineStr">
        <is>
          <t>MNG|mit.gdp.lvl</t>
        </is>
      </c>
      <c r="B116" t="inlineStr">
        <is>
          <t>MNG</t>
        </is>
      </c>
      <c r="C116" t="inlineStr">
        <is>
          <t>mit.gdp.lvl</t>
        </is>
      </c>
      <c r="D116" t="n">
        <v>23.795</v>
      </c>
      <c r="E116" t="n">
        <v>25.4235298</v>
      </c>
      <c r="F116" t="n">
        <v>32.57258947</v>
      </c>
      <c r="G116" t="n">
        <v>50.12625971</v>
      </c>
      <c r="H116" t="n">
        <v>74.19910946</v>
      </c>
    </row>
    <row r="117">
      <c r="A117" t="inlineStr">
        <is>
          <t>MOZ|mit.gdp.lvl</t>
        </is>
      </c>
      <c r="B117" t="inlineStr">
        <is>
          <t>MOZ</t>
        </is>
      </c>
      <c r="C117" t="inlineStr">
        <is>
          <t>mit.gdp.lvl</t>
        </is>
      </c>
      <c r="D117" t="n">
        <v>22.745</v>
      </c>
      <c r="E117" t="n">
        <v>22.6258162</v>
      </c>
      <c r="F117" t="n">
        <v>23.88245432</v>
      </c>
      <c r="G117" t="n">
        <v>32.77917861</v>
      </c>
      <c r="H117" t="n">
        <v>50.90506204</v>
      </c>
    </row>
    <row r="118">
      <c r="A118" t="inlineStr">
        <is>
          <t>MRT|mit.gdp.lvl</t>
        </is>
      </c>
      <c r="B118" t="inlineStr">
        <is>
          <t>MRT</t>
        </is>
      </c>
      <c r="C118" t="inlineStr">
        <is>
          <t>mit.gdp.lvl</t>
        </is>
      </c>
      <c r="D118" t="n">
        <v>11.003</v>
      </c>
      <c r="E118" t="n">
        <v>11.46677645</v>
      </c>
      <c r="F118" t="n">
        <v>14.192471</v>
      </c>
      <c r="G118" t="n">
        <v>21.28058427</v>
      </c>
      <c r="H118" t="n">
        <v>31.50046325</v>
      </c>
    </row>
    <row r="119">
      <c r="A119" t="inlineStr">
        <is>
          <t>MUS|mit.gdp.lvl</t>
        </is>
      </c>
      <c r="B119" t="inlineStr">
        <is>
          <t>MUS</t>
        </is>
      </c>
      <c r="C119" t="inlineStr">
        <is>
          <t>mit.gdp.lvl</t>
        </is>
      </c>
      <c r="D119" t="n">
        <v>14.986</v>
      </c>
      <c r="E119" t="n">
        <v>15.450566</v>
      </c>
      <c r="F119" t="n">
        <v>18.21153487</v>
      </c>
      <c r="G119" t="n">
        <v>24.7819338</v>
      </c>
      <c r="H119" t="n">
        <v>33.30484675</v>
      </c>
    </row>
    <row r="120">
      <c r="A120" t="inlineStr">
        <is>
          <t>MWI|mit.gdp.lvl</t>
        </is>
      </c>
      <c r="B120" t="inlineStr">
        <is>
          <t>MWI</t>
        </is>
      </c>
      <c r="C120" t="inlineStr">
        <is>
          <t>mit.gdp.lvl</t>
        </is>
      </c>
      <c r="D120" t="n">
        <v>11.79</v>
      </c>
      <c r="E120" t="n">
        <v>12.0360573</v>
      </c>
      <c r="F120" t="n">
        <v>13.65191032</v>
      </c>
      <c r="G120" t="n">
        <v>19.7625203</v>
      </c>
      <c r="H120" t="n">
        <v>30.69058972</v>
      </c>
    </row>
    <row r="121">
      <c r="A121" t="inlineStr">
        <is>
          <t>MYS|mit.gdp.lvl</t>
        </is>
      </c>
      <c r="B121" t="inlineStr">
        <is>
          <t>MYS</t>
        </is>
      </c>
      <c r="C121" t="inlineStr">
        <is>
          <t>mit.gdp.lvl</t>
        </is>
      </c>
      <c r="D121" t="n">
        <v>422.227</v>
      </c>
      <c r="E121" t="n">
        <v>444.0603582</v>
      </c>
      <c r="F121" t="n">
        <v>552.2424461000001</v>
      </c>
      <c r="G121" t="n">
        <v>782.4496295</v>
      </c>
      <c r="H121" t="n">
        <v>1051.546873</v>
      </c>
    </row>
    <row r="122">
      <c r="A122" t="inlineStr">
        <is>
          <t>NAM|mit.gdp.lvl</t>
        </is>
      </c>
      <c r="B122" t="inlineStr">
        <is>
          <t>NAM</t>
        </is>
      </c>
      <c r="C122" t="inlineStr">
        <is>
          <t>mit.gdp.lvl</t>
        </is>
      </c>
      <c r="D122" t="n">
        <v>13.37</v>
      </c>
      <c r="E122" t="n">
        <v>13.696228</v>
      </c>
      <c r="F122" t="n">
        <v>15.48262546</v>
      </c>
      <c r="G122" t="n">
        <v>20.41832144</v>
      </c>
      <c r="H122" t="n">
        <v>27.44051662</v>
      </c>
    </row>
    <row r="123">
      <c r="A123" t="inlineStr">
        <is>
          <t>NER|mit.gdp.lvl</t>
        </is>
      </c>
      <c r="B123" t="inlineStr">
        <is>
          <t>NER</t>
        </is>
      </c>
      <c r="C123" t="inlineStr">
        <is>
          <t>mit.gdp.lvl</t>
        </is>
      </c>
      <c r="D123" t="n">
        <v>19.866</v>
      </c>
      <c r="E123" t="n">
        <v>21.236754</v>
      </c>
      <c r="F123" t="n">
        <v>28.97274639</v>
      </c>
      <c r="G123" t="n">
        <v>48.16953438</v>
      </c>
      <c r="H123" t="n">
        <v>74.80581395</v>
      </c>
    </row>
    <row r="124">
      <c r="A124" t="inlineStr">
        <is>
          <t>NGA|mit.gdp.lvl</t>
        </is>
      </c>
      <c r="B124" t="inlineStr">
        <is>
          <t>NGA</t>
        </is>
      </c>
      <c r="C124" t="inlineStr">
        <is>
          <t>mit.gdp.lvl</t>
        </is>
      </c>
      <c r="D124" t="n">
        <v>252.109</v>
      </c>
      <c r="E124" t="n">
        <v>262.2261342</v>
      </c>
      <c r="F124" t="n">
        <v>319.8014504</v>
      </c>
      <c r="G124" t="n">
        <v>474.2335034</v>
      </c>
      <c r="H124" t="n">
        <v>701.9814331</v>
      </c>
    </row>
    <row r="125">
      <c r="A125" t="inlineStr">
        <is>
          <t>NIC|mit.gdp.lvl</t>
        </is>
      </c>
      <c r="B125" t="inlineStr">
        <is>
          <t>NIC</t>
        </is>
      </c>
      <c r="C125" t="inlineStr">
        <is>
          <t>mit.gdp.lvl</t>
        </is>
      </c>
      <c r="D125" t="n">
        <v>19.697</v>
      </c>
      <c r="E125" t="n">
        <v>20.66688028</v>
      </c>
      <c r="F125" t="n">
        <v>24.97906765</v>
      </c>
      <c r="G125" t="n">
        <v>36.79266611</v>
      </c>
      <c r="H125" t="n">
        <v>54.46213374</v>
      </c>
    </row>
    <row r="126">
      <c r="A126" t="inlineStr">
        <is>
          <t>NLD|mit.gdp.lvl</t>
        </is>
      </c>
      <c r="B126" t="inlineStr">
        <is>
          <t>NLD</t>
        </is>
      </c>
      <c r="C126" t="inlineStr">
        <is>
          <t>mit.gdp.lvl</t>
        </is>
      </c>
      <c r="D126" t="n">
        <v>1214.562</v>
      </c>
      <c r="E126" t="n">
        <v>1237.104271</v>
      </c>
      <c r="F126" t="n">
        <v>1317.755339</v>
      </c>
      <c r="G126" t="n">
        <v>1516.42496</v>
      </c>
      <c r="H126" t="n">
        <v>1759.873075</v>
      </c>
    </row>
    <row r="127">
      <c r="A127" t="inlineStr">
        <is>
          <t>NOR|mit.gdp.lvl</t>
        </is>
      </c>
      <c r="B127" t="inlineStr">
        <is>
          <t>NOR</t>
        </is>
      </c>
      <c r="C127" t="inlineStr">
        <is>
          <t>mit.gdp.lvl</t>
        </is>
      </c>
      <c r="D127" t="n">
        <v>500.886</v>
      </c>
      <c r="E127" t="n">
        <v>506.3206131</v>
      </c>
      <c r="F127" t="n">
        <v>544.8755643</v>
      </c>
      <c r="G127" t="n">
        <v>631.8498779</v>
      </c>
      <c r="H127" t="n">
        <v>733.2875786</v>
      </c>
    </row>
    <row r="128">
      <c r="A128" t="inlineStr">
        <is>
          <t>NPL|mit.gdp.lvl</t>
        </is>
      </c>
      <c r="B128" t="inlineStr">
        <is>
          <t>NPL</t>
        </is>
      </c>
      <c r="C128" t="inlineStr">
        <is>
          <t>mit.gdp.lvl</t>
        </is>
      </c>
      <c r="D128" t="n">
        <v>42.914</v>
      </c>
      <c r="E128" t="n">
        <v>44.88976056</v>
      </c>
      <c r="F128" t="n">
        <v>52.48682088</v>
      </c>
      <c r="G128" t="n">
        <v>77.71746379</v>
      </c>
      <c r="H128" t="n">
        <v>120.6928448</v>
      </c>
    </row>
    <row r="129">
      <c r="A129" t="inlineStr">
        <is>
          <t>NRU|mit.gdp.lvl</t>
        </is>
      </c>
      <c r="B129" t="inlineStr">
        <is>
          <t>NRU</t>
        </is>
      </c>
      <c r="C129" t="inlineStr">
        <is>
          <t>mit.gdp.lvl</t>
        </is>
      </c>
      <c r="D129" t="n">
        <v>0.168</v>
      </c>
      <c r="E129" t="n">
        <v>0.17171784</v>
      </c>
      <c r="F129" t="n">
        <v>0.19196507</v>
      </c>
      <c r="G129" t="n">
        <v>0.2510619294</v>
      </c>
      <c r="H129" t="n">
        <v>0.3374062392</v>
      </c>
    </row>
    <row r="130">
      <c r="A130" t="inlineStr">
        <is>
          <t>NZL|mit.gdp.lvl</t>
        </is>
      </c>
      <c r="B130" t="inlineStr">
        <is>
          <t>NZL</t>
        </is>
      </c>
      <c r="C130" t="inlineStr">
        <is>
          <t>mit.gdp.lvl</t>
        </is>
      </c>
      <c r="D130" t="n">
        <v>258.827</v>
      </c>
      <c r="E130" t="n">
        <v>259.2825355</v>
      </c>
      <c r="F130" t="n">
        <v>286.8423894</v>
      </c>
      <c r="G130" t="n">
        <v>339.6016764</v>
      </c>
      <c r="H130" t="n">
        <v>394.1216098</v>
      </c>
    </row>
    <row r="131">
      <c r="A131" t="inlineStr">
        <is>
          <t>OMN|mit.gdp.lvl</t>
        </is>
      </c>
      <c r="B131" t="inlineStr">
        <is>
          <t>OMN</t>
        </is>
      </c>
      <c r="C131" t="inlineStr">
        <is>
          <t>mit.gdp.lvl</t>
        </is>
      </c>
      <c r="D131" t="n">
        <v>107.137</v>
      </c>
      <c r="E131" t="n">
        <v>109.7040025</v>
      </c>
      <c r="F131" t="n">
        <v>128.2483565</v>
      </c>
      <c r="G131" t="n">
        <v>158.2859576</v>
      </c>
      <c r="H131" t="n">
        <v>183.6973159</v>
      </c>
    </row>
    <row r="132">
      <c r="A132" t="inlineStr">
        <is>
          <t>PAK|mit.gdp.lvl</t>
        </is>
      </c>
      <c r="B132" t="inlineStr">
        <is>
          <t>PAK</t>
        </is>
      </c>
      <c r="C132" t="inlineStr">
        <is>
          <t>mit.gdp.lvl</t>
        </is>
      </c>
      <c r="D132" t="n">
        <v>372.243</v>
      </c>
      <c r="E132" t="n">
        <v>383.756476</v>
      </c>
      <c r="F132" t="n">
        <v>459.3096736</v>
      </c>
      <c r="G132" t="n">
        <v>671.5921647</v>
      </c>
      <c r="H132" t="n">
        <v>994.1204637</v>
      </c>
    </row>
    <row r="133">
      <c r="A133" t="inlineStr">
        <is>
          <t>PAN|mit.gdp.lvl</t>
        </is>
      </c>
      <c r="B133" t="inlineStr">
        <is>
          <t>PAN</t>
        </is>
      </c>
      <c r="C133" t="inlineStr">
        <is>
          <t>mit.gdp.lvl</t>
        </is>
      </c>
      <c r="D133" t="n">
        <v>86.524</v>
      </c>
      <c r="E133" t="n">
        <v>90.28779400000001</v>
      </c>
      <c r="F133" t="n">
        <v>107.2617833</v>
      </c>
      <c r="G133" t="n">
        <v>134.0050997</v>
      </c>
      <c r="H133" t="n">
        <v>155.518389</v>
      </c>
    </row>
    <row r="134">
      <c r="A134" t="inlineStr">
        <is>
          <t>PER|mit.gdp.lvl</t>
        </is>
      </c>
      <c r="B134" t="inlineStr">
        <is>
          <t>PER</t>
        </is>
      </c>
      <c r="C134" t="inlineStr">
        <is>
          <t>mit.gdp.lvl</t>
        </is>
      </c>
      <c r="D134" t="n">
        <v>295.22</v>
      </c>
      <c r="E134" t="n">
        <v>305.3726158</v>
      </c>
      <c r="F134" t="n">
        <v>351.3670636</v>
      </c>
      <c r="G134" t="n">
        <v>469.5618589</v>
      </c>
      <c r="H134" t="n">
        <v>631.0518732</v>
      </c>
    </row>
    <row r="135">
      <c r="A135" t="inlineStr">
        <is>
          <t>PHL|mit.gdp.lvl</t>
        </is>
      </c>
      <c r="B135" t="inlineStr">
        <is>
          <t>PHL</t>
        </is>
      </c>
      <c r="C135" t="inlineStr">
        <is>
          <t>mit.gdp.lvl</t>
        </is>
      </c>
      <c r="D135" t="n">
        <v>461.617</v>
      </c>
      <c r="E135" t="n">
        <v>481.9419965</v>
      </c>
      <c r="F135" t="n">
        <v>587.9526185</v>
      </c>
      <c r="G135" t="n">
        <v>872.090356</v>
      </c>
      <c r="H135" t="n">
        <v>1290.906765</v>
      </c>
    </row>
    <row r="136">
      <c r="A136" t="inlineStr">
        <is>
          <t>PLW|mit.gdp.lvl</t>
        </is>
      </c>
      <c r="B136" t="inlineStr">
        <is>
          <t>PLW</t>
        </is>
      </c>
      <c r="C136" t="inlineStr">
        <is>
          <t>mit.gdp.lvl</t>
        </is>
      </c>
      <c r="D136" t="n">
        <v>0.322</v>
      </c>
      <c r="E136" t="n">
        <v>0.34236328</v>
      </c>
      <c r="F136" t="n">
        <v>0.3977161793</v>
      </c>
      <c r="G136" t="n">
        <v>0.4885293646</v>
      </c>
      <c r="H136" t="n">
        <v>0.5669582719</v>
      </c>
    </row>
    <row r="137">
      <c r="A137" t="inlineStr">
        <is>
          <t>PNG|mit.gdp.lvl</t>
        </is>
      </c>
      <c r="B137" t="inlineStr">
        <is>
          <t>PNG</t>
        </is>
      </c>
      <c r="C137" t="inlineStr">
        <is>
          <t>mit.gdp.lvl</t>
        </is>
      </c>
      <c r="D137" t="n">
        <v>30.756</v>
      </c>
      <c r="E137" t="n">
        <v>32.48971572</v>
      </c>
      <c r="F137" t="n">
        <v>39.1279903</v>
      </c>
      <c r="G137" t="n">
        <v>57.47828211</v>
      </c>
      <c r="H137" t="n">
        <v>85.0818986</v>
      </c>
    </row>
    <row r="138">
      <c r="A138" t="inlineStr">
        <is>
          <t>POL|mit.gdp.lvl</t>
        </is>
      </c>
      <c r="B138" t="inlineStr">
        <is>
          <t>POL</t>
        </is>
      </c>
      <c r="C138" t="inlineStr">
        <is>
          <t>mit.gdp.lvl</t>
        </is>
      </c>
      <c r="D138" t="n">
        <v>917.623</v>
      </c>
      <c r="E138" t="n">
        <v>950.4096698</v>
      </c>
      <c r="F138" t="n">
        <v>1105.1731</v>
      </c>
      <c r="G138" t="n">
        <v>1358.548523</v>
      </c>
      <c r="H138" t="n">
        <v>1576.651024</v>
      </c>
    </row>
    <row r="139">
      <c r="A139" t="inlineStr">
        <is>
          <t>PRI|mit.gdp.lvl</t>
        </is>
      </c>
      <c r="B139" t="inlineStr">
        <is>
          <t>PRI</t>
        </is>
      </c>
      <c r="C139" t="inlineStr">
        <is>
          <t>mit.gdp.lvl</t>
        </is>
      </c>
      <c r="D139" t="n">
        <v>125.842</v>
      </c>
      <c r="E139" t="n">
        <v>124.835264</v>
      </c>
      <c r="F139" t="n">
        <v>125.6390243</v>
      </c>
      <c r="G139" t="n">
        <v>138.58015</v>
      </c>
      <c r="H139" t="n">
        <v>160.8279216</v>
      </c>
    </row>
    <row r="140">
      <c r="A140" t="inlineStr">
        <is>
          <t>PRT|mit.gdp.lvl</t>
        </is>
      </c>
      <c r="B140" t="inlineStr">
        <is>
          <t>PRT</t>
        </is>
      </c>
      <c r="C140" t="inlineStr">
        <is>
          <t>mit.gdp.lvl</t>
        </is>
      </c>
      <c r="D140" t="n">
        <v>313.562</v>
      </c>
      <c r="E140" t="n">
        <v>319.4067957</v>
      </c>
      <c r="F140" t="n">
        <v>350.384619</v>
      </c>
      <c r="G140" t="n">
        <v>412.2053834</v>
      </c>
      <c r="H140" t="n">
        <v>478.3811758</v>
      </c>
    </row>
    <row r="141">
      <c r="A141" t="inlineStr">
        <is>
          <t>PRY|mit.gdp.lvl</t>
        </is>
      </c>
      <c r="B141" t="inlineStr">
        <is>
          <t>PRY</t>
        </is>
      </c>
      <c r="C141" t="inlineStr">
        <is>
          <t>mit.gdp.lvl</t>
        </is>
      </c>
      <c r="D141" t="n">
        <v>44.739</v>
      </c>
      <c r="E141" t="n">
        <v>47.42334</v>
      </c>
      <c r="F141" t="n">
        <v>57.77684683</v>
      </c>
      <c r="G141" t="n">
        <v>80.60219127000001</v>
      </c>
      <c r="H141" t="n">
        <v>108.3226051</v>
      </c>
    </row>
    <row r="142">
      <c r="A142" t="inlineStr">
        <is>
          <t>QAT|mit.gdp.lvl</t>
        </is>
      </c>
      <c r="B142" t="inlineStr">
        <is>
          <t>QAT</t>
        </is>
      </c>
      <c r="C142" t="inlineStr">
        <is>
          <t>mit.gdp.lvl</t>
        </is>
      </c>
      <c r="D142" t="n">
        <v>219.163</v>
      </c>
      <c r="E142" t="n">
        <v>225.2951807</v>
      </c>
      <c r="F142" t="n">
        <v>155.0385053</v>
      </c>
      <c r="G142" t="n">
        <v>129.5072571</v>
      </c>
      <c r="H142" t="n">
        <v>150.298459</v>
      </c>
    </row>
    <row r="143">
      <c r="A143" t="inlineStr">
        <is>
          <t>ROU|mit.gdp.lvl</t>
        </is>
      </c>
      <c r="B143" t="inlineStr">
        <is>
          <t>ROU</t>
        </is>
      </c>
      <c r="C143" t="inlineStr">
        <is>
          <t>mit.gdp.lvl</t>
        </is>
      </c>
      <c r="D143" t="n">
        <v>382.65</v>
      </c>
      <c r="E143" t="n">
        <v>385.1946225</v>
      </c>
      <c r="F143" t="n">
        <v>405.3077996</v>
      </c>
      <c r="G143" t="n">
        <v>506.6928703</v>
      </c>
      <c r="H143" t="n">
        <v>680.9528477</v>
      </c>
    </row>
    <row r="144">
      <c r="A144" t="inlineStr">
        <is>
          <t>RUS|mit.gdp.lvl</t>
        </is>
      </c>
      <c r="B144" t="inlineStr">
        <is>
          <t>RUS</t>
        </is>
      </c>
      <c r="C144" t="inlineStr">
        <is>
          <t>mit.gdp.lvl</t>
        </is>
      </c>
      <c r="D144" t="n">
        <v>2185.848</v>
      </c>
      <c r="E144" t="n">
        <v>2207.291169</v>
      </c>
      <c r="F144" t="n">
        <v>2361.936821</v>
      </c>
      <c r="G144" t="n">
        <v>2989.915601</v>
      </c>
      <c r="H144" t="n">
        <v>4018.19655</v>
      </c>
    </row>
    <row r="145">
      <c r="A145" t="inlineStr">
        <is>
          <t>RWA|mit.gdp.lvl</t>
        </is>
      </c>
      <c r="B145" t="inlineStr">
        <is>
          <t>RWA</t>
        </is>
      </c>
      <c r="C145" t="inlineStr">
        <is>
          <t>mit.gdp.lvl</t>
        </is>
      </c>
      <c r="D145" t="n">
        <v>15.111</v>
      </c>
      <c r="E145" t="n">
        <v>16.16544558</v>
      </c>
      <c r="F145" t="n">
        <v>22.50619565</v>
      </c>
      <c r="G145" t="n">
        <v>37.99787073</v>
      </c>
      <c r="H145" t="n">
        <v>59.00953133</v>
      </c>
    </row>
    <row r="146">
      <c r="A146" t="inlineStr">
        <is>
          <t>SAU|mit.gdp.lvl</t>
        </is>
      </c>
      <c r="B146" t="inlineStr">
        <is>
          <t>SAU</t>
        </is>
      </c>
      <c r="C146" t="inlineStr">
        <is>
          <t>mit.gdp.lvl</t>
        </is>
      </c>
      <c r="D146" t="n">
        <v>1254.141</v>
      </c>
      <c r="E146" t="n">
        <v>1310.602428</v>
      </c>
      <c r="F146" t="n">
        <v>1510.822598</v>
      </c>
      <c r="G146" t="n">
        <v>1845.039847</v>
      </c>
      <c r="H146" t="n">
        <v>2141.244066</v>
      </c>
    </row>
    <row r="147">
      <c r="A147" t="inlineStr">
        <is>
          <t>SDN|mit.gdp.lvl</t>
        </is>
      </c>
      <c r="B147" t="inlineStr">
        <is>
          <t>SDN</t>
        </is>
      </c>
      <c r="C147" t="inlineStr">
        <is>
          <t>mit.gdp.lvl</t>
        </is>
      </c>
      <c r="D147" t="n">
        <v>29.156</v>
      </c>
      <c r="E147" t="n">
        <v>30.096281</v>
      </c>
      <c r="F147" t="n">
        <v>31.91756139</v>
      </c>
      <c r="G147" t="n">
        <v>42.65051738</v>
      </c>
      <c r="H147" t="n">
        <v>63.1331846</v>
      </c>
    </row>
    <row r="148">
      <c r="A148" t="inlineStr">
        <is>
          <t>SEN|mit.gdp.lvl</t>
        </is>
      </c>
      <c r="B148" t="inlineStr">
        <is>
          <t>SEN</t>
        </is>
      </c>
      <c r="C148" t="inlineStr">
        <is>
          <t>mit.gdp.lvl</t>
        </is>
      </c>
      <c r="D148" t="n">
        <v>32.829</v>
      </c>
      <c r="E148" t="n">
        <v>35.41625349</v>
      </c>
      <c r="F148" t="n">
        <v>40.0803252</v>
      </c>
      <c r="G148" t="n">
        <v>57.92306373</v>
      </c>
      <c r="H148" t="n">
        <v>89.95274679000001</v>
      </c>
    </row>
    <row r="149">
      <c r="A149" t="inlineStr">
        <is>
          <t>SGP|mit.gdp.lvl</t>
        </is>
      </c>
      <c r="B149" t="inlineStr">
        <is>
          <t>SGP</t>
        </is>
      </c>
      <c r="C149" t="inlineStr">
        <is>
          <t>mit.gdp.lvl</t>
        </is>
      </c>
      <c r="D149" t="n">
        <v>572.877</v>
      </c>
      <c r="E149" t="n">
        <v>601.6526117</v>
      </c>
      <c r="F149" t="n">
        <v>704.9639389</v>
      </c>
      <c r="G149" t="n">
        <v>871.5800840000001</v>
      </c>
      <c r="H149" t="n">
        <v>1011.50427</v>
      </c>
    </row>
    <row r="150">
      <c r="A150" t="inlineStr">
        <is>
          <t>SLB|mit.gdp.lvl</t>
        </is>
      </c>
      <c r="B150" t="inlineStr">
        <is>
          <t>SLB</t>
        </is>
      </c>
      <c r="C150" t="inlineStr">
        <is>
          <t>mit.gdp.lvl</t>
        </is>
      </c>
      <c r="D150" t="n">
        <v>1.584</v>
      </c>
      <c r="E150" t="n">
        <v>1.62643536</v>
      </c>
      <c r="F150" t="n">
        <v>1.881688821</v>
      </c>
      <c r="G150" t="n">
        <v>2.682436917</v>
      </c>
      <c r="H150" t="n">
        <v>3.970661916</v>
      </c>
    </row>
    <row r="151">
      <c r="A151" t="inlineStr">
        <is>
          <t>SLE|mit.gdp.lvl</t>
        </is>
      </c>
      <c r="B151" t="inlineStr">
        <is>
          <t>SLE</t>
        </is>
      </c>
      <c r="C151" t="inlineStr">
        <is>
          <t>mit.gdp.lvl</t>
        </is>
      </c>
      <c r="D151" t="n">
        <v>6.97</v>
      </c>
      <c r="E151" t="n">
        <v>7.2750769</v>
      </c>
      <c r="F151" t="n">
        <v>9.084675339</v>
      </c>
      <c r="G151" t="n">
        <v>14.12993489</v>
      </c>
      <c r="H151" t="n">
        <v>21.94335682</v>
      </c>
    </row>
    <row r="152">
      <c r="A152" t="inlineStr">
        <is>
          <t>SLV|mit.gdp.lvl</t>
        </is>
      </c>
      <c r="B152" t="inlineStr">
        <is>
          <t>SLV</t>
        </is>
      </c>
      <c r="C152" t="inlineStr">
        <is>
          <t>mit.gdp.lvl</t>
        </is>
      </c>
      <c r="D152" t="n">
        <v>35.365</v>
      </c>
      <c r="E152" t="n">
        <v>36.673505</v>
      </c>
      <c r="F152" t="n">
        <v>43.34655675</v>
      </c>
      <c r="G152" t="n">
        <v>62.78817595</v>
      </c>
      <c r="H152" t="n">
        <v>92.94183861</v>
      </c>
    </row>
    <row r="153">
      <c r="A153" t="inlineStr">
        <is>
          <t>SOM|mit.gdp.lvl</t>
        </is>
      </c>
      <c r="B153" t="inlineStr">
        <is>
          <t>SOM</t>
        </is>
      </c>
      <c r="C153" t="inlineStr">
        <is>
          <t>mit.gdp.lvl</t>
        </is>
      </c>
      <c r="D153" t="n">
        <v>12.161</v>
      </c>
      <c r="E153" t="n">
        <v>12.52583</v>
      </c>
      <c r="F153" t="n">
        <v>14.43034082</v>
      </c>
      <c r="G153" t="n">
        <v>21.13263342</v>
      </c>
      <c r="H153" t="n">
        <v>32.8183335</v>
      </c>
    </row>
    <row r="154">
      <c r="A154" t="inlineStr">
        <is>
          <t>SRB|mit.gdp.lvl</t>
        </is>
      </c>
      <c r="B154" t="inlineStr">
        <is>
          <t>SRB</t>
        </is>
      </c>
      <c r="C154" t="inlineStr">
        <is>
          <t>mit.gdp.lvl</t>
        </is>
      </c>
      <c r="D154" t="n">
        <v>90.08799999999999</v>
      </c>
      <c r="E154" t="n">
        <v>91.91678640000001</v>
      </c>
      <c r="F154" t="n">
        <v>105.8271852</v>
      </c>
      <c r="G154" t="n">
        <v>141.4921859</v>
      </c>
      <c r="H154" t="n">
        <v>190.1536662</v>
      </c>
    </row>
    <row r="155">
      <c r="A155" t="inlineStr">
        <is>
          <t>STP|mit.gdp.lvl</t>
        </is>
      </c>
      <c r="B155" t="inlineStr">
        <is>
          <t>STP</t>
        </is>
      </c>
      <c r="C155" t="inlineStr">
        <is>
          <t>mit.gdp.lvl</t>
        </is>
      </c>
      <c r="D155" t="n">
        <v>0.828</v>
      </c>
      <c r="E155" t="n">
        <v>0.845388</v>
      </c>
      <c r="F155" t="n">
        <v>1.003362151</v>
      </c>
      <c r="G155" t="n">
        <v>1.457897663</v>
      </c>
      <c r="H155" t="n">
        <v>2.158044684</v>
      </c>
    </row>
    <row r="156">
      <c r="A156" t="inlineStr">
        <is>
          <t>SUR|mit.gdp.lvl</t>
        </is>
      </c>
      <c r="B156" t="inlineStr">
        <is>
          <t>SUR</t>
        </is>
      </c>
      <c r="C156" t="inlineStr">
        <is>
          <t>mit.gdp.lvl</t>
        </is>
      </c>
      <c r="D156" t="n">
        <v>4.434</v>
      </c>
      <c r="E156" t="n">
        <v>4.50099774</v>
      </c>
      <c r="F156" t="n">
        <v>5.42226965</v>
      </c>
      <c r="G156" t="n">
        <v>7.500520098</v>
      </c>
      <c r="H156" t="n">
        <v>10.08007181</v>
      </c>
    </row>
    <row r="157">
      <c r="A157" t="inlineStr">
        <is>
          <t>SVK|mit.gdp.lvl</t>
        </is>
      </c>
      <c r="B157" t="inlineStr">
        <is>
          <t>SVK</t>
        </is>
      </c>
      <c r="C157" t="inlineStr">
        <is>
          <t>mit.gdp.lvl</t>
        </is>
      </c>
      <c r="D157" t="n">
        <v>140.892</v>
      </c>
      <c r="E157" t="n">
        <v>142.0289984</v>
      </c>
      <c r="F157" t="n">
        <v>147.2848217</v>
      </c>
      <c r="G157" t="n">
        <v>166.1228882</v>
      </c>
      <c r="H157" t="n">
        <v>192.7923937</v>
      </c>
    </row>
    <row r="158">
      <c r="A158" t="inlineStr">
        <is>
          <t>SVN|mit.gdp.lvl</t>
        </is>
      </c>
      <c r="B158" t="inlineStr">
        <is>
          <t>SVN</t>
        </is>
      </c>
      <c r="C158" t="inlineStr">
        <is>
          <t>mit.gdp.lvl</t>
        </is>
      </c>
      <c r="D158" t="n">
        <v>72.95</v>
      </c>
      <c r="E158" t="n">
        <v>73.72327</v>
      </c>
      <c r="F158" t="n">
        <v>81.11179468</v>
      </c>
      <c r="G158" t="n">
        <v>95.63423050999999</v>
      </c>
      <c r="H158" t="n">
        <v>110.9874288</v>
      </c>
    </row>
    <row r="159">
      <c r="A159" t="inlineStr">
        <is>
          <t>SWE|mit.gdp.lvl</t>
        </is>
      </c>
      <c r="B159" t="inlineStr">
        <is>
          <t>SWE</t>
        </is>
      </c>
      <c r="C159" t="inlineStr">
        <is>
          <t>mit.gdp.lvl</t>
        </is>
      </c>
      <c r="D159" t="n">
        <v>604.827</v>
      </c>
      <c r="E159" t="n">
        <v>614.1594806000001</v>
      </c>
      <c r="F159" t="n">
        <v>674.6598676999999</v>
      </c>
      <c r="G159" t="n">
        <v>794.5229676</v>
      </c>
      <c r="H159" t="n">
        <v>922.0763404</v>
      </c>
    </row>
    <row r="160">
      <c r="A160" t="inlineStr">
        <is>
          <t>SWZ|mit.gdp.lvl</t>
        </is>
      </c>
      <c r="B160" t="inlineStr">
        <is>
          <t>SWZ</t>
        </is>
      </c>
      <c r="C160" t="inlineStr">
        <is>
          <t>mit.gdp.lvl</t>
        </is>
      </c>
      <c r="D160" t="n">
        <v>4.855</v>
      </c>
      <c r="E160" t="n">
        <v>5.03041115</v>
      </c>
      <c r="F160" t="n">
        <v>6.129601721</v>
      </c>
      <c r="G160" t="n">
        <v>9.083688742</v>
      </c>
      <c r="H160" t="n">
        <v>13.44607835</v>
      </c>
    </row>
    <row r="161">
      <c r="A161" t="inlineStr">
        <is>
          <t>SYC|mit.gdp.lvl</t>
        </is>
      </c>
      <c r="B161" t="inlineStr">
        <is>
          <t>SYC</t>
        </is>
      </c>
      <c r="C161" t="inlineStr">
        <is>
          <t>mit.gdp.lvl</t>
        </is>
      </c>
      <c r="D161" t="n">
        <v>2.229</v>
      </c>
      <c r="E161" t="n">
        <v>2.34250068</v>
      </c>
      <c r="F161" t="n">
        <v>2.525776923</v>
      </c>
      <c r="G161" t="n">
        <v>2.933217156</v>
      </c>
      <c r="H161" t="n">
        <v>3.404118258</v>
      </c>
    </row>
    <row r="162">
      <c r="A162" t="inlineStr">
        <is>
          <t>SYR|mit.gdp.lvl</t>
        </is>
      </c>
      <c r="B162" t="inlineStr">
        <is>
          <t>SYR</t>
        </is>
      </c>
      <c r="C162" t="inlineStr">
        <is>
          <t>mit.gdp.lvl</t>
        </is>
      </c>
      <c r="D162" t="n">
        <v>81.68214</v>
      </c>
      <c r="E162" t="n">
        <v>84.1326042</v>
      </c>
      <c r="F162" t="n">
        <v>98.55100313</v>
      </c>
      <c r="G162" t="n">
        <v>146.1238374</v>
      </c>
      <c r="H162" t="n">
        <v>226.9258512</v>
      </c>
    </row>
    <row r="163">
      <c r="A163" t="inlineStr">
        <is>
          <t>TCD|mit.gdp.lvl</t>
        </is>
      </c>
      <c r="B163" t="inlineStr">
        <is>
          <t>TCD</t>
        </is>
      </c>
      <c r="C163" t="inlineStr">
        <is>
          <t>mit.gdp.lvl</t>
        </is>
      </c>
      <c r="D163" t="n">
        <v>20.656</v>
      </c>
      <c r="E163" t="n">
        <v>21.81397536</v>
      </c>
      <c r="F163" t="n">
        <v>28.00780553</v>
      </c>
      <c r="G163" t="n">
        <v>44.48137495</v>
      </c>
      <c r="H163" t="n">
        <v>69.07821513</v>
      </c>
    </row>
    <row r="164">
      <c r="A164" t="inlineStr">
        <is>
          <t>TGO|mit.gdp.lvl</t>
        </is>
      </c>
      <c r="B164" t="inlineStr">
        <is>
          <t>TGO</t>
        </is>
      </c>
      <c r="C164" t="inlineStr">
        <is>
          <t>mit.gdp.lvl</t>
        </is>
      </c>
      <c r="D164" t="n">
        <v>10.644</v>
      </c>
      <c r="E164" t="n">
        <v>11.27082516</v>
      </c>
      <c r="F164" t="n">
        <v>14.33587686</v>
      </c>
      <c r="G164" t="n">
        <v>22.60784253</v>
      </c>
      <c r="H164" t="n">
        <v>35.10928814</v>
      </c>
    </row>
    <row r="165">
      <c r="A165" t="inlineStr">
        <is>
          <t>THA|mit.gdp.lvl</t>
        </is>
      </c>
      <c r="B165" t="inlineStr">
        <is>
          <t>THA</t>
        </is>
      </c>
      <c r="C165" t="inlineStr">
        <is>
          <t>mit.gdp.lvl</t>
        </is>
      </c>
      <c r="D165" t="n">
        <v>529.386</v>
      </c>
      <c r="E165" t="n">
        <v>542.1600842</v>
      </c>
      <c r="F165" t="n">
        <v>590.248509</v>
      </c>
      <c r="G165" t="n">
        <v>756.8512449999999</v>
      </c>
      <c r="H165" t="n">
        <v>1017.144785</v>
      </c>
    </row>
    <row r="166">
      <c r="A166" t="inlineStr">
        <is>
          <t>TJK|mit.gdp.lvl</t>
        </is>
      </c>
      <c r="B166" t="inlineStr">
        <is>
          <t>TJK</t>
        </is>
      </c>
      <c r="C166" t="inlineStr">
        <is>
          <t>mit.gdp.lvl</t>
        </is>
      </c>
      <c r="D166" t="n">
        <v>14.426</v>
      </c>
      <c r="E166" t="n">
        <v>15.637784</v>
      </c>
      <c r="F166" t="n">
        <v>20.71610467</v>
      </c>
      <c r="G166" t="n">
        <v>33.68555978</v>
      </c>
      <c r="H166" t="n">
        <v>52.31264429</v>
      </c>
    </row>
    <row r="167">
      <c r="A167" t="inlineStr">
        <is>
          <t>TKM|mit.gdp.lvl</t>
        </is>
      </c>
      <c r="B167" t="inlineStr">
        <is>
          <t>TKM</t>
        </is>
      </c>
      <c r="C167" t="inlineStr">
        <is>
          <t>mit.gdp.lvl</t>
        </is>
      </c>
      <c r="D167" t="n">
        <v>68.675</v>
      </c>
      <c r="E167" t="n">
        <v>71.130818</v>
      </c>
      <c r="F167" t="n">
        <v>81.09675919</v>
      </c>
      <c r="G167" t="n">
        <v>107.6340858</v>
      </c>
      <c r="H167" t="n">
        <v>144.6512108</v>
      </c>
    </row>
    <row r="168">
      <c r="A168" t="inlineStr">
        <is>
          <t>TLS|mit.gdp.lvl</t>
        </is>
      </c>
      <c r="B168" t="inlineStr">
        <is>
          <t>TLS</t>
        </is>
      </c>
      <c r="C168" t="inlineStr">
        <is>
          <t>mit.gdp.lvl</t>
        </is>
      </c>
      <c r="D168" t="n">
        <v>1.866</v>
      </c>
      <c r="E168" t="n">
        <v>1.94997</v>
      </c>
      <c r="F168" t="n">
        <v>2.382229257</v>
      </c>
      <c r="G168" t="n">
        <v>3.53719426</v>
      </c>
      <c r="H168" t="n">
        <v>5.235911587</v>
      </c>
    </row>
    <row r="169">
      <c r="A169" t="inlineStr">
        <is>
          <t>TON|mit.gdp.lvl</t>
        </is>
      </c>
      <c r="B169" t="inlineStr">
        <is>
          <t>TON</t>
        </is>
      </c>
      <c r="C169" t="inlineStr">
        <is>
          <t>mit.gdp.lvl</t>
        </is>
      </c>
      <c r="D169" t="n">
        <v>0.646</v>
      </c>
      <c r="E169" t="n">
        <v>0.664088</v>
      </c>
      <c r="F169" t="n">
        <v>0.7484158018</v>
      </c>
      <c r="G169" t="n">
        <v>0.9847505339</v>
      </c>
      <c r="H169" t="n">
        <v>1.323422372</v>
      </c>
    </row>
    <row r="170">
      <c r="A170" t="inlineStr">
        <is>
          <t>TTO|mit.gdp.lvl</t>
        </is>
      </c>
      <c r="B170" t="inlineStr">
        <is>
          <t>TTO</t>
        </is>
      </c>
      <c r="C170" t="inlineStr">
        <is>
          <t>mit.gdp.lvl</t>
        </is>
      </c>
      <c r="D170" t="n">
        <v>25.634</v>
      </c>
      <c r="E170" t="n">
        <v>25.83445788</v>
      </c>
      <c r="F170" t="n">
        <v>26.97909157</v>
      </c>
      <c r="G170" t="n">
        <v>30.58978092</v>
      </c>
      <c r="H170" t="n">
        <v>35.50068959</v>
      </c>
    </row>
    <row r="171">
      <c r="A171" t="inlineStr">
        <is>
          <t>TUN|mit.gdp.lvl</t>
        </is>
      </c>
      <c r="B171" t="inlineStr">
        <is>
          <t>TUN</t>
        </is>
      </c>
      <c r="C171" t="inlineStr">
        <is>
          <t>mit.gdp.lvl</t>
        </is>
      </c>
      <c r="D171" t="n">
        <v>51.331</v>
      </c>
      <c r="E171" t="n">
        <v>52.61068183</v>
      </c>
      <c r="F171" t="n">
        <v>59.18345735</v>
      </c>
      <c r="G171" t="n">
        <v>82.62296135</v>
      </c>
      <c r="H171" t="n">
        <v>122.3021663</v>
      </c>
    </row>
    <row r="172">
      <c r="A172" t="inlineStr">
        <is>
          <t>TUR|mit.gdp.lvl</t>
        </is>
      </c>
      <c r="B172" t="inlineStr">
        <is>
          <t>TUR</t>
        </is>
      </c>
      <c r="C172" t="inlineStr">
        <is>
          <t>mit.gdp.lvl</t>
        </is>
      </c>
      <c r="D172" t="n">
        <v>1358.251</v>
      </c>
      <c r="E172" t="n">
        <v>1407.215949</v>
      </c>
      <c r="F172" t="n">
        <v>1656.3438</v>
      </c>
      <c r="G172" t="n">
        <v>2251.537087</v>
      </c>
      <c r="H172" t="n">
        <v>3025.877571</v>
      </c>
    </row>
    <row r="173">
      <c r="A173" t="inlineStr">
        <is>
          <t>TZA|mit.gdp.lvl</t>
        </is>
      </c>
      <c r="B173" t="inlineStr">
        <is>
          <t>TZA</t>
        </is>
      </c>
      <c r="C173" t="inlineStr">
        <is>
          <t>mit.gdp.lvl</t>
        </is>
      </c>
      <c r="D173" t="n">
        <v>79.236</v>
      </c>
      <c r="E173" t="n">
        <v>83.89190736</v>
      </c>
      <c r="F173" t="n">
        <v>110.8656972</v>
      </c>
      <c r="G173" t="n">
        <v>179.9436098</v>
      </c>
      <c r="H173" t="n">
        <v>279.4469236</v>
      </c>
    </row>
    <row r="174">
      <c r="A174" t="inlineStr">
        <is>
          <t>UGA|mit.gdp.lvl</t>
        </is>
      </c>
      <c r="B174" t="inlineStr">
        <is>
          <t>UGA</t>
        </is>
      </c>
      <c r="C174" t="inlineStr">
        <is>
          <t>mit.gdp.lvl</t>
        </is>
      </c>
      <c r="D174" t="n">
        <v>57.061</v>
      </c>
      <c r="E174" t="n">
        <v>60.89835225</v>
      </c>
      <c r="F174" t="n">
        <v>85.72428024</v>
      </c>
      <c r="G174" t="n">
        <v>145.9451074</v>
      </c>
      <c r="H174" t="n">
        <v>226.6482891</v>
      </c>
    </row>
    <row r="175">
      <c r="A175" t="inlineStr">
        <is>
          <t>UKR|mit.gdp.lvl</t>
        </is>
      </c>
      <c r="B175" t="inlineStr">
        <is>
          <t>UKR</t>
        </is>
      </c>
      <c r="C175" t="inlineStr">
        <is>
          <t>mit.gdp.lvl</t>
        </is>
      </c>
      <c r="D175" t="n">
        <v>190.834</v>
      </c>
      <c r="E175" t="n">
        <v>194.269012</v>
      </c>
      <c r="F175" t="n">
        <v>217.5074852</v>
      </c>
      <c r="G175" t="n">
        <v>302.5832875</v>
      </c>
      <c r="H175" t="n">
        <v>447.897182</v>
      </c>
    </row>
    <row r="176">
      <c r="A176" t="inlineStr">
        <is>
          <t>URY|mit.gdp.lvl</t>
        </is>
      </c>
      <c r="B176" t="inlineStr">
        <is>
          <t>URY</t>
        </is>
      </c>
      <c r="C176" t="inlineStr">
        <is>
          <t>mit.gdp.lvl</t>
        </is>
      </c>
      <c r="D176" t="n">
        <v>82.32299999999999</v>
      </c>
      <c r="E176" t="n">
        <v>83.79246555</v>
      </c>
      <c r="F176" t="n">
        <v>91.41751145000001</v>
      </c>
      <c r="G176" t="n">
        <v>107.1058056</v>
      </c>
      <c r="H176" t="n">
        <v>124.30066</v>
      </c>
    </row>
    <row r="177">
      <c r="A177" t="inlineStr">
        <is>
          <t>USA|mit.gdp.lvl</t>
        </is>
      </c>
      <c r="B177" t="inlineStr">
        <is>
          <t>USA</t>
        </is>
      </c>
      <c r="C177" t="inlineStr">
        <is>
          <t>mit.gdp.lvl</t>
        </is>
      </c>
      <c r="D177" t="n">
        <v>29298.025</v>
      </c>
      <c r="E177" t="n">
        <v>29918.26419</v>
      </c>
      <c r="F177" t="n">
        <v>33367.50252</v>
      </c>
      <c r="G177" t="n">
        <v>39746.23374</v>
      </c>
      <c r="H177" t="n">
        <v>46127.12689</v>
      </c>
    </row>
    <row r="178">
      <c r="A178" t="inlineStr">
        <is>
          <t>UZB|mit.gdp.lvl</t>
        </is>
      </c>
      <c r="B178" t="inlineStr">
        <is>
          <t>UZB</t>
        </is>
      </c>
      <c r="C178" t="inlineStr">
        <is>
          <t>mit.gdp.lvl</t>
        </is>
      </c>
      <c r="D178" t="n">
        <v>121.352</v>
      </c>
      <c r="E178" t="n">
        <v>130.696104</v>
      </c>
      <c r="F178" t="n">
        <v>175.8954152</v>
      </c>
      <c r="G178" t="n">
        <v>280.9429108</v>
      </c>
      <c r="H178" t="n">
        <v>415.8641381</v>
      </c>
    </row>
    <row r="179">
      <c r="A179" t="inlineStr">
        <is>
          <t>VCT|mit.gdp.lvl</t>
        </is>
      </c>
      <c r="B179" t="inlineStr">
        <is>
          <t>VCT</t>
        </is>
      </c>
      <c r="C179" t="inlineStr">
        <is>
          <t>mit.gdp.lvl</t>
        </is>
      </c>
      <c r="D179" t="n">
        <v>1.126</v>
      </c>
      <c r="E179" t="n">
        <v>1.1641714</v>
      </c>
      <c r="F179" t="n">
        <v>1.349593722</v>
      </c>
      <c r="G179" t="n">
        <v>1.813741109</v>
      </c>
      <c r="H179" t="n">
        <v>2.437516384</v>
      </c>
    </row>
    <row r="180">
      <c r="A180" t="inlineStr">
        <is>
          <t>VEN|mit.gdp.lvl</t>
        </is>
      </c>
      <c r="B180" t="inlineStr">
        <is>
          <t>VEN</t>
        </is>
      </c>
      <c r="C180" t="inlineStr">
        <is>
          <t>mit.gdp.lvl</t>
        </is>
      </c>
      <c r="D180" t="n">
        <v>120.566</v>
      </c>
      <c r="E180" t="n">
        <v>122.4142768</v>
      </c>
      <c r="F180" t="n">
        <v>148.1778506</v>
      </c>
      <c r="G180" t="n">
        <v>205.7116674</v>
      </c>
      <c r="H180" t="n">
        <v>276.4592792</v>
      </c>
    </row>
    <row r="181">
      <c r="A181" t="inlineStr">
        <is>
          <t>VNM|mit.gdp.lvl</t>
        </is>
      </c>
      <c r="B181" t="inlineStr">
        <is>
          <t>VNM</t>
        </is>
      </c>
      <c r="C181" t="inlineStr">
        <is>
          <t>mit.gdp.lvl</t>
        </is>
      </c>
      <c r="D181" t="n">
        <v>459.448</v>
      </c>
      <c r="E181" t="n">
        <v>496.2911351</v>
      </c>
      <c r="F181" t="n">
        <v>684.9784151</v>
      </c>
      <c r="G181" t="n">
        <v>1115.173593</v>
      </c>
      <c r="H181" t="n">
        <v>1650.729338</v>
      </c>
    </row>
    <row r="182">
      <c r="A182" t="inlineStr">
        <is>
          <t>VUT|mit.gdp.lvl</t>
        </is>
      </c>
      <c r="B182" t="inlineStr">
        <is>
          <t>VUT</t>
        </is>
      </c>
      <c r="C182" t="inlineStr">
        <is>
          <t>mit.gdp.lvl</t>
        </is>
      </c>
      <c r="D182" t="n">
        <v>1.265</v>
      </c>
      <c r="E182" t="n">
        <v>1.30362045</v>
      </c>
      <c r="F182" t="n">
        <v>1.555442251</v>
      </c>
      <c r="G182" t="n">
        <v>2.269056559</v>
      </c>
      <c r="H182" t="n">
        <v>3.358758003</v>
      </c>
    </row>
    <row r="183">
      <c r="A183" t="inlineStr">
        <is>
          <t>WSM|mit.gdp.lvl</t>
        </is>
      </c>
      <c r="B183" t="inlineStr">
        <is>
          <t>WSM</t>
        </is>
      </c>
      <c r="C183" t="inlineStr">
        <is>
          <t>mit.gdp.lvl</t>
        </is>
      </c>
      <c r="D183" t="n">
        <v>1.176</v>
      </c>
      <c r="E183" t="n">
        <v>1.22543904</v>
      </c>
      <c r="F183" t="n">
        <v>1.432957158</v>
      </c>
      <c r="G183" t="n">
        <v>1.938309684</v>
      </c>
      <c r="H183" t="n">
        <v>2.604926132</v>
      </c>
    </row>
    <row r="184">
      <c r="A184" t="inlineStr">
        <is>
          <t>XKX|mit.gdp.lvl</t>
        </is>
      </c>
      <c r="B184" t="inlineStr">
        <is>
          <t>XKX</t>
        </is>
      </c>
      <c r="C184" t="inlineStr">
        <is>
          <t>mit.gdp.lvl</t>
        </is>
      </c>
      <c r="D184" t="n">
        <v>11.2</v>
      </c>
      <c r="E184" t="n">
        <v>11.602192</v>
      </c>
      <c r="F184" t="n">
        <v>13.71330812</v>
      </c>
      <c r="G184" t="n">
        <v>19.86394463</v>
      </c>
      <c r="H184" t="n">
        <v>29.40349051</v>
      </c>
    </row>
    <row r="185">
      <c r="A185" t="inlineStr">
        <is>
          <t>YEM|mit.gdp.lvl</t>
        </is>
      </c>
      <c r="B185" t="inlineStr">
        <is>
          <t>YEM</t>
        </is>
      </c>
      <c r="C185" t="inlineStr">
        <is>
          <t>mit.gdp.lvl</t>
        </is>
      </c>
      <c r="D185" t="n">
        <v>8.058</v>
      </c>
      <c r="E185" t="n">
        <v>8.01440622</v>
      </c>
      <c r="F185" t="n">
        <v>8.457014975</v>
      </c>
      <c r="G185" t="n">
        <v>11.60489078</v>
      </c>
      <c r="H185" t="n">
        <v>18.02204052</v>
      </c>
    </row>
    <row r="186">
      <c r="A186" t="inlineStr">
        <is>
          <t>ZAF|mit.gdp.lvl</t>
        </is>
      </c>
      <c r="B186" t="inlineStr">
        <is>
          <t>ZAF</t>
        </is>
      </c>
      <c r="C186" t="inlineStr">
        <is>
          <t>mit.gdp.lvl</t>
        </is>
      </c>
      <c r="D186" t="n">
        <v>401.076</v>
      </c>
      <c r="E186" t="n">
        <v>405.5479974</v>
      </c>
      <c r="F186" t="n">
        <v>433.1909594</v>
      </c>
      <c r="G186" t="n">
        <v>547.6409874</v>
      </c>
      <c r="H186" t="n">
        <v>735.9836929000001</v>
      </c>
    </row>
    <row r="187">
      <c r="A187" t="inlineStr">
        <is>
          <t>ZMB|mit.gdp.lvl</t>
        </is>
      </c>
      <c r="B187" t="inlineStr">
        <is>
          <t>ZMB</t>
        </is>
      </c>
      <c r="C187" t="inlineStr">
        <is>
          <t>mit.gdp.lvl</t>
        </is>
      </c>
      <c r="D187" t="n">
        <v>25.303</v>
      </c>
      <c r="E187" t="n">
        <v>26.25388674</v>
      </c>
      <c r="F187" t="n">
        <v>32.32142666</v>
      </c>
      <c r="G187" t="n">
        <v>48.26960983</v>
      </c>
      <c r="H187" t="n">
        <v>71.45081408</v>
      </c>
    </row>
    <row r="188">
      <c r="A188" t="inlineStr">
        <is>
          <t>ZWE|mit.gdp.lvl</t>
        </is>
      </c>
      <c r="B188" t="inlineStr">
        <is>
          <t>ZWE</t>
        </is>
      </c>
      <c r="C188" t="inlineStr">
        <is>
          <t>mit.gdp.lvl</t>
        </is>
      </c>
      <c r="D188" t="n">
        <v>49.154</v>
      </c>
      <c r="E188" t="n">
        <v>52.8602116</v>
      </c>
      <c r="F188" t="n">
        <v>67.15846209</v>
      </c>
      <c r="G188" t="n">
        <v>105.8186829</v>
      </c>
      <c r="H188" t="n">
        <v>164.3331788</v>
      </c>
    </row>
    <row r="189">
      <c r="A189" t="inlineStr">
        <is>
          <t>ABW|mit.act.ecy.res</t>
        </is>
      </c>
      <c r="B189" t="inlineStr">
        <is>
          <t>ABW</t>
        </is>
      </c>
      <c r="C189" t="inlineStr">
        <is>
          <t>mit.act.ecy.res</t>
        </is>
      </c>
      <c r="D189" t="n">
        <v>1.332903322</v>
      </c>
      <c r="E189" t="n">
        <v>1.385447403</v>
      </c>
      <c r="F189" t="n">
        <v>1.470927486</v>
      </c>
      <c r="G189" t="n">
        <v>1.606560656</v>
      </c>
      <c r="H189" t="n">
        <v>1.72172921</v>
      </c>
    </row>
    <row r="190">
      <c r="A190" t="inlineStr">
        <is>
          <t>AFG|mit.act.ecy.res</t>
        </is>
      </c>
      <c r="B190" t="inlineStr">
        <is>
          <t>AFG</t>
        </is>
      </c>
      <c r="C190" t="inlineStr">
        <is>
          <t>mit.act.ecy.res</t>
        </is>
      </c>
      <c r="D190" t="n">
        <v>11.88573098</v>
      </c>
      <c r="E190" t="n">
        <v>12.1099711</v>
      </c>
      <c r="F190" t="n">
        <v>13.4051035</v>
      </c>
      <c r="G190" t="n">
        <v>17.47662509</v>
      </c>
      <c r="H190" t="n">
        <v>23.64434435</v>
      </c>
    </row>
    <row r="191">
      <c r="A191" t="inlineStr">
        <is>
          <t>AGO|mit.act.ecy.res</t>
        </is>
      </c>
      <c r="B191" t="inlineStr">
        <is>
          <t>AGO</t>
        </is>
      </c>
      <c r="C191" t="inlineStr">
        <is>
          <t>mit.act.ecy.res</t>
        </is>
      </c>
      <c r="D191" t="n">
        <v>35.33689063</v>
      </c>
      <c r="E191" t="n">
        <v>36.03879694</v>
      </c>
      <c r="F191" t="n">
        <v>38.85724907</v>
      </c>
      <c r="G191" t="n">
        <v>48.4942987</v>
      </c>
      <c r="H191" t="n">
        <v>63.13886636</v>
      </c>
    </row>
    <row r="192">
      <c r="A192" t="inlineStr">
        <is>
          <t>ALB|mit.act.ecy.res</t>
        </is>
      </c>
      <c r="B192" t="inlineStr">
        <is>
          <t>ALB</t>
        </is>
      </c>
      <c r="C192" t="inlineStr">
        <is>
          <t>mit.act.ecy.res</t>
        </is>
      </c>
      <c r="D192" t="n">
        <v>14.03084561</v>
      </c>
      <c r="E192" t="n">
        <v>14.37333476</v>
      </c>
      <c r="F192" t="n">
        <v>15.99479292</v>
      </c>
      <c r="G192" t="n">
        <v>19.47360364</v>
      </c>
      <c r="H192" t="n">
        <v>23.46840133</v>
      </c>
    </row>
    <row r="193">
      <c r="A193" t="inlineStr">
        <is>
          <t>ARE|mit.act.ecy.res</t>
        </is>
      </c>
      <c r="B193" t="inlineStr">
        <is>
          <t>ARE</t>
        </is>
      </c>
      <c r="C193" t="inlineStr">
        <is>
          <t>mit.act.ecy.res</t>
        </is>
      </c>
      <c r="D193" t="n">
        <v>180.2517119</v>
      </c>
      <c r="E193" t="n">
        <v>187.6354987</v>
      </c>
      <c r="F193" t="n">
        <v>205.2503055</v>
      </c>
      <c r="G193" t="n">
        <v>229.2782558</v>
      </c>
      <c r="H193" t="n">
        <v>245.7143891</v>
      </c>
    </row>
    <row r="194">
      <c r="A194" t="inlineStr">
        <is>
          <t>ARG|mit.act.ecy.res</t>
        </is>
      </c>
      <c r="B194" t="inlineStr">
        <is>
          <t>ARG</t>
        </is>
      </c>
      <c r="C194" t="inlineStr">
        <is>
          <t>mit.act.ecy.res</t>
        </is>
      </c>
      <c r="D194" t="n">
        <v>162.246793</v>
      </c>
      <c r="E194" t="n">
        <v>167.0554388</v>
      </c>
      <c r="F194" t="n">
        <v>184.920998</v>
      </c>
      <c r="G194" t="n">
        <v>208.4306538</v>
      </c>
      <c r="H194" t="n">
        <v>223.3722975</v>
      </c>
    </row>
    <row r="195">
      <c r="A195" t="inlineStr">
        <is>
          <t>ARM|mit.act.ecy.res</t>
        </is>
      </c>
      <c r="B195" t="inlineStr">
        <is>
          <t>ARM</t>
        </is>
      </c>
      <c r="C195" t="inlineStr">
        <is>
          <t>mit.act.ecy.res</t>
        </is>
      </c>
      <c r="D195" t="n">
        <v>7.255998765</v>
      </c>
      <c r="E195" t="n">
        <v>7.630689582</v>
      </c>
      <c r="F195" t="n">
        <v>9.036778832</v>
      </c>
      <c r="G195" t="n">
        <v>11.53089771</v>
      </c>
      <c r="H195" t="n">
        <v>13.89633578</v>
      </c>
    </row>
    <row r="196">
      <c r="A196" t="inlineStr">
        <is>
          <t>ATG|mit.act.ecy.res</t>
        </is>
      </c>
      <c r="B196" t="inlineStr">
        <is>
          <t>ATG</t>
        </is>
      </c>
      <c r="C196" t="inlineStr">
        <is>
          <t>mit.act.ecy.res</t>
        </is>
      </c>
      <c r="D196" t="n">
        <v>0.4060547847</v>
      </c>
      <c r="E196" t="n">
        <v>0.4138280062</v>
      </c>
      <c r="F196" t="n">
        <v>0.4444404131</v>
      </c>
      <c r="G196" t="n">
        <v>0.4896410808</v>
      </c>
      <c r="H196" t="n">
        <v>0.5247416884</v>
      </c>
    </row>
    <row r="197">
      <c r="A197" t="inlineStr">
        <is>
          <t>AUS|mit.act.ecy.res</t>
        </is>
      </c>
      <c r="B197" t="inlineStr">
        <is>
          <t>AUS</t>
        </is>
      </c>
      <c r="C197" t="inlineStr">
        <is>
          <t>mit.act.ecy.res</t>
        </is>
      </c>
      <c r="D197" t="n">
        <v>295.9883001</v>
      </c>
      <c r="E197" t="n">
        <v>299.1505636</v>
      </c>
      <c r="F197" t="n">
        <v>315.0463959</v>
      </c>
      <c r="G197" t="n">
        <v>342.0079367</v>
      </c>
      <c r="H197" t="n">
        <v>366.5252553</v>
      </c>
    </row>
    <row r="198">
      <c r="A198" t="inlineStr">
        <is>
          <t>AUT|mit.act.ecy.res</t>
        </is>
      </c>
      <c r="B198" t="inlineStr">
        <is>
          <t>AUT</t>
        </is>
      </c>
      <c r="C198" t="inlineStr">
        <is>
          <t>mit.act.ecy.res</t>
        </is>
      </c>
      <c r="D198" t="n">
        <v>74.6207407</v>
      </c>
      <c r="E198" t="n">
        <v>74.61516989</v>
      </c>
      <c r="F198" t="n">
        <v>75.13091398</v>
      </c>
      <c r="G198" t="n">
        <v>78.86237797</v>
      </c>
      <c r="H198" t="n">
        <v>84.51573813</v>
      </c>
    </row>
    <row r="199">
      <c r="A199" t="inlineStr">
        <is>
          <t>AZE|mit.act.ecy.res</t>
        </is>
      </c>
      <c r="B199" t="inlineStr">
        <is>
          <t>AZE</t>
        </is>
      </c>
      <c r="C199" t="inlineStr">
        <is>
          <t>mit.act.ecy.res</t>
        </is>
      </c>
      <c r="D199" t="n">
        <v>26.46247859</v>
      </c>
      <c r="E199" t="n">
        <v>26.62531913</v>
      </c>
      <c r="F199" t="n">
        <v>28.47452508</v>
      </c>
      <c r="G199" t="n">
        <v>33.65034418</v>
      </c>
      <c r="H199" t="n">
        <v>40.55334577</v>
      </c>
    </row>
    <row r="200">
      <c r="A200" t="inlineStr">
        <is>
          <t>BDI|mit.act.ecy.res</t>
        </is>
      </c>
      <c r="B200" t="inlineStr">
        <is>
          <t>BDI</t>
        </is>
      </c>
      <c r="C200" t="inlineStr">
        <is>
          <t>mit.act.ecy.res</t>
        </is>
      </c>
      <c r="D200" t="n">
        <v>0.6319698285999999</v>
      </c>
      <c r="E200" t="n">
        <v>0.648389684</v>
      </c>
      <c r="F200" t="n">
        <v>0.7374623762</v>
      </c>
      <c r="G200" t="n">
        <v>0.9811179007</v>
      </c>
      <c r="H200" t="n">
        <v>1.327366662</v>
      </c>
    </row>
    <row r="201">
      <c r="A201" t="inlineStr">
        <is>
          <t>BEL|mit.act.ecy.res</t>
        </is>
      </c>
      <c r="B201" t="inlineStr">
        <is>
          <t>BEL</t>
        </is>
      </c>
      <c r="C201" t="inlineStr">
        <is>
          <t>mit.act.ecy.res</t>
        </is>
      </c>
      <c r="D201" t="n">
        <v>61.87657568</v>
      </c>
      <c r="E201" t="n">
        <v>62.04702692</v>
      </c>
      <c r="F201" t="n">
        <v>62.43128074</v>
      </c>
      <c r="G201" t="n">
        <v>65.49701846000001</v>
      </c>
      <c r="H201" t="n">
        <v>70.19226408</v>
      </c>
    </row>
    <row r="202">
      <c r="A202" t="inlineStr">
        <is>
          <t>BEN|mit.act.ecy.res</t>
        </is>
      </c>
      <c r="B202" t="inlineStr">
        <is>
          <t>BEN</t>
        </is>
      </c>
      <c r="C202" t="inlineStr">
        <is>
          <t>mit.act.ecy.res</t>
        </is>
      </c>
      <c r="D202" t="n">
        <v>1.577682626</v>
      </c>
      <c r="E202" t="n">
        <v>1.663337399</v>
      </c>
      <c r="F202" t="n">
        <v>2.096434852</v>
      </c>
      <c r="G202" t="n">
        <v>3.013202372</v>
      </c>
      <c r="H202" t="n">
        <v>4.076599123</v>
      </c>
    </row>
    <row r="203">
      <c r="A203" t="inlineStr">
        <is>
          <t>BFA|mit.act.ecy.res</t>
        </is>
      </c>
      <c r="B203" t="inlineStr">
        <is>
          <t>BFA</t>
        </is>
      </c>
      <c r="C203" t="inlineStr">
        <is>
          <t>mit.act.ecy.res</t>
        </is>
      </c>
      <c r="D203" t="n">
        <v>1.723613386</v>
      </c>
      <c r="E203" t="n">
        <v>1.783235457</v>
      </c>
      <c r="F203" t="n">
        <v>2.098635767</v>
      </c>
      <c r="G203" t="n">
        <v>2.864373478</v>
      </c>
      <c r="H203" t="n">
        <v>3.875246652</v>
      </c>
    </row>
    <row r="204">
      <c r="A204" t="inlineStr">
        <is>
          <t>BGD|mit.act.ecy.res</t>
        </is>
      </c>
      <c r="B204" t="inlineStr">
        <is>
          <t>BGD</t>
        </is>
      </c>
      <c r="C204" t="inlineStr">
        <is>
          <t>mit.act.ecy.res</t>
        </is>
      </c>
      <c r="D204" t="n">
        <v>250.2930771</v>
      </c>
      <c r="E204" t="n">
        <v>255.9773185</v>
      </c>
      <c r="F204" t="n">
        <v>298.811891</v>
      </c>
      <c r="G204" t="n">
        <v>395.7621448</v>
      </c>
      <c r="H204" t="n">
        <v>515.2765137</v>
      </c>
    </row>
    <row r="205">
      <c r="A205" t="inlineStr">
        <is>
          <t>BGR|mit.act.ecy.res</t>
        </is>
      </c>
      <c r="B205" t="inlineStr">
        <is>
          <t>BGR</t>
        </is>
      </c>
      <c r="C205" t="inlineStr">
        <is>
          <t>mit.act.ecy.res</t>
        </is>
      </c>
      <c r="D205" t="n">
        <v>52.1688354</v>
      </c>
      <c r="E205" t="n">
        <v>53.1910462</v>
      </c>
      <c r="F205" t="n">
        <v>57.9525262</v>
      </c>
      <c r="G205" t="n">
        <v>69.44598168</v>
      </c>
      <c r="H205" t="n">
        <v>83.69206843000001</v>
      </c>
    </row>
    <row r="206">
      <c r="A206" t="inlineStr">
        <is>
          <t>BHR|mit.act.ecy.res</t>
        </is>
      </c>
      <c r="B206" t="inlineStr">
        <is>
          <t>BHR</t>
        </is>
      </c>
      <c r="C206" t="inlineStr">
        <is>
          <t>mit.act.ecy.res</t>
        </is>
      </c>
      <c r="D206" t="n">
        <v>36.45303956</v>
      </c>
      <c r="E206" t="n">
        <v>37.17105992</v>
      </c>
      <c r="F206" t="n">
        <v>35.94673774</v>
      </c>
      <c r="G206" t="n">
        <v>36.61293138</v>
      </c>
      <c r="H206" t="n">
        <v>39.23758071</v>
      </c>
    </row>
    <row r="207">
      <c r="A207" t="inlineStr">
        <is>
          <t>BHS|mit.act.ecy.res</t>
        </is>
      </c>
      <c r="B207" t="inlineStr">
        <is>
          <t>BHS</t>
        </is>
      </c>
      <c r="C207" t="inlineStr">
        <is>
          <t>mit.act.ecy.res</t>
        </is>
      </c>
      <c r="D207" t="n">
        <v>2.360869591</v>
      </c>
      <c r="E207" t="n">
        <v>2.401598636</v>
      </c>
      <c r="F207" t="n">
        <v>2.536960966</v>
      </c>
      <c r="G207" t="n">
        <v>2.760413972</v>
      </c>
      <c r="H207" t="n">
        <v>2.958298119</v>
      </c>
    </row>
    <row r="208">
      <c r="A208" t="inlineStr">
        <is>
          <t>BIH|mit.act.ecy.res</t>
        </is>
      </c>
      <c r="B208" t="inlineStr">
        <is>
          <t>BIH</t>
        </is>
      </c>
      <c r="C208" t="inlineStr">
        <is>
          <t>mit.act.ecy.res</t>
        </is>
      </c>
      <c r="D208" t="n">
        <v>22.37927095</v>
      </c>
      <c r="E208" t="n">
        <v>22.62351126</v>
      </c>
      <c r="F208" t="n">
        <v>24.1810005</v>
      </c>
      <c r="G208" t="n">
        <v>28.56421708</v>
      </c>
      <c r="H208" t="n">
        <v>34.4238551</v>
      </c>
    </row>
    <row r="209">
      <c r="A209" t="inlineStr">
        <is>
          <t>BLR|mit.act.ecy.res</t>
        </is>
      </c>
      <c r="B209" t="inlineStr">
        <is>
          <t>BLR</t>
        </is>
      </c>
      <c r="C209" t="inlineStr">
        <is>
          <t>mit.act.ecy.res</t>
        </is>
      </c>
      <c r="D209" t="n">
        <v>23.48115757</v>
      </c>
      <c r="E209" t="n">
        <v>23.60011248</v>
      </c>
      <c r="F209" t="n">
        <v>24.40647441</v>
      </c>
      <c r="G209" t="n">
        <v>28.12982596</v>
      </c>
      <c r="H209" t="n">
        <v>33.90035338</v>
      </c>
    </row>
    <row r="210">
      <c r="A210" t="inlineStr">
        <is>
          <t>BLZ|mit.act.ecy.res</t>
        </is>
      </c>
      <c r="B210" t="inlineStr">
        <is>
          <t>BLZ</t>
        </is>
      </c>
      <c r="C210" t="inlineStr">
        <is>
          <t>mit.act.ecy.res</t>
        </is>
      </c>
      <c r="D210" t="n">
        <v>1.088562665</v>
      </c>
      <c r="E210" t="n">
        <v>1.106885487</v>
      </c>
      <c r="F210" t="n">
        <v>1.182770566</v>
      </c>
      <c r="G210" t="n">
        <v>1.39688779</v>
      </c>
      <c r="H210" t="n">
        <v>1.683444105</v>
      </c>
    </row>
    <row r="211">
      <c r="A211" t="inlineStr">
        <is>
          <t>BOL|mit.act.ecy.res</t>
        </is>
      </c>
      <c r="B211" t="inlineStr">
        <is>
          <t>BOL</t>
        </is>
      </c>
      <c r="C211" t="inlineStr">
        <is>
          <t>mit.act.ecy.res</t>
        </is>
      </c>
      <c r="D211" t="n">
        <v>14.22303822</v>
      </c>
      <c r="E211" t="n">
        <v>14.01625115</v>
      </c>
      <c r="F211" t="n">
        <v>12.48305692</v>
      </c>
      <c r="G211" t="n">
        <v>13.53414027</v>
      </c>
      <c r="H211" t="n">
        <v>17.62125233</v>
      </c>
    </row>
    <row r="212">
      <c r="A212" t="inlineStr">
        <is>
          <t>BRA|mit.act.ecy.res</t>
        </is>
      </c>
      <c r="B212" t="inlineStr">
        <is>
          <t>BRA</t>
        </is>
      </c>
      <c r="C212" t="inlineStr">
        <is>
          <t>mit.act.ecy.res</t>
        </is>
      </c>
      <c r="D212" t="n">
        <v>536.4192888</v>
      </c>
      <c r="E212" t="n">
        <v>543.4896533</v>
      </c>
      <c r="F212" t="n">
        <v>575.2995952</v>
      </c>
      <c r="G212" t="n">
        <v>674.6765914</v>
      </c>
      <c r="H212" t="n">
        <v>813.0791457</v>
      </c>
    </row>
    <row r="213">
      <c r="A213" t="inlineStr">
        <is>
          <t>BRB|mit.act.ecy.res</t>
        </is>
      </c>
      <c r="B213" t="inlineStr">
        <is>
          <t>BRB</t>
        </is>
      </c>
      <c r="C213" t="inlineStr">
        <is>
          <t>mit.act.ecy.res</t>
        </is>
      </c>
      <c r="D213" t="n">
        <v>1.63875012</v>
      </c>
      <c r="E213" t="n">
        <v>1.666281869</v>
      </c>
      <c r="F213" t="n">
        <v>1.781889481</v>
      </c>
      <c r="G213" t="n">
        <v>1.956785271</v>
      </c>
      <c r="H213" t="n">
        <v>2.097060168</v>
      </c>
    </row>
    <row r="214">
      <c r="A214" t="inlineStr">
        <is>
          <t>BRN|mit.act.ecy.res</t>
        </is>
      </c>
      <c r="B214" t="inlineStr">
        <is>
          <t>BRN</t>
        </is>
      </c>
      <c r="C214" t="inlineStr">
        <is>
          <t>mit.act.ecy.res</t>
        </is>
      </c>
      <c r="D214" t="n">
        <v>5.534004161</v>
      </c>
      <c r="E214" t="n">
        <v>5.532887046</v>
      </c>
      <c r="F214" t="n">
        <v>5.943567557</v>
      </c>
      <c r="G214" t="n">
        <v>6.549198476</v>
      </c>
      <c r="H214" t="n">
        <v>7.018686954</v>
      </c>
    </row>
    <row r="215">
      <c r="A215" t="inlineStr">
        <is>
          <t>BTN|mit.act.ecy.res</t>
        </is>
      </c>
      <c r="B215" t="inlineStr">
        <is>
          <t>BTN</t>
        </is>
      </c>
      <c r="C215" t="inlineStr">
        <is>
          <t>mit.act.ecy.res</t>
        </is>
      </c>
      <c r="D215" t="n">
        <v>2.715768259</v>
      </c>
      <c r="E215" t="n">
        <v>2.855175628</v>
      </c>
      <c r="F215" t="n">
        <v>3.647724948</v>
      </c>
      <c r="G215" t="n">
        <v>5.172443658</v>
      </c>
      <c r="H215" t="n">
        <v>6.734445855</v>
      </c>
    </row>
    <row r="216">
      <c r="A216" t="inlineStr">
        <is>
          <t>BWA|mit.act.ecy.res</t>
        </is>
      </c>
      <c r="B216" t="inlineStr">
        <is>
          <t>BWA</t>
        </is>
      </c>
      <c r="C216" t="inlineStr">
        <is>
          <t>mit.act.ecy.res</t>
        </is>
      </c>
      <c r="D216" t="n">
        <v>6.221392707</v>
      </c>
      <c r="E216" t="n">
        <v>6.146474036</v>
      </c>
      <c r="F216" t="n">
        <v>7.14898149</v>
      </c>
      <c r="G216" t="n">
        <v>8.998541462</v>
      </c>
      <c r="H216" t="n">
        <v>10.84449423</v>
      </c>
    </row>
    <row r="217">
      <c r="A217" t="inlineStr">
        <is>
          <t>CAF|mit.act.ecy.res</t>
        </is>
      </c>
      <c r="B217" t="inlineStr">
        <is>
          <t>CAF</t>
        </is>
      </c>
      <c r="C217" t="inlineStr">
        <is>
          <t>mit.act.ecy.res</t>
        </is>
      </c>
      <c r="D217" t="n">
        <v>0.1173928717</v>
      </c>
      <c r="E217" t="n">
        <v>0.1212740849</v>
      </c>
      <c r="F217" t="n">
        <v>0.1325262647</v>
      </c>
      <c r="G217" t="n">
        <v>0.1711287747</v>
      </c>
      <c r="H217" t="n">
        <v>0.2315222566</v>
      </c>
    </row>
    <row r="218">
      <c r="A218" t="inlineStr">
        <is>
          <t>CAN|mit.act.ecy.res</t>
        </is>
      </c>
      <c r="B218" t="inlineStr">
        <is>
          <t>CAN</t>
        </is>
      </c>
      <c r="C218" t="inlineStr">
        <is>
          <t>mit.act.ecy.res</t>
        </is>
      </c>
      <c r="D218" t="n">
        <v>661.8814769000001</v>
      </c>
      <c r="E218" t="n">
        <v>667.7559967</v>
      </c>
      <c r="F218" t="n">
        <v>691.2762831</v>
      </c>
      <c r="G218" t="n">
        <v>740.831393</v>
      </c>
      <c r="H218" t="n">
        <v>793.9389304</v>
      </c>
    </row>
    <row r="219">
      <c r="A219" t="inlineStr">
        <is>
          <t>CHE|mit.act.ecy.res</t>
        </is>
      </c>
      <c r="B219" t="inlineStr">
        <is>
          <t>CHE</t>
        </is>
      </c>
      <c r="C219" t="inlineStr">
        <is>
          <t>mit.act.ecy.res</t>
        </is>
      </c>
      <c r="D219" t="n">
        <v>63.65010016</v>
      </c>
      <c r="E219" t="n">
        <v>63.97709837</v>
      </c>
      <c r="F219" t="n">
        <v>65.87778111</v>
      </c>
      <c r="G219" t="n">
        <v>70.3181879</v>
      </c>
      <c r="H219" t="n">
        <v>75.35904582000001</v>
      </c>
    </row>
    <row r="220">
      <c r="A220" t="inlineStr">
        <is>
          <t>CHL|mit.act.ecy.res</t>
        </is>
      </c>
      <c r="B220" t="inlineStr">
        <is>
          <t>CHL</t>
        </is>
      </c>
      <c r="C220" t="inlineStr">
        <is>
          <t>mit.act.ecy.res</t>
        </is>
      </c>
      <c r="D220" t="n">
        <v>57.37624944</v>
      </c>
      <c r="E220" t="n">
        <v>58.13523471</v>
      </c>
      <c r="F220" t="n">
        <v>62.02510272</v>
      </c>
      <c r="G220" t="n">
        <v>67.99451147000001</v>
      </c>
      <c r="H220" t="n">
        <v>72.86879338999999</v>
      </c>
    </row>
    <row r="221">
      <c r="A221" t="inlineStr">
        <is>
          <t>CHN|mit.act.ecy.res</t>
        </is>
      </c>
      <c r="B221" t="inlineStr">
        <is>
          <t>CHN</t>
        </is>
      </c>
      <c r="C221" t="inlineStr">
        <is>
          <t>mit.act.ecy.res</t>
        </is>
      </c>
      <c r="D221" t="n">
        <v>5513.455362</v>
      </c>
      <c r="E221" t="n">
        <v>5702.608387</v>
      </c>
      <c r="F221" t="n">
        <v>6559.915499</v>
      </c>
      <c r="G221" t="n">
        <v>8188.574053</v>
      </c>
      <c r="H221" t="n">
        <v>9868.370833000001</v>
      </c>
    </row>
    <row r="222">
      <c r="A222" t="inlineStr">
        <is>
          <t>CIV|mit.act.ecy.res</t>
        </is>
      </c>
      <c r="B222" t="inlineStr">
        <is>
          <t>CIV</t>
        </is>
      </c>
      <c r="C222" t="inlineStr">
        <is>
          <t>mit.act.ecy.res</t>
        </is>
      </c>
      <c r="D222" t="n">
        <v>21.07148305</v>
      </c>
      <c r="E222" t="n">
        <v>22.05000679</v>
      </c>
      <c r="F222" t="n">
        <v>27.03485691</v>
      </c>
      <c r="G222" t="n">
        <v>37.15708623</v>
      </c>
      <c r="H222" t="n">
        <v>48.37798184</v>
      </c>
    </row>
    <row r="223">
      <c r="A223" t="inlineStr">
        <is>
          <t>CMR|mit.act.ecy.res</t>
        </is>
      </c>
      <c r="B223" t="inlineStr">
        <is>
          <t>CMR</t>
        </is>
      </c>
      <c r="C223" t="inlineStr">
        <is>
          <t>mit.act.ecy.res</t>
        </is>
      </c>
      <c r="D223" t="n">
        <v>4.807214453</v>
      </c>
      <c r="E223" t="n">
        <v>4.900533566</v>
      </c>
      <c r="F223" t="n">
        <v>5.471776673</v>
      </c>
      <c r="G223" t="n">
        <v>7.00939005</v>
      </c>
      <c r="H223" t="n">
        <v>9.126123142000001</v>
      </c>
    </row>
    <row r="224">
      <c r="A224" t="inlineStr">
        <is>
          <t>COD|mit.act.ecy.res</t>
        </is>
      </c>
      <c r="B224" t="inlineStr">
        <is>
          <t>COD</t>
        </is>
      </c>
      <c r="C224" t="inlineStr">
        <is>
          <t>mit.act.ecy.res</t>
        </is>
      </c>
      <c r="D224" t="n">
        <v>7.38088386</v>
      </c>
      <c r="E224" t="n">
        <v>7.679862928</v>
      </c>
      <c r="F224" t="n">
        <v>9.350517323</v>
      </c>
      <c r="G224" t="n">
        <v>13.0927892</v>
      </c>
      <c r="H224" t="n">
        <v>17.71339803</v>
      </c>
    </row>
    <row r="225">
      <c r="A225" t="inlineStr">
        <is>
          <t>COG|mit.act.ecy.res</t>
        </is>
      </c>
      <c r="B225" t="inlineStr">
        <is>
          <t>COG</t>
        </is>
      </c>
      <c r="C225" t="inlineStr">
        <is>
          <t>mit.act.ecy.res</t>
        </is>
      </c>
      <c r="D225" t="n">
        <v>3.397199394</v>
      </c>
      <c r="E225" t="n">
        <v>3.444157132</v>
      </c>
      <c r="F225" t="n">
        <v>3.781406993</v>
      </c>
      <c r="G225" t="n">
        <v>4.783430397</v>
      </c>
      <c r="H225" t="n">
        <v>6.227956289</v>
      </c>
    </row>
    <row r="226">
      <c r="A226" t="inlineStr">
        <is>
          <t>COL|mit.act.ecy.res</t>
        </is>
      </c>
      <c r="B226" t="inlineStr">
        <is>
          <t>COL</t>
        </is>
      </c>
      <c r="C226" t="inlineStr">
        <is>
          <t>mit.act.ecy.res</t>
        </is>
      </c>
      <c r="D226" t="n">
        <v>142.0323986</v>
      </c>
      <c r="E226" t="n">
        <v>144.3050216</v>
      </c>
      <c r="F226" t="n">
        <v>154.9748467</v>
      </c>
      <c r="G226" t="n">
        <v>183.7188967</v>
      </c>
      <c r="H226" t="n">
        <v>221.4068274</v>
      </c>
    </row>
    <row r="227">
      <c r="A227" t="inlineStr">
        <is>
          <t>COM|mit.act.ecy.res</t>
        </is>
      </c>
      <c r="B227" t="inlineStr">
        <is>
          <t>COM</t>
        </is>
      </c>
      <c r="C227" t="inlineStr">
        <is>
          <t>mit.act.ecy.res</t>
        </is>
      </c>
      <c r="D227" t="n">
        <v>0.3868254669</v>
      </c>
      <c r="E227" t="n">
        <v>0.3964847961</v>
      </c>
      <c r="F227" t="n">
        <v>0.4548930218</v>
      </c>
      <c r="G227" t="n">
        <v>0.6091420922</v>
      </c>
      <c r="H227" t="n">
        <v>0.8241159444</v>
      </c>
    </row>
    <row r="228">
      <c r="A228" t="inlineStr">
        <is>
          <t>CPV|mit.act.ecy.res</t>
        </is>
      </c>
      <c r="B228" t="inlineStr">
        <is>
          <t>CPV</t>
        </is>
      </c>
      <c r="C228" t="inlineStr">
        <is>
          <t>mit.act.ecy.res</t>
        </is>
      </c>
      <c r="D228" t="n">
        <v>0.5638275351000001</v>
      </c>
      <c r="E228" t="n">
        <v>0.5856322658999999</v>
      </c>
      <c r="F228" t="n">
        <v>0.6857391621</v>
      </c>
      <c r="G228" t="n">
        <v>0.9103354745</v>
      </c>
      <c r="H228" t="n">
        <v>1.185243449</v>
      </c>
    </row>
    <row r="229">
      <c r="A229" t="inlineStr">
        <is>
          <t>CRI|mit.act.ecy.res</t>
        </is>
      </c>
      <c r="B229" t="inlineStr">
        <is>
          <t>CRI</t>
        </is>
      </c>
      <c r="C229" t="inlineStr">
        <is>
          <t>mit.act.ecy.res</t>
        </is>
      </c>
      <c r="D229" t="n">
        <v>15.71862884</v>
      </c>
      <c r="E229" t="n">
        <v>16.208434</v>
      </c>
      <c r="F229" t="n">
        <v>18.12742716</v>
      </c>
      <c r="G229" t="n">
        <v>22.15325699</v>
      </c>
      <c r="H229" t="n">
        <v>26.69775638</v>
      </c>
    </row>
    <row r="230">
      <c r="A230" t="inlineStr">
        <is>
          <t>CYP|mit.act.ecy.res</t>
        </is>
      </c>
      <c r="B230" t="inlineStr">
        <is>
          <t>CYP</t>
        </is>
      </c>
      <c r="C230" t="inlineStr">
        <is>
          <t>mit.act.ecy.res</t>
        </is>
      </c>
      <c r="D230" t="n">
        <v>6.184036333</v>
      </c>
      <c r="E230" t="n">
        <v>6.338016707</v>
      </c>
      <c r="F230" t="n">
        <v>6.889240252</v>
      </c>
      <c r="G230" t="n">
        <v>7.659037889</v>
      </c>
      <c r="H230" t="n">
        <v>8.208086762000001</v>
      </c>
    </row>
    <row r="231">
      <c r="A231" t="inlineStr">
        <is>
          <t>CZE|mit.act.ecy.res</t>
        </is>
      </c>
      <c r="B231" t="inlineStr">
        <is>
          <t>CZE</t>
        </is>
      </c>
      <c r="C231" t="inlineStr">
        <is>
          <t>mit.act.ecy.res</t>
        </is>
      </c>
      <c r="D231" t="n">
        <v>63.72884416</v>
      </c>
      <c r="E231" t="n">
        <v>64.70111066</v>
      </c>
      <c r="F231" t="n">
        <v>68.65619288000001</v>
      </c>
      <c r="G231" t="n">
        <v>74.95664169</v>
      </c>
      <c r="H231" t="n">
        <v>80.33001367</v>
      </c>
    </row>
    <row r="232">
      <c r="A232" t="inlineStr">
        <is>
          <t>DEU|mit.act.ecy.res</t>
        </is>
      </c>
      <c r="B232" t="inlineStr">
        <is>
          <t>DEU</t>
        </is>
      </c>
      <c r="C232" t="inlineStr">
        <is>
          <t>mit.act.ecy.res</t>
        </is>
      </c>
      <c r="D232" t="n">
        <v>506.534463</v>
      </c>
      <c r="E232" t="n">
        <v>504.9818666</v>
      </c>
      <c r="F232" t="n">
        <v>510.3602967</v>
      </c>
      <c r="G232" t="n">
        <v>537.1943674</v>
      </c>
      <c r="H232" t="n">
        <v>575.703899</v>
      </c>
    </row>
    <row r="233">
      <c r="A233" t="inlineStr">
        <is>
          <t>DJI|mit.act.ecy.res</t>
        </is>
      </c>
      <c r="B233" t="inlineStr">
        <is>
          <t>DJI</t>
        </is>
      </c>
      <c r="C233" t="inlineStr">
        <is>
          <t>mit.act.ecy.res</t>
        </is>
      </c>
      <c r="D233" t="n">
        <v>1.459322567</v>
      </c>
      <c r="E233" t="n">
        <v>1.521352768</v>
      </c>
      <c r="F233" t="n">
        <v>1.853237872</v>
      </c>
      <c r="G233" t="n">
        <v>2.534664898</v>
      </c>
      <c r="H233" t="n">
        <v>3.300096558</v>
      </c>
    </row>
    <row r="234">
      <c r="A234" t="inlineStr">
        <is>
          <t>DMA|mit.act.ecy.res</t>
        </is>
      </c>
      <c r="B234" t="inlineStr">
        <is>
          <t>DMA</t>
        </is>
      </c>
      <c r="C234" t="inlineStr">
        <is>
          <t>mit.act.ecy.res</t>
        </is>
      </c>
      <c r="D234" t="n">
        <v>0.1920870259</v>
      </c>
      <c r="E234" t="n">
        <v>0.1980453337</v>
      </c>
      <c r="F234" t="n">
        <v>0.2184050056</v>
      </c>
      <c r="G234" t="n">
        <v>0.2641099218</v>
      </c>
      <c r="H234" t="n">
        <v>0.3182891957</v>
      </c>
    </row>
    <row r="235">
      <c r="A235" t="inlineStr">
        <is>
          <t>DNK|mit.act.ecy.res</t>
        </is>
      </c>
      <c r="B235" t="inlineStr">
        <is>
          <t>DNK</t>
        </is>
      </c>
      <c r="C235" t="inlineStr">
        <is>
          <t>mit.act.ecy.res</t>
        </is>
      </c>
      <c r="D235" t="n">
        <v>41.73643163</v>
      </c>
      <c r="E235" t="n">
        <v>42.48255622</v>
      </c>
      <c r="F235" t="n">
        <v>44.72639227</v>
      </c>
      <c r="G235" t="n">
        <v>48.54301385</v>
      </c>
      <c r="H235" t="n">
        <v>52.02288788</v>
      </c>
    </row>
    <row r="236">
      <c r="A236" t="inlineStr">
        <is>
          <t>DOM|mit.act.ecy.res</t>
        </is>
      </c>
      <c r="B236" t="inlineStr">
        <is>
          <t>DOM</t>
        </is>
      </c>
      <c r="C236" t="inlineStr">
        <is>
          <t>mit.act.ecy.res</t>
        </is>
      </c>
      <c r="D236" t="n">
        <v>26.04404396</v>
      </c>
      <c r="E236" t="n">
        <v>26.35243774</v>
      </c>
      <c r="F236" t="n">
        <v>29.62896703</v>
      </c>
      <c r="G236" t="n">
        <v>36.35363439</v>
      </c>
      <c r="H236" t="n">
        <v>43.81118654</v>
      </c>
    </row>
    <row r="237">
      <c r="A237" t="inlineStr">
        <is>
          <t>DZA|mit.act.ecy.res</t>
        </is>
      </c>
      <c r="B237" t="inlineStr">
        <is>
          <t>DZA</t>
        </is>
      </c>
      <c r="C237" t="inlineStr">
        <is>
          <t>mit.act.ecy.res</t>
        </is>
      </c>
      <c r="D237" t="n">
        <v>91.6150086</v>
      </c>
      <c r="E237" t="n">
        <v>93.93600314</v>
      </c>
      <c r="F237" t="n">
        <v>105.8148539</v>
      </c>
      <c r="G237" t="n">
        <v>130.015146</v>
      </c>
      <c r="H237" t="n">
        <v>156.6863371</v>
      </c>
    </row>
    <row r="238">
      <c r="A238" t="inlineStr">
        <is>
          <t>ECU|mit.act.ecy.res</t>
        </is>
      </c>
      <c r="B238" t="inlineStr">
        <is>
          <t>ECU</t>
        </is>
      </c>
      <c r="C238" t="inlineStr">
        <is>
          <t>mit.act.ecy.res</t>
        </is>
      </c>
      <c r="D238" t="n">
        <v>33.27324575</v>
      </c>
      <c r="E238" t="n">
        <v>34.09095836</v>
      </c>
      <c r="F238" t="n">
        <v>36.81793936</v>
      </c>
      <c r="G238" t="n">
        <v>43.83067951</v>
      </c>
      <c r="H238" t="n">
        <v>52.82206602</v>
      </c>
    </row>
    <row r="239">
      <c r="A239" t="inlineStr">
        <is>
          <t>EGY|mit.act.ecy.res</t>
        </is>
      </c>
      <c r="B239" t="inlineStr">
        <is>
          <t>EGY</t>
        </is>
      </c>
      <c r="C239" t="inlineStr">
        <is>
          <t>mit.act.ecy.res</t>
        </is>
      </c>
      <c r="D239" t="n">
        <v>341.1149818</v>
      </c>
      <c r="E239" t="n">
        <v>351.2921999</v>
      </c>
      <c r="F239" t="n">
        <v>404.0213267</v>
      </c>
      <c r="G239" t="n">
        <v>529.1589855</v>
      </c>
      <c r="H239" t="n">
        <v>688.9572458</v>
      </c>
    </row>
    <row r="240">
      <c r="A240" t="inlineStr">
        <is>
          <t>ESP|mit.act.ecy.res</t>
        </is>
      </c>
      <c r="B240" t="inlineStr">
        <is>
          <t>ESP</t>
        </is>
      </c>
      <c r="C240" t="inlineStr">
        <is>
          <t>mit.act.ecy.res</t>
        </is>
      </c>
      <c r="D240" t="n">
        <v>324.2733723</v>
      </c>
      <c r="E240" t="n">
        <v>329.7803605</v>
      </c>
      <c r="F240" t="n">
        <v>348.2508526</v>
      </c>
      <c r="G240" t="n">
        <v>378.8287106</v>
      </c>
      <c r="H240" t="n">
        <v>405.985578</v>
      </c>
    </row>
    <row r="241">
      <c r="A241" t="inlineStr">
        <is>
          <t>EST|mit.act.ecy.res</t>
        </is>
      </c>
      <c r="B241" t="inlineStr">
        <is>
          <t>EST</t>
        </is>
      </c>
      <c r="C241" t="inlineStr">
        <is>
          <t>mit.act.ecy.res</t>
        </is>
      </c>
      <c r="D241" t="n">
        <v>6.782313922</v>
      </c>
      <c r="E241" t="n">
        <v>6.780082021</v>
      </c>
      <c r="F241" t="n">
        <v>7.002077575</v>
      </c>
      <c r="G241" t="n">
        <v>7.490543575</v>
      </c>
      <c r="H241" t="n">
        <v>8.027513696</v>
      </c>
    </row>
    <row r="242">
      <c r="A242" t="inlineStr">
        <is>
          <t>ETH|mit.act.ecy.res</t>
        </is>
      </c>
      <c r="B242" t="inlineStr">
        <is>
          <t>ETH</t>
        </is>
      </c>
      <c r="C242" t="inlineStr">
        <is>
          <t>mit.act.ecy.res</t>
        </is>
      </c>
      <c r="D242" t="n">
        <v>25.44022416</v>
      </c>
      <c r="E242" t="n">
        <v>27.15045094</v>
      </c>
      <c r="F242" t="n">
        <v>36.7418748</v>
      </c>
      <c r="G242" t="n">
        <v>55.74384734</v>
      </c>
      <c r="H242" t="n">
        <v>75.41654728</v>
      </c>
    </row>
    <row r="243">
      <c r="A243" t="inlineStr">
        <is>
          <t>FIN|mit.act.ecy.res</t>
        </is>
      </c>
      <c r="B243" t="inlineStr">
        <is>
          <t>FIN</t>
        </is>
      </c>
      <c r="C243" t="inlineStr">
        <is>
          <t>mit.act.ecy.res</t>
        </is>
      </c>
      <c r="D243" t="n">
        <v>92.63426561999999</v>
      </c>
      <c r="E243" t="n">
        <v>92.30094456</v>
      </c>
      <c r="F243" t="n">
        <v>94.09825143</v>
      </c>
      <c r="G243" t="n">
        <v>99.69194897</v>
      </c>
      <c r="H243" t="n">
        <v>106.8385061</v>
      </c>
    </row>
    <row r="244">
      <c r="A244" t="inlineStr">
        <is>
          <t>FJI|mit.act.ecy.res</t>
        </is>
      </c>
      <c r="B244" t="inlineStr">
        <is>
          <t>FJI</t>
        </is>
      </c>
      <c r="C244" t="inlineStr">
        <is>
          <t>mit.act.ecy.res</t>
        </is>
      </c>
      <c r="D244" t="n">
        <v>1.39118797</v>
      </c>
      <c r="E244" t="n">
        <v>1.419492847</v>
      </c>
      <c r="F244" t="n">
        <v>1.528944668</v>
      </c>
      <c r="G244" t="n">
        <v>1.816523772</v>
      </c>
      <c r="H244" t="n">
        <v>2.189163839</v>
      </c>
    </row>
    <row r="245">
      <c r="A245" t="inlineStr">
        <is>
          <t>FRA|mit.act.ecy.res</t>
        </is>
      </c>
      <c r="B245" t="inlineStr">
        <is>
          <t>FRA</t>
        </is>
      </c>
      <c r="C245" t="inlineStr">
        <is>
          <t>mit.act.ecy.res</t>
        </is>
      </c>
      <c r="D245" t="n">
        <v>604.4915791</v>
      </c>
      <c r="E245" t="n">
        <v>605.9454481</v>
      </c>
      <c r="F245" t="n">
        <v>613.7948449</v>
      </c>
      <c r="G245" t="n">
        <v>647.1682497</v>
      </c>
      <c r="H245" t="n">
        <v>693.5614133</v>
      </c>
    </row>
    <row r="246">
      <c r="A246" t="inlineStr">
        <is>
          <t>GAB|mit.act.ecy.res</t>
        </is>
      </c>
      <c r="B246" t="inlineStr">
        <is>
          <t>GAB</t>
        </is>
      </c>
      <c r="C246" t="inlineStr">
        <is>
          <t>mit.act.ecy.res</t>
        </is>
      </c>
      <c r="D246" t="n">
        <v>4.929847051</v>
      </c>
      <c r="E246" t="n">
        <v>5.003652597</v>
      </c>
      <c r="F246" t="n">
        <v>5.431952783</v>
      </c>
      <c r="G246" t="n">
        <v>6.491698177</v>
      </c>
      <c r="H246" t="n">
        <v>7.823399352</v>
      </c>
    </row>
    <row r="247">
      <c r="A247" t="inlineStr">
        <is>
          <t>GBR|mit.act.ecy.res</t>
        </is>
      </c>
      <c r="B247" t="inlineStr">
        <is>
          <t>GBR</t>
        </is>
      </c>
      <c r="C247" t="inlineStr">
        <is>
          <t>mit.act.ecy.res</t>
        </is>
      </c>
      <c r="D247" t="n">
        <v>356.3919406</v>
      </c>
      <c r="E247" t="n">
        <v>358.3671927</v>
      </c>
      <c r="F247" t="n">
        <v>362.2579275</v>
      </c>
      <c r="G247" t="n">
        <v>381.3631191</v>
      </c>
      <c r="H247" t="n">
        <v>408.7016692</v>
      </c>
    </row>
    <row r="248">
      <c r="A248" t="inlineStr">
        <is>
          <t>GEO|mit.act.ecy.res</t>
        </is>
      </c>
      <c r="B248" t="inlineStr">
        <is>
          <t>GEO</t>
        </is>
      </c>
      <c r="C248" t="inlineStr">
        <is>
          <t>mit.act.ecy.res</t>
        </is>
      </c>
      <c r="D248" t="n">
        <v>10.6873933</v>
      </c>
      <c r="E248" t="n">
        <v>11.26444154</v>
      </c>
      <c r="F248" t="n">
        <v>13.41559547</v>
      </c>
      <c r="G248" t="n">
        <v>18.03849412</v>
      </c>
      <c r="H248" t="n">
        <v>23.48585504</v>
      </c>
    </row>
    <row r="249">
      <c r="A249" t="inlineStr">
        <is>
          <t>GHA|mit.act.ecy.res</t>
        </is>
      </c>
      <c r="B249" t="inlineStr">
        <is>
          <t>GHA</t>
        </is>
      </c>
      <c r="C249" t="inlineStr">
        <is>
          <t>mit.act.ecy.res</t>
        </is>
      </c>
      <c r="D249" t="n">
        <v>20.57024567</v>
      </c>
      <c r="E249" t="n">
        <v>21.43716261</v>
      </c>
      <c r="F249" t="n">
        <v>25.07118689</v>
      </c>
      <c r="G249" t="n">
        <v>33.25227964</v>
      </c>
      <c r="H249" t="n">
        <v>43.29398087</v>
      </c>
    </row>
    <row r="250">
      <c r="A250" t="inlineStr">
        <is>
          <t>GIN|mit.act.ecy.res</t>
        </is>
      </c>
      <c r="B250" t="inlineStr">
        <is>
          <t>GIN</t>
        </is>
      </c>
      <c r="C250" t="inlineStr">
        <is>
          <t>mit.act.ecy.res</t>
        </is>
      </c>
      <c r="D250" t="n">
        <v>2.867232162</v>
      </c>
      <c r="E250" t="n">
        <v>3.004595416</v>
      </c>
      <c r="F250" t="n">
        <v>3.998788087</v>
      </c>
      <c r="G250" t="n">
        <v>5.990155776</v>
      </c>
      <c r="H250" t="n">
        <v>8.104156563</v>
      </c>
    </row>
    <row r="251">
      <c r="A251" t="inlineStr">
        <is>
          <t>GMB|mit.act.ecy.res</t>
        </is>
      </c>
      <c r="B251" t="inlineStr">
        <is>
          <t>GMB</t>
        </is>
      </c>
      <c r="C251" t="inlineStr">
        <is>
          <t>mit.act.ecy.res</t>
        </is>
      </c>
      <c r="D251" t="n">
        <v>1.113906931</v>
      </c>
      <c r="E251" t="n">
        <v>1.161289895</v>
      </c>
      <c r="F251" t="n">
        <v>1.378077714</v>
      </c>
      <c r="G251" t="n">
        <v>1.892670496</v>
      </c>
      <c r="H251" t="n">
        <v>2.560617552</v>
      </c>
    </row>
    <row r="252">
      <c r="A252" t="inlineStr">
        <is>
          <t>GNB|mit.act.ecy.res</t>
        </is>
      </c>
      <c r="B252" t="inlineStr">
        <is>
          <t>GNB</t>
        </is>
      </c>
      <c r="C252" t="inlineStr">
        <is>
          <t>mit.act.ecy.res</t>
        </is>
      </c>
      <c r="D252" t="n">
        <v>0.4150428858</v>
      </c>
      <c r="E252" t="n">
        <v>0.4310512214</v>
      </c>
      <c r="F252" t="n">
        <v>0.5079884442</v>
      </c>
      <c r="G252" t="n">
        <v>0.6940559979000001</v>
      </c>
      <c r="H252" t="n">
        <v>0.9389970278999999</v>
      </c>
    </row>
    <row r="253">
      <c r="A253" t="inlineStr">
        <is>
          <t>GNQ|mit.act.ecy.res</t>
        </is>
      </c>
      <c r="B253" t="inlineStr">
        <is>
          <t>GNQ</t>
        </is>
      </c>
      <c r="C253" t="inlineStr">
        <is>
          <t>mit.act.ecy.res</t>
        </is>
      </c>
      <c r="D253" t="n">
        <v>1.64782916</v>
      </c>
      <c r="E253" t="n">
        <v>1.555688591</v>
      </c>
      <c r="F253" t="n">
        <v>1.406708261</v>
      </c>
      <c r="G253" t="n">
        <v>1.468274928</v>
      </c>
      <c r="H253" t="n">
        <v>1.769475538</v>
      </c>
    </row>
    <row r="254">
      <c r="A254" t="inlineStr">
        <is>
          <t>GRC|mit.act.ecy.res</t>
        </is>
      </c>
      <c r="B254" t="inlineStr">
        <is>
          <t>GRC</t>
        </is>
      </c>
      <c r="C254" t="inlineStr">
        <is>
          <t>mit.act.ecy.res</t>
        </is>
      </c>
      <c r="D254" t="n">
        <v>78.72162564</v>
      </c>
      <c r="E254" t="n">
        <v>79.62632927999999</v>
      </c>
      <c r="F254" t="n">
        <v>83.27510552</v>
      </c>
      <c r="G254" t="n">
        <v>89.92976188999999</v>
      </c>
      <c r="H254" t="n">
        <v>96.37650299000001</v>
      </c>
    </row>
    <row r="255">
      <c r="A255" t="inlineStr">
        <is>
          <t>GRD|mit.act.ecy.res</t>
        </is>
      </c>
      <c r="B255" t="inlineStr">
        <is>
          <t>GRD</t>
        </is>
      </c>
      <c r="C255" t="inlineStr">
        <is>
          <t>mit.act.ecy.res</t>
        </is>
      </c>
      <c r="D255" t="n">
        <v>0.312072449</v>
      </c>
      <c r="E255" t="n">
        <v>0.32142751</v>
      </c>
      <c r="F255" t="n">
        <v>0.3541766996</v>
      </c>
      <c r="G255" t="n">
        <v>0.4280270404</v>
      </c>
      <c r="H255" t="n">
        <v>0.5158321257</v>
      </c>
    </row>
    <row r="256">
      <c r="A256" t="inlineStr">
        <is>
          <t>GTM|mit.act.ecy.res</t>
        </is>
      </c>
      <c r="B256" t="inlineStr">
        <is>
          <t>GTM</t>
        </is>
      </c>
      <c r="C256" t="inlineStr">
        <is>
          <t>mit.act.ecy.res</t>
        </is>
      </c>
      <c r="D256" t="n">
        <v>23.70255001</v>
      </c>
      <c r="E256" t="n">
        <v>24.35845079</v>
      </c>
      <c r="F256" t="n">
        <v>27.58694904</v>
      </c>
      <c r="G256" t="n">
        <v>34.03389417</v>
      </c>
      <c r="H256" t="n">
        <v>41.01557687</v>
      </c>
    </row>
    <row r="257">
      <c r="A257" t="inlineStr">
        <is>
          <t>GUY|mit.act.ecy.res</t>
        </is>
      </c>
      <c r="B257" t="inlineStr">
        <is>
          <t>GUY</t>
        </is>
      </c>
      <c r="C257" t="inlineStr">
        <is>
          <t>mit.act.ecy.res</t>
        </is>
      </c>
      <c r="D257" t="n">
        <v>2.088121043</v>
      </c>
      <c r="E257" t="n">
        <v>2.392919962</v>
      </c>
      <c r="F257" t="n">
        <v>3.980754073</v>
      </c>
      <c r="G257" t="n">
        <v>6.60412441</v>
      </c>
      <c r="H257" t="n">
        <v>7.958888602</v>
      </c>
    </row>
    <row r="258">
      <c r="A258" t="inlineStr">
        <is>
          <t>HKG|mit.act.ecy.res</t>
        </is>
      </c>
      <c r="B258" t="inlineStr">
        <is>
          <t>HKG</t>
        </is>
      </c>
      <c r="C258" t="inlineStr">
        <is>
          <t>mit.act.ecy.res</t>
        </is>
      </c>
      <c r="D258" t="n">
        <v>49.14273749</v>
      </c>
      <c r="E258" t="n">
        <v>50.25800885</v>
      </c>
      <c r="F258" t="n">
        <v>53.66395858</v>
      </c>
      <c r="G258" t="n">
        <v>58.86431146</v>
      </c>
      <c r="H258" t="n">
        <v>63.08408218</v>
      </c>
    </row>
    <row r="259">
      <c r="A259" t="inlineStr">
        <is>
          <t>HND|mit.act.ecy.res</t>
        </is>
      </c>
      <c r="B259" t="inlineStr">
        <is>
          <t>HND</t>
        </is>
      </c>
      <c r="C259" t="inlineStr">
        <is>
          <t>mit.act.ecy.res</t>
        </is>
      </c>
      <c r="D259" t="n">
        <v>12.50563823</v>
      </c>
      <c r="E259" t="n">
        <v>12.81040335</v>
      </c>
      <c r="F259" t="n">
        <v>14.28282925</v>
      </c>
      <c r="G259" t="n">
        <v>18.27646656</v>
      </c>
      <c r="H259" t="n">
        <v>23.79569168</v>
      </c>
    </row>
    <row r="260">
      <c r="A260" t="inlineStr">
        <is>
          <t>HRV|mit.act.ecy.res</t>
        </is>
      </c>
      <c r="B260" t="inlineStr">
        <is>
          <t>HRV</t>
        </is>
      </c>
      <c r="C260" t="inlineStr">
        <is>
          <t>mit.act.ecy.res</t>
        </is>
      </c>
      <c r="D260" t="n">
        <v>29.09081192</v>
      </c>
      <c r="E260" t="n">
        <v>29.67417403</v>
      </c>
      <c r="F260" t="n">
        <v>31.91730478</v>
      </c>
      <c r="G260" t="n">
        <v>35.20328423</v>
      </c>
      <c r="H260" t="n">
        <v>37.72688103</v>
      </c>
    </row>
    <row r="261">
      <c r="A261" t="inlineStr">
        <is>
          <t>HTI|mit.act.ecy.res</t>
        </is>
      </c>
      <c r="B261" t="inlineStr">
        <is>
          <t>HTI</t>
        </is>
      </c>
      <c r="C261" t="inlineStr">
        <is>
          <t>mit.act.ecy.res</t>
        </is>
      </c>
      <c r="D261" t="n">
        <v>2.089528227</v>
      </c>
      <c r="E261" t="n">
        <v>2.033883297</v>
      </c>
      <c r="F261" t="n">
        <v>1.919807081</v>
      </c>
      <c r="G261" t="n">
        <v>2.225166275</v>
      </c>
      <c r="H261" t="n">
        <v>3.010455244</v>
      </c>
    </row>
    <row r="262">
      <c r="A262" t="inlineStr">
        <is>
          <t>HUN|mit.act.ecy.res</t>
        </is>
      </c>
      <c r="B262" t="inlineStr">
        <is>
          <t>HUN</t>
        </is>
      </c>
      <c r="C262" t="inlineStr">
        <is>
          <t>mit.act.ecy.res</t>
        </is>
      </c>
      <c r="D262" t="n">
        <v>45.02537274</v>
      </c>
      <c r="E262" t="n">
        <v>44.94789613</v>
      </c>
      <c r="F262" t="n">
        <v>46.78623841</v>
      </c>
      <c r="G262" t="n">
        <v>50.34630673</v>
      </c>
      <c r="H262" t="n">
        <v>53.95545234</v>
      </c>
    </row>
    <row r="263">
      <c r="A263" t="inlineStr">
        <is>
          <t>IDN|mit.act.ecy.res</t>
        </is>
      </c>
      <c r="B263" t="inlineStr">
        <is>
          <t>IDN</t>
        </is>
      </c>
      <c r="C263" t="inlineStr">
        <is>
          <t>mit.act.ecy.res</t>
        </is>
      </c>
      <c r="D263" t="n">
        <v>569.8441135</v>
      </c>
      <c r="E263" t="n">
        <v>590.0633254000001</v>
      </c>
      <c r="F263" t="n">
        <v>694.6235478</v>
      </c>
      <c r="G263" t="n">
        <v>925.8395611</v>
      </c>
      <c r="H263" t="n">
        <v>1205.429543</v>
      </c>
    </row>
    <row r="264">
      <c r="A264" t="inlineStr">
        <is>
          <t>IND|mit.act.ecy.res</t>
        </is>
      </c>
      <c r="B264" t="inlineStr">
        <is>
          <t>IND</t>
        </is>
      </c>
      <c r="C264" t="inlineStr">
        <is>
          <t>mit.act.ecy.res</t>
        </is>
      </c>
      <c r="D264" t="n">
        <v>1506.905761</v>
      </c>
      <c r="E264" t="n">
        <v>1590.112915</v>
      </c>
      <c r="F264" t="n">
        <v>1967.194346</v>
      </c>
      <c r="G264" t="n">
        <v>2722.199762</v>
      </c>
      <c r="H264" t="n">
        <v>3544.264204</v>
      </c>
    </row>
    <row r="265">
      <c r="A265" t="inlineStr">
        <is>
          <t>IRL|mit.act.ecy.res</t>
        </is>
      </c>
      <c r="B265" t="inlineStr">
        <is>
          <t>IRL</t>
        </is>
      </c>
      <c r="C265" t="inlineStr">
        <is>
          <t>mit.act.ecy.res</t>
        </is>
      </c>
      <c r="D265" t="n">
        <v>37.11330295</v>
      </c>
      <c r="E265" t="n">
        <v>40.53077378</v>
      </c>
      <c r="F265" t="n">
        <v>43.41692604</v>
      </c>
      <c r="G265" t="n">
        <v>47.73975025</v>
      </c>
      <c r="H265" t="n">
        <v>51.1620412</v>
      </c>
    </row>
    <row r="266">
      <c r="A266" t="inlineStr">
        <is>
          <t>IRN|mit.act.ecy.res</t>
        </is>
      </c>
      <c r="B266" t="inlineStr">
        <is>
          <t>IRN</t>
        </is>
      </c>
      <c r="C266" t="inlineStr">
        <is>
          <t>mit.act.ecy.res</t>
        </is>
      </c>
      <c r="D266" t="n">
        <v>425.9369089</v>
      </c>
      <c r="E266" t="n">
        <v>418.6393088</v>
      </c>
      <c r="F266" t="n">
        <v>335.6960556</v>
      </c>
      <c r="G266" t="n">
        <v>321.0882952</v>
      </c>
      <c r="H266" t="n">
        <v>386.9560618</v>
      </c>
    </row>
    <row r="267">
      <c r="A267" t="inlineStr">
        <is>
          <t>IRQ|mit.act.ecy.res</t>
        </is>
      </c>
      <c r="B267" t="inlineStr">
        <is>
          <t>IRQ</t>
        </is>
      </c>
      <c r="C267" t="inlineStr">
        <is>
          <t>mit.act.ecy.res</t>
        </is>
      </c>
      <c r="D267" t="n">
        <v>133.3895996</v>
      </c>
      <c r="E267" t="n">
        <v>132.286199</v>
      </c>
      <c r="F267" t="n">
        <v>103.4214596</v>
      </c>
      <c r="G267" t="n">
        <v>97.13116699</v>
      </c>
      <c r="H267" t="n">
        <v>117.056568</v>
      </c>
    </row>
    <row r="268">
      <c r="A268" t="inlineStr">
        <is>
          <t>ISL|mit.act.ecy.res</t>
        </is>
      </c>
      <c r="B268" t="inlineStr">
        <is>
          <t>ISL</t>
        </is>
      </c>
      <c r="C268" t="inlineStr">
        <is>
          <t>mit.act.ecy.res</t>
        </is>
      </c>
      <c r="D268" t="n">
        <v>3.645984842</v>
      </c>
      <c r="E268" t="n">
        <v>3.664918495</v>
      </c>
      <c r="F268" t="n">
        <v>3.845788653</v>
      </c>
      <c r="G268" t="n">
        <v>4.163630641</v>
      </c>
      <c r="H268" t="n">
        <v>4.462106342</v>
      </c>
    </row>
    <row r="269">
      <c r="A269" t="inlineStr">
        <is>
          <t>ISR|mit.act.ecy.res</t>
        </is>
      </c>
      <c r="B269" t="inlineStr">
        <is>
          <t>ISR</t>
        </is>
      </c>
      <c r="C269" t="inlineStr">
        <is>
          <t>mit.act.ecy.res</t>
        </is>
      </c>
      <c r="D269" t="n">
        <v>98.32821163</v>
      </c>
      <c r="E269" t="n">
        <v>100.1264993</v>
      </c>
      <c r="F269" t="n">
        <v>110.944884</v>
      </c>
      <c r="G269" t="n">
        <v>125.1439284</v>
      </c>
      <c r="H269" t="n">
        <v>134.1150464</v>
      </c>
    </row>
    <row r="270">
      <c r="A270" t="inlineStr">
        <is>
          <t>ITA|mit.act.ecy.res</t>
        </is>
      </c>
      <c r="B270" t="inlineStr">
        <is>
          <t>ITA</t>
        </is>
      </c>
      <c r="C270" t="inlineStr">
        <is>
          <t>mit.act.ecy.res</t>
        </is>
      </c>
      <c r="D270" t="n">
        <v>238.5718895</v>
      </c>
      <c r="E270" t="n">
        <v>238.4099152</v>
      </c>
      <c r="F270" t="n">
        <v>238.7457574</v>
      </c>
      <c r="G270" t="n">
        <v>249.5791637</v>
      </c>
      <c r="H270" t="n">
        <v>267.470596</v>
      </c>
    </row>
    <row r="271">
      <c r="A271" t="inlineStr">
        <is>
          <t>JAM|mit.act.ecy.res</t>
        </is>
      </c>
      <c r="B271" t="inlineStr">
        <is>
          <t>JAM</t>
        </is>
      </c>
      <c r="C271" t="inlineStr">
        <is>
          <t>mit.act.ecy.res</t>
        </is>
      </c>
      <c r="D271" t="n">
        <v>4.850274915</v>
      </c>
      <c r="E271" t="n">
        <v>4.823827505</v>
      </c>
      <c r="F271" t="n">
        <v>4.60055722</v>
      </c>
      <c r="G271" t="n">
        <v>4.993605385</v>
      </c>
      <c r="H271" t="n">
        <v>6.01798914</v>
      </c>
    </row>
    <row r="272">
      <c r="A272" t="inlineStr">
        <is>
          <t>JOR|mit.act.ecy.res</t>
        </is>
      </c>
      <c r="B272" t="inlineStr">
        <is>
          <t>JOR</t>
        </is>
      </c>
      <c r="C272" t="inlineStr">
        <is>
          <t>mit.act.ecy.res</t>
        </is>
      </c>
      <c r="D272" t="n">
        <v>37.69574298</v>
      </c>
      <c r="E272" t="n">
        <v>38.31114084</v>
      </c>
      <c r="F272" t="n">
        <v>41.70583132</v>
      </c>
      <c r="G272" t="n">
        <v>49.94593973</v>
      </c>
      <c r="H272" t="n">
        <v>60.19180526</v>
      </c>
    </row>
    <row r="273">
      <c r="A273" t="inlineStr">
        <is>
          <t>JPN|mit.act.ecy.res</t>
        </is>
      </c>
      <c r="B273" t="inlineStr">
        <is>
          <t>JPN</t>
        </is>
      </c>
      <c r="C273" t="inlineStr">
        <is>
          <t>mit.act.ecy.res</t>
        </is>
      </c>
      <c r="D273" t="n">
        <v>1085.366661</v>
      </c>
      <c r="E273" t="n">
        <v>1090.261792</v>
      </c>
      <c r="F273" t="n">
        <v>1099.180122</v>
      </c>
      <c r="G273" t="n">
        <v>1154.858067</v>
      </c>
      <c r="H273" t="n">
        <v>1237.645687</v>
      </c>
    </row>
    <row r="274">
      <c r="A274" t="inlineStr">
        <is>
          <t>KAZ|mit.act.ecy.res</t>
        </is>
      </c>
      <c r="B274" t="inlineStr">
        <is>
          <t>KAZ</t>
        </is>
      </c>
      <c r="C274" t="inlineStr">
        <is>
          <t>mit.act.ecy.res</t>
        </is>
      </c>
      <c r="D274" t="n">
        <v>52.83991691</v>
      </c>
      <c r="E274" t="n">
        <v>55.28748219</v>
      </c>
      <c r="F274" t="n">
        <v>64.01021742</v>
      </c>
      <c r="G274" t="n">
        <v>80.29165892</v>
      </c>
      <c r="H274" t="n">
        <v>96.76261823</v>
      </c>
    </row>
    <row r="275">
      <c r="A275" t="inlineStr">
        <is>
          <t>KEN|mit.act.ecy.res</t>
        </is>
      </c>
      <c r="B275" t="inlineStr">
        <is>
          <t>KEN</t>
        </is>
      </c>
      <c r="C275" t="inlineStr">
        <is>
          <t>mit.act.ecy.res</t>
        </is>
      </c>
      <c r="D275" t="n">
        <v>18.17694545</v>
      </c>
      <c r="E275" t="n">
        <v>18.7892301</v>
      </c>
      <c r="F275" t="n">
        <v>21.77634945</v>
      </c>
      <c r="G275" t="n">
        <v>28.68638156</v>
      </c>
      <c r="H275" t="n">
        <v>37.34924847</v>
      </c>
    </row>
    <row r="276">
      <c r="A276" t="inlineStr">
        <is>
          <t>KGZ|mit.act.ecy.res</t>
        </is>
      </c>
      <c r="B276" t="inlineStr">
        <is>
          <t>KGZ</t>
        </is>
      </c>
      <c r="C276" t="inlineStr">
        <is>
          <t>mit.act.ecy.res</t>
        </is>
      </c>
      <c r="D276" t="n">
        <v>40.0132851</v>
      </c>
      <c r="E276" t="n">
        <v>43.31086772</v>
      </c>
      <c r="F276" t="n">
        <v>52.88761166</v>
      </c>
      <c r="G276" t="n">
        <v>72.46722401</v>
      </c>
      <c r="H276" t="n">
        <v>94.35126385</v>
      </c>
    </row>
    <row r="277">
      <c r="A277" t="inlineStr">
        <is>
          <t>KHM|mit.act.ecy.res</t>
        </is>
      </c>
      <c r="B277" t="inlineStr">
        <is>
          <t>KHM</t>
        </is>
      </c>
      <c r="C277" t="inlineStr">
        <is>
          <t>mit.act.ecy.res</t>
        </is>
      </c>
      <c r="D277" t="n">
        <v>19.3761447</v>
      </c>
      <c r="E277" t="n">
        <v>20.04914052</v>
      </c>
      <c r="F277" t="n">
        <v>22.89358268</v>
      </c>
      <c r="G277" t="n">
        <v>29.8233266</v>
      </c>
      <c r="H277" t="n">
        <v>38.82953426</v>
      </c>
    </row>
    <row r="278">
      <c r="A278" t="inlineStr">
        <is>
          <t>KNA|mit.act.ecy.res</t>
        </is>
      </c>
      <c r="B278" t="inlineStr">
        <is>
          <t>KNA</t>
        </is>
      </c>
      <c r="C278" t="inlineStr">
        <is>
          <t>mit.act.ecy.res</t>
        </is>
      </c>
      <c r="D278" t="n">
        <v>0.2008822933</v>
      </c>
      <c r="E278" t="n">
        <v>0.2022699254</v>
      </c>
      <c r="F278" t="n">
        <v>0.2132328642</v>
      </c>
      <c r="G278" t="n">
        <v>0.2316568339</v>
      </c>
      <c r="H278" t="n">
        <v>0.2482634789</v>
      </c>
    </row>
    <row r="279">
      <c r="A279" t="inlineStr">
        <is>
          <t>KOR|mit.act.ecy.res</t>
        </is>
      </c>
      <c r="B279" t="inlineStr">
        <is>
          <t>KOR</t>
        </is>
      </c>
      <c r="C279" t="inlineStr">
        <is>
          <t>mit.act.ecy.res</t>
        </is>
      </c>
      <c r="D279" t="n">
        <v>314.6012349</v>
      </c>
      <c r="E279" t="n">
        <v>315.5553438</v>
      </c>
      <c r="F279" t="n">
        <v>330.6829043</v>
      </c>
      <c r="G279" t="n">
        <v>357.6507762</v>
      </c>
      <c r="H279" t="n">
        <v>383.2894737</v>
      </c>
    </row>
    <row r="280">
      <c r="A280" t="inlineStr">
        <is>
          <t>KWT|mit.act.ecy.res</t>
        </is>
      </c>
      <c r="B280" t="inlineStr">
        <is>
          <t>KWT</t>
        </is>
      </c>
      <c r="C280" t="inlineStr">
        <is>
          <t>mit.act.ecy.res</t>
        </is>
      </c>
      <c r="D280" t="n">
        <v>128.7590293</v>
      </c>
      <c r="E280" t="n">
        <v>131.6607958</v>
      </c>
      <c r="F280" t="n">
        <v>127.053133</v>
      </c>
      <c r="G280" t="n">
        <v>129.2028236</v>
      </c>
      <c r="H280" t="n">
        <v>138.4649093</v>
      </c>
    </row>
    <row r="281">
      <c r="A281" t="inlineStr">
        <is>
          <t>LAO|mit.act.ecy.res</t>
        </is>
      </c>
      <c r="B281" t="inlineStr">
        <is>
          <t>LAO</t>
        </is>
      </c>
      <c r="C281" t="inlineStr">
        <is>
          <t>mit.act.ecy.res</t>
        </is>
      </c>
      <c r="D281" t="n">
        <v>9.157345971</v>
      </c>
      <c r="E281" t="n">
        <v>9.458009548</v>
      </c>
      <c r="F281" t="n">
        <v>10.79664726</v>
      </c>
      <c r="G281" t="n">
        <v>14.06159548</v>
      </c>
      <c r="H281" t="n">
        <v>18.30799128</v>
      </c>
    </row>
    <row r="282">
      <c r="A282" t="inlineStr">
        <is>
          <t>LBN|mit.act.ecy.res</t>
        </is>
      </c>
      <c r="B282" t="inlineStr">
        <is>
          <t>LBN</t>
        </is>
      </c>
      <c r="C282" t="inlineStr">
        <is>
          <t>mit.act.ecy.res</t>
        </is>
      </c>
      <c r="D282" t="n">
        <v>30.33019551</v>
      </c>
      <c r="E282" t="n">
        <v>31.14123411</v>
      </c>
      <c r="F282" t="n">
        <v>34.18648184</v>
      </c>
      <c r="G282" t="n">
        <v>41.19946624</v>
      </c>
      <c r="H282" t="n">
        <v>49.65108801</v>
      </c>
    </row>
    <row r="283">
      <c r="A283" t="inlineStr">
        <is>
          <t>LBR|mit.act.ecy.res</t>
        </is>
      </c>
      <c r="B283" t="inlineStr">
        <is>
          <t>LBR</t>
        </is>
      </c>
      <c r="C283" t="inlineStr">
        <is>
          <t>mit.act.ecy.res</t>
        </is>
      </c>
      <c r="D283" t="n">
        <v>1.360422681</v>
      </c>
      <c r="E283" t="n">
        <v>1.409036296</v>
      </c>
      <c r="F283" t="n">
        <v>1.672018452</v>
      </c>
      <c r="G283" t="n">
        <v>2.296316308</v>
      </c>
      <c r="H283" t="n">
        <v>3.106715013</v>
      </c>
    </row>
    <row r="284">
      <c r="A284" t="inlineStr">
        <is>
          <t>LBY|mit.act.ecy.res</t>
        </is>
      </c>
      <c r="B284" t="inlineStr">
        <is>
          <t>LBY</t>
        </is>
      </c>
      <c r="C284" t="inlineStr">
        <is>
          <t>mit.act.ecy.res</t>
        </is>
      </c>
      <c r="D284" t="n">
        <v>75.59640029000001</v>
      </c>
      <c r="E284" t="n">
        <v>84.62815217000001</v>
      </c>
      <c r="F284" t="n">
        <v>104.950566</v>
      </c>
      <c r="G284" t="n">
        <v>138.6851019</v>
      </c>
      <c r="H284" t="n">
        <v>167.13484</v>
      </c>
    </row>
    <row r="285">
      <c r="A285" t="inlineStr">
        <is>
          <t>LCA|mit.act.ecy.res</t>
        </is>
      </c>
      <c r="B285" t="inlineStr">
        <is>
          <t>LCA</t>
        </is>
      </c>
      <c r="C285" t="inlineStr">
        <is>
          <t>mit.act.ecy.res</t>
        </is>
      </c>
      <c r="D285" t="n">
        <v>0.5438515148</v>
      </c>
      <c r="E285" t="n">
        <v>0.5482944612</v>
      </c>
      <c r="F285" t="n">
        <v>0.5814002092</v>
      </c>
      <c r="G285" t="n">
        <v>0.6827209081</v>
      </c>
      <c r="H285" t="n">
        <v>0.8227736664</v>
      </c>
    </row>
    <row r="286">
      <c r="A286" t="inlineStr">
        <is>
          <t>LKA|mit.act.ecy.res</t>
        </is>
      </c>
      <c r="B286" t="inlineStr">
        <is>
          <t>LKA</t>
        </is>
      </c>
      <c r="C286" t="inlineStr">
        <is>
          <t>mit.act.ecy.res</t>
        </is>
      </c>
      <c r="D286" t="n">
        <v>18.84699144</v>
      </c>
      <c r="E286" t="n">
        <v>19.20196843</v>
      </c>
      <c r="F286" t="n">
        <v>21.19684575</v>
      </c>
      <c r="G286" t="n">
        <v>26.92252912</v>
      </c>
      <c r="H286" t="n">
        <v>35.05273844</v>
      </c>
    </row>
    <row r="287">
      <c r="A287" t="inlineStr">
        <is>
          <t>LSO|mit.act.ecy.res</t>
        </is>
      </c>
      <c r="B287" t="inlineStr">
        <is>
          <t>LSO</t>
        </is>
      </c>
      <c r="C287" t="inlineStr">
        <is>
          <t>mit.act.ecy.res</t>
        </is>
      </c>
      <c r="D287" t="n">
        <v>1.355247745</v>
      </c>
      <c r="E287" t="n">
        <v>1.363426077</v>
      </c>
      <c r="F287" t="n">
        <v>1.412746054</v>
      </c>
      <c r="G287" t="n">
        <v>1.711792806</v>
      </c>
      <c r="H287" t="n">
        <v>2.228729152</v>
      </c>
    </row>
    <row r="288">
      <c r="A288" t="inlineStr">
        <is>
          <t>LTU|mit.act.ecy.res</t>
        </is>
      </c>
      <c r="B288" t="inlineStr">
        <is>
          <t>LTU</t>
        </is>
      </c>
      <c r="C288" t="inlineStr">
        <is>
          <t>mit.act.ecy.res</t>
        </is>
      </c>
      <c r="D288" t="n">
        <v>10.65511586</v>
      </c>
      <c r="E288" t="n">
        <v>10.84382687</v>
      </c>
      <c r="F288" t="n">
        <v>11.77080976</v>
      </c>
      <c r="G288" t="n">
        <v>13.07257024</v>
      </c>
      <c r="H288" t="n">
        <v>14.00969577</v>
      </c>
    </row>
    <row r="289">
      <c r="A289" t="inlineStr">
        <is>
          <t>LUX|mit.act.ecy.res</t>
        </is>
      </c>
      <c r="B289" t="inlineStr">
        <is>
          <t>LUX</t>
        </is>
      </c>
      <c r="C289" t="inlineStr">
        <is>
          <t>mit.act.ecy.res</t>
        </is>
      </c>
      <c r="D289" t="n">
        <v>3.089498762</v>
      </c>
      <c r="E289" t="n">
        <v>3.089808486</v>
      </c>
      <c r="F289" t="n">
        <v>3.208592284</v>
      </c>
      <c r="G289" t="n">
        <v>3.446626961</v>
      </c>
      <c r="H289" t="n">
        <v>3.693703248</v>
      </c>
    </row>
    <row r="290">
      <c r="A290" t="inlineStr">
        <is>
          <t>LVA|mit.act.ecy.res</t>
        </is>
      </c>
      <c r="B290" t="inlineStr">
        <is>
          <t>LVA</t>
        </is>
      </c>
      <c r="C290" t="inlineStr">
        <is>
          <t>mit.act.ecy.res</t>
        </is>
      </c>
      <c r="D290" t="n">
        <v>5.940077588</v>
      </c>
      <c r="E290" t="n">
        <v>6.011404271</v>
      </c>
      <c r="F290" t="n">
        <v>6.375447093</v>
      </c>
      <c r="G290" t="n">
        <v>6.957698034</v>
      </c>
      <c r="H290" t="n">
        <v>7.456470375</v>
      </c>
    </row>
    <row r="291">
      <c r="A291" t="inlineStr">
        <is>
          <t>MAC|mit.act.ecy.res</t>
        </is>
      </c>
      <c r="B291" t="inlineStr">
        <is>
          <t>MAC</t>
        </is>
      </c>
      <c r="C291" t="inlineStr">
        <is>
          <t>mit.act.ecy.res</t>
        </is>
      </c>
      <c r="D291" t="n">
        <v>5.889265403</v>
      </c>
      <c r="E291" t="n">
        <v>6.07793657</v>
      </c>
      <c r="F291" t="n">
        <v>6.615361915</v>
      </c>
      <c r="G291" t="n">
        <v>7.361964679</v>
      </c>
      <c r="H291" t="n">
        <v>7.889717442</v>
      </c>
    </row>
    <row r="292">
      <c r="A292" t="inlineStr">
        <is>
          <t>MAR|mit.act.ecy.res</t>
        </is>
      </c>
      <c r="B292" t="inlineStr">
        <is>
          <t>MAR</t>
        </is>
      </c>
      <c r="C292" t="inlineStr">
        <is>
          <t>mit.act.ecy.res</t>
        </is>
      </c>
      <c r="D292" t="n">
        <v>45.73168333</v>
      </c>
      <c r="E292" t="n">
        <v>47.27935208</v>
      </c>
      <c r="F292" t="n">
        <v>55.51547687</v>
      </c>
      <c r="G292" t="n">
        <v>73.8526432</v>
      </c>
      <c r="H292" t="n">
        <v>96.15505935</v>
      </c>
    </row>
    <row r="293">
      <c r="A293" t="inlineStr">
        <is>
          <t>MDA|mit.act.ecy.res</t>
        </is>
      </c>
      <c r="B293" t="inlineStr">
        <is>
          <t>MDA</t>
        </is>
      </c>
      <c r="C293" t="inlineStr">
        <is>
          <t>mit.act.ecy.res</t>
        </is>
      </c>
      <c r="D293" t="n">
        <v>6.667432444</v>
      </c>
      <c r="E293" t="n">
        <v>6.762181296</v>
      </c>
      <c r="F293" t="n">
        <v>7.195423204</v>
      </c>
      <c r="G293" t="n">
        <v>8.892192003</v>
      </c>
      <c r="H293" t="n">
        <v>11.5775037</v>
      </c>
    </row>
    <row r="294">
      <c r="A294" t="inlineStr">
        <is>
          <t>MDG|mit.act.ecy.res</t>
        </is>
      </c>
      <c r="B294" t="inlineStr">
        <is>
          <t>MDG</t>
        </is>
      </c>
      <c r="C294" t="inlineStr">
        <is>
          <t>mit.act.ecy.res</t>
        </is>
      </c>
      <c r="D294" t="n">
        <v>3.248522703</v>
      </c>
      <c r="E294" t="n">
        <v>3.30546533</v>
      </c>
      <c r="F294" t="n">
        <v>3.736904234</v>
      </c>
      <c r="G294" t="n">
        <v>4.949155207</v>
      </c>
      <c r="H294" t="n">
        <v>6.695773893</v>
      </c>
    </row>
    <row r="295">
      <c r="A295" t="inlineStr">
        <is>
          <t>MDV|mit.act.ecy.res</t>
        </is>
      </c>
      <c r="B295" t="inlineStr">
        <is>
          <t>MDV</t>
        </is>
      </c>
      <c r="C295" t="inlineStr">
        <is>
          <t>mit.act.ecy.res</t>
        </is>
      </c>
      <c r="D295" t="n">
        <v>3.216061299</v>
      </c>
      <c r="E295" t="n">
        <v>3.328221766</v>
      </c>
      <c r="F295" t="n">
        <v>3.656359231</v>
      </c>
      <c r="G295" t="n">
        <v>4.408842222</v>
      </c>
      <c r="H295" t="n">
        <v>5.313268184</v>
      </c>
    </row>
    <row r="296">
      <c r="A296" t="inlineStr">
        <is>
          <t>MEX|mit.act.ecy.res</t>
        </is>
      </c>
      <c r="B296" t="inlineStr">
        <is>
          <t>MEX</t>
        </is>
      </c>
      <c r="C296" t="inlineStr">
        <is>
          <t>mit.act.ecy.res</t>
        </is>
      </c>
      <c r="D296" t="n">
        <v>255.8381269</v>
      </c>
      <c r="E296" t="n">
        <v>255.7091842</v>
      </c>
      <c r="F296" t="n">
        <v>268.210576</v>
      </c>
      <c r="G296" t="n">
        <v>312.4009905</v>
      </c>
      <c r="H296" t="n">
        <v>376.4866511</v>
      </c>
    </row>
    <row r="297">
      <c r="A297" t="inlineStr">
        <is>
          <t>MKD|mit.act.ecy.res</t>
        </is>
      </c>
      <c r="B297" t="inlineStr">
        <is>
          <t>MKD</t>
        </is>
      </c>
      <c r="C297" t="inlineStr">
        <is>
          <t>mit.act.ecy.res</t>
        </is>
      </c>
      <c r="D297" t="n">
        <v>14.72300267</v>
      </c>
      <c r="E297" t="n">
        <v>15.05701791</v>
      </c>
      <c r="F297" t="n">
        <v>16.58450784</v>
      </c>
      <c r="G297" t="n">
        <v>20.03658764</v>
      </c>
      <c r="H297" t="n">
        <v>24.14687536</v>
      </c>
    </row>
    <row r="298">
      <c r="A298" t="inlineStr">
        <is>
          <t>MLI|mit.act.ecy.res</t>
        </is>
      </c>
      <c r="B298" t="inlineStr">
        <is>
          <t>MLI</t>
        </is>
      </c>
      <c r="C298" t="inlineStr">
        <is>
          <t>mit.act.ecy.res</t>
        </is>
      </c>
      <c r="D298" t="n">
        <v>5.663700429</v>
      </c>
      <c r="E298" t="n">
        <v>5.8553735</v>
      </c>
      <c r="F298" t="n">
        <v>7.036868481</v>
      </c>
      <c r="G298" t="n">
        <v>9.756920258999999</v>
      </c>
      <c r="H298" t="n">
        <v>13.20025928</v>
      </c>
    </row>
    <row r="299">
      <c r="A299" t="inlineStr">
        <is>
          <t>MLT|mit.act.ecy.res</t>
        </is>
      </c>
      <c r="B299" t="inlineStr">
        <is>
          <t>MLT</t>
        </is>
      </c>
      <c r="C299" t="inlineStr">
        <is>
          <t>mit.act.ecy.res</t>
        </is>
      </c>
      <c r="D299" t="n">
        <v>4.472353046</v>
      </c>
      <c r="E299" t="n">
        <v>4.59060281</v>
      </c>
      <c r="F299" t="n">
        <v>5.115375586</v>
      </c>
      <c r="G299" t="n">
        <v>5.794727445</v>
      </c>
      <c r="H299" t="n">
        <v>6.210130608</v>
      </c>
    </row>
    <row r="300">
      <c r="A300" t="inlineStr">
        <is>
          <t>MMR|mit.act.ecy.res</t>
        </is>
      </c>
      <c r="B300" t="inlineStr">
        <is>
          <t>MMR</t>
        </is>
      </c>
      <c r="C300" t="inlineStr">
        <is>
          <t>mit.act.ecy.res</t>
        </is>
      </c>
      <c r="D300" t="n">
        <v>31.78377022</v>
      </c>
      <c r="E300" t="n">
        <v>31.12775626</v>
      </c>
      <c r="F300" t="n">
        <v>34.35588289</v>
      </c>
      <c r="G300" t="n">
        <v>43.63066215</v>
      </c>
      <c r="H300" t="n">
        <v>56.80648283</v>
      </c>
    </row>
    <row r="301">
      <c r="A301" t="inlineStr">
        <is>
          <t>MNE|mit.act.ecy.res</t>
        </is>
      </c>
      <c r="B301" t="inlineStr">
        <is>
          <t>MNE</t>
        </is>
      </c>
      <c r="C301" t="inlineStr">
        <is>
          <t>mit.act.ecy.res</t>
        </is>
      </c>
      <c r="D301" t="n">
        <v>5.798924136</v>
      </c>
      <c r="E301" t="n">
        <v>5.894374431</v>
      </c>
      <c r="F301" t="n">
        <v>6.427803432</v>
      </c>
      <c r="G301" t="n">
        <v>7.707798517</v>
      </c>
      <c r="H301" t="n">
        <v>9.288969431</v>
      </c>
    </row>
    <row r="302">
      <c r="A302" t="inlineStr">
        <is>
          <t>MNG|mit.act.ecy.res</t>
        </is>
      </c>
      <c r="B302" t="inlineStr">
        <is>
          <t>MNG</t>
        </is>
      </c>
      <c r="C302" t="inlineStr">
        <is>
          <t>mit.act.ecy.res</t>
        </is>
      </c>
      <c r="D302" t="n">
        <v>9.517336458000001</v>
      </c>
      <c r="E302" t="n">
        <v>9.985032251</v>
      </c>
      <c r="F302" t="n">
        <v>11.87441747</v>
      </c>
      <c r="G302" t="n">
        <v>15.94858316</v>
      </c>
      <c r="H302" t="n">
        <v>20.76482159</v>
      </c>
    </row>
    <row r="303">
      <c r="A303" t="inlineStr">
        <is>
          <t>MOZ|mit.act.ecy.res</t>
        </is>
      </c>
      <c r="B303" t="inlineStr">
        <is>
          <t>MOZ</t>
        </is>
      </c>
      <c r="C303" t="inlineStr">
        <is>
          <t>mit.act.ecy.res</t>
        </is>
      </c>
      <c r="D303" t="n">
        <v>6.05628864</v>
      </c>
      <c r="E303" t="n">
        <v>6.000882932</v>
      </c>
      <c r="F303" t="n">
        <v>6.111736282</v>
      </c>
      <c r="G303" t="n">
        <v>7.490646073</v>
      </c>
      <c r="H303" t="n">
        <v>10.13418863</v>
      </c>
    </row>
    <row r="304">
      <c r="A304" t="inlineStr">
        <is>
          <t>MRT|mit.act.ecy.res</t>
        </is>
      </c>
      <c r="B304" t="inlineStr">
        <is>
          <t>MRT</t>
        </is>
      </c>
      <c r="C304" t="inlineStr">
        <is>
          <t>mit.act.ecy.res</t>
        </is>
      </c>
      <c r="D304" t="n">
        <v>2.881823839</v>
      </c>
      <c r="E304" t="n">
        <v>2.963777209</v>
      </c>
      <c r="F304" t="n">
        <v>3.42853495</v>
      </c>
      <c r="G304" t="n">
        <v>4.510123032</v>
      </c>
      <c r="H304" t="n">
        <v>5.872114105</v>
      </c>
    </row>
    <row r="305">
      <c r="A305" t="inlineStr">
        <is>
          <t>MUS|mit.act.ecy.res</t>
        </is>
      </c>
      <c r="B305" t="inlineStr">
        <is>
          <t>MUS</t>
        </is>
      </c>
      <c r="C305" t="inlineStr">
        <is>
          <t>mit.act.ecy.res</t>
        </is>
      </c>
      <c r="D305" t="n">
        <v>4.470917783</v>
      </c>
      <c r="E305" t="n">
        <v>4.558663692</v>
      </c>
      <c r="F305" t="n">
        <v>5.07141289</v>
      </c>
      <c r="G305" t="n">
        <v>6.173042499</v>
      </c>
      <c r="H305" t="n">
        <v>7.439374932</v>
      </c>
    </row>
    <row r="306">
      <c r="A306" t="inlineStr">
        <is>
          <t>MWI|mit.act.ecy.res</t>
        </is>
      </c>
      <c r="B306" t="inlineStr">
        <is>
          <t>MWI</t>
        </is>
      </c>
      <c r="C306" t="inlineStr">
        <is>
          <t>mit.act.ecy.res</t>
        </is>
      </c>
      <c r="D306" t="n">
        <v>2.855371227</v>
      </c>
      <c r="E306" t="n">
        <v>2.888503316</v>
      </c>
      <c r="F306" t="n">
        <v>3.116089377</v>
      </c>
      <c r="G306" t="n">
        <v>3.985367822</v>
      </c>
      <c r="H306" t="n">
        <v>5.391853901</v>
      </c>
    </row>
    <row r="307">
      <c r="A307" t="inlineStr">
        <is>
          <t>MYS|mit.act.ecy.res</t>
        </is>
      </c>
      <c r="B307" t="inlineStr">
        <is>
          <t>MYS</t>
        </is>
      </c>
      <c r="C307" t="inlineStr">
        <is>
          <t>mit.act.ecy.res</t>
        </is>
      </c>
      <c r="D307" t="n">
        <v>181.0957586</v>
      </c>
      <c r="E307" t="n">
        <v>187.6113116</v>
      </c>
      <c r="F307" t="n">
        <v>217.8607198</v>
      </c>
      <c r="G307" t="n">
        <v>273.8921599</v>
      </c>
      <c r="H307" t="n">
        <v>330.0781534</v>
      </c>
    </row>
    <row r="308">
      <c r="A308" t="inlineStr">
        <is>
          <t>NAM|mit.act.ecy.res</t>
        </is>
      </c>
      <c r="B308" t="inlineStr">
        <is>
          <t>NAM</t>
        </is>
      </c>
      <c r="C308" t="inlineStr">
        <is>
          <t>mit.act.ecy.res</t>
        </is>
      </c>
      <c r="D308" t="n">
        <v>4.47052646</v>
      </c>
      <c r="E308" t="n">
        <v>4.534905733</v>
      </c>
      <c r="F308" t="n">
        <v>4.879022936</v>
      </c>
      <c r="G308" t="n">
        <v>5.791787044</v>
      </c>
      <c r="H308" t="n">
        <v>6.979909074</v>
      </c>
    </row>
    <row r="309">
      <c r="A309" t="inlineStr">
        <is>
          <t>NER|mit.act.ecy.res</t>
        </is>
      </c>
      <c r="B309" t="inlineStr">
        <is>
          <t>NER</t>
        </is>
      </c>
      <c r="C309" t="inlineStr">
        <is>
          <t>mit.act.ecy.res</t>
        </is>
      </c>
      <c r="D309" t="n">
        <v>3.481375676</v>
      </c>
      <c r="E309" t="n">
        <v>3.653986959</v>
      </c>
      <c r="F309" t="n">
        <v>4.569386634</v>
      </c>
      <c r="G309" t="n">
        <v>6.528651946</v>
      </c>
      <c r="H309" t="n">
        <v>8.832694757000001</v>
      </c>
    </row>
    <row r="310">
      <c r="A310" t="inlineStr">
        <is>
          <t>NGA|mit.act.ecy.res</t>
        </is>
      </c>
      <c r="B310" t="inlineStr">
        <is>
          <t>NGA</t>
        </is>
      </c>
      <c r="C310" t="inlineStr">
        <is>
          <t>mit.act.ecy.res</t>
        </is>
      </c>
      <c r="D310" t="n">
        <v>76.20486833</v>
      </c>
      <c r="E310" t="n">
        <v>78.25043372</v>
      </c>
      <c r="F310" t="n">
        <v>89.45817002</v>
      </c>
      <c r="G310" t="n">
        <v>116.6403556</v>
      </c>
      <c r="H310" t="n">
        <v>151.864034</v>
      </c>
    </row>
    <row r="311">
      <c r="A311" t="inlineStr">
        <is>
          <t>NIC|mit.act.ecy.res</t>
        </is>
      </c>
      <c r="B311" t="inlineStr">
        <is>
          <t>NIC</t>
        </is>
      </c>
      <c r="C311" t="inlineStr">
        <is>
          <t>mit.act.ecy.res</t>
        </is>
      </c>
      <c r="D311" t="n">
        <v>5.934618934</v>
      </c>
      <c r="E311" t="n">
        <v>6.136583487</v>
      </c>
      <c r="F311" t="n">
        <v>6.965260741</v>
      </c>
      <c r="G311" t="n">
        <v>9.03284981</v>
      </c>
      <c r="H311" t="n">
        <v>11.7606381</v>
      </c>
    </row>
    <row r="312">
      <c r="A312" t="inlineStr">
        <is>
          <t>NLD|mit.act.ecy.res</t>
        </is>
      </c>
      <c r="B312" t="inlineStr">
        <is>
          <t>NLD</t>
        </is>
      </c>
      <c r="C312" t="inlineStr">
        <is>
          <t>mit.act.ecy.res</t>
        </is>
      </c>
      <c r="D312" t="n">
        <v>63.7538078</v>
      </c>
      <c r="E312" t="n">
        <v>64.37679635000001</v>
      </c>
      <c r="F312" t="n">
        <v>66.04528741999999</v>
      </c>
      <c r="G312" t="n">
        <v>70.30239635</v>
      </c>
      <c r="H312" t="n">
        <v>75.34212223</v>
      </c>
    </row>
    <row r="313">
      <c r="A313" t="inlineStr">
        <is>
          <t>NOR|mit.act.ecy.res</t>
        </is>
      </c>
      <c r="B313" t="inlineStr">
        <is>
          <t>NOR</t>
        </is>
      </c>
      <c r="C313" t="inlineStr">
        <is>
          <t>mit.act.ecy.res</t>
        </is>
      </c>
      <c r="D313" t="n">
        <v>135.501707</v>
      </c>
      <c r="E313" t="n">
        <v>135.9966082</v>
      </c>
      <c r="F313" t="n">
        <v>140.6679462</v>
      </c>
      <c r="G313" t="n">
        <v>150.6564704</v>
      </c>
      <c r="H313" t="n">
        <v>161.4564908</v>
      </c>
    </row>
    <row r="314">
      <c r="A314" t="inlineStr">
        <is>
          <t>NPL|mit.act.ecy.res</t>
        </is>
      </c>
      <c r="B314" t="inlineStr">
        <is>
          <t>NPL</t>
        </is>
      </c>
      <c r="C314" t="inlineStr">
        <is>
          <t>mit.act.ecy.res</t>
        </is>
      </c>
      <c r="D314" t="n">
        <v>17.78343807</v>
      </c>
      <c r="E314" t="n">
        <v>18.34375743</v>
      </c>
      <c r="F314" t="n">
        <v>20.27591088</v>
      </c>
      <c r="G314" t="n">
        <v>26.40550252</v>
      </c>
      <c r="H314" t="n">
        <v>35.72433415</v>
      </c>
    </row>
    <row r="315">
      <c r="A315" t="inlineStr">
        <is>
          <t>NRU|mit.act.ecy.res</t>
        </is>
      </c>
      <c r="B315" t="inlineStr">
        <is>
          <t>NRU</t>
        </is>
      </c>
      <c r="C315" t="inlineStr">
        <is>
          <t>mit.act.ecy.res</t>
        </is>
      </c>
      <c r="D315" t="n">
        <v>0.07065965602</v>
      </c>
      <c r="E315" t="n">
        <v>0.07155011981000001</v>
      </c>
      <c r="F315" t="n">
        <v>0.07629665400000001</v>
      </c>
      <c r="G315" t="n">
        <v>0.08996877248</v>
      </c>
      <c r="H315" t="n">
        <v>0.1084248862</v>
      </c>
    </row>
    <row r="316">
      <c r="A316" t="inlineStr">
        <is>
          <t>NZL|mit.act.ecy.res</t>
        </is>
      </c>
      <c r="B316" t="inlineStr">
        <is>
          <t>NZL</t>
        </is>
      </c>
      <c r="C316" t="inlineStr">
        <is>
          <t>mit.act.ecy.res</t>
        </is>
      </c>
      <c r="D316" t="n">
        <v>49.57908746</v>
      </c>
      <c r="E316" t="n">
        <v>49.40187317</v>
      </c>
      <c r="F316" t="n">
        <v>52.24072083</v>
      </c>
      <c r="G316" t="n">
        <v>56.88656867</v>
      </c>
      <c r="H316" t="n">
        <v>60.96456212</v>
      </c>
    </row>
    <row r="317">
      <c r="A317" t="inlineStr">
        <is>
          <t>OMN|mit.act.ecy.res</t>
        </is>
      </c>
      <c r="B317" t="inlineStr">
        <is>
          <t>OMN</t>
        </is>
      </c>
      <c r="C317" t="inlineStr">
        <is>
          <t>mit.act.ecy.res</t>
        </is>
      </c>
      <c r="D317" t="n">
        <v>71.52468137</v>
      </c>
      <c r="E317" t="n">
        <v>72.52976384</v>
      </c>
      <c r="F317" t="n">
        <v>80.15847067999999</v>
      </c>
      <c r="G317" t="n">
        <v>90.24045348</v>
      </c>
      <c r="H317" t="n">
        <v>96.70946694</v>
      </c>
    </row>
    <row r="318">
      <c r="A318" t="inlineStr">
        <is>
          <t>PAK|mit.act.ecy.res</t>
        </is>
      </c>
      <c r="B318" t="inlineStr">
        <is>
          <t>PAK</t>
        </is>
      </c>
      <c r="C318" t="inlineStr">
        <is>
          <t>mit.act.ecy.res</t>
        </is>
      </c>
      <c r="D318" t="n">
        <v>220.8068038</v>
      </c>
      <c r="E318" t="n">
        <v>225.1281133</v>
      </c>
      <c r="F318" t="n">
        <v>253.5358182</v>
      </c>
      <c r="G318" t="n">
        <v>326.8727585</v>
      </c>
      <c r="H318" t="n">
        <v>425.5835421</v>
      </c>
    </row>
    <row r="319">
      <c r="A319" t="inlineStr">
        <is>
          <t>PAN|mit.act.ecy.res</t>
        </is>
      </c>
      <c r="B319" t="inlineStr">
        <is>
          <t>PAN</t>
        </is>
      </c>
      <c r="C319" t="inlineStr">
        <is>
          <t>mit.act.ecy.res</t>
        </is>
      </c>
      <c r="D319" t="n">
        <v>16.15895302</v>
      </c>
      <c r="E319" t="n">
        <v>16.63570151</v>
      </c>
      <c r="F319" t="n">
        <v>18.62359795</v>
      </c>
      <c r="G319" t="n">
        <v>21.17112909</v>
      </c>
      <c r="H319" t="n">
        <v>22.68881117</v>
      </c>
    </row>
    <row r="320">
      <c r="A320" t="inlineStr">
        <is>
          <t>PER|mit.act.ecy.res</t>
        </is>
      </c>
      <c r="B320" t="inlineStr">
        <is>
          <t>PER</t>
        </is>
      </c>
      <c r="C320" t="inlineStr">
        <is>
          <t>mit.act.ecy.res</t>
        </is>
      </c>
      <c r="D320" t="n">
        <v>42.63371568</v>
      </c>
      <c r="E320" t="n">
        <v>43.58475143</v>
      </c>
      <c r="F320" t="n">
        <v>47.56078704</v>
      </c>
      <c r="G320" t="n">
        <v>57.06027052</v>
      </c>
      <c r="H320" t="n">
        <v>68.76556352999999</v>
      </c>
    </row>
    <row r="321">
      <c r="A321" t="inlineStr">
        <is>
          <t>PHL|mit.act.ecy.res</t>
        </is>
      </c>
      <c r="B321" t="inlineStr">
        <is>
          <t>PHL</t>
        </is>
      </c>
      <c r="C321" t="inlineStr">
        <is>
          <t>mit.act.ecy.res</t>
        </is>
      </c>
      <c r="D321" t="n">
        <v>162.8948223</v>
      </c>
      <c r="E321" t="n">
        <v>167.7689556</v>
      </c>
      <c r="F321" t="n">
        <v>191.8489106</v>
      </c>
      <c r="G321" t="n">
        <v>250.1923601</v>
      </c>
      <c r="H321" t="n">
        <v>325.746787</v>
      </c>
    </row>
    <row r="322">
      <c r="A322" t="inlineStr">
        <is>
          <t>PLW|mit.act.ecy.res</t>
        </is>
      </c>
      <c r="B322" t="inlineStr">
        <is>
          <t>PLW</t>
        </is>
      </c>
      <c r="C322" t="inlineStr">
        <is>
          <t>mit.act.ecy.res</t>
        </is>
      </c>
      <c r="D322" t="n">
        <v>0.1060677858</v>
      </c>
      <c r="E322" t="n">
        <v>0.1108466281</v>
      </c>
      <c r="F322" t="n">
        <v>0.1218880255</v>
      </c>
      <c r="G322" t="n">
        <v>0.1366955435</v>
      </c>
      <c r="H322" t="n">
        <v>0.1464947553</v>
      </c>
    </row>
    <row r="323">
      <c r="A323" t="inlineStr">
        <is>
          <t>PNG|mit.act.ecy.res</t>
        </is>
      </c>
      <c r="B323" t="inlineStr">
        <is>
          <t>PNG</t>
        </is>
      </c>
      <c r="C323" t="inlineStr">
        <is>
          <t>mit.act.ecy.res</t>
        </is>
      </c>
      <c r="D323" t="n">
        <v>2.111613471</v>
      </c>
      <c r="E323" t="n">
        <v>2.195337063</v>
      </c>
      <c r="F323" t="n">
        <v>2.484644192</v>
      </c>
      <c r="G323" t="n">
        <v>3.215263555</v>
      </c>
      <c r="H323" t="n">
        <v>4.186226038</v>
      </c>
    </row>
    <row r="324">
      <c r="A324" t="inlineStr">
        <is>
          <t>POL|mit.act.ecy.res</t>
        </is>
      </c>
      <c r="B324" t="inlineStr">
        <is>
          <t>POL</t>
        </is>
      </c>
      <c r="C324" t="inlineStr">
        <is>
          <t>mit.act.ecy.res</t>
        </is>
      </c>
      <c r="D324" t="n">
        <v>155.2815651</v>
      </c>
      <c r="E324" t="n">
        <v>158.909947</v>
      </c>
      <c r="F324" t="n">
        <v>174.8784685</v>
      </c>
      <c r="G324" t="n">
        <v>196.2418381</v>
      </c>
      <c r="H324" t="n">
        <v>210.3097095</v>
      </c>
    </row>
    <row r="325">
      <c r="A325" t="inlineStr">
        <is>
          <t>PRI|mit.act.ecy.res</t>
        </is>
      </c>
      <c r="B325" t="inlineStr">
        <is>
          <t>PRI</t>
        </is>
      </c>
      <c r="C325" t="inlineStr">
        <is>
          <t>mit.act.ecy.res</t>
        </is>
      </c>
      <c r="D325" t="n">
        <v>0</v>
      </c>
      <c r="E325" t="n">
        <v>0</v>
      </c>
      <c r="F325" t="n">
        <v>0</v>
      </c>
      <c r="G325" t="n">
        <v>0</v>
      </c>
      <c r="H325" t="n">
        <v>0</v>
      </c>
    </row>
    <row r="326">
      <c r="A326" t="inlineStr">
        <is>
          <t>PRT|mit.act.ecy.res</t>
        </is>
      </c>
      <c r="B326" t="inlineStr">
        <is>
          <t>PRT</t>
        </is>
      </c>
      <c r="C326" t="inlineStr">
        <is>
          <t>mit.act.ecy.res</t>
        </is>
      </c>
      <c r="D326" t="n">
        <v>62.88370603</v>
      </c>
      <c r="E326" t="n">
        <v>63.50218193</v>
      </c>
      <c r="F326" t="n">
        <v>66.69895725000001</v>
      </c>
      <c r="G326" t="n">
        <v>72.26255741999999</v>
      </c>
      <c r="H326" t="n">
        <v>77.44280019999999</v>
      </c>
    </row>
    <row r="327">
      <c r="A327" t="inlineStr">
        <is>
          <t>PRY|mit.act.ecy.res</t>
        </is>
      </c>
      <c r="B327" t="inlineStr">
        <is>
          <t>PRY</t>
        </is>
      </c>
      <c r="C327" t="inlineStr">
        <is>
          <t>mit.act.ecy.res</t>
        </is>
      </c>
      <c r="D327" t="n">
        <v>31.32544558</v>
      </c>
      <c r="E327" t="n">
        <v>32.65697003</v>
      </c>
      <c r="F327" t="n">
        <v>37.3039601</v>
      </c>
      <c r="G327" t="n">
        <v>46.32001913</v>
      </c>
      <c r="H327" t="n">
        <v>55.82206655</v>
      </c>
    </row>
    <row r="328">
      <c r="A328" t="inlineStr">
        <is>
          <t>QAT|mit.act.ecy.res</t>
        </is>
      </c>
      <c r="B328" t="inlineStr">
        <is>
          <t>QAT</t>
        </is>
      </c>
      <c r="C328" t="inlineStr">
        <is>
          <t>mit.act.ecy.res</t>
        </is>
      </c>
      <c r="D328" t="n">
        <v>82.58634858000001</v>
      </c>
      <c r="E328" t="n">
        <v>84.00979701999999</v>
      </c>
      <c r="F328" t="n">
        <v>60.76447685</v>
      </c>
      <c r="G328" t="n">
        <v>50.05791675</v>
      </c>
      <c r="H328" t="n">
        <v>53.64638872</v>
      </c>
    </row>
    <row r="329">
      <c r="A329" t="inlineStr">
        <is>
          <t>ROU|mit.act.ecy.res</t>
        </is>
      </c>
      <c r="B329" t="inlineStr">
        <is>
          <t>ROU</t>
        </is>
      </c>
      <c r="C329" t="inlineStr">
        <is>
          <t>mit.act.ecy.res</t>
        </is>
      </c>
      <c r="D329" t="n">
        <v>61.46180408</v>
      </c>
      <c r="E329" t="n">
        <v>61.48115822</v>
      </c>
      <c r="F329" t="n">
        <v>62.45907214</v>
      </c>
      <c r="G329" t="n">
        <v>71.03997114000001</v>
      </c>
      <c r="H329" t="n">
        <v>85.61304747</v>
      </c>
    </row>
    <row r="330">
      <c r="A330" t="inlineStr">
        <is>
          <t>RUS|mit.act.ecy.res</t>
        </is>
      </c>
      <c r="B330" t="inlineStr">
        <is>
          <t>RUS</t>
        </is>
      </c>
      <c r="C330" t="inlineStr">
        <is>
          <t>mit.act.ecy.res</t>
        </is>
      </c>
      <c r="D330" t="n">
        <v>731.5343781</v>
      </c>
      <c r="E330" t="n">
        <v>733.6018407</v>
      </c>
      <c r="F330" t="n">
        <v>755.3652894000001</v>
      </c>
      <c r="G330" t="n">
        <v>867.7785859000001</v>
      </c>
      <c r="H330" t="n">
        <v>1045.793911</v>
      </c>
    </row>
    <row r="331">
      <c r="A331" t="inlineStr">
        <is>
          <t>RWA|mit.act.ecy.res</t>
        </is>
      </c>
      <c r="B331" t="inlineStr">
        <is>
          <t>RWA</t>
        </is>
      </c>
      <c r="C331" t="inlineStr">
        <is>
          <t>mit.act.ecy.res</t>
        </is>
      </c>
      <c r="D331" t="n">
        <v>0.7285231405</v>
      </c>
      <c r="E331" t="n">
        <v>0.7650906045</v>
      </c>
      <c r="F331" t="n">
        <v>0.97242046</v>
      </c>
      <c r="G331" t="n">
        <v>1.406563059</v>
      </c>
      <c r="H331" t="n">
        <v>1.90295673</v>
      </c>
    </row>
    <row r="332">
      <c r="A332" t="inlineStr">
        <is>
          <t>SAU|mit.act.ecy.res</t>
        </is>
      </c>
      <c r="B332" t="inlineStr">
        <is>
          <t>SAU</t>
        </is>
      </c>
      <c r="C332" t="inlineStr">
        <is>
          <t>mit.act.ecy.res</t>
        </is>
      </c>
      <c r="D332" t="n">
        <v>562.2590441</v>
      </c>
      <c r="E332" t="n">
        <v>579.5221901</v>
      </c>
      <c r="F332" t="n">
        <v>633.3354014</v>
      </c>
      <c r="G332" t="n">
        <v>706.9797412</v>
      </c>
      <c r="H332" t="n">
        <v>757.6605754</v>
      </c>
    </row>
    <row r="333">
      <c r="A333" t="inlineStr">
        <is>
          <t>SDN|mit.act.ecy.res</t>
        </is>
      </c>
      <c r="B333" t="inlineStr">
        <is>
          <t>SDN</t>
        </is>
      </c>
      <c r="C333" t="inlineStr">
        <is>
          <t>mit.act.ecy.res</t>
        </is>
      </c>
      <c r="D333" t="n">
        <v>25.05943991</v>
      </c>
      <c r="E333" t="n">
        <v>25.57603465</v>
      </c>
      <c r="F333" t="n">
        <v>26.14667076</v>
      </c>
      <c r="G333" t="n">
        <v>31.36689007</v>
      </c>
      <c r="H333" t="n">
        <v>40.83923128</v>
      </c>
    </row>
    <row r="334">
      <c r="A334" t="inlineStr">
        <is>
          <t>SEN|mit.act.ecy.res</t>
        </is>
      </c>
      <c r="B334" t="inlineStr">
        <is>
          <t>SEN</t>
        </is>
      </c>
      <c r="C334" t="inlineStr">
        <is>
          <t>mit.act.ecy.res</t>
        </is>
      </c>
      <c r="D334" t="n">
        <v>11.00055058</v>
      </c>
      <c r="E334" t="n">
        <v>11.63065923</v>
      </c>
      <c r="F334" t="n">
        <v>12.52439966</v>
      </c>
      <c r="G334" t="n">
        <v>15.99677849</v>
      </c>
      <c r="H334" t="n">
        <v>21.64224141</v>
      </c>
    </row>
    <row r="335">
      <c r="A335" t="inlineStr">
        <is>
          <t>SGP|mit.act.ecy.res</t>
        </is>
      </c>
      <c r="B335" t="inlineStr">
        <is>
          <t>SGP</t>
        </is>
      </c>
      <c r="C335" t="inlineStr">
        <is>
          <t>mit.act.ecy.res</t>
        </is>
      </c>
      <c r="D335" t="n">
        <v>29.66717521</v>
      </c>
      <c r="E335" t="n">
        <v>30.69995017</v>
      </c>
      <c r="F335" t="n">
        <v>33.99102323</v>
      </c>
      <c r="G335" t="n">
        <v>38.31915622</v>
      </c>
      <c r="H335" t="n">
        <v>41.06611868</v>
      </c>
    </row>
    <row r="336">
      <c r="A336" t="inlineStr">
        <is>
          <t>SLB|mit.act.ecy.res</t>
        </is>
      </c>
      <c r="B336" t="inlineStr">
        <is>
          <t>SLB</t>
        </is>
      </c>
      <c r="C336" t="inlineStr">
        <is>
          <t>mit.act.ecy.res</t>
        </is>
      </c>
      <c r="D336" t="n">
        <v>0.1078143626</v>
      </c>
      <c r="E336" t="n">
        <v>0.1095710597</v>
      </c>
      <c r="F336" t="n">
        <v>0.1200920756</v>
      </c>
      <c r="G336" t="n">
        <v>0.1517186968</v>
      </c>
      <c r="H336" t="n">
        <v>0.1975355202</v>
      </c>
    </row>
    <row r="337">
      <c r="A337" t="inlineStr">
        <is>
          <t>SLE|mit.act.ecy.res</t>
        </is>
      </c>
      <c r="B337" t="inlineStr">
        <is>
          <t>SLE</t>
        </is>
      </c>
      <c r="C337" t="inlineStr">
        <is>
          <t>mit.act.ecy.res</t>
        </is>
      </c>
      <c r="D337" t="n">
        <v>0.4003285657</v>
      </c>
      <c r="E337" t="n">
        <v>0.4122250382</v>
      </c>
      <c r="F337" t="n">
        <v>0.48026564</v>
      </c>
      <c r="G337" t="n">
        <v>0.6505572160999999</v>
      </c>
      <c r="H337" t="n">
        <v>0.8801469827</v>
      </c>
    </row>
    <row r="338">
      <c r="A338" t="inlineStr">
        <is>
          <t>SLV|mit.act.ecy.res</t>
        </is>
      </c>
      <c r="B338" t="inlineStr">
        <is>
          <t>SLV</t>
        </is>
      </c>
      <c r="C338" t="inlineStr">
        <is>
          <t>mit.act.ecy.res</t>
        </is>
      </c>
      <c r="D338" t="n">
        <v>12.60242964</v>
      </c>
      <c r="E338" t="n">
        <v>12.90955359</v>
      </c>
      <c r="F338" t="n">
        <v>14.3933758</v>
      </c>
      <c r="G338" t="n">
        <v>18.41792315</v>
      </c>
      <c r="H338" t="n">
        <v>23.97986608</v>
      </c>
    </row>
    <row r="339">
      <c r="A339" t="inlineStr">
        <is>
          <t>SOM|mit.act.ecy.res</t>
        </is>
      </c>
      <c r="B339" t="inlineStr">
        <is>
          <t>SOM</t>
        </is>
      </c>
      <c r="C339" t="inlineStr">
        <is>
          <t>mit.act.ecy.res</t>
        </is>
      </c>
      <c r="D339" t="n">
        <v>1.493344342</v>
      </c>
      <c r="E339" t="n">
        <v>1.521471</v>
      </c>
      <c r="F339" t="n">
        <v>1.661917383</v>
      </c>
      <c r="G339" t="n">
        <v>2.14531188</v>
      </c>
      <c r="H339" t="n">
        <v>2.902419236</v>
      </c>
    </row>
    <row r="340">
      <c r="A340" t="inlineStr">
        <is>
          <t>SRB|mit.act.ecy.res</t>
        </is>
      </c>
      <c r="B340" t="inlineStr">
        <is>
          <t>SRB</t>
        </is>
      </c>
      <c r="C340" t="inlineStr">
        <is>
          <t>mit.act.ecy.res</t>
        </is>
      </c>
      <c r="D340" t="n">
        <v>58.55977922</v>
      </c>
      <c r="E340" t="n">
        <v>59.21281093</v>
      </c>
      <c r="F340" t="n">
        <v>64.6468398</v>
      </c>
      <c r="G340" t="n">
        <v>77.58805252000001</v>
      </c>
      <c r="H340" t="n">
        <v>93.50439642000001</v>
      </c>
    </row>
    <row r="341">
      <c r="A341" t="inlineStr">
        <is>
          <t>STP|mit.act.ecy.res</t>
        </is>
      </c>
      <c r="B341" t="inlineStr">
        <is>
          <t>STP</t>
        </is>
      </c>
      <c r="C341" t="inlineStr">
        <is>
          <t>mit.act.ecy.res</t>
        </is>
      </c>
      <c r="D341" t="n">
        <v>0.09905601419</v>
      </c>
      <c r="E341" t="n">
        <v>0.1002156115</v>
      </c>
      <c r="F341" t="n">
        <v>0.1121053608</v>
      </c>
      <c r="G341" t="n">
        <v>0.1438073963</v>
      </c>
      <c r="H341" t="n">
        <v>0.1872351229</v>
      </c>
    </row>
    <row r="342">
      <c r="A342" t="inlineStr">
        <is>
          <t>SUR|mit.act.ecy.res</t>
        </is>
      </c>
      <c r="B342" t="inlineStr">
        <is>
          <t>SUR</t>
        </is>
      </c>
      <c r="C342" t="inlineStr">
        <is>
          <t>mit.act.ecy.res</t>
        </is>
      </c>
      <c r="D342" t="n">
        <v>3.146584387</v>
      </c>
      <c r="E342" t="n">
        <v>3.168719574</v>
      </c>
      <c r="F342" t="n">
        <v>3.587164979</v>
      </c>
      <c r="G342" t="n">
        <v>4.424039008</v>
      </c>
      <c r="H342" t="n">
        <v>5.331582426</v>
      </c>
    </row>
    <row r="343">
      <c r="A343" t="inlineStr">
        <is>
          <t>SVK|mit.act.ecy.res</t>
        </is>
      </c>
      <c r="B343" t="inlineStr">
        <is>
          <t>SVK</t>
        </is>
      </c>
      <c r="C343" t="inlineStr">
        <is>
          <t>mit.act.ecy.res</t>
        </is>
      </c>
      <c r="D343" t="n">
        <v>24.30386377</v>
      </c>
      <c r="E343" t="n">
        <v>24.33894856</v>
      </c>
      <c r="F343" t="n">
        <v>24.43972298</v>
      </c>
      <c r="G343" t="n">
        <v>25.60075923</v>
      </c>
      <c r="H343" t="n">
        <v>27.43598556</v>
      </c>
    </row>
    <row r="344">
      <c r="A344" t="inlineStr">
        <is>
          <t>SVN|mit.act.ecy.res</t>
        </is>
      </c>
      <c r="B344" t="inlineStr">
        <is>
          <t>SVN</t>
        </is>
      </c>
      <c r="C344" t="inlineStr">
        <is>
          <t>mit.act.ecy.res</t>
        </is>
      </c>
      <c r="D344" t="n">
        <v>15.4879764</v>
      </c>
      <c r="E344" t="n">
        <v>15.54146847</v>
      </c>
      <c r="F344" t="n">
        <v>16.36233497</v>
      </c>
      <c r="G344" t="n">
        <v>17.75857638</v>
      </c>
      <c r="H344" t="n">
        <v>19.03162483</v>
      </c>
    </row>
    <row r="345">
      <c r="A345" t="inlineStr">
        <is>
          <t>SWE|mit.act.ecy.res</t>
        </is>
      </c>
      <c r="B345" t="inlineStr">
        <is>
          <t>SWE</t>
        </is>
      </c>
      <c r="C345" t="inlineStr">
        <is>
          <t>mit.act.ecy.res</t>
        </is>
      </c>
      <c r="D345" t="n">
        <v>171.0980763</v>
      </c>
      <c r="E345" t="n">
        <v>172.3451463</v>
      </c>
      <c r="F345" t="n">
        <v>181.2223348</v>
      </c>
      <c r="G345" t="n">
        <v>196.50263</v>
      </c>
      <c r="H345" t="n">
        <v>210.5891966</v>
      </c>
    </row>
    <row r="346">
      <c r="A346" t="inlineStr">
        <is>
          <t>SWZ|mit.act.ecy.res</t>
        </is>
      </c>
      <c r="B346" t="inlineStr">
        <is>
          <t>SWZ</t>
        </is>
      </c>
      <c r="C346" t="inlineStr">
        <is>
          <t>mit.act.ecy.res</t>
        </is>
      </c>
      <c r="D346" t="n">
        <v>2.00020584</v>
      </c>
      <c r="E346" t="n">
        <v>2.047575988</v>
      </c>
      <c r="F346" t="n">
        <v>2.339228994</v>
      </c>
      <c r="G346" t="n">
        <v>3.048429186</v>
      </c>
      <c r="H346" t="n">
        <v>3.969010134</v>
      </c>
    </row>
    <row r="347">
      <c r="A347" t="inlineStr">
        <is>
          <t>SYC|mit.act.ecy.res</t>
        </is>
      </c>
      <c r="B347" t="inlineStr">
        <is>
          <t>SYC</t>
        </is>
      </c>
      <c r="C347" t="inlineStr">
        <is>
          <t>mit.act.ecy.res</t>
        </is>
      </c>
      <c r="D347" t="n">
        <v>0.5313502572</v>
      </c>
      <c r="E347" t="n">
        <v>0.5501366254</v>
      </c>
      <c r="F347" t="n">
        <v>0.5699181166</v>
      </c>
      <c r="G347" t="n">
        <v>0.6110985108</v>
      </c>
      <c r="H347" t="n">
        <v>0.6549059645999999</v>
      </c>
    </row>
    <row r="348">
      <c r="A348" t="inlineStr">
        <is>
          <t>SYR|mit.act.ecy.res</t>
        </is>
      </c>
      <c r="B348" t="inlineStr">
        <is>
          <t>SYR</t>
        </is>
      </c>
      <c r="C348" t="inlineStr">
        <is>
          <t>mit.act.ecy.res</t>
        </is>
      </c>
      <c r="D348" t="n">
        <v>45.83346788</v>
      </c>
      <c r="E348" t="n">
        <v>46.69672642</v>
      </c>
      <c r="F348" t="n">
        <v>51.69082947</v>
      </c>
      <c r="G348" t="n">
        <v>67.39084459999999</v>
      </c>
      <c r="H348" t="n">
        <v>91.17391533</v>
      </c>
    </row>
    <row r="349">
      <c r="A349" t="inlineStr">
        <is>
          <t>TCD|mit.act.ecy.res</t>
        </is>
      </c>
      <c r="B349" t="inlineStr">
        <is>
          <t>TCD</t>
        </is>
      </c>
      <c r="C349" t="inlineStr">
        <is>
          <t>mit.act.ecy.res</t>
        </is>
      </c>
      <c r="D349" t="n">
        <v>0.3555149443</v>
      </c>
      <c r="E349" t="n">
        <v>0.3695240203</v>
      </c>
      <c r="F349" t="n">
        <v>0.4401977077</v>
      </c>
      <c r="G349" t="n">
        <v>0.6063263686</v>
      </c>
      <c r="H349" t="n">
        <v>0.8203065168</v>
      </c>
    </row>
    <row r="350">
      <c r="A350" t="inlineStr">
        <is>
          <t>TGO|mit.act.ecy.res</t>
        </is>
      </c>
      <c r="B350" t="inlineStr">
        <is>
          <t>TGO</t>
        </is>
      </c>
      <c r="C350" t="inlineStr">
        <is>
          <t>mit.act.ecy.res</t>
        </is>
      </c>
      <c r="D350" t="n">
        <v>4.498372842</v>
      </c>
      <c r="E350" t="n">
        <v>4.685652362</v>
      </c>
      <c r="F350" t="n">
        <v>5.540061613</v>
      </c>
      <c r="G350" t="n">
        <v>7.587904622</v>
      </c>
      <c r="H350" t="n">
        <v>10.26577093</v>
      </c>
    </row>
    <row r="351">
      <c r="A351" t="inlineStr">
        <is>
          <t>THA|mit.act.ecy.res</t>
        </is>
      </c>
      <c r="B351" t="inlineStr">
        <is>
          <t>THA</t>
        </is>
      </c>
      <c r="C351" t="inlineStr">
        <is>
          <t>mit.act.ecy.res</t>
        </is>
      </c>
      <c r="D351" t="n">
        <v>222.825365</v>
      </c>
      <c r="E351" t="n">
        <v>225.9865726</v>
      </c>
      <c r="F351" t="n">
        <v>235.9273087</v>
      </c>
      <c r="G351" t="n">
        <v>273.8407659</v>
      </c>
      <c r="H351" t="n">
        <v>330.0162164</v>
      </c>
    </row>
    <row r="352">
      <c r="A352" t="inlineStr">
        <is>
          <t>TJK|mit.act.ecy.res</t>
        </is>
      </c>
      <c r="B352" t="inlineStr">
        <is>
          <t>TJK</t>
        </is>
      </c>
      <c r="C352" t="inlineStr">
        <is>
          <t>mit.act.ecy.res</t>
        </is>
      </c>
      <c r="D352" t="n">
        <v>21.81128946</v>
      </c>
      <c r="E352" t="n">
        <v>23.1493449</v>
      </c>
      <c r="F352" t="n">
        <v>28.27578729</v>
      </c>
      <c r="G352" t="n">
        <v>39.68831181</v>
      </c>
      <c r="H352" t="n">
        <v>53.69481273</v>
      </c>
    </row>
    <row r="353">
      <c r="A353" t="inlineStr">
        <is>
          <t>TKM|mit.act.ecy.res</t>
        </is>
      </c>
      <c r="B353" t="inlineStr">
        <is>
          <t>TKM</t>
        </is>
      </c>
      <c r="C353" t="inlineStr">
        <is>
          <t>mit.act.ecy.res</t>
        </is>
      </c>
      <c r="D353" t="n">
        <v>7.539024804</v>
      </c>
      <c r="E353" t="n">
        <v>7.715363967</v>
      </c>
      <c r="F353" t="n">
        <v>8.357620876</v>
      </c>
      <c r="G353" t="n">
        <v>9.971927461</v>
      </c>
      <c r="H353" t="n">
        <v>12.01755977</v>
      </c>
    </row>
    <row r="354">
      <c r="A354" t="inlineStr">
        <is>
          <t>TLS|mit.act.ecy.res</t>
        </is>
      </c>
      <c r="B354" t="inlineStr">
        <is>
          <t>TLS</t>
        </is>
      </c>
      <c r="C354" t="inlineStr">
        <is>
          <t>mit.act.ecy.res</t>
        </is>
      </c>
      <c r="D354" t="n">
        <v>0.5588655739</v>
      </c>
      <c r="E354" t="n">
        <v>0.5760157102</v>
      </c>
      <c r="F354" t="n">
        <v>0.6594297238</v>
      </c>
      <c r="G354" t="n">
        <v>0.8606928347</v>
      </c>
      <c r="H354" t="n">
        <v>1.12060946</v>
      </c>
    </row>
    <row r="355">
      <c r="A355" t="inlineStr">
        <is>
          <t>TON|mit.act.ecy.res</t>
        </is>
      </c>
      <c r="B355" t="inlineStr">
        <is>
          <t>TON</t>
        </is>
      </c>
      <c r="C355" t="inlineStr">
        <is>
          <t>mit.act.ecy.res</t>
        </is>
      </c>
      <c r="D355" t="n">
        <v>0.1712259142</v>
      </c>
      <c r="E355" t="n">
        <v>0.1741798545</v>
      </c>
      <c r="F355" t="n">
        <v>0.1869396681</v>
      </c>
      <c r="G355" t="n">
        <v>0.2215070081</v>
      </c>
      <c r="H355" t="n">
        <v>0.2669467582</v>
      </c>
    </row>
    <row r="356">
      <c r="A356" t="inlineStr">
        <is>
          <t>TTO|mit.act.ecy.res</t>
        </is>
      </c>
      <c r="B356" t="inlineStr">
        <is>
          <t>TTO</t>
        </is>
      </c>
      <c r="C356" t="inlineStr">
        <is>
          <t>mit.act.ecy.res</t>
        </is>
      </c>
      <c r="D356" t="n">
        <v>8.997660591000001</v>
      </c>
      <c r="E356" t="n">
        <v>9.008861765000001</v>
      </c>
      <c r="F356" t="n">
        <v>9.097079495999999</v>
      </c>
      <c r="G356" t="n">
        <v>9.569309648999999</v>
      </c>
      <c r="H356" t="n">
        <v>10.25529903</v>
      </c>
    </row>
    <row r="357">
      <c r="A357" t="inlineStr">
        <is>
          <t>TUN|mit.act.ecy.res</t>
        </is>
      </c>
      <c r="B357" t="inlineStr">
        <is>
          <t>TUN</t>
        </is>
      </c>
      <c r="C357" t="inlineStr">
        <is>
          <t>mit.act.ecy.res</t>
        </is>
      </c>
      <c r="D357" t="n">
        <v>23.26400406</v>
      </c>
      <c r="E357" t="n">
        <v>23.60879208</v>
      </c>
      <c r="F357" t="n">
        <v>25.3014016</v>
      </c>
      <c r="G357" t="n">
        <v>31.43433682</v>
      </c>
      <c r="H357" t="n">
        <v>40.92704595</v>
      </c>
    </row>
    <row r="358">
      <c r="A358" t="inlineStr">
        <is>
          <t>TUR|mit.act.ecy.res</t>
        </is>
      </c>
      <c r="B358" t="inlineStr">
        <is>
          <t>TUR</t>
        </is>
      </c>
      <c r="C358" t="inlineStr">
        <is>
          <t>mit.act.ecy.res</t>
        </is>
      </c>
      <c r="D358" t="n">
        <v>342.5515658</v>
      </c>
      <c r="E358" t="n">
        <v>350.6424299</v>
      </c>
      <c r="F358" t="n">
        <v>389.6421659</v>
      </c>
      <c r="G358" t="n">
        <v>473.8798324</v>
      </c>
      <c r="H358" t="n">
        <v>571.0911186</v>
      </c>
    </row>
    <row r="359">
      <c r="A359" t="inlineStr">
        <is>
          <t>TZA|mit.act.ecy.res</t>
        </is>
      </c>
      <c r="B359" t="inlineStr">
        <is>
          <t>TZA</t>
        </is>
      </c>
      <c r="C359" t="inlineStr">
        <is>
          <t>mit.act.ecy.res</t>
        </is>
      </c>
      <c r="D359" t="n">
        <v>13.99252225</v>
      </c>
      <c r="E359" t="n">
        <v>14.57363756</v>
      </c>
      <c r="F359" t="n">
        <v>17.76639669</v>
      </c>
      <c r="G359" t="n">
        <v>24.90061801</v>
      </c>
      <c r="H359" t="n">
        <v>33.68835711</v>
      </c>
    </row>
    <row r="360">
      <c r="A360" t="inlineStr">
        <is>
          <t>UGA|mit.act.ecy.res</t>
        </is>
      </c>
      <c r="B360" t="inlineStr">
        <is>
          <t>UGA</t>
        </is>
      </c>
      <c r="C360" t="inlineStr">
        <is>
          <t>mit.act.ecy.res</t>
        </is>
      </c>
      <c r="D360" t="n">
        <v>3.226003337</v>
      </c>
      <c r="E360" t="n">
        <v>3.381517827</v>
      </c>
      <c r="F360" t="n">
        <v>4.335907583</v>
      </c>
      <c r="G360" t="n">
        <v>6.313758321</v>
      </c>
      <c r="H360" t="n">
        <v>8.541962487999999</v>
      </c>
    </row>
    <row r="361">
      <c r="A361" t="inlineStr">
        <is>
          <t>UKR|mit.act.ecy.res</t>
        </is>
      </c>
      <c r="B361" t="inlineStr">
        <is>
          <t>UKR</t>
        </is>
      </c>
      <c r="C361" t="inlineStr">
        <is>
          <t>mit.act.ecy.res</t>
        </is>
      </c>
      <c r="D361" t="n">
        <v>98.45941255</v>
      </c>
      <c r="E361" t="n">
        <v>99.37780519</v>
      </c>
      <c r="F361" t="n">
        <v>106.1000608</v>
      </c>
      <c r="G361" t="n">
        <v>131.4472786</v>
      </c>
      <c r="H361" t="n">
        <v>171.1424307</v>
      </c>
    </row>
    <row r="362">
      <c r="A362" t="inlineStr">
        <is>
          <t>URY|mit.act.ecy.res</t>
        </is>
      </c>
      <c r="B362" t="inlineStr">
        <is>
          <t>URY</t>
        </is>
      </c>
      <c r="C362" t="inlineStr">
        <is>
          <t>mit.act.ecy.res</t>
        </is>
      </c>
      <c r="D362" t="n">
        <v>15.80936593</v>
      </c>
      <c r="E362" t="n">
        <v>15.95494881</v>
      </c>
      <c r="F362" t="n">
        <v>16.68493989</v>
      </c>
      <c r="G362" t="n">
        <v>18.01735032</v>
      </c>
      <c r="H362" t="n">
        <v>19.30894934</v>
      </c>
    </row>
    <row r="363">
      <c r="A363" t="inlineStr">
        <is>
          <t>USA|mit.act.ecy.res</t>
        </is>
      </c>
      <c r="B363" t="inlineStr">
        <is>
          <t>USA</t>
        </is>
      </c>
      <c r="C363" t="inlineStr">
        <is>
          <t>mit.act.ecy.res</t>
        </is>
      </c>
      <c r="D363" t="n">
        <v>5900.711602</v>
      </c>
      <c r="E363" t="n">
        <v>5970.583346</v>
      </c>
      <c r="F363" t="n">
        <v>6354.718306</v>
      </c>
      <c r="G363" t="n">
        <v>6953.660935</v>
      </c>
      <c r="H363" t="n">
        <v>7452.143871</v>
      </c>
    </row>
    <row r="364">
      <c r="A364" t="inlineStr">
        <is>
          <t>UZB|mit.act.ecy.res</t>
        </is>
      </c>
      <c r="B364" t="inlineStr">
        <is>
          <t>UZB</t>
        </is>
      </c>
      <c r="C364" t="inlineStr">
        <is>
          <t>mit.act.ecy.res</t>
        </is>
      </c>
      <c r="D364" t="n">
        <v>71.72191487000001</v>
      </c>
      <c r="E364" t="n">
        <v>75.72832953</v>
      </c>
      <c r="F364" t="n">
        <v>93.67454029</v>
      </c>
      <c r="G364" t="n">
        <v>129.613966</v>
      </c>
      <c r="H364" t="n">
        <v>168.7554846</v>
      </c>
    </row>
    <row r="365">
      <c r="A365" t="inlineStr">
        <is>
          <t>VCT|mit.act.ecy.res</t>
        </is>
      </c>
      <c r="B365" t="inlineStr">
        <is>
          <t>VCT</t>
        </is>
      </c>
      <c r="C365" t="inlineStr">
        <is>
          <t>mit.act.ecy.res</t>
        </is>
      </c>
      <c r="D365" t="n">
        <v>0.2877702034</v>
      </c>
      <c r="E365" t="n">
        <v>0.2940780367</v>
      </c>
      <c r="F365" t="n">
        <v>0.3228354221</v>
      </c>
      <c r="G365" t="n">
        <v>0.3890615928</v>
      </c>
      <c r="H365" t="n">
        <v>0.468873341</v>
      </c>
    </row>
    <row r="366">
      <c r="A366" t="inlineStr">
        <is>
          <t>VEN|mit.act.ecy.res</t>
        </is>
      </c>
      <c r="B366" t="inlineStr">
        <is>
          <t>VEN</t>
        </is>
      </c>
      <c r="C366" t="inlineStr">
        <is>
          <t>mit.act.ecy.res</t>
        </is>
      </c>
      <c r="D366" t="n">
        <v>80.06224559</v>
      </c>
      <c r="E366" t="n">
        <v>80.63943571999999</v>
      </c>
      <c r="F366" t="n">
        <v>91.638537</v>
      </c>
      <c r="G366" t="n">
        <v>113.3438698</v>
      </c>
      <c r="H366" t="n">
        <v>136.5951302</v>
      </c>
    </row>
    <row r="367">
      <c r="A367" t="inlineStr">
        <is>
          <t>VNM|mit.act.ecy.res</t>
        </is>
      </c>
      <c r="B367" t="inlineStr">
        <is>
          <t>VNM</t>
        </is>
      </c>
      <c r="C367" t="inlineStr">
        <is>
          <t>mit.act.ecy.res</t>
        </is>
      </c>
      <c r="D367" t="n">
        <v>281.254416</v>
      </c>
      <c r="E367" t="n">
        <v>297.6688641</v>
      </c>
      <c r="F367" t="n">
        <v>375.7122854</v>
      </c>
      <c r="G367" t="n">
        <v>527.8703287</v>
      </c>
      <c r="H367" t="n">
        <v>687.2794335</v>
      </c>
    </row>
    <row r="368">
      <c r="A368" t="inlineStr">
        <is>
          <t>VUT|mit.act.ecy.res</t>
        </is>
      </c>
      <c r="B368" t="inlineStr">
        <is>
          <t>VUT</t>
        </is>
      </c>
      <c r="C368" t="inlineStr">
        <is>
          <t>mit.act.ecy.res</t>
        </is>
      </c>
      <c r="D368" t="n">
        <v>0.1084193395</v>
      </c>
      <c r="E368" t="n">
        <v>0.1105068518</v>
      </c>
      <c r="F368" t="n">
        <v>0.1241426694</v>
      </c>
      <c r="G368" t="n">
        <v>0.1597546859</v>
      </c>
      <c r="H368" t="n">
        <v>0.2079982602</v>
      </c>
    </row>
    <row r="369">
      <c r="A369" t="inlineStr">
        <is>
          <t>WSM|mit.act.ecy.res</t>
        </is>
      </c>
      <c r="B369" t="inlineStr">
        <is>
          <t>WSM</t>
        </is>
      </c>
      <c r="C369" t="inlineStr">
        <is>
          <t>mit.act.ecy.res</t>
        </is>
      </c>
      <c r="D369" t="n">
        <v>0.1886621421</v>
      </c>
      <c r="E369" t="n">
        <v>0.1940109363</v>
      </c>
      <c r="F369" t="n">
        <v>0.2144613811</v>
      </c>
      <c r="G369" t="n">
        <v>0.2598007785</v>
      </c>
      <c r="H369" t="n">
        <v>0.3130960785</v>
      </c>
    </row>
    <row r="370">
      <c r="A370" t="inlineStr">
        <is>
          <t>XKX|mit.act.ecy.res</t>
        </is>
      </c>
      <c r="B370" t="inlineStr">
        <is>
          <t>XKX</t>
        </is>
      </c>
      <c r="C370" t="inlineStr">
        <is>
          <t>mit.act.ecy.res</t>
        </is>
      </c>
      <c r="D370" t="n">
        <v>13.26133907</v>
      </c>
      <c r="E370" t="n">
        <v>13.57309654</v>
      </c>
      <c r="F370" t="n">
        <v>15.13318629</v>
      </c>
      <c r="G370" t="n">
        <v>19.36459284</v>
      </c>
      <c r="H370" t="n">
        <v>25.21241615</v>
      </c>
    </row>
    <row r="371">
      <c r="A371" t="inlineStr">
        <is>
          <t>YEM|mit.act.ecy.res</t>
        </is>
      </c>
      <c r="B371" t="inlineStr">
        <is>
          <t>YEM</t>
        </is>
      </c>
      <c r="C371" t="inlineStr">
        <is>
          <t>mit.act.ecy.res</t>
        </is>
      </c>
      <c r="D371" t="n">
        <v>9.411271518</v>
      </c>
      <c r="E371" t="n">
        <v>9.323897961</v>
      </c>
      <c r="F371" t="n">
        <v>9.493881394000001</v>
      </c>
      <c r="G371" t="n">
        <v>11.63382028</v>
      </c>
      <c r="H371" t="n">
        <v>15.73954075</v>
      </c>
    </row>
    <row r="372">
      <c r="A372" t="inlineStr">
        <is>
          <t>ZAF|mit.act.ecy.res</t>
        </is>
      </c>
      <c r="B372" t="inlineStr">
        <is>
          <t>ZAF</t>
        </is>
      </c>
      <c r="C372" t="inlineStr">
        <is>
          <t>mit.act.ecy.res</t>
        </is>
      </c>
      <c r="D372" t="n">
        <v>163.5915475</v>
      </c>
      <c r="E372" t="n">
        <v>164.2280242</v>
      </c>
      <c r="F372" t="n">
        <v>168.8599505</v>
      </c>
      <c r="G372" t="n">
        <v>193.7846123</v>
      </c>
      <c r="H372" t="n">
        <v>233.5374149</v>
      </c>
    </row>
    <row r="373">
      <c r="A373" t="inlineStr">
        <is>
          <t>ZMB|mit.act.ecy.res</t>
        </is>
      </c>
      <c r="B373" t="inlineStr">
        <is>
          <t>ZMB</t>
        </is>
      </c>
      <c r="C373" t="inlineStr">
        <is>
          <t>mit.act.ecy.res</t>
        </is>
      </c>
      <c r="D373" t="n">
        <v>20.77156704</v>
      </c>
      <c r="E373" t="n">
        <v>21.28729474</v>
      </c>
      <c r="F373" t="n">
        <v>24.52040824</v>
      </c>
      <c r="G373" t="n">
        <v>32.15242189</v>
      </c>
      <c r="H373" t="n">
        <v>41.8619822</v>
      </c>
    </row>
    <row r="374">
      <c r="A374" t="inlineStr">
        <is>
          <t>ZWE|mit.act.ecy.res</t>
        </is>
      </c>
      <c r="B374" t="inlineStr">
        <is>
          <t>ZWE</t>
        </is>
      </c>
      <c r="C374" t="inlineStr">
        <is>
          <t>mit.act.ecy.res</t>
        </is>
      </c>
      <c r="D374" t="n">
        <v>11.02098236</v>
      </c>
      <c r="E374" t="n">
        <v>11.62278679</v>
      </c>
      <c r="F374" t="n">
        <v>13.72958589</v>
      </c>
      <c r="G374" t="n">
        <v>18.79170163</v>
      </c>
      <c r="H374" t="n">
        <v>25.42352784</v>
      </c>
    </row>
    <row r="375">
      <c r="A375" t="inlineStr">
        <is>
          <t>ABW|mit.gen.tot.2</t>
        </is>
      </c>
      <c r="B375" t="inlineStr">
        <is>
          <t>ABW</t>
        </is>
      </c>
      <c r="C375" t="inlineStr">
        <is>
          <t>mit.gen.tot.2</t>
        </is>
      </c>
      <c r="D375" t="n">
        <v>1.003104862</v>
      </c>
      <c r="E375" t="n">
        <v>1.101545708</v>
      </c>
      <c r="F375" t="n">
        <v>1.501304668</v>
      </c>
      <c r="G375" t="n">
        <v>2.421968985</v>
      </c>
      <c r="H375" t="n">
        <v>3.384810814</v>
      </c>
    </row>
    <row r="376">
      <c r="A376" t="inlineStr">
        <is>
          <t>AFG|mit.gen.tot.2</t>
        </is>
      </c>
      <c r="B376" t="inlineStr">
        <is>
          <t>AFG</t>
        </is>
      </c>
      <c r="C376" t="inlineStr">
        <is>
          <t>mit.gen.tot.2</t>
        </is>
      </c>
      <c r="D376" t="n">
        <v>5.021603809</v>
      </c>
      <c r="E376" t="n">
        <v>5.399115609</v>
      </c>
      <c r="F376" t="n">
        <v>7.726659606</v>
      </c>
      <c r="G376" t="n">
        <v>14.94702644</v>
      </c>
      <c r="H376" t="n">
        <v>24.75117802</v>
      </c>
    </row>
    <row r="377">
      <c r="A377" t="inlineStr">
        <is>
          <t>AGO|mit.gen.tot.2</t>
        </is>
      </c>
      <c r="B377" t="inlineStr">
        <is>
          <t>AGO</t>
        </is>
      </c>
      <c r="C377" t="inlineStr">
        <is>
          <t>mit.gen.tot.2</t>
        </is>
      </c>
      <c r="D377" t="n">
        <v>15.65847317</v>
      </c>
      <c r="E377" t="n">
        <v>16.61787255</v>
      </c>
      <c r="F377" t="n">
        <v>21.76184808</v>
      </c>
      <c r="G377" t="n">
        <v>37.55295318</v>
      </c>
      <c r="H377" t="n">
        <v>59.825288</v>
      </c>
    </row>
    <row r="378">
      <c r="A378" t="inlineStr">
        <is>
          <t>ALB|mit.gen.tot.2</t>
        </is>
      </c>
      <c r="B378" t="inlineStr">
        <is>
          <t>ALB</t>
        </is>
      </c>
      <c r="C378" t="inlineStr">
        <is>
          <t>mit.gen.tot.2</t>
        </is>
      </c>
      <c r="D378" t="n">
        <v>7.126737768</v>
      </c>
      <c r="E378" t="n">
        <v>7.428528996</v>
      </c>
      <c r="F378" t="n">
        <v>9.056917576</v>
      </c>
      <c r="G378" t="n">
        <v>13.15334031</v>
      </c>
      <c r="H378" t="n">
        <v>17.93104127</v>
      </c>
    </row>
    <row r="379">
      <c r="A379" t="inlineStr">
        <is>
          <t>ARE|mit.gen.tot.2</t>
        </is>
      </c>
      <c r="B379" t="inlineStr">
        <is>
          <t>ARE</t>
        </is>
      </c>
      <c r="C379" t="inlineStr">
        <is>
          <t>mit.gen.tot.2</t>
        </is>
      </c>
      <c r="D379" t="n">
        <v>177.6539416</v>
      </c>
      <c r="E379" t="n">
        <v>191.9351709</v>
      </c>
      <c r="F379" t="n">
        <v>250.7888703</v>
      </c>
      <c r="G379" t="n">
        <v>377.4820946</v>
      </c>
      <c r="H379" t="n">
        <v>498.6954284</v>
      </c>
    </row>
    <row r="380">
      <c r="A380" t="inlineStr">
        <is>
          <t>ARG|mit.gen.tot.2</t>
        </is>
      </c>
      <c r="B380" t="inlineStr">
        <is>
          <t>ARG</t>
        </is>
      </c>
      <c r="C380" t="inlineStr">
        <is>
          <t>mit.gen.tot.2</t>
        </is>
      </c>
      <c r="D380" t="n">
        <v>153.5674057</v>
      </c>
      <c r="E380" t="n">
        <v>164.4471862</v>
      </c>
      <c r="F380" t="n">
        <v>218.619634</v>
      </c>
      <c r="G380" t="n">
        <v>332.2025892</v>
      </c>
      <c r="H380" t="n">
        <v>435.1145311</v>
      </c>
    </row>
    <row r="381">
      <c r="A381" t="inlineStr">
        <is>
          <t>ARM|mit.gen.tot.2</t>
        </is>
      </c>
      <c r="B381" t="inlineStr">
        <is>
          <t>ARM</t>
        </is>
      </c>
      <c r="C381" t="inlineStr">
        <is>
          <t>mit.gen.tot.2</t>
        </is>
      </c>
      <c r="D381" t="n">
        <v>8.551724707</v>
      </c>
      <c r="E381" t="n">
        <v>9.356431267</v>
      </c>
      <c r="F381" t="n">
        <v>13.20600167</v>
      </c>
      <c r="G381" t="n">
        <v>22.07039419</v>
      </c>
      <c r="H381" t="n">
        <v>31.98962295</v>
      </c>
    </row>
    <row r="382">
      <c r="A382" t="inlineStr">
        <is>
          <t>ATG|mit.gen.tot.2</t>
        </is>
      </c>
      <c r="B382" t="inlineStr">
        <is>
          <t>ATG</t>
        </is>
      </c>
      <c r="C382" t="inlineStr">
        <is>
          <t>mit.gen.tot.2</t>
        </is>
      </c>
      <c r="D382" t="n">
        <v>0.3728474821</v>
      </c>
      <c r="E382" t="n">
        <v>0.4231244359</v>
      </c>
      <c r="F382" t="n">
        <v>0.7035426188</v>
      </c>
      <c r="G382" t="n">
        <v>1.376880237</v>
      </c>
      <c r="H382" t="n">
        <v>2.076191307</v>
      </c>
    </row>
    <row r="383">
      <c r="A383" t="inlineStr">
        <is>
          <t>AUS|mit.gen.tot.2</t>
        </is>
      </c>
      <c r="B383" t="inlineStr">
        <is>
          <t>AUS</t>
        </is>
      </c>
      <c r="C383" t="inlineStr">
        <is>
          <t>mit.gen.tot.2</t>
        </is>
      </c>
      <c r="D383" t="n">
        <v>292.1348465</v>
      </c>
      <c r="E383" t="n">
        <v>308.7721024</v>
      </c>
      <c r="F383" t="n">
        <v>402.9703772</v>
      </c>
      <c r="G383" t="n">
        <v>614.3614828</v>
      </c>
      <c r="H383" t="n">
        <v>805.592851</v>
      </c>
    </row>
    <row r="384">
      <c r="A384" t="inlineStr">
        <is>
          <t>AUT|mit.gen.tot.2</t>
        </is>
      </c>
      <c r="B384" t="inlineStr">
        <is>
          <t>AUT</t>
        </is>
      </c>
      <c r="C384" t="inlineStr">
        <is>
          <t>mit.gen.tot.2</t>
        </is>
      </c>
      <c r="D384" t="n">
        <v>74.54655251</v>
      </c>
      <c r="E384" t="n">
        <v>76.93801413</v>
      </c>
      <c r="F384" t="n">
        <v>90.98353636</v>
      </c>
      <c r="G384" t="n">
        <v>125.2090324</v>
      </c>
      <c r="H384" t="n">
        <v>154.8558844</v>
      </c>
    </row>
    <row r="385">
      <c r="A385" t="inlineStr">
        <is>
          <t>AZE|mit.gen.tot.2</t>
        </is>
      </c>
      <c r="B385" t="inlineStr">
        <is>
          <t>AZE</t>
        </is>
      </c>
      <c r="C385" t="inlineStr">
        <is>
          <t>mit.gen.tot.2</t>
        </is>
      </c>
      <c r="D385" t="n">
        <v>27.42679633</v>
      </c>
      <c r="E385" t="n">
        <v>28.81186023</v>
      </c>
      <c r="F385" t="n">
        <v>37.47457912</v>
      </c>
      <c r="G385" t="n">
        <v>59.57917582</v>
      </c>
      <c r="H385" t="n">
        <v>85.69239039</v>
      </c>
    </row>
    <row r="386">
      <c r="A386" t="inlineStr">
        <is>
          <t>BDI|mit.gen.tot.2</t>
        </is>
      </c>
      <c r="B386" t="inlineStr">
        <is>
          <t>BDI</t>
        </is>
      </c>
      <c r="C386" t="inlineStr">
        <is>
          <t>mit.gen.tot.2</t>
        </is>
      </c>
      <c r="D386" t="n">
        <v>0.4984135271</v>
      </c>
      <c r="E386" t="n">
        <v>0.5269367469</v>
      </c>
      <c r="F386" t="n">
        <v>0.7409542585</v>
      </c>
      <c r="G386" t="n">
        <v>1.535931946</v>
      </c>
      <c r="H386" t="n">
        <v>2.570709288</v>
      </c>
    </row>
    <row r="387">
      <c r="A387" t="inlineStr">
        <is>
          <t>BEL|mit.gen.tot.2</t>
        </is>
      </c>
      <c r="B387" t="inlineStr">
        <is>
          <t>BEL</t>
        </is>
      </c>
      <c r="C387" t="inlineStr">
        <is>
          <t>mit.gen.tot.2</t>
        </is>
      </c>
      <c r="D387" t="n">
        <v>74.29784511</v>
      </c>
      <c r="E387" t="n">
        <v>78.37801197</v>
      </c>
      <c r="F387" t="n">
        <v>99.33367988000001</v>
      </c>
      <c r="G387" t="n">
        <v>146.7005804</v>
      </c>
      <c r="H387" t="n">
        <v>186.6576308</v>
      </c>
    </row>
    <row r="388">
      <c r="A388" t="inlineStr">
        <is>
          <t>BEN|mit.gen.tot.2</t>
        </is>
      </c>
      <c r="B388" t="inlineStr">
        <is>
          <t>BEN</t>
        </is>
      </c>
      <c r="C388" t="inlineStr">
        <is>
          <t>mit.gen.tot.2</t>
        </is>
      </c>
      <c r="D388" t="n">
        <v>1.611096914</v>
      </c>
      <c r="E388" t="n">
        <v>1.761132108</v>
      </c>
      <c r="F388" t="n">
        <v>2.884502119</v>
      </c>
      <c r="G388" t="n">
        <v>7.009362919</v>
      </c>
      <c r="H388" t="n">
        <v>11.953629</v>
      </c>
    </row>
    <row r="389">
      <c r="A389" t="inlineStr">
        <is>
          <t>BFA|mit.gen.tot.2</t>
        </is>
      </c>
      <c r="B389" t="inlineStr">
        <is>
          <t>BFA</t>
        </is>
      </c>
      <c r="C389" t="inlineStr">
        <is>
          <t>mit.gen.tot.2</t>
        </is>
      </c>
      <c r="D389" t="n">
        <v>2.929372692</v>
      </c>
      <c r="E389" t="n">
        <v>3.160864691</v>
      </c>
      <c r="F389" t="n">
        <v>4.674942191</v>
      </c>
      <c r="G389" t="n">
        <v>9.608236937999999</v>
      </c>
      <c r="H389" t="n">
        <v>16.41212975</v>
      </c>
    </row>
    <row r="390">
      <c r="A390" t="inlineStr">
        <is>
          <t>BGD|mit.gen.tot.2</t>
        </is>
      </c>
      <c r="B390" t="inlineStr">
        <is>
          <t>BGD</t>
        </is>
      </c>
      <c r="C390" t="inlineStr">
        <is>
          <t>mit.gen.tot.2</t>
        </is>
      </c>
      <c r="D390" t="n">
        <v>140.7576513</v>
      </c>
      <c r="E390" t="n">
        <v>146.3110965</v>
      </c>
      <c r="F390" t="n">
        <v>184.7191606</v>
      </c>
      <c r="G390" t="n">
        <v>281.1910941</v>
      </c>
      <c r="H390" t="n">
        <v>407.9122829</v>
      </c>
    </row>
    <row r="391">
      <c r="A391" t="inlineStr">
        <is>
          <t>BGR|mit.gen.tot.2</t>
        </is>
      </c>
      <c r="B391" t="inlineStr">
        <is>
          <t>BGR</t>
        </is>
      </c>
      <c r="C391" t="inlineStr">
        <is>
          <t>mit.gen.tot.2</t>
        </is>
      </c>
      <c r="D391" t="n">
        <v>38.07379677</v>
      </c>
      <c r="E391" t="n">
        <v>39.65065384</v>
      </c>
      <c r="F391" t="n">
        <v>48.23425188</v>
      </c>
      <c r="G391" t="n">
        <v>71.2745685</v>
      </c>
      <c r="H391" t="n">
        <v>99.68366803000001</v>
      </c>
    </row>
    <row r="392">
      <c r="A392" t="inlineStr">
        <is>
          <t>BHR|mit.gen.tot.2</t>
        </is>
      </c>
      <c r="B392" t="inlineStr">
        <is>
          <t>BHR</t>
        </is>
      </c>
      <c r="C392" t="inlineStr">
        <is>
          <t>mit.gen.tot.2</t>
        </is>
      </c>
      <c r="D392" t="n">
        <v>37.98533441</v>
      </c>
      <c r="E392" t="n">
        <v>39.19894812</v>
      </c>
      <c r="F392" t="n">
        <v>40.30014069</v>
      </c>
      <c r="G392" t="n">
        <v>46.32062938</v>
      </c>
      <c r="H392" t="n">
        <v>54.68601517</v>
      </c>
    </row>
    <row r="393">
      <c r="A393" t="inlineStr">
        <is>
          <t>BHS|mit.gen.tot.2</t>
        </is>
      </c>
      <c r="B393" t="inlineStr">
        <is>
          <t>BHS</t>
        </is>
      </c>
      <c r="C393" t="inlineStr">
        <is>
          <t>mit.gen.tot.2</t>
        </is>
      </c>
      <c r="D393" t="n">
        <v>2.264115628</v>
      </c>
      <c r="E393" t="n">
        <v>2.430698482</v>
      </c>
      <c r="F393" t="n">
        <v>3.326126766</v>
      </c>
      <c r="G393" t="n">
        <v>5.524252372</v>
      </c>
      <c r="H393" t="n">
        <v>7.743958904</v>
      </c>
    </row>
    <row r="394">
      <c r="A394" t="inlineStr">
        <is>
          <t>BIH|mit.gen.tot.2</t>
        </is>
      </c>
      <c r="B394" t="inlineStr">
        <is>
          <t>BIH</t>
        </is>
      </c>
      <c r="C394" t="inlineStr">
        <is>
          <t>mit.gen.tot.2</t>
        </is>
      </c>
      <c r="D394" t="n">
        <v>14.56530769</v>
      </c>
      <c r="E394" t="n">
        <v>14.98118572</v>
      </c>
      <c r="F394" t="n">
        <v>17.62619741</v>
      </c>
      <c r="G394" t="n">
        <v>25.25659291</v>
      </c>
      <c r="H394" t="n">
        <v>34.53350099</v>
      </c>
    </row>
    <row r="395">
      <c r="A395" t="inlineStr">
        <is>
          <t>BLR|mit.gen.tot.2</t>
        </is>
      </c>
      <c r="B395" t="inlineStr">
        <is>
          <t>BLR</t>
        </is>
      </c>
      <c r="C395" t="inlineStr">
        <is>
          <t>mit.gen.tot.2</t>
        </is>
      </c>
      <c r="D395" t="n">
        <v>42.75763791</v>
      </c>
      <c r="E395" t="n">
        <v>44.91228629</v>
      </c>
      <c r="F395" t="n">
        <v>57.00537158</v>
      </c>
      <c r="G395" t="n">
        <v>91.05567508999999</v>
      </c>
      <c r="H395" t="n">
        <v>136.0906308</v>
      </c>
    </row>
    <row r="396">
      <c r="A396" t="inlineStr">
        <is>
          <t>BLZ|mit.gen.tot.2</t>
        </is>
      </c>
      <c r="B396" t="inlineStr">
        <is>
          <t>BLZ</t>
        </is>
      </c>
      <c r="C396" t="inlineStr">
        <is>
          <t>mit.gen.tot.2</t>
        </is>
      </c>
      <c r="D396" t="n">
        <v>0.7135254219</v>
      </c>
      <c r="E396" t="n">
        <v>0.7459383485</v>
      </c>
      <c r="F396" t="n">
        <v>0.9316382463</v>
      </c>
      <c r="G396" t="n">
        <v>1.49247703</v>
      </c>
      <c r="H396" t="n">
        <v>2.165363397</v>
      </c>
    </row>
    <row r="397">
      <c r="A397" t="inlineStr">
        <is>
          <t>BOL|mit.gen.tot.2</t>
        </is>
      </c>
      <c r="B397" t="inlineStr">
        <is>
          <t>BOL</t>
        </is>
      </c>
      <c r="C397" t="inlineStr">
        <is>
          <t>mit.gen.tot.2</t>
        </is>
      </c>
      <c r="D397" t="n">
        <v>13.75750547</v>
      </c>
      <c r="E397" t="n">
        <v>14.37077122</v>
      </c>
      <c r="F397" t="n">
        <v>17.01296922</v>
      </c>
      <c r="G397" t="n">
        <v>29.26831686</v>
      </c>
      <c r="H397" t="n">
        <v>49.65901266</v>
      </c>
    </row>
    <row r="398">
      <c r="A398" t="inlineStr">
        <is>
          <t>BRA|mit.gen.tot.2</t>
        </is>
      </c>
      <c r="B398" t="inlineStr">
        <is>
          <t>BRA</t>
        </is>
      </c>
      <c r="C398" t="inlineStr">
        <is>
          <t>mit.gen.tot.2</t>
        </is>
      </c>
      <c r="D398" t="n">
        <v>739.8863151</v>
      </c>
      <c r="E398" t="n">
        <v>765.8007415</v>
      </c>
      <c r="F398" t="n">
        <v>909.5683681</v>
      </c>
      <c r="G398" t="n">
        <v>1336.896997</v>
      </c>
      <c r="H398" t="n">
        <v>1880.00896</v>
      </c>
    </row>
    <row r="399">
      <c r="A399" t="inlineStr">
        <is>
          <t>BRB|mit.gen.tot.2</t>
        </is>
      </c>
      <c r="B399" t="inlineStr">
        <is>
          <t>BRB</t>
        </is>
      </c>
      <c r="C399" t="inlineStr">
        <is>
          <t>mit.gen.tot.2</t>
        </is>
      </c>
      <c r="D399" t="n">
        <v>1.113824965</v>
      </c>
      <c r="E399" t="n">
        <v>1.175587811</v>
      </c>
      <c r="F399" t="n">
        <v>1.509848163</v>
      </c>
      <c r="G399" t="n">
        <v>2.279971569</v>
      </c>
      <c r="H399" t="n">
        <v>3.04701683</v>
      </c>
    </row>
    <row r="400">
      <c r="A400" t="inlineStr">
        <is>
          <t>BRN|mit.gen.tot.2</t>
        </is>
      </c>
      <c r="B400" t="inlineStr">
        <is>
          <t>BRN</t>
        </is>
      </c>
      <c r="C400" t="inlineStr">
        <is>
          <t>mit.gen.tot.2</t>
        </is>
      </c>
      <c r="D400" t="n">
        <v>5.573249604</v>
      </c>
      <c r="E400" t="n">
        <v>5.847009396</v>
      </c>
      <c r="F400" t="n">
        <v>7.827282835</v>
      </c>
      <c r="G400" t="n">
        <v>12.20338299</v>
      </c>
      <c r="H400" t="n">
        <v>16.5941988</v>
      </c>
    </row>
    <row r="401">
      <c r="A401" t="inlineStr">
        <is>
          <t>BTN|mit.gen.tot.2</t>
        </is>
      </c>
      <c r="B401" t="inlineStr">
        <is>
          <t>BTN</t>
        </is>
      </c>
      <c r="C401" t="inlineStr">
        <is>
          <t>mit.gen.tot.2</t>
        </is>
      </c>
      <c r="D401" t="n">
        <v>4.491857817</v>
      </c>
      <c r="E401" t="n">
        <v>4.811720128</v>
      </c>
      <c r="F401" t="n">
        <v>6.683818587</v>
      </c>
      <c r="G401" t="n">
        <v>10.84120274</v>
      </c>
      <c r="H401" t="n">
        <v>15.65392478</v>
      </c>
    </row>
    <row r="402">
      <c r="A402" t="inlineStr">
        <is>
          <t>BWA|mit.gen.tot.2</t>
        </is>
      </c>
      <c r="B402" t="inlineStr">
        <is>
          <t>BWA</t>
        </is>
      </c>
      <c r="C402" t="inlineStr">
        <is>
          <t>mit.gen.tot.2</t>
        </is>
      </c>
      <c r="D402" t="n">
        <v>4.088641823</v>
      </c>
      <c r="E402" t="n">
        <v>4.098142488</v>
      </c>
      <c r="F402" t="n">
        <v>5.252633162</v>
      </c>
      <c r="G402" t="n">
        <v>8.306795574000001</v>
      </c>
      <c r="H402" t="n">
        <v>11.50824129</v>
      </c>
    </row>
    <row r="403">
      <c r="A403" t="inlineStr">
        <is>
          <t>CAF|mit.gen.tot.2</t>
        </is>
      </c>
      <c r="B403" t="inlineStr">
        <is>
          <t>CAF</t>
        </is>
      </c>
      <c r="C403" t="inlineStr">
        <is>
          <t>mit.gen.tot.2</t>
        </is>
      </c>
      <c r="D403" t="n">
        <v>0.1254339639</v>
      </c>
      <c r="E403" t="n">
        <v>0.1392299655</v>
      </c>
      <c r="F403" t="n">
        <v>0.2265385386</v>
      </c>
      <c r="G403" t="n">
        <v>0.5499870137</v>
      </c>
      <c r="H403" t="n">
        <v>0.9808763733</v>
      </c>
    </row>
    <row r="404">
      <c r="A404" t="inlineStr">
        <is>
          <t>CAN|mit.gen.tot.2</t>
        </is>
      </c>
      <c r="B404" t="inlineStr">
        <is>
          <t>CAN</t>
        </is>
      </c>
      <c r="C404" t="inlineStr">
        <is>
          <t>mit.gen.tot.2</t>
        </is>
      </c>
      <c r="D404" t="n">
        <v>661.4541583</v>
      </c>
      <c r="E404" t="n">
        <v>698.837864</v>
      </c>
      <c r="F404" t="n">
        <v>895.1485629</v>
      </c>
      <c r="G404" t="n">
        <v>1329.194229</v>
      </c>
      <c r="H404" t="n">
        <v>1715.332531</v>
      </c>
    </row>
    <row r="405">
      <c r="A405" t="inlineStr">
        <is>
          <t>CHE|mit.gen.tot.2</t>
        </is>
      </c>
      <c r="B405" t="inlineStr">
        <is>
          <t>CHE</t>
        </is>
      </c>
      <c r="C405" t="inlineStr">
        <is>
          <t>mit.gen.tot.2</t>
        </is>
      </c>
      <c r="D405" t="n">
        <v>65.94845995</v>
      </c>
      <c r="E405" t="n">
        <v>68.07106994999999</v>
      </c>
      <c r="F405" t="n">
        <v>80.31334599</v>
      </c>
      <c r="G405" t="n">
        <v>108.5033325</v>
      </c>
      <c r="H405" t="n">
        <v>131.9280681</v>
      </c>
    </row>
    <row r="406">
      <c r="A406" t="inlineStr">
        <is>
          <t>CHL|mit.gen.tot.2</t>
        </is>
      </c>
      <c r="B406" t="inlineStr">
        <is>
          <t>CHL</t>
        </is>
      </c>
      <c r="C406" t="inlineStr">
        <is>
          <t>mit.gen.tot.2</t>
        </is>
      </c>
      <c r="D406" t="n">
        <v>88.78994729999999</v>
      </c>
      <c r="E406" t="n">
        <v>92.18636223</v>
      </c>
      <c r="F406" t="n">
        <v>111.8464261</v>
      </c>
      <c r="G406" t="n">
        <v>156.9155214</v>
      </c>
      <c r="H406" t="n">
        <v>199.8424922</v>
      </c>
    </row>
    <row r="407">
      <c r="A407" t="inlineStr">
        <is>
          <t>CHN|mit.gen.tot.2</t>
        </is>
      </c>
      <c r="B407" t="inlineStr">
        <is>
          <t>CHN</t>
        </is>
      </c>
      <c r="C407" t="inlineStr">
        <is>
          <t>mit.gen.tot.2</t>
        </is>
      </c>
      <c r="D407" t="n">
        <v>10730.95903</v>
      </c>
      <c r="E407" t="n">
        <v>11385.97052</v>
      </c>
      <c r="F407" t="n">
        <v>14711.36588</v>
      </c>
      <c r="G407" t="n">
        <v>22072.81154</v>
      </c>
      <c r="H407" t="n">
        <v>30289.48614</v>
      </c>
    </row>
    <row r="408">
      <c r="A408" t="inlineStr">
        <is>
          <t>CIV|mit.gen.tot.2</t>
        </is>
      </c>
      <c r="B408" t="inlineStr">
        <is>
          <t>CIV</t>
        </is>
      </c>
      <c r="C408" t="inlineStr">
        <is>
          <t>mit.gen.tot.2</t>
        </is>
      </c>
      <c r="D408" t="n">
        <v>10.85169249</v>
      </c>
      <c r="E408" t="n">
        <v>11.6396487</v>
      </c>
      <c r="F408" t="n">
        <v>16.3724874</v>
      </c>
      <c r="G408" t="n">
        <v>29.41885622</v>
      </c>
      <c r="H408" t="n">
        <v>45.1380918</v>
      </c>
    </row>
    <row r="409">
      <c r="A409" t="inlineStr">
        <is>
          <t>CMR|mit.gen.tot.2</t>
        </is>
      </c>
      <c r="B409" t="inlineStr">
        <is>
          <t>CMR</t>
        </is>
      </c>
      <c r="C409" t="inlineStr">
        <is>
          <t>mit.gen.tot.2</t>
        </is>
      </c>
      <c r="D409" t="n">
        <v>7.293849268</v>
      </c>
      <c r="E409" t="n">
        <v>7.52151776</v>
      </c>
      <c r="F409" t="n">
        <v>9.081089206</v>
      </c>
      <c r="G409" t="n">
        <v>14.00160698</v>
      </c>
      <c r="H409" t="n">
        <v>20.32926881</v>
      </c>
    </row>
    <row r="410">
      <c r="A410" t="inlineStr">
        <is>
          <t>COD|mit.gen.tot.2</t>
        </is>
      </c>
      <c r="B410" t="inlineStr">
        <is>
          <t>COD</t>
        </is>
      </c>
      <c r="C410" t="inlineStr">
        <is>
          <t>mit.gen.tot.2</t>
        </is>
      </c>
      <c r="D410" t="n">
        <v>15.95673754</v>
      </c>
      <c r="E410" t="n">
        <v>16.63257816</v>
      </c>
      <c r="F410" t="n">
        <v>20.67598716</v>
      </c>
      <c r="G410" t="n">
        <v>30.96511319</v>
      </c>
      <c r="H410" t="n">
        <v>43.42199867</v>
      </c>
    </row>
    <row r="411">
      <c r="A411" t="inlineStr">
        <is>
          <t>COG|mit.gen.tot.2</t>
        </is>
      </c>
      <c r="B411" t="inlineStr">
        <is>
          <t>COG</t>
        </is>
      </c>
      <c r="C411" t="inlineStr">
        <is>
          <t>mit.gen.tot.2</t>
        </is>
      </c>
      <c r="D411" t="n">
        <v>2.813989025</v>
      </c>
      <c r="E411" t="n">
        <v>2.886556709</v>
      </c>
      <c r="F411" t="n">
        <v>3.454056309</v>
      </c>
      <c r="G411" t="n">
        <v>5.40251204</v>
      </c>
      <c r="H411" t="n">
        <v>7.944705519</v>
      </c>
    </row>
    <row r="412">
      <c r="A412" t="inlineStr">
        <is>
          <t>COL|mit.gen.tot.2</t>
        </is>
      </c>
      <c r="B412" t="inlineStr">
        <is>
          <t>COL</t>
        </is>
      </c>
      <c r="C412" t="inlineStr">
        <is>
          <t>mit.gen.tot.2</t>
        </is>
      </c>
      <c r="D412" t="n">
        <v>90.69649595999999</v>
      </c>
      <c r="E412" t="n">
        <v>94.64049731999999</v>
      </c>
      <c r="F412" t="n">
        <v>116.9991952</v>
      </c>
      <c r="G412" t="n">
        <v>180.4130732</v>
      </c>
      <c r="H412" t="n">
        <v>257.410504</v>
      </c>
    </row>
    <row r="413">
      <c r="A413" t="inlineStr">
        <is>
          <t>COM|mit.gen.tot.2</t>
        </is>
      </c>
      <c r="B413" t="inlineStr">
        <is>
          <t>COM</t>
        </is>
      </c>
      <c r="C413" t="inlineStr">
        <is>
          <t>mit.gen.tot.2</t>
        </is>
      </c>
      <c r="D413" t="n">
        <v>0.1438836479</v>
      </c>
      <c r="E413" t="n">
        <v>0.1656394279</v>
      </c>
      <c r="F413" t="n">
        <v>0.3181385002</v>
      </c>
      <c r="G413" t="n">
        <v>0.8449742224</v>
      </c>
      <c r="H413" t="n">
        <v>1.585452287</v>
      </c>
    </row>
    <row r="414">
      <c r="A414" t="inlineStr">
        <is>
          <t>CPV|mit.gen.tot.2</t>
        </is>
      </c>
      <c r="B414" t="inlineStr">
        <is>
          <t>CPV</t>
        </is>
      </c>
      <c r="C414" t="inlineStr">
        <is>
          <t>mit.gen.tot.2</t>
        </is>
      </c>
      <c r="D414" t="n">
        <v>0.5228315235</v>
      </c>
      <c r="E414" t="n">
        <v>0.5715430806</v>
      </c>
      <c r="F414" t="n">
        <v>0.8534859755</v>
      </c>
      <c r="G414" t="n">
        <v>1.675880677</v>
      </c>
      <c r="H414" t="n">
        <v>2.800593224</v>
      </c>
    </row>
    <row r="415">
      <c r="A415" t="inlineStr">
        <is>
          <t>CRI|mit.gen.tot.2</t>
        </is>
      </c>
      <c r="B415" t="inlineStr">
        <is>
          <t>CRI</t>
        </is>
      </c>
      <c r="C415" t="inlineStr">
        <is>
          <t>mit.gen.tot.2</t>
        </is>
      </c>
      <c r="D415" t="n">
        <v>11.71494867</v>
      </c>
      <c r="E415" t="n">
        <v>12.22325995</v>
      </c>
      <c r="F415" t="n">
        <v>14.81678647</v>
      </c>
      <c r="G415" t="n">
        <v>21.99730353</v>
      </c>
      <c r="H415" t="n">
        <v>29.96469344</v>
      </c>
    </row>
    <row r="416">
      <c r="A416" t="inlineStr">
        <is>
          <t>CYP|mit.gen.tot.2</t>
        </is>
      </c>
      <c r="B416" t="inlineStr">
        <is>
          <t>CYP</t>
        </is>
      </c>
      <c r="C416" t="inlineStr">
        <is>
          <t>mit.gen.tot.2</t>
        </is>
      </c>
      <c r="D416" t="n">
        <v>6.050683686</v>
      </c>
      <c r="E416" t="n">
        <v>6.542764245</v>
      </c>
      <c r="F416" t="n">
        <v>9.158761622</v>
      </c>
      <c r="G416" t="n">
        <v>15.03250233</v>
      </c>
      <c r="H416" t="n">
        <v>20.352093</v>
      </c>
    </row>
    <row r="417">
      <c r="A417" t="inlineStr">
        <is>
          <t>CZE|mit.gen.tot.2</t>
        </is>
      </c>
      <c r="B417" t="inlineStr">
        <is>
          <t>CZE</t>
        </is>
      </c>
      <c r="C417" t="inlineStr">
        <is>
          <t>mit.gen.tot.2</t>
        </is>
      </c>
      <c r="D417" t="n">
        <v>76.77641294999999</v>
      </c>
      <c r="E417" t="n">
        <v>81.21762076</v>
      </c>
      <c r="F417" t="n">
        <v>104.7578717</v>
      </c>
      <c r="G417" t="n">
        <v>155.0265028</v>
      </c>
      <c r="H417" t="n">
        <v>192.9034684</v>
      </c>
    </row>
    <row r="418">
      <c r="A418" t="inlineStr">
        <is>
          <t>DEU|mit.gen.tot.2</t>
        </is>
      </c>
      <c r="B418" t="inlineStr">
        <is>
          <t>DEU</t>
        </is>
      </c>
      <c r="C418" t="inlineStr">
        <is>
          <t>mit.gen.tot.2</t>
        </is>
      </c>
      <c r="D418" t="n">
        <v>507.3862185</v>
      </c>
      <c r="E418" t="n">
        <v>528.3955291</v>
      </c>
      <c r="F418" t="n">
        <v>655.0867109</v>
      </c>
      <c r="G418" t="n">
        <v>944.4056574</v>
      </c>
      <c r="H418" t="n">
        <v>1188.554841</v>
      </c>
    </row>
    <row r="419">
      <c r="A419" t="inlineStr">
        <is>
          <t>DJI|mit.gen.tot.2</t>
        </is>
      </c>
      <c r="B419" t="inlineStr">
        <is>
          <t>DJI</t>
        </is>
      </c>
      <c r="C419" t="inlineStr">
        <is>
          <t>mit.gen.tot.2</t>
        </is>
      </c>
      <c r="D419" t="n">
        <v>0.6068555047</v>
      </c>
      <c r="E419" t="n">
        <v>0.645826156</v>
      </c>
      <c r="F419" t="n">
        <v>0.8749376719</v>
      </c>
      <c r="G419" t="n">
        <v>1.462473028</v>
      </c>
      <c r="H419" t="n">
        <v>2.200835456</v>
      </c>
    </row>
    <row r="420">
      <c r="A420" t="inlineStr">
        <is>
          <t>DMA|mit.gen.tot.2</t>
        </is>
      </c>
      <c r="B420" t="inlineStr">
        <is>
          <t>DMA</t>
        </is>
      </c>
      <c r="C420" t="inlineStr">
        <is>
          <t>mit.gen.tot.2</t>
        </is>
      </c>
      <c r="D420" t="n">
        <v>0.150463581</v>
      </c>
      <c r="E420" t="n">
        <v>0.1616370722</v>
      </c>
      <c r="F420" t="n">
        <v>0.2169488469</v>
      </c>
      <c r="G420" t="n">
        <v>0.3646267341</v>
      </c>
      <c r="H420" t="n">
        <v>0.5519127474</v>
      </c>
    </row>
    <row r="421">
      <c r="A421" t="inlineStr">
        <is>
          <t>DNK|mit.gen.tot.2</t>
        </is>
      </c>
      <c r="B421" t="inlineStr">
        <is>
          <t>DNK</t>
        </is>
      </c>
      <c r="C421" t="inlineStr">
        <is>
          <t>mit.gen.tot.2</t>
        </is>
      </c>
      <c r="D421" t="n">
        <v>35.15014265</v>
      </c>
      <c r="E421" t="n">
        <v>36.84868059</v>
      </c>
      <c r="F421" t="n">
        <v>45.14272037</v>
      </c>
      <c r="G421" t="n">
        <v>63.49951539</v>
      </c>
      <c r="H421" t="n">
        <v>77.99269949000001</v>
      </c>
    </row>
    <row r="422">
      <c r="A422" t="inlineStr">
        <is>
          <t>DOM|mit.gen.tot.2</t>
        </is>
      </c>
      <c r="B422" t="inlineStr">
        <is>
          <t>DOM</t>
        </is>
      </c>
      <c r="C422" t="inlineStr">
        <is>
          <t>mit.gen.tot.2</t>
        </is>
      </c>
      <c r="D422" t="n">
        <v>22.76240534</v>
      </c>
      <c r="E422" t="n">
        <v>23.82660974</v>
      </c>
      <c r="F422" t="n">
        <v>31.67286948</v>
      </c>
      <c r="G422" t="n">
        <v>52.1108914</v>
      </c>
      <c r="H422" t="n">
        <v>76.95422107</v>
      </c>
    </row>
    <row r="423">
      <c r="A423" t="inlineStr">
        <is>
          <t>DZA|mit.gen.tot.2</t>
        </is>
      </c>
      <c r="B423" t="inlineStr">
        <is>
          <t>DZA</t>
        </is>
      </c>
      <c r="C423" t="inlineStr">
        <is>
          <t>mit.gen.tot.2</t>
        </is>
      </c>
      <c r="D423" t="n">
        <v>91.35431167</v>
      </c>
      <c r="E423" t="n">
        <v>99.66841602</v>
      </c>
      <c r="F423" t="n">
        <v>147.6894116</v>
      </c>
      <c r="G423" t="n">
        <v>271.2242772</v>
      </c>
      <c r="H423" t="n">
        <v>416.2917863</v>
      </c>
    </row>
    <row r="424">
      <c r="A424" t="inlineStr">
        <is>
          <t>ECU|mit.gen.tot.2</t>
        </is>
      </c>
      <c r="B424" t="inlineStr">
        <is>
          <t>ECU</t>
        </is>
      </c>
      <c r="C424" t="inlineStr">
        <is>
          <t>mit.gen.tot.2</t>
        </is>
      </c>
      <c r="D424" t="n">
        <v>36.8243337</v>
      </c>
      <c r="E424" t="n">
        <v>38.94803362</v>
      </c>
      <c r="F424" t="n">
        <v>49.9910243</v>
      </c>
      <c r="G424" t="n">
        <v>82.44465652</v>
      </c>
      <c r="H424" t="n">
        <v>121.9302723</v>
      </c>
    </row>
    <row r="425">
      <c r="A425" t="inlineStr">
        <is>
          <t>EGY|mit.gen.tot.2</t>
        </is>
      </c>
      <c r="B425" t="inlineStr">
        <is>
          <t>EGY</t>
        </is>
      </c>
      <c r="C425" t="inlineStr">
        <is>
          <t>mit.gen.tot.2</t>
        </is>
      </c>
      <c r="D425" t="n">
        <v>246.3310389</v>
      </c>
      <c r="E425" t="n">
        <v>260.530757</v>
      </c>
      <c r="F425" t="n">
        <v>342.5781653</v>
      </c>
      <c r="G425" t="n">
        <v>571.9094107</v>
      </c>
      <c r="H425" t="n">
        <v>885.4691815</v>
      </c>
    </row>
    <row r="426">
      <c r="A426" t="inlineStr">
        <is>
          <t>ESP|mit.gen.tot.2</t>
        </is>
      </c>
      <c r="B426" t="inlineStr">
        <is>
          <t>ESP</t>
        </is>
      </c>
      <c r="C426" t="inlineStr">
        <is>
          <t>mit.gen.tot.2</t>
        </is>
      </c>
      <c r="D426" t="n">
        <v>292.6431743</v>
      </c>
      <c r="E426" t="n">
        <v>308.0600622</v>
      </c>
      <c r="F426" t="n">
        <v>385.9205959</v>
      </c>
      <c r="G426" t="n">
        <v>557.0405217</v>
      </c>
      <c r="H426" t="n">
        <v>701.1897676999999</v>
      </c>
    </row>
    <row r="427">
      <c r="A427" t="inlineStr">
        <is>
          <t>EST|mit.gen.tot.2</t>
        </is>
      </c>
      <c r="B427" t="inlineStr">
        <is>
          <t>EST</t>
        </is>
      </c>
      <c r="C427" t="inlineStr">
        <is>
          <t>mit.gen.tot.2</t>
        </is>
      </c>
      <c r="D427" t="n">
        <v>6.301303308</v>
      </c>
      <c r="E427" t="n">
        <v>6.451877534</v>
      </c>
      <c r="F427" t="n">
        <v>7.58069056</v>
      </c>
      <c r="G427" t="n">
        <v>10.21859193</v>
      </c>
      <c r="H427" t="n">
        <v>12.3070121</v>
      </c>
    </row>
    <row r="428">
      <c r="A428" t="inlineStr">
        <is>
          <t>ETH|mit.gen.tot.2</t>
        </is>
      </c>
      <c r="B428" t="inlineStr">
        <is>
          <t>ETH</t>
        </is>
      </c>
      <c r="C428" t="inlineStr">
        <is>
          <t>mit.gen.tot.2</t>
        </is>
      </c>
      <c r="D428" t="n">
        <v>20.42914543</v>
      </c>
      <c r="E428" t="n">
        <v>22.71557178</v>
      </c>
      <c r="F428" t="n">
        <v>37.64516653</v>
      </c>
      <c r="G428" t="n">
        <v>80.45917786</v>
      </c>
      <c r="H428" t="n">
        <v>135.0548913</v>
      </c>
    </row>
    <row r="429">
      <c r="A429" t="inlineStr">
        <is>
          <t>FIN|mit.gen.tot.2</t>
        </is>
      </c>
      <c r="B429" t="inlineStr">
        <is>
          <t>FIN</t>
        </is>
      </c>
      <c r="C429" t="inlineStr">
        <is>
          <t>mit.gen.tot.2</t>
        </is>
      </c>
      <c r="D429" t="n">
        <v>82.840022</v>
      </c>
      <c r="E429" t="n">
        <v>83.77697719</v>
      </c>
      <c r="F429" t="n">
        <v>92.36265059</v>
      </c>
      <c r="G429" t="n">
        <v>113.4569351</v>
      </c>
      <c r="H429" t="n">
        <v>134.8741779</v>
      </c>
    </row>
    <row r="430">
      <c r="A430" t="inlineStr">
        <is>
          <t>FJI|mit.gen.tot.2</t>
        </is>
      </c>
      <c r="B430" t="inlineStr">
        <is>
          <t>FJI</t>
        </is>
      </c>
      <c r="C430" t="inlineStr">
        <is>
          <t>mit.gen.tot.2</t>
        </is>
      </c>
      <c r="D430" t="n">
        <v>1.155755001</v>
      </c>
      <c r="E430" t="n">
        <v>1.22075098</v>
      </c>
      <c r="F430" t="n">
        <v>1.572130777</v>
      </c>
      <c r="G430" t="n">
        <v>2.579332698</v>
      </c>
      <c r="H430" t="n">
        <v>3.83175082</v>
      </c>
    </row>
    <row r="431">
      <c r="A431" t="inlineStr">
        <is>
          <t>FRA|mit.gen.tot.2</t>
        </is>
      </c>
      <c r="B431" t="inlineStr">
        <is>
          <t>FRA</t>
        </is>
      </c>
      <c r="C431" t="inlineStr">
        <is>
          <t>mit.gen.tot.2</t>
        </is>
      </c>
      <c r="D431" t="n">
        <v>577.992213</v>
      </c>
      <c r="E431" t="n">
        <v>594.8158347</v>
      </c>
      <c r="F431" t="n">
        <v>689.1299987</v>
      </c>
      <c r="G431" t="n">
        <v>914.7395567</v>
      </c>
      <c r="H431" t="n">
        <v>1098.497384</v>
      </c>
    </row>
    <row r="432">
      <c r="A432" t="inlineStr">
        <is>
          <t>GAB|mit.gen.tot.2</t>
        </is>
      </c>
      <c r="B432" t="inlineStr">
        <is>
          <t>GAB</t>
        </is>
      </c>
      <c r="C432" t="inlineStr">
        <is>
          <t>mit.gen.tot.2</t>
        </is>
      </c>
      <c r="D432" t="n">
        <v>2.601707908</v>
      </c>
      <c r="E432" t="n">
        <v>2.721481779</v>
      </c>
      <c r="F432" t="n">
        <v>3.402636129</v>
      </c>
      <c r="G432" t="n">
        <v>5.166532343</v>
      </c>
      <c r="H432" t="n">
        <v>7.512022793</v>
      </c>
    </row>
    <row r="433">
      <c r="A433" t="inlineStr">
        <is>
          <t>GBR|mit.gen.tot.2</t>
        </is>
      </c>
      <c r="B433" t="inlineStr">
        <is>
          <t>GBR</t>
        </is>
      </c>
      <c r="C433" t="inlineStr">
        <is>
          <t>mit.gen.tot.2</t>
        </is>
      </c>
      <c r="D433" t="n">
        <v>298.6605376</v>
      </c>
      <c r="E433" t="n">
        <v>317.1553403</v>
      </c>
      <c r="F433" t="n">
        <v>411.4498445</v>
      </c>
      <c r="G433" t="n">
        <v>623.1925072</v>
      </c>
      <c r="H433" t="n">
        <v>783.2160593</v>
      </c>
    </row>
    <row r="434">
      <c r="A434" t="inlineStr">
        <is>
          <t>GEO|mit.gen.tot.2</t>
        </is>
      </c>
      <c r="B434" t="inlineStr">
        <is>
          <t>GEO</t>
        </is>
      </c>
      <c r="C434" t="inlineStr">
        <is>
          <t>mit.gen.tot.2</t>
        </is>
      </c>
      <c r="D434" t="n">
        <v>13.53055937</v>
      </c>
      <c r="E434" t="n">
        <v>14.6257313</v>
      </c>
      <c r="F434" t="n">
        <v>19.605872</v>
      </c>
      <c r="G434" t="n">
        <v>32.02796914</v>
      </c>
      <c r="H434" t="n">
        <v>47.17332653</v>
      </c>
    </row>
    <row r="435">
      <c r="A435" t="inlineStr">
        <is>
          <t>GHA|mit.gen.tot.2</t>
        </is>
      </c>
      <c r="B435" t="inlineStr">
        <is>
          <t>GHA</t>
        </is>
      </c>
      <c r="C435" t="inlineStr">
        <is>
          <t>mit.gen.tot.2</t>
        </is>
      </c>
      <c r="D435" t="n">
        <v>19.16835241</v>
      </c>
      <c r="E435" t="n">
        <v>20.39854474</v>
      </c>
      <c r="F435" t="n">
        <v>27.23995987</v>
      </c>
      <c r="G435" t="n">
        <v>48.09535617</v>
      </c>
      <c r="H435" t="n">
        <v>74.14616879</v>
      </c>
    </row>
    <row r="436">
      <c r="A436" t="inlineStr">
        <is>
          <t>GIN|mit.gen.tot.2</t>
        </is>
      </c>
      <c r="B436" t="inlineStr">
        <is>
          <t>GIN</t>
        </is>
      </c>
      <c r="C436" t="inlineStr">
        <is>
          <t>mit.gen.tot.2</t>
        </is>
      </c>
      <c r="D436" t="n">
        <v>3.644107875</v>
      </c>
      <c r="E436" t="n">
        <v>3.997206673</v>
      </c>
      <c r="F436" t="n">
        <v>6.762162061</v>
      </c>
      <c r="G436" t="n">
        <v>15.38484131</v>
      </c>
      <c r="H436" t="n">
        <v>26.68056737</v>
      </c>
    </row>
    <row r="437">
      <c r="A437" t="inlineStr">
        <is>
          <t>GMB|mit.gen.tot.2</t>
        </is>
      </c>
      <c r="B437" t="inlineStr">
        <is>
          <t>GMB</t>
        </is>
      </c>
      <c r="C437" t="inlineStr">
        <is>
          <t>mit.gen.tot.2</t>
        </is>
      </c>
      <c r="D437" t="n">
        <v>0.5111209915</v>
      </c>
      <c r="E437" t="n">
        <v>0.5872743075</v>
      </c>
      <c r="F437" t="n">
        <v>1.027448802</v>
      </c>
      <c r="G437" t="n">
        <v>2.346595443</v>
      </c>
      <c r="H437" t="n">
        <v>4.407280675</v>
      </c>
    </row>
    <row r="438">
      <c r="A438" t="inlineStr">
        <is>
          <t>GNB|mit.gen.tot.2</t>
        </is>
      </c>
      <c r="B438" t="inlineStr">
        <is>
          <t>GNB</t>
        </is>
      </c>
      <c r="C438" t="inlineStr">
        <is>
          <t>mit.gen.tot.2</t>
        </is>
      </c>
      <c r="D438" t="n">
        <v>0.1841117423</v>
      </c>
      <c r="E438" t="n">
        <v>0.2060267629</v>
      </c>
      <c r="F438" t="n">
        <v>0.3351474103</v>
      </c>
      <c r="G438" t="n">
        <v>0.7275469852999999</v>
      </c>
      <c r="H438" t="n">
        <v>1.326310143</v>
      </c>
    </row>
    <row r="439">
      <c r="A439" t="inlineStr">
        <is>
          <t>GNQ|mit.gen.tot.2</t>
        </is>
      </c>
      <c r="B439" t="inlineStr">
        <is>
          <t>GNQ</t>
        </is>
      </c>
      <c r="C439" t="inlineStr">
        <is>
          <t>mit.gen.tot.2</t>
        </is>
      </c>
      <c r="D439" t="n">
        <v>1.439816899</v>
      </c>
      <c r="E439" t="n">
        <v>1.526064209</v>
      </c>
      <c r="F439" t="n">
        <v>2.126845219</v>
      </c>
      <c r="G439" t="n">
        <v>3.809206351</v>
      </c>
      <c r="H439" t="n">
        <v>6.480126274</v>
      </c>
    </row>
    <row r="440">
      <c r="A440" t="inlineStr">
        <is>
          <t>GRC|mit.gen.tot.2</t>
        </is>
      </c>
      <c r="B440" t="inlineStr">
        <is>
          <t>GRC</t>
        </is>
      </c>
      <c r="C440" t="inlineStr">
        <is>
          <t>mit.gen.tot.2</t>
        </is>
      </c>
      <c r="D440" t="n">
        <v>58.78496203</v>
      </c>
      <c r="E440" t="n">
        <v>61.18102017</v>
      </c>
      <c r="F440" t="n">
        <v>74.04858237000001</v>
      </c>
      <c r="G440" t="n">
        <v>103.0818626</v>
      </c>
      <c r="H440" t="n">
        <v>128.5219858</v>
      </c>
    </row>
    <row r="441">
      <c r="A441" t="inlineStr">
        <is>
          <t>GRD|mit.gen.tot.2</t>
        </is>
      </c>
      <c r="B441" t="inlineStr">
        <is>
          <t>GRD</t>
        </is>
      </c>
      <c r="C441" t="inlineStr">
        <is>
          <t>mit.gen.tot.2</t>
        </is>
      </c>
      <c r="D441" t="n">
        <v>0.2411598062</v>
      </c>
      <c r="E441" t="n">
        <v>0.2623488182</v>
      </c>
      <c r="F441" t="n">
        <v>0.373148271</v>
      </c>
      <c r="G441" t="n">
        <v>0.6765996413000001</v>
      </c>
      <c r="H441" t="n">
        <v>1.061329819</v>
      </c>
    </row>
    <row r="442">
      <c r="A442" t="inlineStr">
        <is>
          <t>GTM|mit.gen.tot.2</t>
        </is>
      </c>
      <c r="B442" t="inlineStr">
        <is>
          <t>GTM</t>
        </is>
      </c>
      <c r="C442" t="inlineStr">
        <is>
          <t>mit.gen.tot.2</t>
        </is>
      </c>
      <c r="D442" t="n">
        <v>16.52062896</v>
      </c>
      <c r="E442" t="n">
        <v>17.2733527</v>
      </c>
      <c r="F442" t="n">
        <v>21.84334304</v>
      </c>
      <c r="G442" t="n">
        <v>34.48968093</v>
      </c>
      <c r="H442" t="n">
        <v>48.35242817</v>
      </c>
    </row>
    <row r="443">
      <c r="A443" t="inlineStr">
        <is>
          <t>GUY|mit.gen.tot.2</t>
        </is>
      </c>
      <c r="B443" t="inlineStr">
        <is>
          <t>GUY</t>
        </is>
      </c>
      <c r="C443" t="inlineStr">
        <is>
          <t>mit.gen.tot.2</t>
        </is>
      </c>
      <c r="D443" t="n">
        <v>1.390062567</v>
      </c>
      <c r="E443" t="n">
        <v>1.722947536</v>
      </c>
      <c r="F443" t="n">
        <v>4.030819514</v>
      </c>
      <c r="G443" t="n">
        <v>10.8929629</v>
      </c>
      <c r="H443" t="n">
        <v>17.77981404</v>
      </c>
    </row>
    <row r="444">
      <c r="A444" t="inlineStr">
        <is>
          <t>HKG|mit.gen.tot.2</t>
        </is>
      </c>
      <c r="B444" t="inlineStr">
        <is>
          <t>HKG</t>
        </is>
      </c>
      <c r="C444" t="inlineStr">
        <is>
          <t>mit.gen.tot.2</t>
        </is>
      </c>
      <c r="D444" t="n">
        <v>42.97415973</v>
      </c>
      <c r="E444" t="n">
        <v>44.44709665</v>
      </c>
      <c r="F444" t="n">
        <v>50.54261766</v>
      </c>
      <c r="G444" t="n">
        <v>62.74871833</v>
      </c>
      <c r="H444" t="n">
        <v>72.29513943000001</v>
      </c>
    </row>
    <row r="445">
      <c r="A445" t="inlineStr">
        <is>
          <t>HND|mit.gen.tot.2</t>
        </is>
      </c>
      <c r="B445" t="inlineStr">
        <is>
          <t>HND</t>
        </is>
      </c>
      <c r="C445" t="inlineStr">
        <is>
          <t>mit.gen.tot.2</t>
        </is>
      </c>
      <c r="D445" t="n">
        <v>12.54817333</v>
      </c>
      <c r="E445" t="n">
        <v>13.10806262</v>
      </c>
      <c r="F445" t="n">
        <v>16.45597185</v>
      </c>
      <c r="G445" t="n">
        <v>27.12667759</v>
      </c>
      <c r="H445" t="n">
        <v>41.39884659</v>
      </c>
    </row>
    <row r="446">
      <c r="A446" t="inlineStr">
        <is>
          <t>HRV|mit.gen.tot.2</t>
        </is>
      </c>
      <c r="B446" t="inlineStr">
        <is>
          <t>HRV</t>
        </is>
      </c>
      <c r="C446" t="inlineStr">
        <is>
          <t>mit.gen.tot.2</t>
        </is>
      </c>
      <c r="D446" t="n">
        <v>18.57850753</v>
      </c>
      <c r="E446" t="n">
        <v>19.52231011</v>
      </c>
      <c r="F446" t="n">
        <v>24.3570261</v>
      </c>
      <c r="G446" t="n">
        <v>34.45524474</v>
      </c>
      <c r="H446" t="n">
        <v>42.01956433</v>
      </c>
    </row>
    <row r="447">
      <c r="A447" t="inlineStr">
        <is>
          <t>HTI|mit.gen.tot.2</t>
        </is>
      </c>
      <c r="B447" t="inlineStr">
        <is>
          <t>HTI</t>
        </is>
      </c>
      <c r="C447" t="inlineStr">
        <is>
          <t>mit.gen.tot.2</t>
        </is>
      </c>
      <c r="D447" t="n">
        <v>0.875654862</v>
      </c>
      <c r="E447" t="n">
        <v>0.9462414308</v>
      </c>
      <c r="F447" t="n">
        <v>1.422082974</v>
      </c>
      <c r="G447" t="n">
        <v>3.111080212</v>
      </c>
      <c r="H447" t="n">
        <v>5.793242718</v>
      </c>
    </row>
    <row r="448">
      <c r="A448" t="inlineStr">
        <is>
          <t>HUN|mit.gen.tot.2</t>
        </is>
      </c>
      <c r="B448" t="inlineStr">
        <is>
          <t>HUN</t>
        </is>
      </c>
      <c r="C448" t="inlineStr">
        <is>
          <t>mit.gen.tot.2</t>
        </is>
      </c>
      <c r="D448" t="n">
        <v>40.36695659</v>
      </c>
      <c r="E448" t="n">
        <v>41.9157684</v>
      </c>
      <c r="F448" t="n">
        <v>52.44635482</v>
      </c>
      <c r="G448" t="n">
        <v>75.93011577</v>
      </c>
      <c r="H448" t="n">
        <v>98.34890541</v>
      </c>
    </row>
    <row r="449">
      <c r="A449" t="inlineStr">
        <is>
          <t>IDN|mit.gen.tot.2</t>
        </is>
      </c>
      <c r="B449" t="inlineStr">
        <is>
          <t>IDN</t>
        </is>
      </c>
      <c r="C449" t="inlineStr">
        <is>
          <t>mit.gen.tot.2</t>
        </is>
      </c>
      <c r="D449" t="n">
        <v>373.0598311</v>
      </c>
      <c r="E449" t="n">
        <v>401.8577138</v>
      </c>
      <c r="F449" t="n">
        <v>572.4453942</v>
      </c>
      <c r="G449" t="n">
        <v>1049.604995</v>
      </c>
      <c r="H449" t="n">
        <v>1681.129435</v>
      </c>
    </row>
    <row r="450">
      <c r="A450" t="inlineStr">
        <is>
          <t>IND|mit.gen.tot.2</t>
        </is>
      </c>
      <c r="B450" t="inlineStr">
        <is>
          <t>IND</t>
        </is>
      </c>
      <c r="C450" t="inlineStr">
        <is>
          <t>mit.gen.tot.2</t>
        </is>
      </c>
      <c r="D450" t="n">
        <v>2085.905863</v>
      </c>
      <c r="E450" t="n">
        <v>2272.155495</v>
      </c>
      <c r="F450" t="n">
        <v>3255.265988</v>
      </c>
      <c r="G450" t="n">
        <v>5716.355411</v>
      </c>
      <c r="H450" t="n">
        <v>8752.02541</v>
      </c>
    </row>
    <row r="451">
      <c r="A451" t="inlineStr">
        <is>
          <t>IRL|mit.gen.tot.2</t>
        </is>
      </c>
      <c r="B451" t="inlineStr">
        <is>
          <t>IRL</t>
        </is>
      </c>
      <c r="C451" t="inlineStr">
        <is>
          <t>mit.gen.tot.2</t>
        </is>
      </c>
      <c r="D451" t="n">
        <v>32.00595226</v>
      </c>
      <c r="E451" t="n">
        <v>36.16461375</v>
      </c>
      <c r="F451" t="n">
        <v>45.84765109</v>
      </c>
      <c r="G451" t="n">
        <v>66.3796444</v>
      </c>
      <c r="H451" t="n">
        <v>81.20684876999999</v>
      </c>
    </row>
    <row r="452">
      <c r="A452" t="inlineStr">
        <is>
          <t>IRN|mit.gen.tot.2</t>
        </is>
      </c>
      <c r="B452" t="inlineStr">
        <is>
          <t>IRN</t>
        </is>
      </c>
      <c r="C452" t="inlineStr">
        <is>
          <t>mit.gen.tot.2</t>
        </is>
      </c>
      <c r="D452" t="n">
        <v>399.7704371</v>
      </c>
      <c r="E452" t="n">
        <v>422.5868871</v>
      </c>
      <c r="F452" t="n">
        <v>465.2307389</v>
      </c>
      <c r="G452" t="n">
        <v>689.8417477</v>
      </c>
      <c r="H452" t="n">
        <v>1067.888842</v>
      </c>
    </row>
    <row r="453">
      <c r="A453" t="inlineStr">
        <is>
          <t>IRQ|mit.gen.tot.2</t>
        </is>
      </c>
      <c r="B453" t="inlineStr">
        <is>
          <t>IRQ</t>
        </is>
      </c>
      <c r="C453" t="inlineStr">
        <is>
          <t>mit.gen.tot.2</t>
        </is>
      </c>
      <c r="D453" t="n">
        <v>84.83806957</v>
      </c>
      <c r="E453" t="n">
        <v>88.03231538999999</v>
      </c>
      <c r="F453" t="n">
        <v>86.97625875</v>
      </c>
      <c r="G453" t="n">
        <v>122.8338642</v>
      </c>
      <c r="H453" t="n">
        <v>188.5355919</v>
      </c>
    </row>
    <row r="454">
      <c r="A454" t="inlineStr">
        <is>
          <t>ISL|mit.gen.tot.2</t>
        </is>
      </c>
      <c r="B454" t="inlineStr">
        <is>
          <t>ISL</t>
        </is>
      </c>
      <c r="C454" t="inlineStr">
        <is>
          <t>mit.gen.tot.2</t>
        </is>
      </c>
      <c r="D454" t="n">
        <v>19.09208053</v>
      </c>
      <c r="E454" t="n">
        <v>19.24763945</v>
      </c>
      <c r="F454" t="n">
        <v>20.55001807</v>
      </c>
      <c r="G454" t="n">
        <v>23.10230687</v>
      </c>
      <c r="H454" t="n">
        <v>25.4325257</v>
      </c>
    </row>
    <row r="455">
      <c r="A455" t="inlineStr">
        <is>
          <t>ISR|mit.gen.tot.2</t>
        </is>
      </c>
      <c r="B455" t="inlineStr">
        <is>
          <t>ISR</t>
        </is>
      </c>
      <c r="C455" t="inlineStr">
        <is>
          <t>mit.gen.tot.2</t>
        </is>
      </c>
      <c r="D455" t="n">
        <v>83.16635793</v>
      </c>
      <c r="E455" t="n">
        <v>85.70556126</v>
      </c>
      <c r="F455" t="n">
        <v>102.11039</v>
      </c>
      <c r="G455" t="n">
        <v>133.7135373</v>
      </c>
      <c r="H455" t="n">
        <v>156.112938</v>
      </c>
    </row>
    <row r="456">
      <c r="A456" t="inlineStr">
        <is>
          <t>ITA|mit.gen.tot.2</t>
        </is>
      </c>
      <c r="B456" t="inlineStr">
        <is>
          <t>ITA</t>
        </is>
      </c>
      <c r="C456" t="inlineStr">
        <is>
          <t>mit.gen.tot.2</t>
        </is>
      </c>
      <c r="D456" t="n">
        <v>269.5696217</v>
      </c>
      <c r="E456" t="n">
        <v>281.4474787</v>
      </c>
      <c r="F456" t="n">
        <v>346.7738116</v>
      </c>
      <c r="G456" t="n">
        <v>498.8558233</v>
      </c>
      <c r="H456" t="n">
        <v>621.9428555</v>
      </c>
    </row>
    <row r="457">
      <c r="A457" t="inlineStr">
        <is>
          <t>JAM|mit.gen.tot.2</t>
        </is>
      </c>
      <c r="B457" t="inlineStr">
        <is>
          <t>JAM</t>
        </is>
      </c>
      <c r="C457" t="inlineStr">
        <is>
          <t>mit.gen.tot.2</t>
        </is>
      </c>
      <c r="D457" t="n">
        <v>4.951835761</v>
      </c>
      <c r="E457" t="n">
        <v>5.207583534</v>
      </c>
      <c r="F457" t="n">
        <v>6.490168055</v>
      </c>
      <c r="G457" t="n">
        <v>10.84600112</v>
      </c>
      <c r="H457" t="n">
        <v>17.05504297</v>
      </c>
    </row>
    <row r="458">
      <c r="A458" t="inlineStr">
        <is>
          <t>JOR|mit.gen.tot.2</t>
        </is>
      </c>
      <c r="B458" t="inlineStr">
        <is>
          <t>JOR</t>
        </is>
      </c>
      <c r="C458" t="inlineStr">
        <is>
          <t>mit.gen.tot.2</t>
        </is>
      </c>
      <c r="D458" t="n">
        <v>23.75742439</v>
      </c>
      <c r="E458" t="n">
        <v>24.48583869</v>
      </c>
      <c r="F458" t="n">
        <v>29.02219166</v>
      </c>
      <c r="G458" t="n">
        <v>41.96368847</v>
      </c>
      <c r="H458" t="n">
        <v>57.20192103</v>
      </c>
    </row>
    <row r="459">
      <c r="A459" t="inlineStr">
        <is>
          <t>JPN|mit.gen.tot.2</t>
        </is>
      </c>
      <c r="B459" t="inlineStr">
        <is>
          <t>JPN</t>
        </is>
      </c>
      <c r="C459" t="inlineStr">
        <is>
          <t>mit.gen.tot.2</t>
        </is>
      </c>
      <c r="D459" t="n">
        <v>1038.51757</v>
      </c>
      <c r="E459" t="n">
        <v>1073.861368</v>
      </c>
      <c r="F459" t="n">
        <v>1246.896562</v>
      </c>
      <c r="G459" t="n">
        <v>1663.048976</v>
      </c>
      <c r="H459" t="n">
        <v>2072.251139</v>
      </c>
    </row>
    <row r="460">
      <c r="A460" t="inlineStr">
        <is>
          <t>KAZ|mit.gen.tot.2</t>
        </is>
      </c>
      <c r="B460" t="inlineStr">
        <is>
          <t>KAZ</t>
        </is>
      </c>
      <c r="C460" t="inlineStr">
        <is>
          <t>mit.gen.tot.2</t>
        </is>
      </c>
      <c r="D460" t="n">
        <v>121.3484896</v>
      </c>
      <c r="E460" t="n">
        <v>135.7174439</v>
      </c>
      <c r="F460" t="n">
        <v>206.9895225</v>
      </c>
      <c r="G460" t="n">
        <v>378.8065779</v>
      </c>
      <c r="H460" t="n">
        <v>578.8663294</v>
      </c>
    </row>
    <row r="461">
      <c r="A461" t="inlineStr">
        <is>
          <t>KEN|mit.gen.tot.2</t>
        </is>
      </c>
      <c r="B461" t="inlineStr">
        <is>
          <t>KEN</t>
        </is>
      </c>
      <c r="C461" t="inlineStr">
        <is>
          <t>mit.gen.tot.2</t>
        </is>
      </c>
      <c r="D461" t="n">
        <v>14.14181389</v>
      </c>
      <c r="E461" t="n">
        <v>15.1137215</v>
      </c>
      <c r="F461" t="n">
        <v>20.97953499</v>
      </c>
      <c r="G461" t="n">
        <v>38.5382637</v>
      </c>
      <c r="H461" t="n">
        <v>60.99871008</v>
      </c>
    </row>
    <row r="462">
      <c r="A462" t="inlineStr">
        <is>
          <t>KGZ|mit.gen.tot.2</t>
        </is>
      </c>
      <c r="B462" t="inlineStr">
        <is>
          <t>KGZ</t>
        </is>
      </c>
      <c r="C462" t="inlineStr">
        <is>
          <t>mit.gen.tot.2</t>
        </is>
      </c>
      <c r="D462" t="n">
        <v>15.78728786</v>
      </c>
      <c r="E462" t="n">
        <v>17.40732461</v>
      </c>
      <c r="F462" t="n">
        <v>23.21546884</v>
      </c>
      <c r="G462" t="n">
        <v>37.08174889</v>
      </c>
      <c r="H462" t="n">
        <v>54.06643339</v>
      </c>
    </row>
    <row r="463">
      <c r="A463" t="inlineStr">
        <is>
          <t>KHM|mit.gen.tot.2</t>
        </is>
      </c>
      <c r="B463" t="inlineStr">
        <is>
          <t>KHM</t>
        </is>
      </c>
      <c r="C463" t="inlineStr">
        <is>
          <t>mit.gen.tot.2</t>
        </is>
      </c>
      <c r="D463" t="n">
        <v>17.84071197</v>
      </c>
      <c r="E463" t="n">
        <v>18.82727323</v>
      </c>
      <c r="F463" t="n">
        <v>24.05213915</v>
      </c>
      <c r="G463" t="n">
        <v>39.30330009</v>
      </c>
      <c r="H463" t="n">
        <v>58.82131933</v>
      </c>
    </row>
    <row r="464">
      <c r="A464" t="inlineStr">
        <is>
          <t>KNA|mit.gen.tot.2</t>
        </is>
      </c>
      <c r="B464" t="inlineStr">
        <is>
          <t>KNA</t>
        </is>
      </c>
      <c r="C464" t="inlineStr">
        <is>
          <t>mit.gen.tot.2</t>
        </is>
      </c>
      <c r="D464" t="n">
        <v>0.2321059985</v>
      </c>
      <c r="E464" t="n">
        <v>0.2554693361</v>
      </c>
      <c r="F464" t="n">
        <v>0.3965527231</v>
      </c>
      <c r="G464" t="n">
        <v>0.7443904647</v>
      </c>
      <c r="H464" t="n">
        <v>1.101737326</v>
      </c>
    </row>
    <row r="465">
      <c r="A465" t="inlineStr">
        <is>
          <t>KOR|mit.gen.tot.2</t>
        </is>
      </c>
      <c r="B465" t="inlineStr">
        <is>
          <t>KOR</t>
        </is>
      </c>
      <c r="C465" t="inlineStr">
        <is>
          <t>mit.gen.tot.2</t>
        </is>
      </c>
      <c r="D465" t="n">
        <v>630.5385647000001</v>
      </c>
      <c r="E465" t="n">
        <v>650.279615</v>
      </c>
      <c r="F465" t="n">
        <v>780.6986296</v>
      </c>
      <c r="G465" t="n">
        <v>1062.221428</v>
      </c>
      <c r="H465" t="n">
        <v>1308.663349</v>
      </c>
    </row>
    <row r="466">
      <c r="A466" t="inlineStr">
        <is>
          <t>KWT|mit.gen.tot.2</t>
        </is>
      </c>
      <c r="B466" t="inlineStr">
        <is>
          <t>KWT</t>
        </is>
      </c>
      <c r="C466" t="inlineStr">
        <is>
          <t>mit.gen.tot.2</t>
        </is>
      </c>
      <c r="D466" t="n">
        <v>89.43463303</v>
      </c>
      <c r="E466" t="n">
        <v>95.02820302000001</v>
      </c>
      <c r="F466" t="n">
        <v>109.8004993</v>
      </c>
      <c r="G466" t="n">
        <v>150.8165236</v>
      </c>
      <c r="H466" t="n">
        <v>199.8578027</v>
      </c>
    </row>
    <row r="467">
      <c r="A467" t="inlineStr">
        <is>
          <t>LAO|mit.gen.tot.2</t>
        </is>
      </c>
      <c r="B467" t="inlineStr">
        <is>
          <t>LAO</t>
        </is>
      </c>
      <c r="C467" t="inlineStr">
        <is>
          <t>mit.gen.tot.2</t>
        </is>
      </c>
      <c r="D467" t="n">
        <v>14.8278232</v>
      </c>
      <c r="E467" t="n">
        <v>15.38707332</v>
      </c>
      <c r="F467" t="n">
        <v>18.13994008</v>
      </c>
      <c r="G467" t="n">
        <v>25.59914058</v>
      </c>
      <c r="H467" t="n">
        <v>35.02049563</v>
      </c>
    </row>
    <row r="468">
      <c r="A468" t="inlineStr">
        <is>
          <t>LBN|mit.gen.tot.2</t>
        </is>
      </c>
      <c r="B468" t="inlineStr">
        <is>
          <t>LBN</t>
        </is>
      </c>
      <c r="C468" t="inlineStr">
        <is>
          <t>mit.gen.tot.2</t>
        </is>
      </c>
      <c r="D468" t="n">
        <v>20.0085266</v>
      </c>
      <c r="E468" t="n">
        <v>21.45266115</v>
      </c>
      <c r="F468" t="n">
        <v>29.00949502</v>
      </c>
      <c r="G468" t="n">
        <v>49.58751817</v>
      </c>
      <c r="H468" t="n">
        <v>75.66789242</v>
      </c>
    </row>
    <row r="469">
      <c r="A469" t="inlineStr">
        <is>
          <t>LBR|mit.gen.tot.2</t>
        </is>
      </c>
      <c r="B469" t="inlineStr">
        <is>
          <t>LBR</t>
        </is>
      </c>
      <c r="C469" t="inlineStr">
        <is>
          <t>mit.gen.tot.2</t>
        </is>
      </c>
      <c r="D469" t="n">
        <v>0.5341592108</v>
      </c>
      <c r="E469" t="n">
        <v>0.5803449985</v>
      </c>
      <c r="F469" t="n">
        <v>0.8836844181</v>
      </c>
      <c r="G469" t="n">
        <v>1.867035443</v>
      </c>
      <c r="H469" t="n">
        <v>3.25542764</v>
      </c>
    </row>
    <row r="470">
      <c r="A470" t="inlineStr">
        <is>
          <t>LBY|mit.gen.tot.2</t>
        </is>
      </c>
      <c r="B470" t="inlineStr">
        <is>
          <t>LBY</t>
        </is>
      </c>
      <c r="C470" t="inlineStr">
        <is>
          <t>mit.gen.tot.2</t>
        </is>
      </c>
      <c r="D470" t="n">
        <v>36.53801226</v>
      </c>
      <c r="E470" t="n">
        <v>42.3178207</v>
      </c>
      <c r="F470" t="n">
        <v>62.40405887</v>
      </c>
      <c r="G470" t="n">
        <v>112.6001058</v>
      </c>
      <c r="H470" t="n">
        <v>167.9395233</v>
      </c>
    </row>
    <row r="471">
      <c r="A471" t="inlineStr">
        <is>
          <t>LCA|mit.gen.tot.2</t>
        </is>
      </c>
      <c r="B471" t="inlineStr">
        <is>
          <t>LCA</t>
        </is>
      </c>
      <c r="C471" t="inlineStr">
        <is>
          <t>mit.gen.tot.2</t>
        </is>
      </c>
      <c r="D471" t="n">
        <v>0.402204747</v>
      </c>
      <c r="E471" t="n">
        <v>0.4224800189</v>
      </c>
      <c r="F471" t="n">
        <v>0.5511069161</v>
      </c>
      <c r="G471" t="n">
        <v>0.928839708</v>
      </c>
      <c r="H471" t="n">
        <v>1.411908373</v>
      </c>
    </row>
    <row r="472">
      <c r="A472" t="inlineStr">
        <is>
          <t>LKA|mit.gen.tot.2</t>
        </is>
      </c>
      <c r="B472" t="inlineStr">
        <is>
          <t>LKA</t>
        </is>
      </c>
      <c r="C472" t="inlineStr">
        <is>
          <t>mit.gen.tot.2</t>
        </is>
      </c>
      <c r="D472" t="n">
        <v>17.29008668</v>
      </c>
      <c r="E472" t="n">
        <v>17.92014961</v>
      </c>
      <c r="F472" t="n">
        <v>22.18189688</v>
      </c>
      <c r="G472" t="n">
        <v>36.49354769</v>
      </c>
      <c r="H472" t="n">
        <v>55.05002163</v>
      </c>
    </row>
    <row r="473">
      <c r="A473" t="inlineStr">
        <is>
          <t>LSO|mit.gen.tot.2</t>
        </is>
      </c>
      <c r="B473" t="inlineStr">
        <is>
          <t>LSO</t>
        </is>
      </c>
      <c r="C473" t="inlineStr">
        <is>
          <t>mit.gen.tot.2</t>
        </is>
      </c>
      <c r="D473" t="n">
        <v>0.8808352021</v>
      </c>
      <c r="E473" t="n">
        <v>1.055609841</v>
      </c>
      <c r="F473" t="n">
        <v>1.982127775</v>
      </c>
      <c r="G473" t="n">
        <v>4.400049158</v>
      </c>
      <c r="H473" t="n">
        <v>7.683915661</v>
      </c>
    </row>
    <row r="474">
      <c r="A474" t="inlineStr">
        <is>
          <t>LTU|mit.gen.tot.2</t>
        </is>
      </c>
      <c r="B474" t="inlineStr">
        <is>
          <t>LTU</t>
        </is>
      </c>
      <c r="C474" t="inlineStr">
        <is>
          <t>mit.gen.tot.2</t>
        </is>
      </c>
      <c r="D474" t="n">
        <v>9.144148889</v>
      </c>
      <c r="E474" t="n">
        <v>9.762927261</v>
      </c>
      <c r="F474" t="n">
        <v>13.36558338</v>
      </c>
      <c r="G474" t="n">
        <v>21.26229622</v>
      </c>
      <c r="H474" t="n">
        <v>27.15281899</v>
      </c>
    </row>
    <row r="475">
      <c r="A475" t="inlineStr">
        <is>
          <t>LUX|mit.gen.tot.2</t>
        </is>
      </c>
      <c r="B475" t="inlineStr">
        <is>
          <t>LUX</t>
        </is>
      </c>
      <c r="C475" t="inlineStr">
        <is>
          <t>mit.gen.tot.2</t>
        </is>
      </c>
      <c r="D475" t="n">
        <v>5.452434087</v>
      </c>
      <c r="E475" t="n">
        <v>5.673001742</v>
      </c>
      <c r="F475" t="n">
        <v>7.26246433</v>
      </c>
      <c r="G475" t="n">
        <v>11.02342696</v>
      </c>
      <c r="H475" t="n">
        <v>13.75531167</v>
      </c>
    </row>
    <row r="476">
      <c r="A476" t="inlineStr">
        <is>
          <t>LVA|mit.gen.tot.2</t>
        </is>
      </c>
      <c r="B476" t="inlineStr">
        <is>
          <t>LVA</t>
        </is>
      </c>
      <c r="C476" t="inlineStr">
        <is>
          <t>mit.gen.tot.2</t>
        </is>
      </c>
      <c r="D476" t="n">
        <v>6.45704537</v>
      </c>
      <c r="E476" t="n">
        <v>6.78020414</v>
      </c>
      <c r="F476" t="n">
        <v>8.675750257000001</v>
      </c>
      <c r="G476" t="n">
        <v>12.90742919</v>
      </c>
      <c r="H476" t="n">
        <v>16.15999486</v>
      </c>
    </row>
    <row r="477">
      <c r="A477" t="inlineStr">
        <is>
          <t>MAC|mit.gen.tot.2</t>
        </is>
      </c>
      <c r="B477" t="inlineStr">
        <is>
          <t>MAC</t>
        </is>
      </c>
      <c r="C477" t="inlineStr">
        <is>
          <t>mit.gen.tot.2</t>
        </is>
      </c>
      <c r="D477" t="n">
        <v>6.27108561</v>
      </c>
      <c r="E477" t="n">
        <v>6.504408852</v>
      </c>
      <c r="F477" t="n">
        <v>7.279002271</v>
      </c>
      <c r="G477" t="n">
        <v>8.578087668</v>
      </c>
      <c r="H477" t="n">
        <v>9.563750431000001</v>
      </c>
    </row>
    <row r="478">
      <c r="A478" t="inlineStr">
        <is>
          <t>MAR|mit.gen.tot.2</t>
        </is>
      </c>
      <c r="B478" t="inlineStr">
        <is>
          <t>MAR</t>
        </is>
      </c>
      <c r="C478" t="inlineStr">
        <is>
          <t>mit.gen.tot.2</t>
        </is>
      </c>
      <c r="D478" t="n">
        <v>44.34730592</v>
      </c>
      <c r="E478" t="n">
        <v>47.11059358</v>
      </c>
      <c r="F478" t="n">
        <v>63.78072102</v>
      </c>
      <c r="G478" t="n">
        <v>110.2311249</v>
      </c>
      <c r="H478" t="n">
        <v>169.2687716</v>
      </c>
    </row>
    <row r="479">
      <c r="A479" t="inlineStr">
        <is>
          <t>MDA|mit.gen.tot.2</t>
        </is>
      </c>
      <c r="B479" t="inlineStr">
        <is>
          <t>MDA</t>
        </is>
      </c>
      <c r="C479" t="inlineStr">
        <is>
          <t>mit.gen.tot.2</t>
        </is>
      </c>
      <c r="D479" t="n">
        <v>4.256685918</v>
      </c>
      <c r="E479" t="n">
        <v>4.566229167</v>
      </c>
      <c r="F479" t="n">
        <v>6.244717213</v>
      </c>
      <c r="G479" t="n">
        <v>11.15803664</v>
      </c>
      <c r="H479" t="n">
        <v>18.09622445</v>
      </c>
    </row>
    <row r="480">
      <c r="A480" t="inlineStr">
        <is>
          <t>MDG|mit.gen.tot.2</t>
        </is>
      </c>
      <c r="B480" t="inlineStr">
        <is>
          <t>MDG</t>
        </is>
      </c>
      <c r="C480" t="inlineStr">
        <is>
          <t>mit.gen.tot.2</t>
        </is>
      </c>
      <c r="D480" t="n">
        <v>2.805997252</v>
      </c>
      <c r="E480" t="n">
        <v>2.926536661</v>
      </c>
      <c r="F480" t="n">
        <v>3.792611625</v>
      </c>
      <c r="G480" t="n">
        <v>6.533447537</v>
      </c>
      <c r="H480" t="n">
        <v>10.36714459</v>
      </c>
    </row>
    <row r="481">
      <c r="A481" t="inlineStr">
        <is>
          <t>MDV|mit.gen.tot.2</t>
        </is>
      </c>
      <c r="B481" t="inlineStr">
        <is>
          <t>MDV</t>
        </is>
      </c>
      <c r="C481" t="inlineStr">
        <is>
          <t>mit.gen.tot.2</t>
        </is>
      </c>
      <c r="D481" t="n">
        <v>1.544189958</v>
      </c>
      <c r="E481" t="n">
        <v>1.664404014</v>
      </c>
      <c r="F481" t="n">
        <v>2.24999341</v>
      </c>
      <c r="G481" t="n">
        <v>3.902750393</v>
      </c>
      <c r="H481" t="n">
        <v>5.931653646</v>
      </c>
    </row>
    <row r="482">
      <c r="A482" t="inlineStr">
        <is>
          <t>MEX|mit.gen.tot.2</t>
        </is>
      </c>
      <c r="B482" t="inlineStr">
        <is>
          <t>MEX</t>
        </is>
      </c>
      <c r="C482" t="inlineStr">
        <is>
          <t>mit.gen.tot.2</t>
        </is>
      </c>
      <c r="D482" t="n">
        <v>358.2669979</v>
      </c>
      <c r="E482" t="n">
        <v>370.8432473</v>
      </c>
      <c r="F482" t="n">
        <v>462.9513847</v>
      </c>
      <c r="G482" t="n">
        <v>733.1738283</v>
      </c>
      <c r="H482" t="n">
        <v>1090.138168</v>
      </c>
    </row>
    <row r="483">
      <c r="A483" t="inlineStr">
        <is>
          <t>MKD|mit.gen.tot.2</t>
        </is>
      </c>
      <c r="B483" t="inlineStr">
        <is>
          <t>MKD</t>
        </is>
      </c>
      <c r="C483" t="inlineStr">
        <is>
          <t>mit.gen.tot.2</t>
        </is>
      </c>
      <c r="D483" t="n">
        <v>7.307765039</v>
      </c>
      <c r="E483" t="n">
        <v>7.59686174</v>
      </c>
      <c r="F483" t="n">
        <v>9.184986414000001</v>
      </c>
      <c r="G483" t="n">
        <v>13.47985082</v>
      </c>
      <c r="H483" t="n">
        <v>18.55618495</v>
      </c>
    </row>
    <row r="484">
      <c r="A484" t="inlineStr">
        <is>
          <t>MLI|mit.gen.tot.2</t>
        </is>
      </c>
      <c r="B484" t="inlineStr">
        <is>
          <t>MLI</t>
        </is>
      </c>
      <c r="C484" t="inlineStr">
        <is>
          <t>mit.gen.tot.2</t>
        </is>
      </c>
      <c r="D484" t="n">
        <v>5.633294516</v>
      </c>
      <c r="E484" t="n">
        <v>6.086096989</v>
      </c>
      <c r="F484" t="n">
        <v>9.291603861</v>
      </c>
      <c r="G484" t="n">
        <v>19.70203252</v>
      </c>
      <c r="H484" t="n">
        <v>33.86816894</v>
      </c>
    </row>
    <row r="485">
      <c r="A485" t="inlineStr">
        <is>
          <t>MLT|mit.gen.tot.2</t>
        </is>
      </c>
      <c r="B485" t="inlineStr">
        <is>
          <t>MLT</t>
        </is>
      </c>
      <c r="C485" t="inlineStr">
        <is>
          <t>mit.gen.tot.2</t>
        </is>
      </c>
      <c r="D485" t="n">
        <v>3.00338918</v>
      </c>
      <c r="E485" t="n">
        <v>3.110061557</v>
      </c>
      <c r="F485" t="n">
        <v>3.661884878</v>
      </c>
      <c r="G485" t="n">
        <v>4.664468545</v>
      </c>
      <c r="H485" t="n">
        <v>5.336878417</v>
      </c>
    </row>
    <row r="486">
      <c r="A486" t="inlineStr">
        <is>
          <t>MMR|mit.gen.tot.2</t>
        </is>
      </c>
      <c r="B486" t="inlineStr">
        <is>
          <t>MMR</t>
        </is>
      </c>
      <c r="C486" t="inlineStr">
        <is>
          <t>mit.gen.tot.2</t>
        </is>
      </c>
      <c r="D486" t="n">
        <v>21.75639235</v>
      </c>
      <c r="E486" t="n">
        <v>22.28071666</v>
      </c>
      <c r="F486" t="n">
        <v>30.23727043</v>
      </c>
      <c r="G486" t="n">
        <v>53.65282997</v>
      </c>
      <c r="H486" t="n">
        <v>88.62716485999999</v>
      </c>
    </row>
    <row r="487">
      <c r="A487" t="inlineStr">
        <is>
          <t>MNE|mit.gen.tot.2</t>
        </is>
      </c>
      <c r="B487" t="inlineStr">
        <is>
          <t>MNE</t>
        </is>
      </c>
      <c r="C487" t="inlineStr">
        <is>
          <t>mit.gen.tot.2</t>
        </is>
      </c>
      <c r="D487" t="n">
        <v>3.259417687</v>
      </c>
      <c r="E487" t="n">
        <v>3.334811774</v>
      </c>
      <c r="F487" t="n">
        <v>3.802172361</v>
      </c>
      <c r="G487" t="n">
        <v>5.098803956</v>
      </c>
      <c r="H487" t="n">
        <v>6.62559348</v>
      </c>
    </row>
    <row r="488">
      <c r="A488" t="inlineStr">
        <is>
          <t>MNG|mit.gen.tot.2</t>
        </is>
      </c>
      <c r="B488" t="inlineStr">
        <is>
          <t>MNG</t>
        </is>
      </c>
      <c r="C488" t="inlineStr">
        <is>
          <t>mit.gen.tot.2</t>
        </is>
      </c>
      <c r="D488" t="n">
        <v>9.946427559</v>
      </c>
      <c r="E488" t="n">
        <v>10.70105207</v>
      </c>
      <c r="F488" t="n">
        <v>14.39417626</v>
      </c>
      <c r="G488" t="n">
        <v>23.98121849</v>
      </c>
      <c r="H488" t="n">
        <v>36.05485452</v>
      </c>
    </row>
    <row r="489">
      <c r="A489" t="inlineStr">
        <is>
          <t>MOZ|mit.gen.tot.2</t>
        </is>
      </c>
      <c r="B489" t="inlineStr">
        <is>
          <t>MOZ</t>
        </is>
      </c>
      <c r="C489" t="inlineStr">
        <is>
          <t>mit.gen.tot.2</t>
        </is>
      </c>
      <c r="D489" t="n">
        <v>18.48422247</v>
      </c>
      <c r="E489" t="n">
        <v>18.49196423</v>
      </c>
      <c r="F489" t="n">
        <v>20.0840379</v>
      </c>
      <c r="G489" t="n">
        <v>28.77434665</v>
      </c>
      <c r="H489" t="n">
        <v>43.06485328</v>
      </c>
    </row>
    <row r="490">
      <c r="A490" t="inlineStr">
        <is>
          <t>MRT|mit.gen.tot.2</t>
        </is>
      </c>
      <c r="B490" t="inlineStr">
        <is>
          <t>MRT</t>
        </is>
      </c>
      <c r="C490" t="inlineStr">
        <is>
          <t>mit.gen.tot.2</t>
        </is>
      </c>
      <c r="D490" t="n">
        <v>2.090964058</v>
      </c>
      <c r="E490" t="n">
        <v>2.315497954</v>
      </c>
      <c r="F490" t="n">
        <v>3.762200198</v>
      </c>
      <c r="G490" t="n">
        <v>8.195506794</v>
      </c>
      <c r="H490" t="n">
        <v>14.26933586</v>
      </c>
    </row>
    <row r="491">
      <c r="A491" t="inlineStr">
        <is>
          <t>MUS|mit.gen.tot.2</t>
        </is>
      </c>
      <c r="B491" t="inlineStr">
        <is>
          <t>MUS</t>
        </is>
      </c>
      <c r="C491" t="inlineStr">
        <is>
          <t>mit.gen.tot.2</t>
        </is>
      </c>
      <c r="D491" t="n">
        <v>3.419969101</v>
      </c>
      <c r="E491" t="n">
        <v>3.531728744</v>
      </c>
      <c r="F491" t="n">
        <v>4.235579971</v>
      </c>
      <c r="G491" t="n">
        <v>6.078161457</v>
      </c>
      <c r="H491" t="n">
        <v>8.191782952000001</v>
      </c>
    </row>
    <row r="492">
      <c r="A492" t="inlineStr">
        <is>
          <t>MWI|mit.gen.tot.2</t>
        </is>
      </c>
      <c r="B492" t="inlineStr">
        <is>
          <t>MWI</t>
        </is>
      </c>
      <c r="C492" t="inlineStr">
        <is>
          <t>mit.gen.tot.2</t>
        </is>
      </c>
      <c r="D492" t="n">
        <v>1.936805928</v>
      </c>
      <c r="E492" t="n">
        <v>1.985701589</v>
      </c>
      <c r="F492" t="n">
        <v>2.350262773</v>
      </c>
      <c r="G492" t="n">
        <v>3.743653161</v>
      </c>
      <c r="H492" t="n">
        <v>5.752376863</v>
      </c>
    </row>
    <row r="493">
      <c r="A493" t="inlineStr">
        <is>
          <t>MYS|mit.gen.tot.2</t>
        </is>
      </c>
      <c r="B493" t="inlineStr">
        <is>
          <t>MYS</t>
        </is>
      </c>
      <c r="C493" t="inlineStr">
        <is>
          <t>mit.gen.tot.2</t>
        </is>
      </c>
      <c r="D493" t="n">
        <v>201.5810081</v>
      </c>
      <c r="E493" t="n">
        <v>213.9489719</v>
      </c>
      <c r="F493" t="n">
        <v>281.7386633</v>
      </c>
      <c r="G493" t="n">
        <v>449.5226164</v>
      </c>
      <c r="H493" t="n">
        <v>645.6067544</v>
      </c>
    </row>
    <row r="494">
      <c r="A494" t="inlineStr">
        <is>
          <t>NAM|mit.gen.tot.2</t>
        </is>
      </c>
      <c r="B494" t="inlineStr">
        <is>
          <t>NAM</t>
        </is>
      </c>
      <c r="C494" t="inlineStr">
        <is>
          <t>mit.gen.tot.2</t>
        </is>
      </c>
      <c r="D494" t="n">
        <v>3.918149055</v>
      </c>
      <c r="E494" t="n">
        <v>4.058836412</v>
      </c>
      <c r="F494" t="n">
        <v>4.932206765</v>
      </c>
      <c r="G494" t="n">
        <v>7.544413576</v>
      </c>
      <c r="H494" t="n">
        <v>10.74873723</v>
      </c>
    </row>
    <row r="495">
      <c r="A495" t="inlineStr">
        <is>
          <t>NER|mit.gen.tot.2</t>
        </is>
      </c>
      <c r="B495" t="inlineStr">
        <is>
          <t>NER</t>
        </is>
      </c>
      <c r="C495" t="inlineStr">
        <is>
          <t>mit.gen.tot.2</t>
        </is>
      </c>
      <c r="D495" t="n">
        <v>1.556345039</v>
      </c>
      <c r="E495" t="n">
        <v>1.678332855</v>
      </c>
      <c r="F495" t="n">
        <v>2.452217612</v>
      </c>
      <c r="G495" t="n">
        <v>4.765167791</v>
      </c>
      <c r="H495" t="n">
        <v>7.757378336</v>
      </c>
    </row>
    <row r="496">
      <c r="A496" t="inlineStr">
        <is>
          <t>NGA|mit.gen.tot.2</t>
        </is>
      </c>
      <c r="B496" t="inlineStr">
        <is>
          <t>NGA</t>
        </is>
      </c>
      <c r="C496" t="inlineStr">
        <is>
          <t>mit.gen.tot.2</t>
        </is>
      </c>
      <c r="D496" t="n">
        <v>42.1400309</v>
      </c>
      <c r="E496" t="n">
        <v>45.42785094</v>
      </c>
      <c r="F496" t="n">
        <v>68.15558808</v>
      </c>
      <c r="G496" t="n">
        <v>144.3734253</v>
      </c>
      <c r="H496" t="n">
        <v>244.8700049</v>
      </c>
    </row>
    <row r="497">
      <c r="A497" t="inlineStr">
        <is>
          <t>NIC|mit.gen.tot.2</t>
        </is>
      </c>
      <c r="B497" t="inlineStr">
        <is>
          <t>NIC</t>
        </is>
      </c>
      <c r="C497" t="inlineStr">
        <is>
          <t>mit.gen.tot.2</t>
        </is>
      </c>
      <c r="D497" t="n">
        <v>4.694511732</v>
      </c>
      <c r="E497" t="n">
        <v>4.996513601</v>
      </c>
      <c r="F497" t="n">
        <v>6.616969786</v>
      </c>
      <c r="G497" t="n">
        <v>11.47437844</v>
      </c>
      <c r="H497" t="n">
        <v>18.08687051</v>
      </c>
    </row>
    <row r="498">
      <c r="A498" t="inlineStr">
        <is>
          <t>NLD|mit.gen.tot.2</t>
        </is>
      </c>
      <c r="B498" t="inlineStr">
        <is>
          <t>NLD</t>
        </is>
      </c>
      <c r="C498" t="inlineStr">
        <is>
          <t>mit.gen.tot.2</t>
        </is>
      </c>
      <c r="D498" t="n">
        <v>120.4037018</v>
      </c>
      <c r="E498" t="n">
        <v>129.5012809</v>
      </c>
      <c r="F498" t="n">
        <v>174.4655479</v>
      </c>
      <c r="G498" t="n">
        <v>271.0180445</v>
      </c>
      <c r="H498" t="n">
        <v>347.5570866</v>
      </c>
    </row>
    <row r="499">
      <c r="A499" t="inlineStr">
        <is>
          <t>NOR|mit.gen.tot.2</t>
        </is>
      </c>
      <c r="B499" t="inlineStr">
        <is>
          <t>NOR</t>
        </is>
      </c>
      <c r="C499" t="inlineStr">
        <is>
          <t>mit.gen.tot.2</t>
        </is>
      </c>
      <c r="D499" t="n">
        <v>152.3795761</v>
      </c>
      <c r="E499" t="n">
        <v>155.424638</v>
      </c>
      <c r="F499" t="n">
        <v>174.613339</v>
      </c>
      <c r="G499" t="n">
        <v>217.8298239</v>
      </c>
      <c r="H499" t="n">
        <v>260.992639</v>
      </c>
    </row>
    <row r="500">
      <c r="A500" t="inlineStr">
        <is>
          <t>NPL|mit.gen.tot.2</t>
        </is>
      </c>
      <c r="B500" t="inlineStr">
        <is>
          <t>NPL</t>
        </is>
      </c>
      <c r="C500" t="inlineStr">
        <is>
          <t>mit.gen.tot.2</t>
        </is>
      </c>
      <c r="D500" t="n">
        <v>11.17497453</v>
      </c>
      <c r="E500" t="n">
        <v>12.10120401</v>
      </c>
      <c r="F500" t="n">
        <v>16.73238297</v>
      </c>
      <c r="G500" t="n">
        <v>30.6815422</v>
      </c>
      <c r="H500" t="n">
        <v>50.92592422</v>
      </c>
    </row>
    <row r="501">
      <c r="A501" t="inlineStr">
        <is>
          <t>NRU|mit.gen.tot.2</t>
        </is>
      </c>
      <c r="B501" t="inlineStr">
        <is>
          <t>NRU</t>
        </is>
      </c>
      <c r="C501" t="inlineStr">
        <is>
          <t>mit.gen.tot.2</t>
        </is>
      </c>
      <c r="D501" t="n">
        <v>0.05041766441</v>
      </c>
      <c r="E501" t="n">
        <v>0.05607041887</v>
      </c>
      <c r="F501" t="n">
        <v>0.08907290151</v>
      </c>
      <c r="G501" t="n">
        <v>0.1818609046</v>
      </c>
      <c r="H501" t="n">
        <v>0.3032348598</v>
      </c>
    </row>
    <row r="502">
      <c r="A502" t="inlineStr">
        <is>
          <t>NZL|mit.gen.tot.2</t>
        </is>
      </c>
      <c r="B502" t="inlineStr">
        <is>
          <t>NZL</t>
        </is>
      </c>
      <c r="C502" t="inlineStr">
        <is>
          <t>mit.gen.tot.2</t>
        </is>
      </c>
      <c r="D502" t="n">
        <v>44.12527403</v>
      </c>
      <c r="E502" t="n">
        <v>44.96875889</v>
      </c>
      <c r="F502" t="n">
        <v>53.79611457</v>
      </c>
      <c r="G502" t="n">
        <v>73.45887436</v>
      </c>
      <c r="H502" t="n">
        <v>88.61216879</v>
      </c>
    </row>
    <row r="503">
      <c r="A503" t="inlineStr">
        <is>
          <t>OMN|mit.gen.tot.2</t>
        </is>
      </c>
      <c r="B503" t="inlineStr">
        <is>
          <t>OMN</t>
        </is>
      </c>
      <c r="C503" t="inlineStr">
        <is>
          <t>mit.gen.tot.2</t>
        </is>
      </c>
      <c r="D503" t="n">
        <v>52.97645906</v>
      </c>
      <c r="E503" t="n">
        <v>57.6707954</v>
      </c>
      <c r="F503" t="n">
        <v>85.60802744999999</v>
      </c>
      <c r="G503" t="n">
        <v>144.6541158</v>
      </c>
      <c r="H503" t="n">
        <v>200.3296636</v>
      </c>
    </row>
    <row r="504">
      <c r="A504" t="inlineStr">
        <is>
          <t>PAK|mit.gen.tot.2</t>
        </is>
      </c>
      <c r="B504" t="inlineStr">
        <is>
          <t>PAK</t>
        </is>
      </c>
      <c r="C504" t="inlineStr">
        <is>
          <t>mit.gen.tot.2</t>
        </is>
      </c>
      <c r="D504" t="n">
        <v>169.8081513</v>
      </c>
      <c r="E504" t="n">
        <v>178.3585462</v>
      </c>
      <c r="F504" t="n">
        <v>233.8725618</v>
      </c>
      <c r="G504" t="n">
        <v>395.213133</v>
      </c>
      <c r="H504" t="n">
        <v>607.0329716</v>
      </c>
    </row>
    <row r="505">
      <c r="A505" t="inlineStr">
        <is>
          <t>PAN|mit.gen.tot.2</t>
        </is>
      </c>
      <c r="B505" t="inlineStr">
        <is>
          <t>PAN</t>
        </is>
      </c>
      <c r="C505" t="inlineStr">
        <is>
          <t>mit.gen.tot.2</t>
        </is>
      </c>
      <c r="D505" t="n">
        <v>13.48589301</v>
      </c>
      <c r="E505" t="n">
        <v>14.1337589</v>
      </c>
      <c r="F505" t="n">
        <v>17.56863557</v>
      </c>
      <c r="G505" t="n">
        <v>25.00840631</v>
      </c>
      <c r="H505" t="n">
        <v>31.25165826</v>
      </c>
    </row>
    <row r="506">
      <c r="A506" t="inlineStr">
        <is>
          <t>PER|mit.gen.tot.2</t>
        </is>
      </c>
      <c r="B506" t="inlineStr">
        <is>
          <t>PER</t>
        </is>
      </c>
      <c r="C506" t="inlineStr">
        <is>
          <t>mit.gen.tot.2</t>
        </is>
      </c>
      <c r="D506" t="n">
        <v>60.70698191</v>
      </c>
      <c r="E506" t="n">
        <v>63.77770679</v>
      </c>
      <c r="F506" t="n">
        <v>80.45674867</v>
      </c>
      <c r="G506" t="n">
        <v>126.9814997</v>
      </c>
      <c r="H506" t="n">
        <v>183.5372634</v>
      </c>
    </row>
    <row r="507">
      <c r="A507" t="inlineStr">
        <is>
          <t>PHL|mit.gen.tot.2</t>
        </is>
      </c>
      <c r="B507" t="inlineStr">
        <is>
          <t>PHL</t>
        </is>
      </c>
      <c r="C507" t="inlineStr">
        <is>
          <t>mit.gen.tot.2</t>
        </is>
      </c>
      <c r="D507" t="n">
        <v>123.5236468</v>
      </c>
      <c r="E507" t="n">
        <v>129.3959931</v>
      </c>
      <c r="F507" t="n">
        <v>162.6593343</v>
      </c>
      <c r="G507" t="n">
        <v>257.0457866</v>
      </c>
      <c r="H507" t="n">
        <v>380.0944703</v>
      </c>
    </row>
    <row r="508">
      <c r="A508" t="inlineStr">
        <is>
          <t>PLW|mit.gen.tot.2</t>
        </is>
      </c>
      <c r="B508" t="inlineStr">
        <is>
          <t>PLW</t>
        </is>
      </c>
      <c r="C508" t="inlineStr">
        <is>
          <t>mit.gen.tot.2</t>
        </is>
      </c>
      <c r="D508" t="n">
        <v>0.1017983345</v>
      </c>
      <c r="E508" t="n">
        <v>0.112928384</v>
      </c>
      <c r="F508" t="n">
        <v>0.168054951</v>
      </c>
      <c r="G508" t="n">
        <v>0.310686778</v>
      </c>
      <c r="H508" t="n">
        <v>0.4432820107</v>
      </c>
    </row>
    <row r="509">
      <c r="A509" t="inlineStr">
        <is>
          <t>PNG|mit.gen.tot.2</t>
        </is>
      </c>
      <c r="B509" t="inlineStr">
        <is>
          <t>PNG</t>
        </is>
      </c>
      <c r="C509" t="inlineStr">
        <is>
          <t>mit.gen.tot.2</t>
        </is>
      </c>
      <c r="D509" t="n">
        <v>4.743313174</v>
      </c>
      <c r="E509" t="n">
        <v>5.223383248</v>
      </c>
      <c r="F509" t="n">
        <v>7.654323471</v>
      </c>
      <c r="G509" t="n">
        <v>14.72671289</v>
      </c>
      <c r="H509" t="n">
        <v>25.17924462</v>
      </c>
    </row>
    <row r="510">
      <c r="A510" t="inlineStr">
        <is>
          <t>POL|mit.gen.tot.2</t>
        </is>
      </c>
      <c r="B510" t="inlineStr">
        <is>
          <t>POL</t>
        </is>
      </c>
      <c r="C510" t="inlineStr">
        <is>
          <t>mit.gen.tot.2</t>
        </is>
      </c>
      <c r="D510" t="n">
        <v>182.6547807</v>
      </c>
      <c r="E510" t="n">
        <v>192.9952911</v>
      </c>
      <c r="F510" t="n">
        <v>247.8076393</v>
      </c>
      <c r="G510" t="n">
        <v>362.5293806</v>
      </c>
      <c r="H510" t="n">
        <v>464.7061112</v>
      </c>
    </row>
    <row r="511">
      <c r="A511" t="inlineStr">
        <is>
          <t>PRI|mit.gen.tot.2</t>
        </is>
      </c>
      <c r="B511" t="inlineStr">
        <is>
          <t>PRI</t>
        </is>
      </c>
      <c r="C511" t="inlineStr">
        <is>
          <t>mit.gen.tot.2</t>
        </is>
      </c>
      <c r="D511" t="n">
        <v>0.5260342778</v>
      </c>
      <c r="E511" t="n">
        <v>0.8202479092</v>
      </c>
      <c r="F511" t="n">
        <v>2.948585082</v>
      </c>
      <c r="G511" t="n">
        <v>8.508414124</v>
      </c>
      <c r="H511" t="n">
        <v>12.05184122</v>
      </c>
    </row>
    <row r="512">
      <c r="A512" t="inlineStr">
        <is>
          <t>PRT|mit.gen.tot.2</t>
        </is>
      </c>
      <c r="B512" t="inlineStr">
        <is>
          <t>PRT</t>
        </is>
      </c>
      <c r="C512" t="inlineStr">
        <is>
          <t>mit.gen.tot.2</t>
        </is>
      </c>
      <c r="D512" t="n">
        <v>53.1139216</v>
      </c>
      <c r="E512" t="n">
        <v>54.71845917</v>
      </c>
      <c r="F512" t="n">
        <v>64.08767906</v>
      </c>
      <c r="G512" t="n">
        <v>84.95443163</v>
      </c>
      <c r="H512" t="n">
        <v>101.7896648</v>
      </c>
    </row>
    <row r="513">
      <c r="A513" t="inlineStr">
        <is>
          <t>PRY|mit.gen.tot.2</t>
        </is>
      </c>
      <c r="B513" t="inlineStr">
        <is>
          <t>PRY</t>
        </is>
      </c>
      <c r="C513" t="inlineStr">
        <is>
          <t>mit.gen.tot.2</t>
        </is>
      </c>
      <c r="D513" t="n">
        <v>27.89033246</v>
      </c>
      <c r="E513" t="n">
        <v>29.78747178</v>
      </c>
      <c r="F513" t="n">
        <v>38.71996176</v>
      </c>
      <c r="G513" t="n">
        <v>61.7225065</v>
      </c>
      <c r="H513" t="n">
        <v>88.56869784</v>
      </c>
    </row>
    <row r="514">
      <c r="A514" t="inlineStr">
        <is>
          <t>QAT|mit.gen.tot.2</t>
        </is>
      </c>
      <c r="B514" t="inlineStr">
        <is>
          <t>QAT</t>
        </is>
      </c>
      <c r="C514" t="inlineStr">
        <is>
          <t>mit.gen.tot.2</t>
        </is>
      </c>
      <c r="D514" t="n">
        <v>57.31523429</v>
      </c>
      <c r="E514" t="n">
        <v>62.54669093</v>
      </c>
      <c r="F514" t="n">
        <v>59.64767831</v>
      </c>
      <c r="G514" t="n">
        <v>72.14809997</v>
      </c>
      <c r="H514" t="n">
        <v>100.716846</v>
      </c>
    </row>
    <row r="515">
      <c r="A515" t="inlineStr">
        <is>
          <t>ROU|mit.gen.tot.2</t>
        </is>
      </c>
      <c r="B515" t="inlineStr">
        <is>
          <t>ROU</t>
        </is>
      </c>
      <c r="C515" t="inlineStr">
        <is>
          <t>mit.gen.tot.2</t>
        </is>
      </c>
      <c r="D515" t="n">
        <v>49.97251685</v>
      </c>
      <c r="E515" t="n">
        <v>52.43689234</v>
      </c>
      <c r="F515" t="n">
        <v>66.53470009</v>
      </c>
      <c r="G515" t="n">
        <v>107.0624868</v>
      </c>
      <c r="H515" t="n">
        <v>159.9192293</v>
      </c>
    </row>
    <row r="516">
      <c r="A516" t="inlineStr">
        <is>
          <t>RUS|mit.gen.tot.2</t>
        </is>
      </c>
      <c r="B516" t="inlineStr">
        <is>
          <t>RUS</t>
        </is>
      </c>
      <c r="C516" t="inlineStr">
        <is>
          <t>mit.gen.tot.2</t>
        </is>
      </c>
      <c r="D516" t="n">
        <v>1195.071636</v>
      </c>
      <c r="E516" t="n">
        <v>1268.333651</v>
      </c>
      <c r="F516" t="n">
        <v>1670.135175</v>
      </c>
      <c r="G516" t="n">
        <v>2739.492352</v>
      </c>
      <c r="H516" t="n">
        <v>4164.224947</v>
      </c>
    </row>
    <row r="517">
      <c r="A517" t="inlineStr">
        <is>
          <t>RWA|mit.gen.tot.2</t>
        </is>
      </c>
      <c r="B517" t="inlineStr">
        <is>
          <t>RWA</t>
        </is>
      </c>
      <c r="C517" t="inlineStr">
        <is>
          <t>mit.gen.tot.2</t>
        </is>
      </c>
      <c r="D517" t="n">
        <v>1.136903487</v>
      </c>
      <c r="E517" t="n">
        <v>1.227052275</v>
      </c>
      <c r="F517" t="n">
        <v>1.813441696</v>
      </c>
      <c r="G517" t="n">
        <v>3.50423303</v>
      </c>
      <c r="H517" t="n">
        <v>5.669178936</v>
      </c>
    </row>
    <row r="518">
      <c r="A518" t="inlineStr">
        <is>
          <t>SAU|mit.gen.tot.2</t>
        </is>
      </c>
      <c r="B518" t="inlineStr">
        <is>
          <t>SAU</t>
        </is>
      </c>
      <c r="C518" t="inlineStr">
        <is>
          <t>mit.gen.tot.2</t>
        </is>
      </c>
      <c r="D518" t="n">
        <v>456.3023394</v>
      </c>
      <c r="E518" t="n">
        <v>483.4192666</v>
      </c>
      <c r="F518" t="n">
        <v>610.401108</v>
      </c>
      <c r="G518" t="n">
        <v>894.8008429</v>
      </c>
      <c r="H518" t="n">
        <v>1157.086304</v>
      </c>
    </row>
    <row r="519">
      <c r="A519" t="inlineStr">
        <is>
          <t>SDN|mit.gen.tot.2</t>
        </is>
      </c>
      <c r="B519" t="inlineStr">
        <is>
          <t>SDN</t>
        </is>
      </c>
      <c r="C519" t="inlineStr">
        <is>
          <t>mit.gen.tot.2</t>
        </is>
      </c>
      <c r="D519" t="n">
        <v>14.93029785</v>
      </c>
      <c r="E519" t="n">
        <v>15.7522813</v>
      </c>
      <c r="F519" t="n">
        <v>19.68196399</v>
      </c>
      <c r="G519" t="n">
        <v>35.04402065</v>
      </c>
      <c r="H519" t="n">
        <v>56.63271998</v>
      </c>
    </row>
    <row r="520">
      <c r="A520" t="inlineStr">
        <is>
          <t>SEN|mit.gen.tot.2</t>
        </is>
      </c>
      <c r="B520" t="inlineStr">
        <is>
          <t>SEN</t>
        </is>
      </c>
      <c r="C520" t="inlineStr">
        <is>
          <t>mit.gen.tot.2</t>
        </is>
      </c>
      <c r="D520" t="n">
        <v>7.681577075</v>
      </c>
      <c r="E520" t="n">
        <v>8.329191292999999</v>
      </c>
      <c r="F520" t="n">
        <v>10.38716136</v>
      </c>
      <c r="G520" t="n">
        <v>17.66681692</v>
      </c>
      <c r="H520" t="n">
        <v>27.93431118</v>
      </c>
    </row>
    <row r="521">
      <c r="A521" t="inlineStr">
        <is>
          <t>SGP|mit.gen.tot.2</t>
        </is>
      </c>
      <c r="B521" t="inlineStr">
        <is>
          <t>SGP</t>
        </is>
      </c>
      <c r="C521" t="inlineStr">
        <is>
          <t>mit.gen.tot.2</t>
        </is>
      </c>
      <c r="D521" t="n">
        <v>60.51094092</v>
      </c>
      <c r="E521" t="n">
        <v>64.30566927</v>
      </c>
      <c r="F521" t="n">
        <v>81.04300560999999</v>
      </c>
      <c r="G521" t="n">
        <v>114.221433</v>
      </c>
      <c r="H521" t="n">
        <v>144.1529937</v>
      </c>
    </row>
    <row r="522">
      <c r="A522" t="inlineStr">
        <is>
          <t>SLB|mit.gen.tot.2</t>
        </is>
      </c>
      <c r="B522" t="inlineStr">
        <is>
          <t>SLB</t>
        </is>
      </c>
      <c r="C522" t="inlineStr">
        <is>
          <t>mit.gen.tot.2</t>
        </is>
      </c>
      <c r="D522" t="n">
        <v>0.112144787</v>
      </c>
      <c r="E522" t="n">
        <v>0.1221558401</v>
      </c>
      <c r="F522" t="n">
        <v>0.1920036417</v>
      </c>
      <c r="G522" t="n">
        <v>0.4315806606</v>
      </c>
      <c r="H522" t="n">
        <v>0.7537337764000001</v>
      </c>
    </row>
    <row r="523">
      <c r="A523" t="inlineStr">
        <is>
          <t>SLE|mit.gen.tot.2</t>
        </is>
      </c>
      <c r="B523" t="inlineStr">
        <is>
          <t>SLE</t>
        </is>
      </c>
      <c r="C523" t="inlineStr">
        <is>
          <t>mit.gen.tot.2</t>
        </is>
      </c>
      <c r="D523" t="n">
        <v>0.3397884629</v>
      </c>
      <c r="E523" t="n">
        <v>0.3911041626</v>
      </c>
      <c r="F523" t="n">
        <v>0.7383398493</v>
      </c>
      <c r="G523" t="n">
        <v>1.910860809</v>
      </c>
      <c r="H523" t="n">
        <v>3.623801487</v>
      </c>
    </row>
    <row r="524">
      <c r="A524" t="inlineStr">
        <is>
          <t>SLV|mit.gen.tot.2</t>
        </is>
      </c>
      <c r="B524" t="inlineStr">
        <is>
          <t>SLV</t>
        </is>
      </c>
      <c r="C524" t="inlineStr">
        <is>
          <t>mit.gen.tot.2</t>
        </is>
      </c>
      <c r="D524" t="n">
        <v>9.263729489999999</v>
      </c>
      <c r="E524" t="n">
        <v>9.725957419</v>
      </c>
      <c r="F524" t="n">
        <v>12.40023307</v>
      </c>
      <c r="G524" t="n">
        <v>20.59549975</v>
      </c>
      <c r="H524" t="n">
        <v>31.85588926</v>
      </c>
    </row>
    <row r="525">
      <c r="A525" t="inlineStr">
        <is>
          <t>SOM|mit.gen.tot.2</t>
        </is>
      </c>
      <c r="B525" t="inlineStr">
        <is>
          <t>SOM</t>
        </is>
      </c>
      <c r="C525" t="inlineStr">
        <is>
          <t>mit.gen.tot.2</t>
        </is>
      </c>
      <c r="D525" t="n">
        <v>0.4906431416</v>
      </c>
      <c r="E525" t="n">
        <v>0.5368753973</v>
      </c>
      <c r="F525" t="n">
        <v>0.8150624876</v>
      </c>
      <c r="G525" t="n">
        <v>1.716609007</v>
      </c>
      <c r="H525" t="n">
        <v>3.057061987</v>
      </c>
    </row>
    <row r="526">
      <c r="A526" t="inlineStr">
        <is>
          <t>SRB|mit.gen.tot.2</t>
        </is>
      </c>
      <c r="B526" t="inlineStr">
        <is>
          <t>SRB</t>
        </is>
      </c>
      <c r="C526" t="inlineStr">
        <is>
          <t>mit.gen.tot.2</t>
        </is>
      </c>
      <c r="D526" t="n">
        <v>36.75766714</v>
      </c>
      <c r="E526" t="n">
        <v>37.91678003</v>
      </c>
      <c r="F526" t="n">
        <v>45.91575775</v>
      </c>
      <c r="G526" t="n">
        <v>67.04003840999999</v>
      </c>
      <c r="H526" t="n">
        <v>92.58957452</v>
      </c>
    </row>
    <row r="527">
      <c r="A527" t="inlineStr">
        <is>
          <t>STP|mit.gen.tot.2</t>
        </is>
      </c>
      <c r="B527" t="inlineStr">
        <is>
          <t>STP</t>
        </is>
      </c>
      <c r="C527" t="inlineStr">
        <is>
          <t>mit.gen.tot.2</t>
        </is>
      </c>
      <c r="D527" t="n">
        <v>0.08371873741999999</v>
      </c>
      <c r="E527" t="n">
        <v>0.09270457168</v>
      </c>
      <c r="F527" t="n">
        <v>0.1511075893</v>
      </c>
      <c r="G527" t="n">
        <v>0.3230296193</v>
      </c>
      <c r="H527" t="n">
        <v>0.5734650467</v>
      </c>
    </row>
    <row r="528">
      <c r="A528" t="inlineStr">
        <is>
          <t>SUR|mit.gen.tot.2</t>
        </is>
      </c>
      <c r="B528" t="inlineStr">
        <is>
          <t>SUR</t>
        </is>
      </c>
      <c r="C528" t="inlineStr">
        <is>
          <t>mit.gen.tot.2</t>
        </is>
      </c>
      <c r="D528" t="n">
        <v>2.109846776</v>
      </c>
      <c r="E528" t="n">
        <v>2.246933659</v>
      </c>
      <c r="F528" t="n">
        <v>3.263377881</v>
      </c>
      <c r="G528" t="n">
        <v>5.890690717</v>
      </c>
      <c r="H528" t="n">
        <v>9.245953375999999</v>
      </c>
    </row>
    <row r="529">
      <c r="A529" t="inlineStr">
        <is>
          <t>SVK|mit.gen.tot.2</t>
        </is>
      </c>
      <c r="B529" t="inlineStr">
        <is>
          <t>SVK</t>
        </is>
      </c>
      <c r="C529" t="inlineStr">
        <is>
          <t>mit.gen.tot.2</t>
        </is>
      </c>
      <c r="D529" t="n">
        <v>29.48360868</v>
      </c>
      <c r="E529" t="n">
        <v>30.89607894</v>
      </c>
      <c r="F529" t="n">
        <v>38.26096383</v>
      </c>
      <c r="G529" t="n">
        <v>55.09311134</v>
      </c>
      <c r="H529" t="n">
        <v>69.6701321</v>
      </c>
    </row>
    <row r="530">
      <c r="A530" t="inlineStr">
        <is>
          <t>SVN|mit.gen.tot.2</t>
        </is>
      </c>
      <c r="B530" t="inlineStr">
        <is>
          <t>SVN</t>
        </is>
      </c>
      <c r="C530" t="inlineStr">
        <is>
          <t>mit.gen.tot.2</t>
        </is>
      </c>
      <c r="D530" t="n">
        <v>15.14600839</v>
      </c>
      <c r="E530" t="n">
        <v>15.54344376</v>
      </c>
      <c r="F530" t="n">
        <v>18.5398173</v>
      </c>
      <c r="G530" t="n">
        <v>25.33460611</v>
      </c>
      <c r="H530" t="n">
        <v>30.73944399</v>
      </c>
    </row>
    <row r="531">
      <c r="A531" t="inlineStr">
        <is>
          <t>SWE|mit.gen.tot.2</t>
        </is>
      </c>
      <c r="B531" t="inlineStr">
        <is>
          <t>SWE</t>
        </is>
      </c>
      <c r="C531" t="inlineStr">
        <is>
          <t>mit.gen.tot.2</t>
        </is>
      </c>
      <c r="D531" t="n">
        <v>171.3968903</v>
      </c>
      <c r="E531" t="n">
        <v>174.2540028</v>
      </c>
      <c r="F531" t="n">
        <v>193.1251788</v>
      </c>
      <c r="G531" t="n">
        <v>232.9930975</v>
      </c>
      <c r="H531" t="n">
        <v>267.9577928</v>
      </c>
    </row>
    <row r="532">
      <c r="A532" t="inlineStr">
        <is>
          <t>SWZ|mit.gen.tot.2</t>
        </is>
      </c>
      <c r="B532" t="inlineStr">
        <is>
          <t>SWZ</t>
        </is>
      </c>
      <c r="C532" t="inlineStr">
        <is>
          <t>mit.gen.tot.2</t>
        </is>
      </c>
      <c r="D532" t="n">
        <v>1.664299932</v>
      </c>
      <c r="E532" t="n">
        <v>1.719503427</v>
      </c>
      <c r="F532" t="n">
        <v>2.097653577</v>
      </c>
      <c r="G532" t="n">
        <v>3.214723004</v>
      </c>
      <c r="H532" t="n">
        <v>4.594786333</v>
      </c>
    </row>
    <row r="533">
      <c r="A533" t="inlineStr">
        <is>
          <t>SYC|mit.gen.tot.2</t>
        </is>
      </c>
      <c r="B533" t="inlineStr">
        <is>
          <t>SYC</t>
        </is>
      </c>
      <c r="C533" t="inlineStr">
        <is>
          <t>mit.gen.tot.2</t>
        </is>
      </c>
      <c r="D533" t="n">
        <v>0.6320150213</v>
      </c>
      <c r="E533" t="n">
        <v>0.6867783508</v>
      </c>
      <c r="F533" t="n">
        <v>0.8914549034</v>
      </c>
      <c r="G533" t="n">
        <v>1.377075383</v>
      </c>
      <c r="H533" t="n">
        <v>1.895434072</v>
      </c>
    </row>
    <row r="534">
      <c r="A534" t="inlineStr">
        <is>
          <t>SYR|mit.gen.tot.2</t>
        </is>
      </c>
      <c r="B534" t="inlineStr">
        <is>
          <t>SYR</t>
        </is>
      </c>
      <c r="C534" t="inlineStr">
        <is>
          <t>mit.gen.tot.2</t>
        </is>
      </c>
      <c r="D534" t="n">
        <v>25.14217548</v>
      </c>
      <c r="E534" t="n">
        <v>26.11059761</v>
      </c>
      <c r="F534" t="n">
        <v>31.92684008</v>
      </c>
      <c r="G534" t="n">
        <v>50.35589609</v>
      </c>
      <c r="H534" t="n">
        <v>78.33195315</v>
      </c>
    </row>
    <row r="535">
      <c r="A535" t="inlineStr">
        <is>
          <t>TCD|mit.gen.tot.2</t>
        </is>
      </c>
      <c r="B535" t="inlineStr">
        <is>
          <t>TCD</t>
        </is>
      </c>
      <c r="C535" t="inlineStr">
        <is>
          <t>mit.gen.tot.2</t>
        </is>
      </c>
      <c r="D535" t="n">
        <v>0.3746348632</v>
      </c>
      <c r="E535" t="n">
        <v>0.5062186539</v>
      </c>
      <c r="F535" t="n">
        <v>1.321939626</v>
      </c>
      <c r="G535" t="n">
        <v>3.859338335</v>
      </c>
      <c r="H535" t="n">
        <v>7.772036645</v>
      </c>
    </row>
    <row r="536">
      <c r="A536" t="inlineStr">
        <is>
          <t>TGO|mit.gen.tot.2</t>
        </is>
      </c>
      <c r="B536" t="inlineStr">
        <is>
          <t>TGO</t>
        </is>
      </c>
      <c r="C536" t="inlineStr">
        <is>
          <t>mit.gen.tot.2</t>
        </is>
      </c>
      <c r="D536" t="n">
        <v>1.610410293</v>
      </c>
      <c r="E536" t="n">
        <v>1.703209847</v>
      </c>
      <c r="F536" t="n">
        <v>2.242573284</v>
      </c>
      <c r="G536" t="n">
        <v>3.953331695</v>
      </c>
      <c r="H536" t="n">
        <v>6.160031729</v>
      </c>
    </row>
    <row r="537">
      <c r="A537" t="inlineStr">
        <is>
          <t>THA|mit.gen.tot.2</t>
        </is>
      </c>
      <c r="B537" t="inlineStr">
        <is>
          <t>THA</t>
        </is>
      </c>
      <c r="C537" t="inlineStr">
        <is>
          <t>mit.gen.tot.2</t>
        </is>
      </c>
      <c r="D537" t="n">
        <v>197.4642811</v>
      </c>
      <c r="E537" t="n">
        <v>205.7206196</v>
      </c>
      <c r="F537" t="n">
        <v>246.3941112</v>
      </c>
      <c r="G537" t="n">
        <v>367.9300909</v>
      </c>
      <c r="H537" t="n">
        <v>527.4235952</v>
      </c>
    </row>
    <row r="538">
      <c r="A538" t="inlineStr">
        <is>
          <t>TJK|mit.gen.tot.2</t>
        </is>
      </c>
      <c r="B538" t="inlineStr">
        <is>
          <t>TJK</t>
        </is>
      </c>
      <c r="C538" t="inlineStr">
        <is>
          <t>mit.gen.tot.2</t>
        </is>
      </c>
      <c r="D538" t="n">
        <v>21.81283317</v>
      </c>
      <c r="E538" t="n">
        <v>23.43445512</v>
      </c>
      <c r="F538" t="n">
        <v>30.4410493</v>
      </c>
      <c r="G538" t="n">
        <v>47.97577406</v>
      </c>
      <c r="H538" t="n">
        <v>70.66004984999999</v>
      </c>
    </row>
    <row r="539">
      <c r="A539" t="inlineStr">
        <is>
          <t>TKM|mit.gen.tot.2</t>
        </is>
      </c>
      <c r="B539" t="inlineStr">
        <is>
          <t>TKM</t>
        </is>
      </c>
      <c r="C539" t="inlineStr">
        <is>
          <t>mit.gen.tot.2</t>
        </is>
      </c>
      <c r="D539" t="n">
        <v>14.09662923</v>
      </c>
      <c r="E539" t="n">
        <v>20.8386483</v>
      </c>
      <c r="F539" t="n">
        <v>56.6809271</v>
      </c>
      <c r="G539" t="n">
        <v>144.4112977</v>
      </c>
      <c r="H539" t="n">
        <v>256.2205702</v>
      </c>
    </row>
    <row r="540">
      <c r="A540" t="inlineStr">
        <is>
          <t>TLS|mit.gen.tot.2</t>
        </is>
      </c>
      <c r="B540" t="inlineStr">
        <is>
          <t>TLS</t>
        </is>
      </c>
      <c r="C540" t="inlineStr">
        <is>
          <t>mit.gen.tot.2</t>
        </is>
      </c>
      <c r="D540" t="n">
        <v>0.4577609659</v>
      </c>
      <c r="E540" t="n">
        <v>0.5209396124</v>
      </c>
      <c r="F540" t="n">
        <v>0.9090509267</v>
      </c>
      <c r="G540" t="n">
        <v>2.103783323</v>
      </c>
      <c r="H540" t="n">
        <v>3.800037461</v>
      </c>
    </row>
    <row r="541">
      <c r="A541" t="inlineStr">
        <is>
          <t>TON|mit.gen.tot.2</t>
        </is>
      </c>
      <c r="B541" t="inlineStr">
        <is>
          <t>TON</t>
        </is>
      </c>
      <c r="C541" t="inlineStr">
        <is>
          <t>mit.gen.tot.2</t>
        </is>
      </c>
      <c r="D541" t="n">
        <v>0.07101924941</v>
      </c>
      <c r="E541" t="n">
        <v>0.07565700953</v>
      </c>
      <c r="F541" t="n">
        <v>0.1056564212</v>
      </c>
      <c r="G541" t="n">
        <v>0.2020429068</v>
      </c>
      <c r="H541" t="n">
        <v>0.314247769</v>
      </c>
    </row>
    <row r="542">
      <c r="A542" t="inlineStr">
        <is>
          <t>TTO|mit.gen.tot.2</t>
        </is>
      </c>
      <c r="B542" t="inlineStr">
        <is>
          <t>TTO</t>
        </is>
      </c>
      <c r="C542" t="inlineStr">
        <is>
          <t>mit.gen.tot.2</t>
        </is>
      </c>
      <c r="D542" t="n">
        <v>9.571968153</v>
      </c>
      <c r="E542" t="n">
        <v>10.052579</v>
      </c>
      <c r="F542" t="n">
        <v>12.60219161</v>
      </c>
      <c r="G542" t="n">
        <v>18.61121065</v>
      </c>
      <c r="H542" t="n">
        <v>25.17736494</v>
      </c>
    </row>
    <row r="543">
      <c r="A543" t="inlineStr">
        <is>
          <t>TUN|mit.gen.tot.2</t>
        </is>
      </c>
      <c r="B543" t="inlineStr">
        <is>
          <t>TUN</t>
        </is>
      </c>
      <c r="C543" t="inlineStr">
        <is>
          <t>mit.gen.tot.2</t>
        </is>
      </c>
      <c r="D543" t="n">
        <v>22.38891162</v>
      </c>
      <c r="E543" t="n">
        <v>23.47751054</v>
      </c>
      <c r="F543" t="n">
        <v>29.62449663</v>
      </c>
      <c r="G543" t="n">
        <v>48.95801973</v>
      </c>
      <c r="H543" t="n">
        <v>77.02106698999999</v>
      </c>
    </row>
    <row r="544">
      <c r="A544" t="inlineStr">
        <is>
          <t>TUR|mit.gen.tot.2</t>
        </is>
      </c>
      <c r="B544" t="inlineStr">
        <is>
          <t>TUR</t>
        </is>
      </c>
      <c r="C544" t="inlineStr">
        <is>
          <t>mit.gen.tot.2</t>
        </is>
      </c>
      <c r="D544" t="n">
        <v>399.0196774</v>
      </c>
      <c r="E544" t="n">
        <v>419.9469628</v>
      </c>
      <c r="F544" t="n">
        <v>532.1954183</v>
      </c>
      <c r="G544" t="n">
        <v>805.5531304</v>
      </c>
      <c r="H544" t="n">
        <v>1125.005642</v>
      </c>
    </row>
    <row r="545">
      <c r="A545" t="inlineStr">
        <is>
          <t>TZA|mit.gen.tot.2</t>
        </is>
      </c>
      <c r="B545" t="inlineStr">
        <is>
          <t>TZA</t>
        </is>
      </c>
      <c r="C545" t="inlineStr">
        <is>
          <t>mit.gen.tot.2</t>
        </is>
      </c>
      <c r="D545" t="n">
        <v>8.937389723000001</v>
      </c>
      <c r="E545" t="n">
        <v>9.608870060999999</v>
      </c>
      <c r="F545" t="n">
        <v>14.14197492</v>
      </c>
      <c r="G545" t="n">
        <v>28.53448948</v>
      </c>
      <c r="H545" t="n">
        <v>46.84062789</v>
      </c>
    </row>
    <row r="546">
      <c r="A546" t="inlineStr">
        <is>
          <t>UGA|mit.gen.tot.2</t>
        </is>
      </c>
      <c r="B546" t="inlineStr">
        <is>
          <t>UGA</t>
        </is>
      </c>
      <c r="C546" t="inlineStr">
        <is>
          <t>mit.gen.tot.2</t>
        </is>
      </c>
      <c r="D546" t="n">
        <v>5.861375912</v>
      </c>
      <c r="E546" t="n">
        <v>6.367569326</v>
      </c>
      <c r="F546" t="n">
        <v>9.941293056999999</v>
      </c>
      <c r="G546" t="n">
        <v>20.83515383</v>
      </c>
      <c r="H546" t="n">
        <v>34.91292332</v>
      </c>
    </row>
    <row r="547">
      <c r="A547" t="inlineStr">
        <is>
          <t>UKR|mit.gen.tot.2</t>
        </is>
      </c>
      <c r="B547" t="inlineStr">
        <is>
          <t>UKR</t>
        </is>
      </c>
      <c r="C547" t="inlineStr">
        <is>
          <t>mit.gen.tot.2</t>
        </is>
      </c>
      <c r="D547" t="n">
        <v>111.7428009</v>
      </c>
      <c r="E547" t="n">
        <v>118.9950853</v>
      </c>
      <c r="F547" t="n">
        <v>160.5242065</v>
      </c>
      <c r="G547" t="n">
        <v>279.1452402</v>
      </c>
      <c r="H547" t="n">
        <v>452.0635168</v>
      </c>
    </row>
    <row r="548">
      <c r="A548" t="inlineStr">
        <is>
          <t>URY|mit.gen.tot.2</t>
        </is>
      </c>
      <c r="B548" t="inlineStr">
        <is>
          <t>URY</t>
        </is>
      </c>
      <c r="C548" t="inlineStr">
        <is>
          <t>mit.gen.tot.2</t>
        </is>
      </c>
      <c r="D548" t="n">
        <v>11.98078042</v>
      </c>
      <c r="E548" t="n">
        <v>12.32126334</v>
      </c>
      <c r="F548" t="n">
        <v>14.32659378</v>
      </c>
      <c r="G548" t="n">
        <v>19.28004735</v>
      </c>
      <c r="H548" t="n">
        <v>24.10478169</v>
      </c>
    </row>
    <row r="549">
      <c r="A549" t="inlineStr">
        <is>
          <t>USA|mit.gen.tot.2</t>
        </is>
      </c>
      <c r="B549" t="inlineStr">
        <is>
          <t>USA</t>
        </is>
      </c>
      <c r="C549" t="inlineStr">
        <is>
          <t>mit.gen.tot.2</t>
        </is>
      </c>
      <c r="D549" t="n">
        <v>4610.503288</v>
      </c>
      <c r="E549" t="n">
        <v>4827.472166</v>
      </c>
      <c r="F549" t="n">
        <v>6100.1099</v>
      </c>
      <c r="G549" t="n">
        <v>8865.594224</v>
      </c>
      <c r="H549" t="n">
        <v>10907.51218</v>
      </c>
    </row>
    <row r="550">
      <c r="A550" t="inlineStr">
        <is>
          <t>UZB|mit.gen.tot.2</t>
        </is>
      </c>
      <c r="B550" t="inlineStr">
        <is>
          <t>UZB</t>
        </is>
      </c>
      <c r="C550" t="inlineStr">
        <is>
          <t>mit.gen.tot.2</t>
        </is>
      </c>
      <c r="D550" t="n">
        <v>86.7840569</v>
      </c>
      <c r="E550" t="n">
        <v>97.43865732</v>
      </c>
      <c r="F550" t="n">
        <v>154.6743116</v>
      </c>
      <c r="G550" t="n">
        <v>300.2508913</v>
      </c>
      <c r="H550" t="n">
        <v>490.2369455</v>
      </c>
    </row>
    <row r="551">
      <c r="A551" t="inlineStr">
        <is>
          <t>VCT|mit.gen.tot.2</t>
        </is>
      </c>
      <c r="B551" t="inlineStr">
        <is>
          <t>VCT</t>
        </is>
      </c>
      <c r="C551" t="inlineStr">
        <is>
          <t>mit.gen.tot.2</t>
        </is>
      </c>
      <c r="D551" t="n">
        <v>0.1511876095</v>
      </c>
      <c r="E551" t="n">
        <v>0.1622566573</v>
      </c>
      <c r="F551" t="n">
        <v>0.2280226327</v>
      </c>
      <c r="G551" t="n">
        <v>0.4185208964</v>
      </c>
      <c r="H551" t="n">
        <v>0.6518389793</v>
      </c>
    </row>
    <row r="552">
      <c r="A552" t="inlineStr">
        <is>
          <t>VEN|mit.gen.tot.2</t>
        </is>
      </c>
      <c r="B552" t="inlineStr">
        <is>
          <t>VEN</t>
        </is>
      </c>
      <c r="C552" t="inlineStr">
        <is>
          <t>mit.gen.tot.2</t>
        </is>
      </c>
      <c r="D552" t="n">
        <v>80.25577810999999</v>
      </c>
      <c r="E552" t="n">
        <v>82.96459471999999</v>
      </c>
      <c r="F552" t="n">
        <v>107.2013174</v>
      </c>
      <c r="G552" t="n">
        <v>167.1253169</v>
      </c>
      <c r="H552" t="n">
        <v>240.0947975</v>
      </c>
    </row>
    <row r="553">
      <c r="A553" t="inlineStr">
        <is>
          <t>VNM|mit.gen.tot.2</t>
        </is>
      </c>
      <c r="B553" t="inlineStr">
        <is>
          <t>VNM</t>
        </is>
      </c>
      <c r="C553" t="inlineStr">
        <is>
          <t>mit.gen.tot.2</t>
        </is>
      </c>
      <c r="D553" t="n">
        <v>310.9158778</v>
      </c>
      <c r="E553" t="n">
        <v>335.3655369</v>
      </c>
      <c r="F553" t="n">
        <v>462.2271449</v>
      </c>
      <c r="G553" t="n">
        <v>752.2411226</v>
      </c>
      <c r="H553" t="n">
        <v>1085.11318</v>
      </c>
    </row>
    <row r="554">
      <c r="A554" t="inlineStr">
        <is>
          <t>VUT|mit.gen.tot.2</t>
        </is>
      </c>
      <c r="B554" t="inlineStr">
        <is>
          <t>VUT</t>
        </is>
      </c>
      <c r="C554" t="inlineStr">
        <is>
          <t>mit.gen.tot.2</t>
        </is>
      </c>
      <c r="D554" t="n">
        <v>0.08215735740000001</v>
      </c>
      <c r="E554" t="n">
        <v>0.08790366572</v>
      </c>
      <c r="F554" t="n">
        <v>0.1355151816</v>
      </c>
      <c r="G554" t="n">
        <v>0.3108335129</v>
      </c>
      <c r="H554" t="n">
        <v>0.5237080153</v>
      </c>
    </row>
    <row r="555">
      <c r="A555" t="inlineStr">
        <is>
          <t>WSM|mit.gen.tot.2</t>
        </is>
      </c>
      <c r="B555" t="inlineStr">
        <is>
          <t>WSM</t>
        </is>
      </c>
      <c r="C555" t="inlineStr">
        <is>
          <t>mit.gen.tot.2</t>
        </is>
      </c>
      <c r="D555" t="n">
        <v>0.1617524956</v>
      </c>
      <c r="E555" t="n">
        <v>0.1741568548</v>
      </c>
      <c r="F555" t="n">
        <v>0.2467084768</v>
      </c>
      <c r="G555" t="n">
        <v>0.4649774322</v>
      </c>
      <c r="H555" t="n">
        <v>0.7223971151</v>
      </c>
    </row>
    <row r="556">
      <c r="A556" t="inlineStr">
        <is>
          <t>XKX|mit.gen.tot.2</t>
        </is>
      </c>
      <c r="B556" t="inlineStr">
        <is>
          <t>XKX</t>
        </is>
      </c>
      <c r="C556" t="inlineStr">
        <is>
          <t>mit.gen.tot.2</t>
        </is>
      </c>
      <c r="D556" t="n">
        <v>5.883390582</v>
      </c>
      <c r="E556" t="n">
        <v>6.089830376</v>
      </c>
      <c r="F556" t="n">
        <v>7.250919648</v>
      </c>
      <c r="G556" t="n">
        <v>10.7049677</v>
      </c>
      <c r="H556" t="n">
        <v>15.41673073</v>
      </c>
    </row>
    <row r="557">
      <c r="A557" t="inlineStr">
        <is>
          <t>YEM|mit.gen.tot.2</t>
        </is>
      </c>
      <c r="B557" t="inlineStr">
        <is>
          <t>YEM</t>
        </is>
      </c>
      <c r="C557" t="inlineStr">
        <is>
          <t>mit.gen.tot.2</t>
        </is>
      </c>
      <c r="D557" t="n">
        <v>4.32406799</v>
      </c>
      <c r="E557" t="n">
        <v>4.653062269</v>
      </c>
      <c r="F557" t="n">
        <v>6.821915032</v>
      </c>
      <c r="G557" t="n">
        <v>13.87993508</v>
      </c>
      <c r="H557" t="n">
        <v>24.67582098</v>
      </c>
    </row>
    <row r="558">
      <c r="A558" t="inlineStr">
        <is>
          <t>ZAF|mit.gen.tot.2</t>
        </is>
      </c>
      <c r="B558" t="inlineStr">
        <is>
          <t>ZAF</t>
        </is>
      </c>
      <c r="C558" t="inlineStr">
        <is>
          <t>mit.gen.tot.2</t>
        </is>
      </c>
      <c r="D558" t="n">
        <v>243.3590125</v>
      </c>
      <c r="E558" t="n">
        <v>252.3017512</v>
      </c>
      <c r="F558" t="n">
        <v>303.2264598</v>
      </c>
      <c r="G558" t="n">
        <v>451.2759641</v>
      </c>
      <c r="H558" t="n">
        <v>642.0745423</v>
      </c>
    </row>
    <row r="559">
      <c r="A559" t="inlineStr">
        <is>
          <t>ZMB|mit.gen.tot.2</t>
        </is>
      </c>
      <c r="B559" t="inlineStr">
        <is>
          <t>ZMB</t>
        </is>
      </c>
      <c r="C559" t="inlineStr">
        <is>
          <t>mit.gen.tot.2</t>
        </is>
      </c>
      <c r="D559" t="n">
        <v>19.75187129</v>
      </c>
      <c r="E559" t="n">
        <v>20.51792863</v>
      </c>
      <c r="F559" t="n">
        <v>25.39405086</v>
      </c>
      <c r="G559" t="n">
        <v>38.39772964</v>
      </c>
      <c r="H559" t="n">
        <v>55.49773786</v>
      </c>
    </row>
    <row r="560">
      <c r="A560" t="inlineStr">
        <is>
          <t>ZWE|mit.gen.tot.2</t>
        </is>
      </c>
      <c r="B560" t="inlineStr">
        <is>
          <t>ZWE</t>
        </is>
      </c>
      <c r="C560" t="inlineStr">
        <is>
          <t>mit.gen.tot.2</t>
        </is>
      </c>
      <c r="D560" t="n">
        <v>10.27459868</v>
      </c>
      <c r="E560" t="n">
        <v>11.04213733</v>
      </c>
      <c r="F560" t="n">
        <v>14.31514757</v>
      </c>
      <c r="G560" t="n">
        <v>23.13854819</v>
      </c>
      <c r="H560" t="n">
        <v>35.27584805</v>
      </c>
    </row>
    <row r="561">
      <c r="A561" t="inlineStr">
        <is>
          <t>ABW|mit.gen.fos.1</t>
        </is>
      </c>
      <c r="B561" t="inlineStr">
        <is>
          <t>ABW</t>
        </is>
      </c>
      <c r="C561" t="inlineStr">
        <is>
          <t>mit.gen.fos.1</t>
        </is>
      </c>
      <c r="D561" t="n">
        <v>0.8325770354000001</v>
      </c>
      <c r="E561" t="n">
        <v>0.8660588574</v>
      </c>
      <c r="F561" t="n">
        <v>0.925449429</v>
      </c>
      <c r="G561" t="n">
        <v>1.027485699</v>
      </c>
      <c r="H561" t="n">
        <v>1.107837444</v>
      </c>
    </row>
    <row r="562">
      <c r="A562" t="inlineStr">
        <is>
          <t>AFG|mit.gen.fos.1</t>
        </is>
      </c>
      <c r="B562" t="inlineStr">
        <is>
          <t>AFG</t>
        </is>
      </c>
      <c r="C562" t="inlineStr">
        <is>
          <t>mit.gen.fos.1</t>
        </is>
      </c>
      <c r="D562" t="n">
        <v>0.6594025203</v>
      </c>
      <c r="E562" t="n">
        <v>0.6732112300999999</v>
      </c>
      <c r="F562" t="n">
        <v>0.7577592662</v>
      </c>
      <c r="G562" t="n">
        <v>1.027939462</v>
      </c>
      <c r="H562" t="n">
        <v>1.406926669</v>
      </c>
    </row>
    <row r="563">
      <c r="A563" t="inlineStr">
        <is>
          <t>AGO|mit.gen.fos.1</t>
        </is>
      </c>
      <c r="B563" t="inlineStr">
        <is>
          <t>AGO</t>
        </is>
      </c>
      <c r="C563" t="inlineStr">
        <is>
          <t>mit.gen.fos.1</t>
        </is>
      </c>
      <c r="D563" t="n">
        <v>4.118007697</v>
      </c>
      <c r="E563" t="n">
        <v>4.204373503</v>
      </c>
      <c r="F563" t="n">
        <v>4.574252169</v>
      </c>
      <c r="G563" t="n">
        <v>5.834045491</v>
      </c>
      <c r="H563" t="n">
        <v>7.644146898</v>
      </c>
    </row>
    <row r="564">
      <c r="A564" t="inlineStr">
        <is>
          <t>ALB|mit.gen.fos.1</t>
        </is>
      </c>
      <c r="B564" t="inlineStr">
        <is>
          <t>ALB</t>
        </is>
      </c>
      <c r="C564" t="inlineStr">
        <is>
          <t>mit.gen.fos.1</t>
        </is>
      </c>
      <c r="D564" t="n">
        <v>0</v>
      </c>
      <c r="E564" t="n">
        <v>0</v>
      </c>
      <c r="F564" t="n">
        <v>0</v>
      </c>
      <c r="G564" t="n">
        <v>0</v>
      </c>
      <c r="H564" t="n">
        <v>0</v>
      </c>
    </row>
    <row r="565">
      <c r="A565" t="inlineStr">
        <is>
          <t>ARE|mit.gen.fos.1</t>
        </is>
      </c>
      <c r="B565" t="inlineStr">
        <is>
          <t>ARE</t>
        </is>
      </c>
      <c r="C565" t="inlineStr">
        <is>
          <t>mit.gen.fos.1</t>
        </is>
      </c>
      <c r="D565" t="n">
        <v>121.2789319</v>
      </c>
      <c r="E565" t="n">
        <v>122.6151249</v>
      </c>
      <c r="F565" t="n">
        <v>114.4089257</v>
      </c>
      <c r="G565" t="n">
        <v>83.33734483000001</v>
      </c>
      <c r="H565" t="n">
        <v>40.23136896</v>
      </c>
    </row>
    <row r="566">
      <c r="A566" t="inlineStr">
        <is>
          <t>ARG|mit.gen.fos.1</t>
        </is>
      </c>
      <c r="B566" t="inlineStr">
        <is>
          <t>ARG</t>
        </is>
      </c>
      <c r="C566" t="inlineStr">
        <is>
          <t>mit.gen.fos.1</t>
        </is>
      </c>
      <c r="D566" t="n">
        <v>89.66539376</v>
      </c>
      <c r="E566" t="n">
        <v>89.22309319</v>
      </c>
      <c r="F566" t="n">
        <v>81.72466631</v>
      </c>
      <c r="G566" t="n">
        <v>53.17137219</v>
      </c>
      <c r="H566" t="n">
        <v>13.8681182</v>
      </c>
    </row>
    <row r="567">
      <c r="A567" t="inlineStr">
        <is>
          <t>ARM|mit.gen.fos.1</t>
        </is>
      </c>
      <c r="B567" t="inlineStr">
        <is>
          <t>ARM</t>
        </is>
      </c>
      <c r="C567" t="inlineStr">
        <is>
          <t>mit.gen.fos.1</t>
        </is>
      </c>
      <c r="D567" t="n">
        <v>3.283782921</v>
      </c>
      <c r="E567" t="n">
        <v>3.428588609</v>
      </c>
      <c r="F567" t="n">
        <v>3.91855605</v>
      </c>
      <c r="G567" t="n">
        <v>4.641409718</v>
      </c>
      <c r="H567" t="n">
        <v>5.12557421</v>
      </c>
    </row>
    <row r="568">
      <c r="A568" t="inlineStr">
        <is>
          <t>ATG|mit.gen.fos.1</t>
        </is>
      </c>
      <c r="B568" t="inlineStr">
        <is>
          <t>ATG</t>
        </is>
      </c>
      <c r="C568" t="inlineStr">
        <is>
          <t>mit.gen.fos.1</t>
        </is>
      </c>
      <c r="D568" t="n">
        <v>0.3426166052</v>
      </c>
      <c r="E568" t="n">
        <v>0.3468039596</v>
      </c>
      <c r="F568" t="n">
        <v>0.3618160372</v>
      </c>
      <c r="G568" t="n">
        <v>0.3766103539</v>
      </c>
      <c r="H568" t="n">
        <v>0.3680964545</v>
      </c>
    </row>
    <row r="569">
      <c r="A569" t="inlineStr">
        <is>
          <t>AUS|mit.gen.fos.1</t>
        </is>
      </c>
      <c r="B569" t="inlineStr">
        <is>
          <t>AUS</t>
        </is>
      </c>
      <c r="C569" t="inlineStr">
        <is>
          <t>mit.gen.fos.1</t>
        </is>
      </c>
      <c r="D569" t="n">
        <v>179.0635385</v>
      </c>
      <c r="E569" t="n">
        <v>175.7678395</v>
      </c>
      <c r="F569" t="n">
        <v>158.0765791</v>
      </c>
      <c r="G569" t="n">
        <v>108.1062833</v>
      </c>
      <c r="H569" t="n">
        <v>37.49291686</v>
      </c>
    </row>
    <row r="570">
      <c r="A570" t="inlineStr">
        <is>
          <t>AUT|mit.gen.fos.1</t>
        </is>
      </c>
      <c r="B570" t="inlineStr">
        <is>
          <t>AUT</t>
        </is>
      </c>
      <c r="C570" t="inlineStr">
        <is>
          <t>mit.gen.fos.1</t>
        </is>
      </c>
      <c r="D570" t="n">
        <v>12.28196681</v>
      </c>
      <c r="E570" t="n">
        <v>10.99667431</v>
      </c>
      <c r="F570" t="n">
        <v>4.48848654</v>
      </c>
      <c r="G570" t="n">
        <v>0</v>
      </c>
      <c r="H570" t="n">
        <v>0</v>
      </c>
    </row>
    <row r="571">
      <c r="A571" t="inlineStr">
        <is>
          <t>AZE|mit.gen.fos.1</t>
        </is>
      </c>
      <c r="B571" t="inlineStr">
        <is>
          <t>AZE</t>
        </is>
      </c>
      <c r="C571" t="inlineStr">
        <is>
          <t>mit.gen.fos.1</t>
        </is>
      </c>
      <c r="D571" t="n">
        <v>24.79679633</v>
      </c>
      <c r="E571" t="n">
        <v>24.70105066</v>
      </c>
      <c r="F571" t="n">
        <v>25.02954898</v>
      </c>
      <c r="G571" t="n">
        <v>26.31341361</v>
      </c>
      <c r="H571" t="n">
        <v>27.33554453</v>
      </c>
    </row>
    <row r="572">
      <c r="A572" t="inlineStr">
        <is>
          <t>BDI|mit.gen.fos.1</t>
        </is>
      </c>
      <c r="B572" t="inlineStr">
        <is>
          <t>BDI</t>
        </is>
      </c>
      <c r="C572" t="inlineStr">
        <is>
          <t>mit.gen.fos.1</t>
        </is>
      </c>
      <c r="D572" t="n">
        <v>0.1220604556</v>
      </c>
      <c r="E572" t="n">
        <v>0.1154856805</v>
      </c>
      <c r="F572" t="n">
        <v>0.07545379264</v>
      </c>
      <c r="G572" t="n">
        <v>0</v>
      </c>
      <c r="H572" t="n">
        <v>0</v>
      </c>
    </row>
    <row r="573">
      <c r="A573" t="inlineStr">
        <is>
          <t>BEL|mit.gen.fos.1</t>
        </is>
      </c>
      <c r="B573" t="inlineStr">
        <is>
          <t>BEL</t>
        </is>
      </c>
      <c r="C573" t="inlineStr">
        <is>
          <t>mit.gen.fos.1</t>
        </is>
      </c>
      <c r="D573" t="n">
        <v>19.70110893</v>
      </c>
      <c r="E573" t="n">
        <v>19.55206504</v>
      </c>
      <c r="F573" t="n">
        <v>18.73658601</v>
      </c>
      <c r="G573" t="n">
        <v>17.60426106</v>
      </c>
      <c r="H573" t="n">
        <v>15.89212748</v>
      </c>
    </row>
    <row r="574">
      <c r="A574" t="inlineStr">
        <is>
          <t>BEN|mit.gen.fos.1</t>
        </is>
      </c>
      <c r="B574" t="inlineStr">
        <is>
          <t>BEN</t>
        </is>
      </c>
      <c r="C574" t="inlineStr">
        <is>
          <t>mit.gen.fos.1</t>
        </is>
      </c>
      <c r="D574" t="n">
        <v>1.547291096</v>
      </c>
      <c r="E574" t="n">
        <v>1.628625145</v>
      </c>
      <c r="F574" t="n">
        <v>2.070838035</v>
      </c>
      <c r="G574" t="n">
        <v>3.050082434</v>
      </c>
      <c r="H574" t="n">
        <v>3.88823096</v>
      </c>
    </row>
    <row r="575">
      <c r="A575" t="inlineStr">
        <is>
          <t>BFA|mit.gen.fos.1</t>
        </is>
      </c>
      <c r="B575" t="inlineStr">
        <is>
          <t>BFA</t>
        </is>
      </c>
      <c r="C575" t="inlineStr">
        <is>
          <t>mit.gen.fos.1</t>
        </is>
      </c>
      <c r="D575" t="n">
        <v>2.426699271</v>
      </c>
      <c r="E575" t="n">
        <v>2.516871059</v>
      </c>
      <c r="F575" t="n">
        <v>3.022243854</v>
      </c>
      <c r="G575" t="n">
        <v>4.323048895</v>
      </c>
      <c r="H575" t="n">
        <v>5.926474642</v>
      </c>
    </row>
    <row r="576">
      <c r="A576" t="inlineStr">
        <is>
          <t>BGD|mit.gen.fos.1</t>
        </is>
      </c>
      <c r="B576" t="inlineStr">
        <is>
          <t>BGD</t>
        </is>
      </c>
      <c r="C576" t="inlineStr">
        <is>
          <t>mit.gen.fos.1</t>
        </is>
      </c>
      <c r="D576" t="n">
        <v>137.8425117</v>
      </c>
      <c r="E576" t="n">
        <v>140.7509331</v>
      </c>
      <c r="F576" t="n">
        <v>163.0982306</v>
      </c>
      <c r="G576" t="n">
        <v>212.9264281</v>
      </c>
      <c r="H576" t="n">
        <v>272.4843129</v>
      </c>
    </row>
    <row r="577">
      <c r="A577" t="inlineStr">
        <is>
          <t>BGR|mit.gen.fos.1</t>
        </is>
      </c>
      <c r="B577" t="inlineStr">
        <is>
          <t>BGR</t>
        </is>
      </c>
      <c r="C577" t="inlineStr">
        <is>
          <t>mit.gen.fos.1</t>
        </is>
      </c>
      <c r="D577" t="n">
        <v>10.68632632</v>
      </c>
      <c r="E577" t="n">
        <v>10.12549972</v>
      </c>
      <c r="F577" t="n">
        <v>6.834223205</v>
      </c>
      <c r="G577" t="n">
        <v>0</v>
      </c>
      <c r="H577" t="n">
        <v>0</v>
      </c>
    </row>
    <row r="578">
      <c r="A578" t="inlineStr">
        <is>
          <t>BHR|mit.gen.fos.1</t>
        </is>
      </c>
      <c r="B578" t="inlineStr">
        <is>
          <t>BHR</t>
        </is>
      </c>
      <c r="C578" t="inlineStr">
        <is>
          <t>mit.gen.fos.1</t>
        </is>
      </c>
      <c r="D578" t="n">
        <v>37.8852413</v>
      </c>
      <c r="E578" t="n">
        <v>38.62165915</v>
      </c>
      <c r="F578" t="n">
        <v>37.33303875</v>
      </c>
      <c r="G578" t="n">
        <v>38.03435345</v>
      </c>
      <c r="H578" t="n">
        <v>40.63788964</v>
      </c>
    </row>
    <row r="579">
      <c r="A579" t="inlineStr">
        <is>
          <t>BHS|mit.gen.fos.1</t>
        </is>
      </c>
      <c r="B579" t="inlineStr">
        <is>
          <t>BHS</t>
        </is>
      </c>
      <c r="C579" t="inlineStr">
        <is>
          <t>mit.gen.fos.1</t>
        </is>
      </c>
      <c r="D579" t="n">
        <v>2.243990155</v>
      </c>
      <c r="E579" t="n">
        <v>2.283206431</v>
      </c>
      <c r="F579" t="n">
        <v>2.427085367</v>
      </c>
      <c r="G579" t="n">
        <v>2.691725347</v>
      </c>
      <c r="H579" t="n">
        <v>2.879424879</v>
      </c>
    </row>
    <row r="580">
      <c r="A580" t="inlineStr">
        <is>
          <t>BIH|mit.gen.fos.1</t>
        </is>
      </c>
      <c r="B580" t="inlineStr">
        <is>
          <t>BIH</t>
        </is>
      </c>
      <c r="C580" t="inlineStr">
        <is>
          <t>mit.gen.fos.1</t>
        </is>
      </c>
      <c r="D580" t="n">
        <v>8.255680601</v>
      </c>
      <c r="E580" t="n">
        <v>8.057560008999999</v>
      </c>
      <c r="F580" t="n">
        <v>7.082538431</v>
      </c>
      <c r="G580" t="n">
        <v>4.693974872</v>
      </c>
      <c r="H580" t="n">
        <v>1.077863734</v>
      </c>
    </row>
    <row r="581">
      <c r="A581" t="inlineStr">
        <is>
          <t>BLR|mit.gen.fos.1</t>
        </is>
      </c>
      <c r="B581" t="inlineStr">
        <is>
          <t>BLR</t>
        </is>
      </c>
      <c r="C581" t="inlineStr">
        <is>
          <t>mit.gen.fos.1</t>
        </is>
      </c>
      <c r="D581" t="n">
        <v>24.51763791</v>
      </c>
      <c r="E581" t="n">
        <v>24.65830017</v>
      </c>
      <c r="F581" t="n">
        <v>21.18535243</v>
      </c>
      <c r="G581" t="n">
        <v>14.31955328</v>
      </c>
      <c r="H581" t="n">
        <v>4.653667738</v>
      </c>
    </row>
    <row r="582">
      <c r="A582" t="inlineStr">
        <is>
          <t>BLZ|mit.gen.fos.1</t>
        </is>
      </c>
      <c r="B582" t="inlineStr">
        <is>
          <t>BLZ</t>
        </is>
      </c>
      <c r="C582" t="inlineStr">
        <is>
          <t>mit.gen.fos.1</t>
        </is>
      </c>
      <c r="D582" t="n">
        <v>0.09108835173</v>
      </c>
      <c r="E582" t="n">
        <v>0.0900453437</v>
      </c>
      <c r="F582" t="n">
        <v>0.08274368817</v>
      </c>
      <c r="G582" t="n">
        <v>0.06496552352</v>
      </c>
      <c r="H582" t="n">
        <v>0.03541035096</v>
      </c>
    </row>
    <row r="583">
      <c r="A583" t="inlineStr">
        <is>
          <t>BOL|mit.gen.fos.1</t>
        </is>
      </c>
      <c r="B583" t="inlineStr">
        <is>
          <t>BOL</t>
        </is>
      </c>
      <c r="C583" t="inlineStr">
        <is>
          <t>mit.gen.fos.1</t>
        </is>
      </c>
      <c r="D583" t="n">
        <v>8.791480018</v>
      </c>
      <c r="E583" t="n">
        <v>8.667802491</v>
      </c>
      <c r="F583" t="n">
        <v>7.802571291</v>
      </c>
      <c r="G583" t="n">
        <v>8.713876605999999</v>
      </c>
      <c r="H583" t="n">
        <v>11.28009757</v>
      </c>
    </row>
    <row r="584">
      <c r="A584" t="inlineStr">
        <is>
          <t>BRA|mit.gen.fos.1</t>
        </is>
      </c>
      <c r="B584" t="inlineStr">
        <is>
          <t>BRA</t>
        </is>
      </c>
      <c r="C584" t="inlineStr">
        <is>
          <t>mit.gen.fos.1</t>
        </is>
      </c>
      <c r="D584" t="n">
        <v>83.30692799000001</v>
      </c>
      <c r="E584" t="n">
        <v>84.47293516000001</v>
      </c>
      <c r="F584" t="n">
        <v>90.01690766</v>
      </c>
      <c r="G584" t="n">
        <v>107.3118338</v>
      </c>
      <c r="H584" t="n">
        <v>129.9952305</v>
      </c>
    </row>
    <row r="585">
      <c r="A585" t="inlineStr">
        <is>
          <t>BRB|mit.gen.fos.1</t>
        </is>
      </c>
      <c r="B585" t="inlineStr">
        <is>
          <t>BRB</t>
        </is>
      </c>
      <c r="C585" t="inlineStr">
        <is>
          <t>mit.gen.fos.1</t>
        </is>
      </c>
      <c r="D585" t="n">
        <v>1.013480374</v>
      </c>
      <c r="E585" t="n">
        <v>1.025869521</v>
      </c>
      <c r="F585" t="n">
        <v>1.075168647</v>
      </c>
      <c r="G585" t="n">
        <v>1.135676251</v>
      </c>
      <c r="H585" t="n">
        <v>1.153386274</v>
      </c>
    </row>
    <row r="586">
      <c r="A586" t="inlineStr">
        <is>
          <t>BRN|mit.gen.fos.1</t>
        </is>
      </c>
      <c r="B586" t="inlineStr">
        <is>
          <t>BRN</t>
        </is>
      </c>
      <c r="C586" t="inlineStr">
        <is>
          <t>mit.gen.fos.1</t>
        </is>
      </c>
      <c r="D586" t="n">
        <v>5.563225774</v>
      </c>
      <c r="E586" t="n">
        <v>5.562116185</v>
      </c>
      <c r="F586" t="n">
        <v>5.986668022</v>
      </c>
      <c r="G586" t="n">
        <v>6.639993922</v>
      </c>
      <c r="H586" t="n">
        <v>7.105684094</v>
      </c>
    </row>
    <row r="587">
      <c r="A587" t="inlineStr">
        <is>
          <t>BTN|mit.gen.fos.1</t>
        </is>
      </c>
      <c r="B587" t="inlineStr">
        <is>
          <t>BTN</t>
        </is>
      </c>
      <c r="C587" t="inlineStr">
        <is>
          <t>mit.gen.fos.1</t>
        </is>
      </c>
      <c r="D587" t="n">
        <v>0</v>
      </c>
      <c r="E587" t="n">
        <v>0</v>
      </c>
      <c r="F587" t="n">
        <v>0</v>
      </c>
      <c r="G587" t="n">
        <v>0</v>
      </c>
      <c r="H587" t="n">
        <v>0</v>
      </c>
    </row>
    <row r="588">
      <c r="A588" t="inlineStr">
        <is>
          <t>BWA|mit.gen.fos.1</t>
        </is>
      </c>
      <c r="B588" t="inlineStr">
        <is>
          <t>BWA</t>
        </is>
      </c>
      <c r="C588" t="inlineStr">
        <is>
          <t>mit.gen.fos.1</t>
        </is>
      </c>
      <c r="D588" t="n">
        <v>4.076721585</v>
      </c>
      <c r="E588" t="n">
        <v>4.033612773</v>
      </c>
      <c r="F588" t="n">
        <v>4.747225666</v>
      </c>
      <c r="G588" t="n">
        <v>6.149485158</v>
      </c>
      <c r="H588" t="n">
        <v>7.48139815</v>
      </c>
    </row>
    <row r="589">
      <c r="A589" t="inlineStr">
        <is>
          <t>CAF|mit.gen.fos.1</t>
        </is>
      </c>
      <c r="B589" t="inlineStr">
        <is>
          <t>CAF</t>
        </is>
      </c>
      <c r="C589" t="inlineStr">
        <is>
          <t>mit.gen.fos.1</t>
        </is>
      </c>
      <c r="D589" t="n">
        <v>0</v>
      </c>
      <c r="E589" t="n">
        <v>0</v>
      </c>
      <c r="F589" t="n">
        <v>0</v>
      </c>
      <c r="G589" t="n">
        <v>0</v>
      </c>
      <c r="H589" t="n">
        <v>0</v>
      </c>
    </row>
    <row r="590">
      <c r="A590" t="inlineStr">
        <is>
          <t>CAN|mit.gen.fos.1</t>
        </is>
      </c>
      <c r="B590" t="inlineStr">
        <is>
          <t>CAN</t>
        </is>
      </c>
      <c r="C590" t="inlineStr">
        <is>
          <t>mit.gen.fos.1</t>
        </is>
      </c>
      <c r="D590" t="n">
        <v>152.3484763</v>
      </c>
      <c r="E590" t="n">
        <v>154.1490625</v>
      </c>
      <c r="F590" t="n">
        <v>162.7844626</v>
      </c>
      <c r="G590" t="n">
        <v>182.289312</v>
      </c>
      <c r="H590" t="n">
        <v>198.3531995</v>
      </c>
    </row>
    <row r="591">
      <c r="A591" t="inlineStr">
        <is>
          <t>CHE|mit.gen.fos.1</t>
        </is>
      </c>
      <c r="B591" t="inlineStr">
        <is>
          <t>CHE</t>
        </is>
      </c>
      <c r="C591" t="inlineStr">
        <is>
          <t>mit.gen.fos.1</t>
        </is>
      </c>
      <c r="D591" t="n">
        <v>1.521419408</v>
      </c>
      <c r="E591" t="n">
        <v>1.477786675</v>
      </c>
      <c r="F591" t="n">
        <v>1.258599185</v>
      </c>
      <c r="G591" t="n">
        <v>0.7474374393</v>
      </c>
      <c r="H591" t="n">
        <v>0.0973352614</v>
      </c>
    </row>
    <row r="592">
      <c r="A592" t="inlineStr">
        <is>
          <t>CHL|mit.gen.fos.1</t>
        </is>
      </c>
      <c r="B592" t="inlineStr">
        <is>
          <t>CHL</t>
        </is>
      </c>
      <c r="C592" t="inlineStr">
        <is>
          <t>mit.gen.fos.1</t>
        </is>
      </c>
      <c r="D592" t="n">
        <v>29.85750092</v>
      </c>
      <c r="E592" t="n">
        <v>28.47643023</v>
      </c>
      <c r="F592" t="n">
        <v>20.91675131</v>
      </c>
      <c r="G592" t="n">
        <v>1.754750363</v>
      </c>
      <c r="H592" t="n">
        <v>0</v>
      </c>
    </row>
    <row r="593">
      <c r="A593" t="inlineStr">
        <is>
          <t>CHN|mit.gen.fos.1</t>
        </is>
      </c>
      <c r="B593" t="inlineStr">
        <is>
          <t>CHN</t>
        </is>
      </c>
      <c r="C593" t="inlineStr">
        <is>
          <t>mit.gen.fos.1</t>
        </is>
      </c>
      <c r="D593" t="n">
        <v>6268.288946</v>
      </c>
      <c r="E593" t="n">
        <v>6277.246716</v>
      </c>
      <c r="F593" t="n">
        <v>6019.01513</v>
      </c>
      <c r="G593" t="n">
        <v>4371.083834</v>
      </c>
      <c r="H593" t="n">
        <v>1286.911003</v>
      </c>
    </row>
    <row r="594">
      <c r="A594" t="inlineStr">
        <is>
          <t>CIV|mit.gen.fos.1</t>
        </is>
      </c>
      <c r="B594" t="inlineStr">
        <is>
          <t>CIV</t>
        </is>
      </c>
      <c r="C594" t="inlineStr">
        <is>
          <t>mit.gen.fos.1</t>
        </is>
      </c>
      <c r="D594" t="n">
        <v>7.713853695</v>
      </c>
      <c r="E594" t="n">
        <v>7.892211419</v>
      </c>
      <c r="F594" t="n">
        <v>8.601374418000001</v>
      </c>
      <c r="G594" t="n">
        <v>8.797261738</v>
      </c>
      <c r="H594" t="n">
        <v>7.158372559</v>
      </c>
    </row>
    <row r="595">
      <c r="A595" t="inlineStr">
        <is>
          <t>CMR|mit.gen.fos.1</t>
        </is>
      </c>
      <c r="B595" t="inlineStr">
        <is>
          <t>CMR</t>
        </is>
      </c>
      <c r="C595" t="inlineStr">
        <is>
          <t>mit.gen.fos.1</t>
        </is>
      </c>
      <c r="D595" t="n">
        <v>1.959091746</v>
      </c>
      <c r="E595" t="n">
        <v>1.850549455</v>
      </c>
      <c r="F595" t="n">
        <v>1.246846566</v>
      </c>
      <c r="G595" t="n">
        <v>0</v>
      </c>
      <c r="H595" t="n">
        <v>0</v>
      </c>
    </row>
    <row r="596">
      <c r="A596" t="inlineStr">
        <is>
          <t>COD|mit.gen.fos.1</t>
        </is>
      </c>
      <c r="B596" t="inlineStr">
        <is>
          <t>COD</t>
        </is>
      </c>
      <c r="C596" t="inlineStr">
        <is>
          <t>mit.gen.fos.1</t>
        </is>
      </c>
      <c r="D596" t="n">
        <v>0</v>
      </c>
      <c r="E596" t="n">
        <v>0</v>
      </c>
      <c r="F596" t="n">
        <v>0</v>
      </c>
      <c r="G596" t="n">
        <v>0</v>
      </c>
      <c r="H596" t="n">
        <v>0</v>
      </c>
    </row>
    <row r="597">
      <c r="A597" t="inlineStr">
        <is>
          <t>COG|mit.gen.fos.1</t>
        </is>
      </c>
      <c r="B597" t="inlineStr">
        <is>
          <t>COG</t>
        </is>
      </c>
      <c r="C597" t="inlineStr">
        <is>
          <t>mit.gen.fos.1</t>
        </is>
      </c>
      <c r="D597" t="n">
        <v>1.683989025</v>
      </c>
      <c r="E597" t="n">
        <v>1.727052481</v>
      </c>
      <c r="F597" t="n">
        <v>2.044546082</v>
      </c>
      <c r="G597" t="n">
        <v>3.001960368</v>
      </c>
      <c r="H597" t="n">
        <v>4.291652435</v>
      </c>
    </row>
    <row r="598">
      <c r="A598" t="inlineStr">
        <is>
          <t>COL|mit.gen.fos.1</t>
        </is>
      </c>
      <c r="B598" t="inlineStr">
        <is>
          <t>COL</t>
        </is>
      </c>
      <c r="C598" t="inlineStr">
        <is>
          <t>mit.gen.fos.1</t>
        </is>
      </c>
      <c r="D598" t="n">
        <v>20.84653738</v>
      </c>
      <c r="E598" t="n">
        <v>20.38395909</v>
      </c>
      <c r="F598" t="n">
        <v>17.64917012</v>
      </c>
      <c r="G598" t="n">
        <v>10.63924959</v>
      </c>
      <c r="H598" t="n">
        <v>0</v>
      </c>
    </row>
    <row r="599">
      <c r="A599" t="inlineStr">
        <is>
          <t>COM|mit.gen.fos.1</t>
        </is>
      </c>
      <c r="B599" t="inlineStr">
        <is>
          <t>COM</t>
        </is>
      </c>
      <c r="C599" t="inlineStr">
        <is>
          <t>mit.gen.fos.1</t>
        </is>
      </c>
      <c r="D599" t="n">
        <v>0.1438836479</v>
      </c>
      <c r="E599" t="n">
        <v>0.1484626328</v>
      </c>
      <c r="F599" t="n">
        <v>0.1796276911</v>
      </c>
      <c r="G599" t="n">
        <v>0.2705766403</v>
      </c>
      <c r="H599" t="n">
        <v>0.3777519983</v>
      </c>
    </row>
    <row r="600">
      <c r="A600" t="inlineStr">
        <is>
          <t>CPV|mit.gen.fos.1</t>
        </is>
      </c>
      <c r="B600" t="inlineStr">
        <is>
          <t>CPV</t>
        </is>
      </c>
      <c r="C600" t="inlineStr">
        <is>
          <t>mit.gen.fos.1</t>
        </is>
      </c>
      <c r="D600" t="n">
        <v>0.3619602855</v>
      </c>
      <c r="E600" t="n">
        <v>0.3655770901</v>
      </c>
      <c r="F600" t="n">
        <v>0.3683247686</v>
      </c>
      <c r="G600" t="n">
        <v>0.3261854905</v>
      </c>
      <c r="H600" t="n">
        <v>0.1979220136</v>
      </c>
    </row>
    <row r="601">
      <c r="A601" t="inlineStr">
        <is>
          <t>CRI|mit.gen.fos.1</t>
        </is>
      </c>
      <c r="B601" t="inlineStr">
        <is>
          <t>CRI</t>
        </is>
      </c>
      <c r="C601" t="inlineStr">
        <is>
          <t>mit.gen.fos.1</t>
        </is>
      </c>
      <c r="D601" t="n">
        <v>0</v>
      </c>
      <c r="E601" t="n">
        <v>0</v>
      </c>
      <c r="F601" t="n">
        <v>0</v>
      </c>
      <c r="G601" t="n">
        <v>0</v>
      </c>
      <c r="H601" t="n">
        <v>0</v>
      </c>
    </row>
    <row r="602">
      <c r="A602" t="inlineStr">
        <is>
          <t>CYP|mit.gen.fos.1</t>
        </is>
      </c>
      <c r="B602" t="inlineStr">
        <is>
          <t>CYP</t>
        </is>
      </c>
      <c r="C602" t="inlineStr">
        <is>
          <t>mit.gen.fos.1</t>
        </is>
      </c>
      <c r="D602" t="n">
        <v>4.371644558</v>
      </c>
      <c r="E602" t="n">
        <v>4.377742125</v>
      </c>
      <c r="F602" t="n">
        <v>4.217595653</v>
      </c>
      <c r="G602" t="n">
        <v>3.361862819</v>
      </c>
      <c r="H602" t="n">
        <v>1.856583449</v>
      </c>
    </row>
    <row r="603">
      <c r="A603" t="inlineStr">
        <is>
          <t>CZE|mit.gen.fos.1</t>
        </is>
      </c>
      <c r="B603" t="inlineStr">
        <is>
          <t>CZE</t>
        </is>
      </c>
      <c r="C603" t="inlineStr">
        <is>
          <t>mit.gen.fos.1</t>
        </is>
      </c>
      <c r="D603" t="n">
        <v>31.40297845</v>
      </c>
      <c r="E603" t="n">
        <v>30.43802971</v>
      </c>
      <c r="F603" t="n">
        <v>24.61827805</v>
      </c>
      <c r="G603" t="n">
        <v>8.750431312</v>
      </c>
      <c r="H603" t="n">
        <v>0</v>
      </c>
    </row>
    <row r="604">
      <c r="A604" t="inlineStr">
        <is>
          <t>DEU|mit.gen.fos.1</t>
        </is>
      </c>
      <c r="B604" t="inlineStr">
        <is>
          <t>DEU</t>
        </is>
      </c>
      <c r="C604" t="inlineStr">
        <is>
          <t>mit.gen.fos.1</t>
        </is>
      </c>
      <c r="D604" t="n">
        <v>207.800077</v>
      </c>
      <c r="E604" t="n">
        <v>197.6759839</v>
      </c>
      <c r="F604" t="n">
        <v>151.7484827</v>
      </c>
      <c r="G604" t="n">
        <v>51.80528802</v>
      </c>
      <c r="H604" t="n">
        <v>0</v>
      </c>
    </row>
    <row r="605">
      <c r="A605" t="inlineStr">
        <is>
          <t>DJI|mit.gen.fos.1</t>
        </is>
      </c>
      <c r="B605" t="inlineStr">
        <is>
          <t>DJI</t>
        </is>
      </c>
      <c r="C605" t="inlineStr">
        <is>
          <t>mit.gen.fos.1</t>
        </is>
      </c>
      <c r="D605" t="n">
        <v>0.394456078</v>
      </c>
      <c r="E605" t="n">
        <v>0.4114512634</v>
      </c>
      <c r="F605" t="n">
        <v>0.5034782534</v>
      </c>
      <c r="G605" t="n">
        <v>0.6960503671</v>
      </c>
      <c r="H605" t="n">
        <v>0.9091101679</v>
      </c>
    </row>
    <row r="606">
      <c r="A606" t="inlineStr">
        <is>
          <t>DMA|mit.gen.fos.1</t>
        </is>
      </c>
      <c r="B606" t="inlineStr">
        <is>
          <t>DMA</t>
        </is>
      </c>
      <c r="C606" t="inlineStr">
        <is>
          <t>mit.gen.fos.1</t>
        </is>
      </c>
      <c r="D606" t="n">
        <v>0.1304017702</v>
      </c>
      <c r="E606" t="n">
        <v>0.1345490997</v>
      </c>
      <c r="F606" t="n">
        <v>0.1493256568</v>
      </c>
      <c r="G606" t="n">
        <v>0.1834262828</v>
      </c>
      <c r="H606" t="n">
        <v>0.2222039323</v>
      </c>
    </row>
    <row r="607">
      <c r="A607" t="inlineStr">
        <is>
          <t>DNK|mit.gen.fos.1</t>
        </is>
      </c>
      <c r="B607" t="inlineStr">
        <is>
          <t>DNK</t>
        </is>
      </c>
      <c r="C607" t="inlineStr">
        <is>
          <t>mit.gen.fos.1</t>
        </is>
      </c>
      <c r="D607" t="n">
        <v>2.025739469</v>
      </c>
      <c r="E607" t="n">
        <v>1.351393612</v>
      </c>
      <c r="F607" t="n">
        <v>0</v>
      </c>
      <c r="G607" t="n">
        <v>0</v>
      </c>
      <c r="H607" t="n">
        <v>0</v>
      </c>
    </row>
    <row r="608">
      <c r="A608" t="inlineStr">
        <is>
          <t>DOM|mit.gen.fos.1</t>
        </is>
      </c>
      <c r="B608" t="inlineStr">
        <is>
          <t>DOM</t>
        </is>
      </c>
      <c r="C608" t="inlineStr">
        <is>
          <t>mit.gen.fos.1</t>
        </is>
      </c>
      <c r="D608" t="n">
        <v>17.33514166</v>
      </c>
      <c r="E608" t="n">
        <v>17.13991386</v>
      </c>
      <c r="F608" t="n">
        <v>17.05162446</v>
      </c>
      <c r="G608" t="n">
        <v>15.41094248</v>
      </c>
      <c r="H608" t="n">
        <v>11.58473452</v>
      </c>
    </row>
    <row r="609">
      <c r="A609" t="inlineStr">
        <is>
          <t>DZA|mit.gen.fos.1</t>
        </is>
      </c>
      <c r="B609" t="inlineStr">
        <is>
          <t>DZA</t>
        </is>
      </c>
      <c r="C609" t="inlineStr">
        <is>
          <t>mit.gen.fos.1</t>
        </is>
      </c>
      <c r="D609" t="n">
        <v>90.37781787999999</v>
      </c>
      <c r="E609" t="n">
        <v>92.7497711</v>
      </c>
      <c r="F609" t="n">
        <v>105.3800556</v>
      </c>
      <c r="G609" t="n">
        <v>132.3011925</v>
      </c>
      <c r="H609" t="n">
        <v>160.0552286</v>
      </c>
    </row>
    <row r="610">
      <c r="A610" t="inlineStr">
        <is>
          <t>ECU|mit.gen.fos.1</t>
        </is>
      </c>
      <c r="B610" t="inlineStr">
        <is>
          <t>ECU</t>
        </is>
      </c>
      <c r="C610" t="inlineStr">
        <is>
          <t>mit.gen.fos.1</t>
        </is>
      </c>
      <c r="D610" t="n">
        <v>7.586215193</v>
      </c>
      <c r="E610" t="n">
        <v>7.357954986</v>
      </c>
      <c r="F610" t="n">
        <v>5.714986665</v>
      </c>
      <c r="G610" t="n">
        <v>1.290534711</v>
      </c>
      <c r="H610" t="n">
        <v>0</v>
      </c>
    </row>
    <row r="611">
      <c r="A611" t="inlineStr">
        <is>
          <t>EGY|mit.gen.fos.1</t>
        </is>
      </c>
      <c r="B611" t="inlineStr">
        <is>
          <t>EGY</t>
        </is>
      </c>
      <c r="C611" t="inlineStr">
        <is>
          <t>mit.gen.fos.1</t>
        </is>
      </c>
      <c r="D611" t="n">
        <v>214.2702086</v>
      </c>
      <c r="E611" t="n">
        <v>219.7862429</v>
      </c>
      <c r="F611" t="n">
        <v>248.2090483</v>
      </c>
      <c r="G611" t="n">
        <v>313.5637074</v>
      </c>
      <c r="H611" t="n">
        <v>389.4391483</v>
      </c>
    </row>
    <row r="612">
      <c r="A612" t="inlineStr">
        <is>
          <t>ESP|mit.gen.fos.1</t>
        </is>
      </c>
      <c r="B612" t="inlineStr">
        <is>
          <t>ESP</t>
        </is>
      </c>
      <c r="C612" t="inlineStr">
        <is>
          <t>mit.gen.fos.1</t>
        </is>
      </c>
      <c r="D612" t="n">
        <v>74.20769018999999</v>
      </c>
      <c r="E612" t="n">
        <v>69.75212223</v>
      </c>
      <c r="F612" t="n">
        <v>43.1078497</v>
      </c>
      <c r="G612" t="n">
        <v>0</v>
      </c>
      <c r="H612" t="n">
        <v>0</v>
      </c>
    </row>
    <row r="613">
      <c r="A613" t="inlineStr">
        <is>
          <t>EST|mit.gen.fos.1</t>
        </is>
      </c>
      <c r="B613" t="inlineStr">
        <is>
          <t>EST</t>
        </is>
      </c>
      <c r="C613" t="inlineStr">
        <is>
          <t>mit.gen.fos.1</t>
        </is>
      </c>
      <c r="D613" t="n">
        <v>2.504233625</v>
      </c>
      <c r="E613" t="n">
        <v>2.386473543</v>
      </c>
      <c r="F613" t="n">
        <v>1.858533162</v>
      </c>
      <c r="G613" t="n">
        <v>0.5865427791</v>
      </c>
      <c r="H613" t="n">
        <v>0</v>
      </c>
    </row>
    <row r="614">
      <c r="A614" t="inlineStr">
        <is>
          <t>ETH|mit.gen.fos.1</t>
        </is>
      </c>
      <c r="B614" t="inlineStr">
        <is>
          <t>ETH</t>
        </is>
      </c>
      <c r="C614" t="inlineStr">
        <is>
          <t>mit.gen.fos.1</t>
        </is>
      </c>
      <c r="D614" t="n">
        <v>0</v>
      </c>
      <c r="E614" t="n">
        <v>0</v>
      </c>
      <c r="F614" t="n">
        <v>0</v>
      </c>
      <c r="G614" t="n">
        <v>0</v>
      </c>
      <c r="H614" t="n">
        <v>0</v>
      </c>
    </row>
    <row r="615">
      <c r="A615" t="inlineStr">
        <is>
          <t>FIN|mit.gen.fos.1</t>
        </is>
      </c>
      <c r="B615" t="inlineStr">
        <is>
          <t>FIN</t>
        </is>
      </c>
      <c r="C615" t="inlineStr">
        <is>
          <t>mit.gen.fos.1</t>
        </is>
      </c>
      <c r="D615" t="n">
        <v>3.029750501</v>
      </c>
      <c r="E615" t="n">
        <v>1.369939335</v>
      </c>
      <c r="F615" t="n">
        <v>0</v>
      </c>
      <c r="G615" t="n">
        <v>0</v>
      </c>
      <c r="H615" t="n">
        <v>0</v>
      </c>
    </row>
    <row r="616">
      <c r="A616" t="inlineStr">
        <is>
          <t>FJI|mit.gen.fos.1</t>
        </is>
      </c>
      <c r="B616" t="inlineStr">
        <is>
          <t>FJI</t>
        </is>
      </c>
      <c r="C616" t="inlineStr">
        <is>
          <t>mit.gen.fos.1</t>
        </is>
      </c>
      <c r="D616" t="n">
        <v>0.4221018266</v>
      </c>
      <c r="E616" t="n">
        <v>0.4264450225</v>
      </c>
      <c r="F616" t="n">
        <v>0.4380703844</v>
      </c>
      <c r="G616" t="n">
        <v>0.4703507862</v>
      </c>
      <c r="H616" t="n">
        <v>0.4944495</v>
      </c>
    </row>
    <row r="617">
      <c r="A617" t="inlineStr">
        <is>
          <t>FRA|mit.gen.fos.1</t>
        </is>
      </c>
      <c r="B617" t="inlineStr">
        <is>
          <t>FRA</t>
        </is>
      </c>
      <c r="C617" t="inlineStr">
        <is>
          <t>mit.gen.fos.1</t>
        </is>
      </c>
      <c r="D617" t="n">
        <v>29.75422081</v>
      </c>
      <c r="E617" t="n">
        <v>18.29133462</v>
      </c>
      <c r="F617" t="n">
        <v>0</v>
      </c>
      <c r="G617" t="n">
        <v>0</v>
      </c>
      <c r="H617" t="n">
        <v>0</v>
      </c>
    </row>
    <row r="618">
      <c r="A618" t="inlineStr">
        <is>
          <t>GAB|mit.gen.fos.1</t>
        </is>
      </c>
      <c r="B618" t="inlineStr">
        <is>
          <t>GAB</t>
        </is>
      </c>
      <c r="C618" t="inlineStr">
        <is>
          <t>mit.gen.fos.1</t>
        </is>
      </c>
      <c r="D618" t="n">
        <v>1.681103572</v>
      </c>
      <c r="E618" t="n">
        <v>1.706552779</v>
      </c>
      <c r="F618" t="n">
        <v>1.855169001</v>
      </c>
      <c r="G618" t="n">
        <v>2.224731683</v>
      </c>
      <c r="H618" t="n">
        <v>2.684245169</v>
      </c>
    </row>
    <row r="619">
      <c r="A619" t="inlineStr">
        <is>
          <t>GBR|mit.gen.fos.1</t>
        </is>
      </c>
      <c r="B619" t="inlineStr">
        <is>
          <t>GBR</t>
        </is>
      </c>
      <c r="C619" t="inlineStr">
        <is>
          <t>mit.gen.fos.1</t>
        </is>
      </c>
      <c r="D619" t="n">
        <v>106.2333112</v>
      </c>
      <c r="E619" t="n">
        <v>101.2673612</v>
      </c>
      <c r="F619" t="n">
        <v>74.0956927</v>
      </c>
      <c r="G619" t="n">
        <v>12.6195028</v>
      </c>
      <c r="H619" t="n">
        <v>0</v>
      </c>
    </row>
    <row r="620">
      <c r="A620" t="inlineStr">
        <is>
          <t>GEO|mit.gen.fos.1</t>
        </is>
      </c>
      <c r="B620" t="inlineStr">
        <is>
          <t>GEO</t>
        </is>
      </c>
      <c r="C620" t="inlineStr">
        <is>
          <t>mit.gen.fos.1</t>
        </is>
      </c>
      <c r="D620" t="n">
        <v>2.756225058</v>
      </c>
      <c r="E620" t="n">
        <v>2.744006299</v>
      </c>
      <c r="F620" t="n">
        <v>2.310056319</v>
      </c>
      <c r="G620" t="n">
        <v>0.4954657159</v>
      </c>
      <c r="H620" t="n">
        <v>0</v>
      </c>
    </row>
    <row r="621">
      <c r="A621" t="inlineStr">
        <is>
          <t>GHA|mit.gen.fos.1</t>
        </is>
      </c>
      <c r="B621" t="inlineStr">
        <is>
          <t>GHA</t>
        </is>
      </c>
      <c r="C621" t="inlineStr">
        <is>
          <t>mit.gen.fos.1</t>
        </is>
      </c>
      <c r="D621" t="n">
        <v>10.54835241</v>
      </c>
      <c r="E621" t="n">
        <v>11.39197835</v>
      </c>
      <c r="F621" t="n">
        <v>14.4672396</v>
      </c>
      <c r="G621" t="n">
        <v>18.30824741</v>
      </c>
      <c r="H621" t="n">
        <v>22.0323559</v>
      </c>
    </row>
    <row r="622">
      <c r="A622" t="inlineStr">
        <is>
          <t>GIN|mit.gen.fos.1</t>
        </is>
      </c>
      <c r="B622" t="inlineStr">
        <is>
          <t>GIN</t>
        </is>
      </c>
      <c r="C622" t="inlineStr">
        <is>
          <t>mit.gen.fos.1</t>
        </is>
      </c>
      <c r="D622" t="n">
        <v>0.6441078752</v>
      </c>
      <c r="E622" t="n">
        <v>0.8275774683</v>
      </c>
      <c r="F622" t="n">
        <v>1.068734556</v>
      </c>
      <c r="G622" t="n">
        <v>1.100849498</v>
      </c>
      <c r="H622" t="n">
        <v>0.7266756337</v>
      </c>
    </row>
    <row r="623">
      <c r="A623" t="inlineStr">
        <is>
          <t>GMB|mit.gen.fos.1</t>
        </is>
      </c>
      <c r="B623" t="inlineStr">
        <is>
          <t>GMB</t>
        </is>
      </c>
      <c r="C623" t="inlineStr">
        <is>
          <t>mit.gen.fos.1</t>
        </is>
      </c>
      <c r="D623" t="n">
        <v>0.5111209915</v>
      </c>
      <c r="E623" t="n">
        <v>0.5331520947</v>
      </c>
      <c r="F623" t="n">
        <v>0.6355306002</v>
      </c>
      <c r="G623" t="n">
        <v>0.8825541954</v>
      </c>
      <c r="H623" t="n">
        <v>1.198312397</v>
      </c>
    </row>
    <row r="624">
      <c r="A624" t="inlineStr">
        <is>
          <t>GNB|mit.gen.fos.1</t>
        </is>
      </c>
      <c r="B624" t="inlineStr">
        <is>
          <t>GNB</t>
        </is>
      </c>
      <c r="C624" t="inlineStr">
        <is>
          <t>mit.gen.fos.1</t>
        </is>
      </c>
      <c r="D624" t="n">
        <v>0.1841117423</v>
      </c>
      <c r="E624" t="n">
        <v>0.191406019</v>
      </c>
      <c r="F624" t="n">
        <v>0.2274467418</v>
      </c>
      <c r="G624" t="n">
        <v>0.3169847699</v>
      </c>
      <c r="H624" t="n">
        <v>0.4313809688</v>
      </c>
    </row>
    <row r="625">
      <c r="A625" t="inlineStr">
        <is>
          <t>GNQ|mit.gen.fos.1</t>
        </is>
      </c>
      <c r="B625" t="inlineStr">
        <is>
          <t>GNQ</t>
        </is>
      </c>
      <c r="C625" t="inlineStr">
        <is>
          <t>mit.gen.fos.1</t>
        </is>
      </c>
      <c r="D625" t="n">
        <v>1.039816899</v>
      </c>
      <c r="E625" t="n">
        <v>0.9606246755</v>
      </c>
      <c r="F625" t="n">
        <v>0.8402217327</v>
      </c>
      <c r="G625" t="n">
        <v>0.9207390207</v>
      </c>
      <c r="H625" t="n">
        <v>1.171807088</v>
      </c>
    </row>
    <row r="626">
      <c r="A626" t="inlineStr">
        <is>
          <t>GRC|mit.gen.fos.1</t>
        </is>
      </c>
      <c r="B626" t="inlineStr">
        <is>
          <t>GRC</t>
        </is>
      </c>
      <c r="C626" t="inlineStr">
        <is>
          <t>mit.gen.fos.1</t>
        </is>
      </c>
      <c r="D626" t="n">
        <v>30.70174554</v>
      </c>
      <c r="E626" t="n">
        <v>30.29211652</v>
      </c>
      <c r="F626" t="n">
        <v>27.76932543</v>
      </c>
      <c r="G626" t="n">
        <v>21.02869669</v>
      </c>
      <c r="H626" t="n">
        <v>11.58190628</v>
      </c>
    </row>
    <row r="627">
      <c r="A627" t="inlineStr">
        <is>
          <t>GRD|mit.gen.fos.1</t>
        </is>
      </c>
      <c r="B627" t="inlineStr">
        <is>
          <t>GRD</t>
        </is>
      </c>
      <c r="C627" t="inlineStr">
        <is>
          <t>mit.gen.fos.1</t>
        </is>
      </c>
      <c r="D627" t="n">
        <v>0.2411598062</v>
      </c>
      <c r="E627" t="n">
        <v>0.2486852672</v>
      </c>
      <c r="F627" t="n">
        <v>0.2767520659</v>
      </c>
      <c r="G627" t="n">
        <v>0.3427209147</v>
      </c>
      <c r="H627" t="n">
        <v>0.4163994233</v>
      </c>
    </row>
    <row r="628">
      <c r="A628" t="inlineStr">
        <is>
          <t>GTM|mit.gen.fos.1</t>
        </is>
      </c>
      <c r="B628" t="inlineStr">
        <is>
          <t>GTM</t>
        </is>
      </c>
      <c r="C628" t="inlineStr">
        <is>
          <t>mit.gen.fos.1</t>
        </is>
      </c>
      <c r="D628" t="n">
        <v>5.231358126</v>
      </c>
      <c r="E628" t="n">
        <v>5.384025642</v>
      </c>
      <c r="F628" t="n">
        <v>6.171723098</v>
      </c>
      <c r="G628" t="n">
        <v>7.841039197</v>
      </c>
      <c r="H628" t="n">
        <v>9.540429909</v>
      </c>
    </row>
    <row r="629">
      <c r="A629" t="inlineStr">
        <is>
          <t>GUY|mit.gen.fos.1</t>
        </is>
      </c>
      <c r="B629" t="inlineStr">
        <is>
          <t>GUY</t>
        </is>
      </c>
      <c r="C629" t="inlineStr">
        <is>
          <t>mit.gen.fos.1</t>
        </is>
      </c>
      <c r="D629" t="n">
        <v>1.349770898</v>
      </c>
      <c r="E629" t="n">
        <v>1.549321067</v>
      </c>
      <c r="F629" t="n">
        <v>2.611271324</v>
      </c>
      <c r="G629" t="n">
        <v>4.466842987</v>
      </c>
      <c r="H629" t="n">
        <v>5.439765248</v>
      </c>
    </row>
    <row r="630">
      <c r="A630" t="inlineStr">
        <is>
          <t>HKG|mit.gen.fos.1</t>
        </is>
      </c>
      <c r="B630" t="inlineStr">
        <is>
          <t>HKG</t>
        </is>
      </c>
      <c r="C630" t="inlineStr">
        <is>
          <t>mit.gen.fos.1</t>
        </is>
      </c>
      <c r="D630" t="n">
        <v>42.52651223</v>
      </c>
      <c r="E630" t="n">
        <v>43.51738289</v>
      </c>
      <c r="F630" t="n">
        <v>46.74934751</v>
      </c>
      <c r="G630" t="n">
        <v>52.0286205</v>
      </c>
      <c r="H630" t="n">
        <v>55.62227508</v>
      </c>
    </row>
    <row r="631">
      <c r="A631" t="inlineStr">
        <is>
          <t>HND|mit.gen.fos.1</t>
        </is>
      </c>
      <c r="B631" t="inlineStr">
        <is>
          <t>HND</t>
        </is>
      </c>
      <c r="C631" t="inlineStr">
        <is>
          <t>mit.gen.fos.1</t>
        </is>
      </c>
      <c r="D631" t="n">
        <v>5.590372091</v>
      </c>
      <c r="E631" t="n">
        <v>5.73432864</v>
      </c>
      <c r="F631" t="n">
        <v>6.464750001</v>
      </c>
      <c r="G631" t="n">
        <v>8.49554936</v>
      </c>
      <c r="H631" t="n">
        <v>11.14908308</v>
      </c>
    </row>
    <row r="632">
      <c r="A632" t="inlineStr">
        <is>
          <t>HRV|mit.gen.fos.1</t>
        </is>
      </c>
      <c r="B632" t="inlineStr">
        <is>
          <t>HRV</t>
        </is>
      </c>
      <c r="C632" t="inlineStr">
        <is>
          <t>mit.gen.fos.1</t>
        </is>
      </c>
      <c r="D632" t="n">
        <v>4.41682502</v>
      </c>
      <c r="E632" t="n">
        <v>4.139589799</v>
      </c>
      <c r="F632" t="n">
        <v>2.46036636</v>
      </c>
      <c r="G632" t="n">
        <v>0</v>
      </c>
      <c r="H632" t="n">
        <v>0</v>
      </c>
    </row>
    <row r="633">
      <c r="A633" t="inlineStr">
        <is>
          <t>HTI|mit.gen.fos.1</t>
        </is>
      </c>
      <c r="B633" t="inlineStr">
        <is>
          <t>HTI</t>
        </is>
      </c>
      <c r="C633" t="inlineStr">
        <is>
          <t>mit.gen.fos.1</t>
        </is>
      </c>
      <c r="D633" t="n">
        <v>0.7127423295</v>
      </c>
      <c r="E633" t="n">
        <v>0.6799082145999999</v>
      </c>
      <c r="F633" t="n">
        <v>0.5829416257</v>
      </c>
      <c r="G633" t="n">
        <v>0.525991046</v>
      </c>
      <c r="H633" t="n">
        <v>0.4349391092</v>
      </c>
    </row>
    <row r="634">
      <c r="A634" t="inlineStr">
        <is>
          <t>HUN|mit.gen.fos.1</t>
        </is>
      </c>
      <c r="B634" t="inlineStr">
        <is>
          <t>HUN</t>
        </is>
      </c>
      <c r="C634" t="inlineStr">
        <is>
          <t>mit.gen.fos.1</t>
        </is>
      </c>
      <c r="D634" t="n">
        <v>9.961328998000001</v>
      </c>
      <c r="E634" t="n">
        <v>9.145535905999999</v>
      </c>
      <c r="F634" t="n">
        <v>5.35682533</v>
      </c>
      <c r="G634" t="n">
        <v>0</v>
      </c>
      <c r="H634" t="n">
        <v>0</v>
      </c>
    </row>
    <row r="635">
      <c r="A635" t="inlineStr">
        <is>
          <t>IDN|mit.gen.fos.1</t>
        </is>
      </c>
      <c r="B635" t="inlineStr">
        <is>
          <t>IDN</t>
        </is>
      </c>
      <c r="C635" t="inlineStr">
        <is>
          <t>mit.gen.fos.1</t>
        </is>
      </c>
      <c r="D635" t="n">
        <v>305.5749001</v>
      </c>
      <c r="E635" t="n">
        <v>316.7346885</v>
      </c>
      <c r="F635" t="n">
        <v>375.9378015</v>
      </c>
      <c r="G635" t="n">
        <v>511.0985952</v>
      </c>
      <c r="H635" t="n">
        <v>669.5059675</v>
      </c>
    </row>
    <row r="636">
      <c r="A636" t="inlineStr">
        <is>
          <t>IND|mit.gen.fos.1</t>
        </is>
      </c>
      <c r="B636" t="inlineStr">
        <is>
          <t>IND</t>
        </is>
      </c>
      <c r="C636" t="inlineStr">
        <is>
          <t>mit.gen.fos.1</t>
        </is>
      </c>
      <c r="D636" t="n">
        <v>1529.948219</v>
      </c>
      <c r="E636" t="n">
        <v>1586.572864</v>
      </c>
      <c r="F636" t="n">
        <v>1792.810476</v>
      </c>
      <c r="G636" t="n">
        <v>2007.588333</v>
      </c>
      <c r="H636" t="n">
        <v>1971.942647</v>
      </c>
    </row>
    <row r="637">
      <c r="A637" t="inlineStr">
        <is>
          <t>IRL|mit.gen.fos.1</t>
        </is>
      </c>
      <c r="B637" t="inlineStr">
        <is>
          <t>IRL</t>
        </is>
      </c>
      <c r="C637" t="inlineStr">
        <is>
          <t>mit.gen.fos.1</t>
        </is>
      </c>
      <c r="D637" t="n">
        <v>16.59632924</v>
      </c>
      <c r="E637" t="n">
        <v>17.48204176</v>
      </c>
      <c r="F637" t="n">
        <v>15.33023076</v>
      </c>
      <c r="G637" t="n">
        <v>8.840597048999999</v>
      </c>
      <c r="H637" t="n">
        <v>0</v>
      </c>
    </row>
    <row r="638">
      <c r="A638" t="inlineStr">
        <is>
          <t>IRN|mit.gen.fos.1</t>
        </is>
      </c>
      <c r="B638" t="inlineStr">
        <is>
          <t>IRN</t>
        </is>
      </c>
      <c r="C638" t="inlineStr">
        <is>
          <t>mit.gen.fos.1</t>
        </is>
      </c>
      <c r="D638" t="n">
        <v>376.3139758</v>
      </c>
      <c r="E638" t="n">
        <v>370.205414</v>
      </c>
      <c r="F638" t="n">
        <v>296.687756</v>
      </c>
      <c r="G638" t="n">
        <v>289.1393676</v>
      </c>
      <c r="H638" t="n">
        <v>354.3862832</v>
      </c>
    </row>
    <row r="639">
      <c r="A639" t="inlineStr">
        <is>
          <t>IRQ|mit.gen.fos.1</t>
        </is>
      </c>
      <c r="B639" t="inlineStr">
        <is>
          <t>IRQ</t>
        </is>
      </c>
      <c r="C639" t="inlineStr">
        <is>
          <t>mit.gen.fos.1</t>
        </is>
      </c>
      <c r="D639" t="n">
        <v>82.83806957</v>
      </c>
      <c r="E639" t="n">
        <v>82.28275253</v>
      </c>
      <c r="F639" t="n">
        <v>64.91635382</v>
      </c>
      <c r="G639" t="n">
        <v>63.33287967</v>
      </c>
      <c r="H639" t="n">
        <v>77.70207839</v>
      </c>
    </row>
    <row r="640">
      <c r="A640" t="inlineStr">
        <is>
          <t>ISL|mit.gen.fos.1</t>
        </is>
      </c>
      <c r="B640" t="inlineStr">
        <is>
          <t>ISL</t>
        </is>
      </c>
      <c r="C640" t="inlineStr">
        <is>
          <t>mit.gen.fos.1</t>
        </is>
      </c>
      <c r="D640" t="n">
        <v>0</v>
      </c>
      <c r="E640" t="n">
        <v>0</v>
      </c>
      <c r="F640" t="n">
        <v>0</v>
      </c>
      <c r="G640" t="n">
        <v>0</v>
      </c>
      <c r="H640" t="n">
        <v>0</v>
      </c>
    </row>
    <row r="641">
      <c r="A641" t="inlineStr">
        <is>
          <t>ISR|mit.gen.fos.1</t>
        </is>
      </c>
      <c r="B641" t="inlineStr">
        <is>
          <t>ISR</t>
        </is>
      </c>
      <c r="C641" t="inlineStr">
        <is>
          <t>mit.gen.fos.1</t>
        </is>
      </c>
      <c r="D641" t="n">
        <v>69.08581743000001</v>
      </c>
      <c r="E641" t="n">
        <v>68.84187120999999</v>
      </c>
      <c r="F641" t="n">
        <v>68.10211658999999</v>
      </c>
      <c r="G641" t="n">
        <v>57.4583288</v>
      </c>
      <c r="H641" t="n">
        <v>37.98828213</v>
      </c>
    </row>
    <row r="642">
      <c r="A642" t="inlineStr">
        <is>
          <t>ITA|mit.gen.fos.1</t>
        </is>
      </c>
      <c r="B642" t="inlineStr">
        <is>
          <t>ITA</t>
        </is>
      </c>
      <c r="C642" t="inlineStr">
        <is>
          <t>mit.gen.fos.1</t>
        </is>
      </c>
      <c r="D642" t="n">
        <v>138.2035243</v>
      </c>
      <c r="E642" t="n">
        <v>133.2133121</v>
      </c>
      <c r="F642" t="n">
        <v>109.0365802</v>
      </c>
      <c r="G642" t="n">
        <v>59.08967103</v>
      </c>
      <c r="H642" t="n">
        <v>0</v>
      </c>
    </row>
    <row r="643">
      <c r="A643" t="inlineStr">
        <is>
          <t>JAM|mit.gen.fos.1</t>
        </is>
      </c>
      <c r="B643" t="inlineStr">
        <is>
          <t>JAM</t>
        </is>
      </c>
      <c r="C643" t="inlineStr">
        <is>
          <t>mit.gen.fos.1</t>
        </is>
      </c>
      <c r="D643" t="n">
        <v>4.327823937</v>
      </c>
      <c r="E643" t="n">
        <v>4.311278472</v>
      </c>
      <c r="F643" t="n">
        <v>4.168825998</v>
      </c>
      <c r="G643" t="n">
        <v>4.681870664</v>
      </c>
      <c r="H643" t="n">
        <v>5.704323649</v>
      </c>
    </row>
    <row r="644">
      <c r="A644" t="inlineStr">
        <is>
          <t>JOR|mit.gen.fos.1</t>
        </is>
      </c>
      <c r="B644" t="inlineStr">
        <is>
          <t>JOR</t>
        </is>
      </c>
      <c r="C644" t="inlineStr">
        <is>
          <t>mit.gen.fos.1</t>
        </is>
      </c>
      <c r="D644" t="n">
        <v>18.03637162</v>
      </c>
      <c r="E644" t="n">
        <v>18.25954089</v>
      </c>
      <c r="F644" t="n">
        <v>19.54575138</v>
      </c>
      <c r="G644" t="n">
        <v>22.6697693</v>
      </c>
      <c r="H644" t="n">
        <v>26.05697234</v>
      </c>
    </row>
    <row r="645">
      <c r="A645" t="inlineStr">
        <is>
          <t>JPN|mit.gen.fos.1</t>
        </is>
      </c>
      <c r="B645" t="inlineStr">
        <is>
          <t>JPN</t>
        </is>
      </c>
      <c r="C645" t="inlineStr">
        <is>
          <t>mit.gen.fos.1</t>
        </is>
      </c>
      <c r="D645" t="n">
        <v>698.9023501</v>
      </c>
      <c r="E645" t="n">
        <v>682.3941600000001</v>
      </c>
      <c r="F645" t="n">
        <v>589.7473060999999</v>
      </c>
      <c r="G645" t="n">
        <v>406.4435053</v>
      </c>
      <c r="H645" t="n">
        <v>190.5799106</v>
      </c>
    </row>
    <row r="646">
      <c r="A646" t="inlineStr">
        <is>
          <t>KAZ|mit.gen.fos.1</t>
        </is>
      </c>
      <c r="B646" t="inlineStr">
        <is>
          <t>KAZ</t>
        </is>
      </c>
      <c r="C646" t="inlineStr">
        <is>
          <t>mit.gen.fos.1</t>
        </is>
      </c>
      <c r="D646" t="n">
        <v>103.3164317</v>
      </c>
      <c r="E646" t="n">
        <v>106.8334234</v>
      </c>
      <c r="F646" t="n">
        <v>116.5547116</v>
      </c>
      <c r="G646" t="n">
        <v>128.3248591</v>
      </c>
      <c r="H646" t="n">
        <v>131.4197107</v>
      </c>
    </row>
    <row r="647">
      <c r="A647" t="inlineStr">
        <is>
          <t>KEN|mit.gen.fos.1</t>
        </is>
      </c>
      <c r="B647" t="inlineStr">
        <is>
          <t>KEN</t>
        </is>
      </c>
      <c r="C647" t="inlineStr">
        <is>
          <t>mit.gen.fos.1</t>
        </is>
      </c>
      <c r="D647" t="n">
        <v>1.400079866</v>
      </c>
      <c r="E647" t="n">
        <v>1.337965468</v>
      </c>
      <c r="F647" t="n">
        <v>0.9157350815999999</v>
      </c>
      <c r="G647" t="n">
        <v>0</v>
      </c>
      <c r="H647" t="n">
        <v>0</v>
      </c>
    </row>
    <row r="648">
      <c r="A648" t="inlineStr">
        <is>
          <t>KGZ|mit.gen.fos.1</t>
        </is>
      </c>
      <c r="B648" t="inlineStr">
        <is>
          <t>KGZ</t>
        </is>
      </c>
      <c r="C648" t="inlineStr">
        <is>
          <t>mit.gen.fos.1</t>
        </is>
      </c>
      <c r="D648" t="n">
        <v>1.771940362</v>
      </c>
      <c r="E648" t="n">
        <v>1.737556058</v>
      </c>
      <c r="F648" t="n">
        <v>1.019421285</v>
      </c>
      <c r="G648" t="n">
        <v>0</v>
      </c>
      <c r="H648" t="n">
        <v>0</v>
      </c>
    </row>
    <row r="649">
      <c r="A649" t="inlineStr">
        <is>
          <t>KHM|mit.gen.fos.1</t>
        </is>
      </c>
      <c r="B649" t="inlineStr">
        <is>
          <t>KHM</t>
        </is>
      </c>
      <c r="C649" t="inlineStr">
        <is>
          <t>mit.gen.fos.1</t>
        </is>
      </c>
      <c r="D649" t="n">
        <v>10.54771823</v>
      </c>
      <c r="E649" t="n">
        <v>10.92615794</v>
      </c>
      <c r="F649" t="n">
        <v>12.59047076</v>
      </c>
      <c r="G649" t="n">
        <v>16.76104871</v>
      </c>
      <c r="H649" t="n">
        <v>21.95924922</v>
      </c>
    </row>
    <row r="650">
      <c r="A650" t="inlineStr">
        <is>
          <t>KNA|mit.gen.fos.1</t>
        </is>
      </c>
      <c r="B650" t="inlineStr">
        <is>
          <t>KNA</t>
        </is>
      </c>
      <c r="C650" t="inlineStr">
        <is>
          <t>mit.gen.fos.1</t>
        </is>
      </c>
      <c r="D650" t="n">
        <v>0.2119228682</v>
      </c>
      <c r="E650" t="n">
        <v>0.210633623</v>
      </c>
      <c r="F650" t="n">
        <v>0.2088488826</v>
      </c>
      <c r="G650" t="n">
        <v>0.1980135115</v>
      </c>
      <c r="H650" t="n">
        <v>0.1725387127</v>
      </c>
    </row>
    <row r="651">
      <c r="A651" t="inlineStr">
        <is>
          <t>KOR|mit.gen.fos.1</t>
        </is>
      </c>
      <c r="B651" t="inlineStr">
        <is>
          <t>KOR</t>
        </is>
      </c>
      <c r="C651" t="inlineStr">
        <is>
          <t>mit.gen.fos.1</t>
        </is>
      </c>
      <c r="D651" t="n">
        <v>378.5896233</v>
      </c>
      <c r="E651" t="n">
        <v>374.6511001</v>
      </c>
      <c r="F651" t="n">
        <v>366.9139505</v>
      </c>
      <c r="G651" t="n">
        <v>339.717569</v>
      </c>
      <c r="H651" t="n">
        <v>292.892537</v>
      </c>
    </row>
    <row r="652">
      <c r="A652" t="inlineStr">
        <is>
          <t>KWT|mit.gen.fos.1</t>
        </is>
      </c>
      <c r="B652" t="inlineStr">
        <is>
          <t>KWT</t>
        </is>
      </c>
      <c r="C652" t="inlineStr">
        <is>
          <t>mit.gen.fos.1</t>
        </is>
      </c>
      <c r="D652" t="n">
        <v>87.35965331</v>
      </c>
      <c r="E652" t="n">
        <v>89.35362082</v>
      </c>
      <c r="F652" t="n">
        <v>86.53368506</v>
      </c>
      <c r="G652" t="n">
        <v>88.88009823</v>
      </c>
      <c r="H652" t="n">
        <v>95.40424106</v>
      </c>
    </row>
    <row r="653">
      <c r="A653" t="inlineStr">
        <is>
          <t>LAO|mit.gen.fos.1</t>
        </is>
      </c>
      <c r="B653" t="inlineStr">
        <is>
          <t>LAO</t>
        </is>
      </c>
      <c r="C653" t="inlineStr">
        <is>
          <t>mit.gen.fos.1</t>
        </is>
      </c>
      <c r="D653" t="n">
        <v>0</v>
      </c>
      <c r="E653" t="n">
        <v>0</v>
      </c>
      <c r="F653" t="n">
        <v>0</v>
      </c>
      <c r="G653" t="n">
        <v>0</v>
      </c>
      <c r="H653" t="n">
        <v>0</v>
      </c>
    </row>
    <row r="654">
      <c r="A654" t="inlineStr">
        <is>
          <t>LBN|mit.gen.fos.1</t>
        </is>
      </c>
      <c r="B654" t="inlineStr">
        <is>
          <t>LBN</t>
        </is>
      </c>
      <c r="C654" t="inlineStr">
        <is>
          <t>mit.gen.fos.1</t>
        </is>
      </c>
      <c r="D654" t="n">
        <v>11.24074528</v>
      </c>
      <c r="E654" t="n">
        <v>11.14106788</v>
      </c>
      <c r="F654" t="n">
        <v>10.05254951</v>
      </c>
      <c r="G654" t="n">
        <v>6.762123524</v>
      </c>
      <c r="H654" t="n">
        <v>1.418110434</v>
      </c>
    </row>
    <row r="655">
      <c r="A655" t="inlineStr">
        <is>
          <t>LBR|mit.gen.fos.1</t>
        </is>
      </c>
      <c r="B655" t="inlineStr">
        <is>
          <t>LBR</t>
        </is>
      </c>
      <c r="C655" t="inlineStr">
        <is>
          <t>mit.gen.fos.1</t>
        </is>
      </c>
      <c r="D655" t="n">
        <v>0.2341592108</v>
      </c>
      <c r="E655" t="n">
        <v>0.2418611849</v>
      </c>
      <c r="F655" t="n">
        <v>0.2254664295</v>
      </c>
      <c r="G655" t="n">
        <v>0.131174515</v>
      </c>
      <c r="H655" t="n">
        <v>0</v>
      </c>
    </row>
    <row r="656">
      <c r="A656" t="inlineStr">
        <is>
          <t>LBY|mit.gen.fos.1</t>
        </is>
      </c>
      <c r="B656" t="inlineStr">
        <is>
          <t>LBY</t>
        </is>
      </c>
      <c r="C656" t="inlineStr">
        <is>
          <t>mit.gen.fos.1</t>
        </is>
      </c>
      <c r="D656" t="n">
        <v>36.52744908</v>
      </c>
      <c r="E656" t="n">
        <v>40.93083463</v>
      </c>
      <c r="F656" t="n">
        <v>51.17762276</v>
      </c>
      <c r="G656" t="n">
        <v>69.00123395999999</v>
      </c>
      <c r="H656" t="n">
        <v>83.72957603</v>
      </c>
    </row>
    <row r="657">
      <c r="A657" t="inlineStr">
        <is>
          <t>LCA|mit.gen.fos.1</t>
        </is>
      </c>
      <c r="B657" t="inlineStr">
        <is>
          <t>LCA</t>
        </is>
      </c>
      <c r="C657" t="inlineStr">
        <is>
          <t>mit.gen.fos.1</t>
        </is>
      </c>
      <c r="D657" t="n">
        <v>0.3921496283</v>
      </c>
      <c r="E657" t="n">
        <v>0.395899245</v>
      </c>
      <c r="F657" t="n">
        <v>0.4246208008</v>
      </c>
      <c r="G657" t="n">
        <v>0.5127849444</v>
      </c>
      <c r="H657" t="n">
        <v>0.6236408913</v>
      </c>
    </row>
    <row r="658">
      <c r="A658" t="inlineStr">
        <is>
          <t>LKA|mit.gen.fos.1</t>
        </is>
      </c>
      <c r="B658" t="inlineStr">
        <is>
          <t>LKA</t>
        </is>
      </c>
      <c r="C658" t="inlineStr">
        <is>
          <t>mit.gen.fos.1</t>
        </is>
      </c>
      <c r="D658" t="n">
        <v>7.55906358</v>
      </c>
      <c r="E658" t="n">
        <v>7.364515693</v>
      </c>
      <c r="F658" t="n">
        <v>6.284846287</v>
      </c>
      <c r="G658" t="n">
        <v>3.106208819</v>
      </c>
      <c r="H658" t="n">
        <v>0</v>
      </c>
    </row>
    <row r="659">
      <c r="A659" t="inlineStr">
        <is>
          <t>LSO|mit.gen.fos.1</t>
        </is>
      </c>
      <c r="B659" t="inlineStr">
        <is>
          <t>LSO</t>
        </is>
      </c>
      <c r="C659" t="inlineStr">
        <is>
          <t>mit.gen.fos.1</t>
        </is>
      </c>
      <c r="D659" t="n">
        <v>0.7046681617</v>
      </c>
      <c r="E659" t="n">
        <v>0.7100146853</v>
      </c>
      <c r="F659" t="n">
        <v>0.7451790739</v>
      </c>
      <c r="G659" t="n">
        <v>0.9313735317</v>
      </c>
      <c r="H659" t="n">
        <v>1.224034809</v>
      </c>
    </row>
    <row r="660">
      <c r="A660" t="inlineStr">
        <is>
          <t>LTU|mit.gen.fos.1</t>
        </is>
      </c>
      <c r="B660" t="inlineStr">
        <is>
          <t>LTU</t>
        </is>
      </c>
      <c r="C660" t="inlineStr">
        <is>
          <t>mit.gen.fos.1</t>
        </is>
      </c>
      <c r="D660" t="n">
        <v>2.049195528</v>
      </c>
      <c r="E660" t="n">
        <v>2.009599803</v>
      </c>
      <c r="F660" t="n">
        <v>1.770718512</v>
      </c>
      <c r="G660" t="n">
        <v>0.9308233333</v>
      </c>
      <c r="H660" t="n">
        <v>0</v>
      </c>
    </row>
    <row r="661">
      <c r="A661" t="inlineStr">
        <is>
          <t>LUX|mit.gen.fos.1</t>
        </is>
      </c>
      <c r="B661" t="inlineStr">
        <is>
          <t>LUX</t>
        </is>
      </c>
      <c r="C661" t="inlineStr">
        <is>
          <t>mit.gen.fos.1</t>
        </is>
      </c>
      <c r="D661" t="n">
        <v>0.4602704099</v>
      </c>
      <c r="E661" t="n">
        <v>0.361119682</v>
      </c>
      <c r="F661" t="n">
        <v>0</v>
      </c>
      <c r="G661" t="n">
        <v>0</v>
      </c>
      <c r="H661" t="n">
        <v>0</v>
      </c>
    </row>
    <row r="662">
      <c r="A662" t="inlineStr">
        <is>
          <t>LVA|mit.gen.fos.1</t>
        </is>
      </c>
      <c r="B662" t="inlineStr">
        <is>
          <t>LVA</t>
        </is>
      </c>
      <c r="C662" t="inlineStr">
        <is>
          <t>mit.gen.fos.1</t>
        </is>
      </c>
      <c r="D662" t="n">
        <v>1.69113093</v>
      </c>
      <c r="E662" t="n">
        <v>1.720262195</v>
      </c>
      <c r="F662" t="n">
        <v>1.888470306</v>
      </c>
      <c r="G662" t="n">
        <v>2.218304801</v>
      </c>
      <c r="H662" t="n">
        <v>2.435486911</v>
      </c>
    </row>
    <row r="663">
      <c r="A663" t="inlineStr">
        <is>
          <t>MAC|mit.gen.fos.1</t>
        </is>
      </c>
      <c r="B663" t="inlineStr">
        <is>
          <t>MAC</t>
        </is>
      </c>
      <c r="C663" t="inlineStr">
        <is>
          <t>mit.gen.fos.1</t>
        </is>
      </c>
      <c r="D663" t="n">
        <v>4.341520807</v>
      </c>
      <c r="E663" t="n">
        <v>4.483220005</v>
      </c>
      <c r="F663" t="n">
        <v>4.899328048</v>
      </c>
      <c r="G663" t="n">
        <v>5.502066861</v>
      </c>
      <c r="H663" t="n">
        <v>5.915695972</v>
      </c>
    </row>
    <row r="664">
      <c r="A664" t="inlineStr">
        <is>
          <t>MAR|mit.gen.fos.1</t>
        </is>
      </c>
      <c r="B664" t="inlineStr">
        <is>
          <t>MAR</t>
        </is>
      </c>
      <c r="C664" t="inlineStr">
        <is>
          <t>mit.gen.fos.1</t>
        </is>
      </c>
      <c r="D664" t="n">
        <v>34.0213647</v>
      </c>
      <c r="E664" t="n">
        <v>34.4305516</v>
      </c>
      <c r="F664" t="n">
        <v>36.16394914</v>
      </c>
      <c r="G664" t="n">
        <v>36.55857013</v>
      </c>
      <c r="H664" t="n">
        <v>31.43209762</v>
      </c>
    </row>
    <row r="665">
      <c r="A665" t="inlineStr">
        <is>
          <t>MDA|mit.gen.fos.1</t>
        </is>
      </c>
      <c r="B665" t="inlineStr">
        <is>
          <t>MDA</t>
        </is>
      </c>
      <c r="C665" t="inlineStr">
        <is>
          <t>mit.gen.fos.1</t>
        </is>
      </c>
      <c r="D665" t="n">
        <v>3.048906523</v>
      </c>
      <c r="E665" t="n">
        <v>3.009116191</v>
      </c>
      <c r="F665" t="n">
        <v>2.766508306</v>
      </c>
      <c r="G665" t="n">
        <v>2.320945764</v>
      </c>
      <c r="H665" t="n">
        <v>1.505606529</v>
      </c>
    </row>
    <row r="666">
      <c r="A666" t="inlineStr">
        <is>
          <t>MDG|mit.gen.fos.1</t>
        </is>
      </c>
      <c r="B666" t="inlineStr">
        <is>
          <t>MDG</t>
        </is>
      </c>
      <c r="C666" t="inlineStr">
        <is>
          <t>mit.gen.fos.1</t>
        </is>
      </c>
      <c r="D666" t="n">
        <v>1.616623931</v>
      </c>
      <c r="E666" t="n">
        <v>1.58986769</v>
      </c>
      <c r="F666" t="n">
        <v>1.489429358</v>
      </c>
      <c r="G666" t="n">
        <v>1.134780612</v>
      </c>
      <c r="H666" t="n">
        <v>0.3386419583</v>
      </c>
    </row>
    <row r="667">
      <c r="A667" t="inlineStr">
        <is>
          <t>MDV|mit.gen.fos.1</t>
        </is>
      </c>
      <c r="B667" t="inlineStr">
        <is>
          <t>MDV</t>
        </is>
      </c>
      <c r="C667" t="inlineStr">
        <is>
          <t>mit.gen.fos.1</t>
        </is>
      </c>
      <c r="D667" t="n">
        <v>1.435188314</v>
      </c>
      <c r="E667" t="n">
        <v>1.481492204</v>
      </c>
      <c r="F667" t="n">
        <v>1.614485859</v>
      </c>
      <c r="G667" t="n">
        <v>1.922539727</v>
      </c>
      <c r="H667" t="n">
        <v>2.238471844</v>
      </c>
    </row>
    <row r="668">
      <c r="A668" t="inlineStr">
        <is>
          <t>MEX|mit.gen.fos.1</t>
        </is>
      </c>
      <c r="B668" t="inlineStr">
        <is>
          <t>MEX</t>
        </is>
      </c>
      <c r="C668" t="inlineStr">
        <is>
          <t>mit.gen.fos.1</t>
        </is>
      </c>
      <c r="D668" t="n">
        <v>265.3405858</v>
      </c>
      <c r="E668" t="n">
        <v>265.4506532</v>
      </c>
      <c r="F668" t="n">
        <v>280.5545916</v>
      </c>
      <c r="G668" t="n">
        <v>333.0275574</v>
      </c>
      <c r="H668" t="n">
        <v>403.910537</v>
      </c>
    </row>
    <row r="669">
      <c r="A669" t="inlineStr">
        <is>
          <t>MKD|mit.gen.fos.1</t>
        </is>
      </c>
      <c r="B669" t="inlineStr">
        <is>
          <t>MKD</t>
        </is>
      </c>
      <c r="C669" t="inlineStr">
        <is>
          <t>mit.gen.fos.1</t>
        </is>
      </c>
      <c r="D669" t="n">
        <v>3.42744473</v>
      </c>
      <c r="E669" t="n">
        <v>3.358386706</v>
      </c>
      <c r="F669" t="n">
        <v>2.894072034</v>
      </c>
      <c r="G669" t="n">
        <v>1.516573802</v>
      </c>
      <c r="H669" t="n">
        <v>0</v>
      </c>
    </row>
    <row r="670">
      <c r="A670" t="inlineStr">
        <is>
          <t>MLI|mit.gen.fos.1</t>
        </is>
      </c>
      <c r="B670" t="inlineStr">
        <is>
          <t>MLI</t>
        </is>
      </c>
      <c r="C670" t="inlineStr">
        <is>
          <t>mit.gen.fos.1</t>
        </is>
      </c>
      <c r="D670" t="n">
        <v>4.536881489</v>
      </c>
      <c r="E670" t="n">
        <v>4.703040673</v>
      </c>
      <c r="F670" t="n">
        <v>5.775503172</v>
      </c>
      <c r="G670" t="n">
        <v>8.417412048999999</v>
      </c>
      <c r="H670" t="n">
        <v>11.54545636</v>
      </c>
    </row>
    <row r="671">
      <c r="A671" t="inlineStr">
        <is>
          <t>MLT|mit.gen.fos.1</t>
        </is>
      </c>
      <c r="B671" t="inlineStr">
        <is>
          <t>MLT</t>
        </is>
      </c>
      <c r="C671" t="inlineStr">
        <is>
          <t>mit.gen.fos.1</t>
        </is>
      </c>
      <c r="D671" t="n">
        <v>2.523395476</v>
      </c>
      <c r="E671" t="n">
        <v>2.565588513</v>
      </c>
      <c r="F671" t="n">
        <v>2.730824011</v>
      </c>
      <c r="G671" t="n">
        <v>2.796215539</v>
      </c>
      <c r="H671" t="n">
        <v>2.596573252</v>
      </c>
    </row>
    <row r="672">
      <c r="A672" t="inlineStr">
        <is>
          <t>MMR|mit.gen.fos.1</t>
        </is>
      </c>
      <c r="B672" t="inlineStr">
        <is>
          <t>MMR</t>
        </is>
      </c>
      <c r="C672" t="inlineStr">
        <is>
          <t>mit.gen.fos.1</t>
        </is>
      </c>
      <c r="D672" t="n">
        <v>11.34418984</v>
      </c>
      <c r="E672" t="n">
        <v>11.04906958</v>
      </c>
      <c r="F672" t="n">
        <v>12.32351059</v>
      </c>
      <c r="G672" t="n">
        <v>15.82114513</v>
      </c>
      <c r="H672" t="n">
        <v>20.66826421</v>
      </c>
    </row>
    <row r="673">
      <c r="A673" t="inlineStr">
        <is>
          <t>MNE|mit.gen.fos.1</t>
        </is>
      </c>
      <c r="B673" t="inlineStr">
        <is>
          <t>MNE</t>
        </is>
      </c>
      <c r="C673" t="inlineStr">
        <is>
          <t>mit.gen.fos.1</t>
        </is>
      </c>
      <c r="D673" t="n">
        <v>0.7949799236</v>
      </c>
      <c r="E673" t="n">
        <v>0.7422421114</v>
      </c>
      <c r="F673" t="n">
        <v>0.4500941206</v>
      </c>
      <c r="G673" t="n">
        <v>0</v>
      </c>
      <c r="H673" t="n">
        <v>0</v>
      </c>
    </row>
    <row r="674">
      <c r="A674" t="inlineStr">
        <is>
          <t>MNG|mit.gen.fos.1</t>
        </is>
      </c>
      <c r="B674" t="inlineStr">
        <is>
          <t>MNG</t>
        </is>
      </c>
      <c r="C674" t="inlineStr">
        <is>
          <t>mit.gen.fos.1</t>
        </is>
      </c>
      <c r="D674" t="n">
        <v>9.114992438</v>
      </c>
      <c r="E674" t="n">
        <v>9.568772758</v>
      </c>
      <c r="F674" t="n">
        <v>11.43716469</v>
      </c>
      <c r="G674" t="n">
        <v>15.55136747</v>
      </c>
      <c r="H674" t="n">
        <v>20.32573648</v>
      </c>
    </row>
    <row r="675">
      <c r="A675" t="inlineStr">
        <is>
          <t>MOZ|mit.gen.fos.1</t>
        </is>
      </c>
      <c r="B675" t="inlineStr">
        <is>
          <t>MOZ</t>
        </is>
      </c>
      <c r="C675" t="inlineStr">
        <is>
          <t>mit.gen.fos.1</t>
        </is>
      </c>
      <c r="D675" t="n">
        <v>2.054222473</v>
      </c>
      <c r="E675" t="n">
        <v>1.900808246</v>
      </c>
      <c r="F675" t="n">
        <v>2.371826676</v>
      </c>
      <c r="G675" t="n">
        <v>3.326857679</v>
      </c>
      <c r="H675" t="n">
        <v>4.047606093</v>
      </c>
    </row>
    <row r="676">
      <c r="A676" t="inlineStr">
        <is>
          <t>MRT|mit.gen.fos.1</t>
        </is>
      </c>
      <c r="B676" t="inlineStr">
        <is>
          <t>MRT</t>
        </is>
      </c>
      <c r="C676" t="inlineStr">
        <is>
          <t>mit.gen.fos.1</t>
        </is>
      </c>
      <c r="D676" t="n">
        <v>1.616204103</v>
      </c>
      <c r="E676" t="n">
        <v>1.666249604</v>
      </c>
      <c r="F676" t="n">
        <v>1.966100198</v>
      </c>
      <c r="G676" t="n">
        <v>2.70711144</v>
      </c>
      <c r="H676" t="n">
        <v>3.567855936</v>
      </c>
    </row>
    <row r="677">
      <c r="A677" t="inlineStr">
        <is>
          <t>MUS|mit.gen.fos.1</t>
        </is>
      </c>
      <c r="B677" t="inlineStr">
        <is>
          <t>MUS</t>
        </is>
      </c>
      <c r="C677" t="inlineStr">
        <is>
          <t>mit.gen.fos.1</t>
        </is>
      </c>
      <c r="D677" t="n">
        <v>2.808185772</v>
      </c>
      <c r="E677" t="n">
        <v>2.865378676</v>
      </c>
      <c r="F677" t="n">
        <v>3.206794023</v>
      </c>
      <c r="G677" t="n">
        <v>3.961181232</v>
      </c>
      <c r="H677" t="n">
        <v>4.796683179</v>
      </c>
    </row>
    <row r="678">
      <c r="A678" t="inlineStr">
        <is>
          <t>MWI|mit.gen.fos.1</t>
        </is>
      </c>
      <c r="B678" t="inlineStr">
        <is>
          <t>MWI</t>
        </is>
      </c>
      <c r="C678" t="inlineStr">
        <is>
          <t>mit.gen.fos.1</t>
        </is>
      </c>
      <c r="D678" t="n">
        <v>0.0846691116</v>
      </c>
      <c r="E678" t="n">
        <v>0.08577288113000001</v>
      </c>
      <c r="F678" t="n">
        <v>0.09361696118</v>
      </c>
      <c r="G678" t="n">
        <v>0.123128967</v>
      </c>
      <c r="H678" t="n">
        <v>0.1679339568</v>
      </c>
    </row>
    <row r="679">
      <c r="A679" t="inlineStr">
        <is>
          <t>MYS|mit.gen.fos.1</t>
        </is>
      </c>
      <c r="B679" t="inlineStr">
        <is>
          <t>MYS</t>
        </is>
      </c>
      <c r="C679" t="inlineStr">
        <is>
          <t>mit.gen.fos.1</t>
        </is>
      </c>
      <c r="D679" t="n">
        <v>159.9496029</v>
      </c>
      <c r="E679" t="n">
        <v>164.98293</v>
      </c>
      <c r="F679" t="n">
        <v>187.7450124</v>
      </c>
      <c r="G679" t="n">
        <v>226.7374911</v>
      </c>
      <c r="H679" t="n">
        <v>259.6153338</v>
      </c>
    </row>
    <row r="680">
      <c r="A680" t="inlineStr">
        <is>
          <t>NAM|mit.gen.fos.1</t>
        </is>
      </c>
      <c r="B680" t="inlineStr">
        <is>
          <t>NAM</t>
        </is>
      </c>
      <c r="C680" t="inlineStr">
        <is>
          <t>mit.gen.fos.1</t>
        </is>
      </c>
      <c r="D680" t="n">
        <v>0.09556461109</v>
      </c>
      <c r="E680" t="n">
        <v>0.09426925389</v>
      </c>
      <c r="F680" t="n">
        <v>0.08728086468</v>
      </c>
      <c r="G680" t="n">
        <v>0.06931253559</v>
      </c>
      <c r="H680" t="n">
        <v>0.0395054624</v>
      </c>
    </row>
    <row r="681">
      <c r="A681" t="inlineStr">
        <is>
          <t>NER|mit.gen.fos.1</t>
        </is>
      </c>
      <c r="B681" t="inlineStr">
        <is>
          <t>NER</t>
        </is>
      </c>
      <c r="C681" t="inlineStr">
        <is>
          <t>mit.gen.fos.1</t>
        </is>
      </c>
      <c r="D681" t="n">
        <v>1.507197301</v>
      </c>
      <c r="E681" t="n">
        <v>1.582814926</v>
      </c>
      <c r="F681" t="n">
        <v>1.995638123</v>
      </c>
      <c r="G681" t="n">
        <v>2.912887355</v>
      </c>
      <c r="H681" t="n">
        <v>3.932345617</v>
      </c>
    </row>
    <row r="682">
      <c r="A682" t="inlineStr">
        <is>
          <t>NGA|mit.gen.fos.1</t>
        </is>
      </c>
      <c r="B682" t="inlineStr">
        <is>
          <t>NGA</t>
        </is>
      </c>
      <c r="C682" t="inlineStr">
        <is>
          <t>mit.gen.fos.1</t>
        </is>
      </c>
      <c r="D682" t="n">
        <v>28.94210596</v>
      </c>
      <c r="E682" t="n">
        <v>28.95582443</v>
      </c>
      <c r="F682" t="n">
        <v>28.96127737</v>
      </c>
      <c r="G682" t="n">
        <v>26.15441837</v>
      </c>
      <c r="H682" t="n">
        <v>15.81332786</v>
      </c>
    </row>
    <row r="683">
      <c r="A683" t="inlineStr">
        <is>
          <t>NIC|mit.gen.fos.1</t>
        </is>
      </c>
      <c r="B683" t="inlineStr">
        <is>
          <t>NIC</t>
        </is>
      </c>
      <c r="C683" t="inlineStr">
        <is>
          <t>mit.gen.fos.1</t>
        </is>
      </c>
      <c r="D683" t="n">
        <v>1.765634943</v>
      </c>
      <c r="E683" t="n">
        <v>1.827825438</v>
      </c>
      <c r="F683" t="n">
        <v>2.094455042</v>
      </c>
      <c r="G683" t="n">
        <v>2.778605536</v>
      </c>
      <c r="H683" t="n">
        <v>3.641936818</v>
      </c>
    </row>
    <row r="684">
      <c r="A684" t="inlineStr">
        <is>
          <t>NLD|mit.gen.fos.1</t>
        </is>
      </c>
      <c r="B684" t="inlineStr">
        <is>
          <t>NLD</t>
        </is>
      </c>
      <c r="C684" t="inlineStr">
        <is>
          <t>mit.gen.fos.1</t>
        </is>
      </c>
      <c r="D684" t="n">
        <v>55.19651628</v>
      </c>
      <c r="E684" t="n">
        <v>53.468711</v>
      </c>
      <c r="F684" t="n">
        <v>43.24480341</v>
      </c>
      <c r="G684" t="n">
        <v>19.72162478</v>
      </c>
      <c r="H684" t="n">
        <v>0</v>
      </c>
    </row>
    <row r="685">
      <c r="A685" t="inlineStr">
        <is>
          <t>NOR|mit.gen.fos.1</t>
        </is>
      </c>
      <c r="B685" t="inlineStr">
        <is>
          <t>NOR</t>
        </is>
      </c>
      <c r="C685" t="inlineStr">
        <is>
          <t>mit.gen.fos.1</t>
        </is>
      </c>
      <c r="D685" t="n">
        <v>1.525311598</v>
      </c>
      <c r="E685" t="n">
        <v>1.352128379</v>
      </c>
      <c r="F685" t="n">
        <v>0.4686374025</v>
      </c>
      <c r="G685" t="n">
        <v>0</v>
      </c>
      <c r="H685" t="n">
        <v>0</v>
      </c>
    </row>
    <row r="686">
      <c r="A686" t="inlineStr">
        <is>
          <t>NPL|mit.gen.fos.1</t>
        </is>
      </c>
      <c r="B686" t="inlineStr">
        <is>
          <t>NPL</t>
        </is>
      </c>
      <c r="C686" t="inlineStr">
        <is>
          <t>mit.gen.fos.1</t>
        </is>
      </c>
      <c r="D686" t="n">
        <v>0</v>
      </c>
      <c r="E686" t="n">
        <v>0</v>
      </c>
      <c r="F686" t="n">
        <v>0</v>
      </c>
      <c r="G686" t="n">
        <v>0</v>
      </c>
      <c r="H686" t="n">
        <v>0</v>
      </c>
    </row>
    <row r="687">
      <c r="A687" t="inlineStr">
        <is>
          <t>NRU|mit.gen.fos.1</t>
        </is>
      </c>
      <c r="B687" t="inlineStr">
        <is>
          <t>NRU</t>
        </is>
      </c>
      <c r="C687" t="inlineStr">
        <is>
          <t>mit.gen.fos.1</t>
        </is>
      </c>
      <c r="D687" t="n">
        <v>0.04033413153</v>
      </c>
      <c r="E687" t="n">
        <v>0.03990390547</v>
      </c>
      <c r="F687" t="n">
        <v>0.03773354499</v>
      </c>
      <c r="G687" t="n">
        <v>0.03272280374</v>
      </c>
      <c r="H687" t="n">
        <v>0.02329689723</v>
      </c>
    </row>
    <row r="688">
      <c r="A688" t="inlineStr">
        <is>
          <t>NZL|mit.gen.fos.1</t>
        </is>
      </c>
      <c r="B688" t="inlineStr">
        <is>
          <t>NZL</t>
        </is>
      </c>
      <c r="C688" t="inlineStr">
        <is>
          <t>mit.gen.fos.1</t>
        </is>
      </c>
      <c r="D688" t="n">
        <v>5.060051037</v>
      </c>
      <c r="E688" t="n">
        <v>4.826555032</v>
      </c>
      <c r="F688" t="n">
        <v>3.962717324</v>
      </c>
      <c r="G688" t="n">
        <v>1.629398741</v>
      </c>
      <c r="H688" t="n">
        <v>0</v>
      </c>
    </row>
    <row r="689">
      <c r="A689" t="inlineStr">
        <is>
          <t>OMN|mit.gen.fos.1</t>
        </is>
      </c>
      <c r="B689" t="inlineStr">
        <is>
          <t>OMN</t>
        </is>
      </c>
      <c r="C689" t="inlineStr">
        <is>
          <t>mit.gen.fos.1</t>
        </is>
      </c>
      <c r="D689" t="n">
        <v>50.57026107</v>
      </c>
      <c r="E689" t="n">
        <v>51.30313841</v>
      </c>
      <c r="F689" t="n">
        <v>56.94182931</v>
      </c>
      <c r="G689" t="n">
        <v>64.83587039</v>
      </c>
      <c r="H689" t="n">
        <v>69.68203502999999</v>
      </c>
    </row>
    <row r="690">
      <c r="A690" t="inlineStr">
        <is>
          <t>PAK|mit.gen.fos.1</t>
        </is>
      </c>
      <c r="B690" t="inlineStr">
        <is>
          <t>PAK</t>
        </is>
      </c>
      <c r="C690" t="inlineStr">
        <is>
          <t>mit.gen.fos.1</t>
        </is>
      </c>
      <c r="D690" t="n">
        <v>66.19202344999999</v>
      </c>
      <c r="E690" t="n">
        <v>64.09585276999999</v>
      </c>
      <c r="F690" t="n">
        <v>53.14508965</v>
      </c>
      <c r="G690" t="n">
        <v>18.11902529</v>
      </c>
      <c r="H690" t="n">
        <v>0</v>
      </c>
    </row>
    <row r="691">
      <c r="A691" t="inlineStr">
        <is>
          <t>PAN|mit.gen.fos.1</t>
        </is>
      </c>
      <c r="B691" t="inlineStr">
        <is>
          <t>PAN</t>
        </is>
      </c>
      <c r="C691" t="inlineStr">
        <is>
          <t>mit.gen.fos.1</t>
        </is>
      </c>
      <c r="D691" t="n">
        <v>4.31789575</v>
      </c>
      <c r="E691" t="n">
        <v>4.44984258</v>
      </c>
      <c r="F691" t="n">
        <v>5.023948929</v>
      </c>
      <c r="G691" t="n">
        <v>5.833421131</v>
      </c>
      <c r="H691" t="n">
        <v>6.299960577</v>
      </c>
    </row>
    <row r="692">
      <c r="A692" t="inlineStr">
        <is>
          <t>PER|mit.gen.fos.1</t>
        </is>
      </c>
      <c r="B692" t="inlineStr">
        <is>
          <t>PER</t>
        </is>
      </c>
      <c r="C692" t="inlineStr">
        <is>
          <t>mit.gen.fos.1</t>
        </is>
      </c>
      <c r="D692" t="n">
        <v>22.07280113</v>
      </c>
      <c r="E692" t="n">
        <v>21.34639765</v>
      </c>
      <c r="F692" t="n">
        <v>16.65863055</v>
      </c>
      <c r="G692" t="n">
        <v>3.653252145</v>
      </c>
      <c r="H692" t="n">
        <v>0</v>
      </c>
    </row>
    <row r="693">
      <c r="A693" t="inlineStr">
        <is>
          <t>PHL|mit.gen.fos.1</t>
        </is>
      </c>
      <c r="B693" t="inlineStr">
        <is>
          <t>PHL</t>
        </is>
      </c>
      <c r="C693" t="inlineStr">
        <is>
          <t>mit.gen.fos.1</t>
        </is>
      </c>
      <c r="D693" t="n">
        <v>94.72186092</v>
      </c>
      <c r="E693" t="n">
        <v>97.14201314</v>
      </c>
      <c r="F693" t="n">
        <v>108.9803606</v>
      </c>
      <c r="G693" t="n">
        <v>136.8654827</v>
      </c>
      <c r="H693" t="n">
        <v>169.2345274</v>
      </c>
    </row>
    <row r="694">
      <c r="A694" t="inlineStr">
        <is>
          <t>PLW|mit.gen.fos.1</t>
        </is>
      </c>
      <c r="B694" t="inlineStr">
        <is>
          <t>PLW</t>
        </is>
      </c>
      <c r="C694" t="inlineStr">
        <is>
          <t>mit.gen.fos.1</t>
        </is>
      </c>
      <c r="D694" t="n">
        <v>0.08143866764</v>
      </c>
      <c r="E694" t="n">
        <v>0.08536115885999999</v>
      </c>
      <c r="F694" t="n">
        <v>0.09621739822</v>
      </c>
      <c r="G694" t="n">
        <v>0.1145854882</v>
      </c>
      <c r="H694" t="n">
        <v>0.1254019971</v>
      </c>
    </row>
    <row r="695">
      <c r="A695" t="inlineStr">
        <is>
          <t>PNG|mit.gen.fos.1</t>
        </is>
      </c>
      <c r="B695" t="inlineStr">
        <is>
          <t>PNG</t>
        </is>
      </c>
      <c r="C695" t="inlineStr">
        <is>
          <t>mit.gen.fos.1</t>
        </is>
      </c>
      <c r="D695" t="n">
        <v>3.620160795</v>
      </c>
      <c r="E695" t="n">
        <v>3.766260917</v>
      </c>
      <c r="F695" t="n">
        <v>4.286747349</v>
      </c>
      <c r="G695" t="n">
        <v>5.62245807</v>
      </c>
      <c r="H695" t="n">
        <v>7.348073396</v>
      </c>
    </row>
    <row r="696">
      <c r="A696" t="inlineStr">
        <is>
          <t>POL|mit.gen.fos.1</t>
        </is>
      </c>
      <c r="B696" t="inlineStr">
        <is>
          <t>POL</t>
        </is>
      </c>
      <c r="C696" t="inlineStr">
        <is>
          <t>mit.gen.fos.1</t>
        </is>
      </c>
      <c r="D696" t="n">
        <v>125.5659009</v>
      </c>
      <c r="E696" t="n">
        <v>124.8555433</v>
      </c>
      <c r="F696" t="n">
        <v>117.545538</v>
      </c>
      <c r="G696" t="n">
        <v>86.75230818</v>
      </c>
      <c r="H696" t="n">
        <v>42.6033058</v>
      </c>
    </row>
    <row r="697">
      <c r="A697" t="inlineStr">
        <is>
          <t>PRI|mit.gen.fos.1</t>
        </is>
      </c>
      <c r="B697" t="inlineStr">
        <is>
          <t>PRI</t>
        </is>
      </c>
      <c r="C697" t="inlineStr">
        <is>
          <t>mit.gen.fos.1</t>
        </is>
      </c>
      <c r="D697" t="n">
        <v>0.4937952005</v>
      </c>
      <c r="E697" t="n">
        <v>0.5929935581</v>
      </c>
      <c r="F697" t="n">
        <v>1.283336243</v>
      </c>
      <c r="G697" t="n">
        <v>2.915956962</v>
      </c>
      <c r="H697" t="n">
        <v>3.64629392</v>
      </c>
    </row>
    <row r="698">
      <c r="A698" t="inlineStr">
        <is>
          <t>PRT|mit.gen.fos.1</t>
        </is>
      </c>
      <c r="B698" t="inlineStr">
        <is>
          <t>PRT</t>
        </is>
      </c>
      <c r="C698" t="inlineStr">
        <is>
          <t>mit.gen.fos.1</t>
        </is>
      </c>
      <c r="D698" t="n">
        <v>10.14710626</v>
      </c>
      <c r="E698" t="n">
        <v>9.20197136</v>
      </c>
      <c r="F698" t="n">
        <v>4.097624786</v>
      </c>
      <c r="G698" t="n">
        <v>0</v>
      </c>
      <c r="H698" t="n">
        <v>0</v>
      </c>
    </row>
    <row r="699">
      <c r="A699" t="inlineStr">
        <is>
          <t>PRY|mit.gen.fos.1</t>
        </is>
      </c>
      <c r="B699" t="inlineStr">
        <is>
          <t>PRY</t>
        </is>
      </c>
      <c r="C699" t="inlineStr">
        <is>
          <t>mit.gen.fos.1</t>
        </is>
      </c>
      <c r="D699" t="n">
        <v>0</v>
      </c>
      <c r="E699" t="n">
        <v>0</v>
      </c>
      <c r="F699" t="n">
        <v>0</v>
      </c>
      <c r="G699" t="n">
        <v>0</v>
      </c>
      <c r="H699" t="n">
        <v>0</v>
      </c>
    </row>
    <row r="700">
      <c r="A700" t="inlineStr">
        <is>
          <t>QAT|mit.gen.fos.1</t>
        </is>
      </c>
      <c r="B700" t="inlineStr">
        <is>
          <t>QAT</t>
        </is>
      </c>
      <c r="C700" t="inlineStr">
        <is>
          <t>mit.gen.fos.1</t>
        </is>
      </c>
      <c r="D700" t="n">
        <v>55.02972203</v>
      </c>
      <c r="E700" t="n">
        <v>55.49219227</v>
      </c>
      <c r="F700" t="n">
        <v>38.47380575</v>
      </c>
      <c r="G700" t="n">
        <v>29.00759328</v>
      </c>
      <c r="H700" t="n">
        <v>27.84377795</v>
      </c>
    </row>
    <row r="701">
      <c r="A701" t="inlineStr">
        <is>
          <t>ROU|mit.gen.fos.1</t>
        </is>
      </c>
      <c r="B701" t="inlineStr">
        <is>
          <t>ROU</t>
        </is>
      </c>
      <c r="C701" t="inlineStr">
        <is>
          <t>mit.gen.fos.1</t>
        </is>
      </c>
      <c r="D701" t="n">
        <v>16.2325351</v>
      </c>
      <c r="E701" t="n">
        <v>15.56827863</v>
      </c>
      <c r="F701" t="n">
        <v>12.4358304</v>
      </c>
      <c r="G701" t="n">
        <v>6.285923715</v>
      </c>
      <c r="H701" t="n">
        <v>0</v>
      </c>
    </row>
    <row r="702">
      <c r="A702" t="inlineStr">
        <is>
          <t>RUS|mit.gen.fos.1</t>
        </is>
      </c>
      <c r="B702" t="inlineStr">
        <is>
          <t>RUS</t>
        </is>
      </c>
      <c r="C702" t="inlineStr">
        <is>
          <t>mit.gen.fos.1</t>
        </is>
      </c>
      <c r="D702" t="n">
        <v>768.6339108</v>
      </c>
      <c r="E702" t="n">
        <v>771.1803688</v>
      </c>
      <c r="F702" t="n">
        <v>797.2793407</v>
      </c>
      <c r="G702" t="n">
        <v>925.2363483</v>
      </c>
      <c r="H702" t="n">
        <v>1118.771668</v>
      </c>
    </row>
    <row r="703">
      <c r="A703" t="inlineStr">
        <is>
          <t>RWA|mit.gen.fos.1</t>
        </is>
      </c>
      <c r="B703" t="inlineStr">
        <is>
          <t>RWA</t>
        </is>
      </c>
      <c r="C703" t="inlineStr">
        <is>
          <t>mit.gen.fos.1</t>
        </is>
      </c>
      <c r="D703" t="n">
        <v>0.5734822901</v>
      </c>
      <c r="E703" t="n">
        <v>0.6031546287</v>
      </c>
      <c r="F703" t="n">
        <v>0.7757639987</v>
      </c>
      <c r="G703" t="n">
        <v>1.153859198</v>
      </c>
      <c r="H703" t="n">
        <v>1.573785471</v>
      </c>
    </row>
    <row r="704">
      <c r="A704" t="inlineStr">
        <is>
          <t>SAU|mit.gen.fos.1</t>
        </is>
      </c>
      <c r="B704" t="inlineStr">
        <is>
          <t>SAU</t>
        </is>
      </c>
      <c r="C704" t="inlineStr">
        <is>
          <t>mit.gen.fos.1</t>
        </is>
      </c>
      <c r="D704" t="n">
        <v>446.4464337</v>
      </c>
      <c r="E704" t="n">
        <v>457.577779</v>
      </c>
      <c r="F704" t="n">
        <v>487.3717427</v>
      </c>
      <c r="G704" t="n">
        <v>516.942653</v>
      </c>
      <c r="H704" t="n">
        <v>517.4024623</v>
      </c>
    </row>
    <row r="705">
      <c r="A705" t="inlineStr">
        <is>
          <t>SDN|mit.gen.fos.1</t>
        </is>
      </c>
      <c r="B705" t="inlineStr">
        <is>
          <t>SDN</t>
        </is>
      </c>
      <c r="C705" t="inlineStr">
        <is>
          <t>mit.gen.fos.1</t>
        </is>
      </c>
      <c r="D705" t="n">
        <v>3.032558805</v>
      </c>
      <c r="E705" t="n">
        <v>2.797747407</v>
      </c>
      <c r="F705" t="n">
        <v>1.327482173</v>
      </c>
      <c r="G705" t="n">
        <v>0</v>
      </c>
      <c r="H705" t="n">
        <v>0</v>
      </c>
    </row>
    <row r="706">
      <c r="A706" t="inlineStr">
        <is>
          <t>SEN|mit.gen.fos.1</t>
        </is>
      </c>
      <c r="B706" t="inlineStr">
        <is>
          <t>SEN</t>
        </is>
      </c>
      <c r="C706" t="inlineStr">
        <is>
          <t>mit.gen.fos.1</t>
        </is>
      </c>
      <c r="D706" t="n">
        <v>6.161369817</v>
      </c>
      <c r="E706" t="n">
        <v>6.524734129</v>
      </c>
      <c r="F706" t="n">
        <v>7.122801674</v>
      </c>
      <c r="G706" t="n">
        <v>9.395040123999999</v>
      </c>
      <c r="H706" t="n">
        <v>12.81999483</v>
      </c>
    </row>
    <row r="707">
      <c r="A707" t="inlineStr">
        <is>
          <t>SGP|mit.gen.fos.1</t>
        </is>
      </c>
      <c r="B707" t="inlineStr">
        <is>
          <t>SGP</t>
        </is>
      </c>
      <c r="C707" t="inlineStr">
        <is>
          <t>mit.gen.fos.1</t>
        </is>
      </c>
      <c r="D707" t="n">
        <v>57.19113867</v>
      </c>
      <c r="E707" t="n">
        <v>58.96418388</v>
      </c>
      <c r="F707" t="n">
        <v>64.21597522</v>
      </c>
      <c r="G707" t="n">
        <v>70.03683717</v>
      </c>
      <c r="H707" t="n">
        <v>71.52535514</v>
      </c>
    </row>
    <row r="708">
      <c r="A708" t="inlineStr">
        <is>
          <t>SLB|mit.gen.fos.1</t>
        </is>
      </c>
      <c r="B708" t="inlineStr">
        <is>
          <t>SLB</t>
        </is>
      </c>
      <c r="C708" t="inlineStr">
        <is>
          <t>mit.gen.fos.1</t>
        </is>
      </c>
      <c r="D708" t="n">
        <v>0.1019498064</v>
      </c>
      <c r="E708" t="n">
        <v>0.1018148547</v>
      </c>
      <c r="F708" t="n">
        <v>0.1029262793</v>
      </c>
      <c r="G708" t="n">
        <v>0.1059903049</v>
      </c>
      <c r="H708" t="n">
        <v>0.09338572044</v>
      </c>
    </row>
    <row r="709">
      <c r="A709" t="inlineStr">
        <is>
          <t>SLE|mit.gen.fos.1</t>
        </is>
      </c>
      <c r="B709" t="inlineStr">
        <is>
          <t>SLE</t>
        </is>
      </c>
      <c r="C709" t="inlineStr">
        <is>
          <t>mit.gen.fos.1</t>
        </is>
      </c>
      <c r="D709" t="n">
        <v>0.01618040299</v>
      </c>
      <c r="E709" t="n">
        <v>0.01646124499</v>
      </c>
      <c r="F709" t="n">
        <v>0.01823550884</v>
      </c>
      <c r="G709" t="n">
        <v>0.02196467922</v>
      </c>
      <c r="H709" t="n">
        <v>0.02354656242</v>
      </c>
    </row>
    <row r="710">
      <c r="A710" t="inlineStr">
        <is>
          <t>SLV|mit.gen.fos.1</t>
        </is>
      </c>
      <c r="B710" t="inlineStr">
        <is>
          <t>SLV</t>
        </is>
      </c>
      <c r="C710" t="inlineStr">
        <is>
          <t>mit.gen.fos.1</t>
        </is>
      </c>
      <c r="D710" t="n">
        <v>0.8309201395</v>
      </c>
      <c r="E710" t="n">
        <v>0.8447514439</v>
      </c>
      <c r="F710" t="n">
        <v>0.9089351282</v>
      </c>
      <c r="G710" t="n">
        <v>1.080323153</v>
      </c>
      <c r="H710" t="n">
        <v>1.274780282</v>
      </c>
    </row>
    <row r="711">
      <c r="A711" t="inlineStr">
        <is>
          <t>SOM|mit.gen.fos.1</t>
        </is>
      </c>
      <c r="B711" t="inlineStr">
        <is>
          <t>SOM</t>
        </is>
      </c>
      <c r="C711" t="inlineStr">
        <is>
          <t>mit.gen.fos.1</t>
        </is>
      </c>
      <c r="D711" t="n">
        <v>0.3879503911</v>
      </c>
      <c r="E711" t="n">
        <v>0.3861768266</v>
      </c>
      <c r="F711" t="n">
        <v>0.3743342037</v>
      </c>
      <c r="G711" t="n">
        <v>0.3551060693</v>
      </c>
      <c r="H711" t="n">
        <v>0.2799141809</v>
      </c>
    </row>
    <row r="712">
      <c r="A712" t="inlineStr">
        <is>
          <t>SRB|mit.gen.fos.1</t>
        </is>
      </c>
      <c r="B712" t="inlineStr">
        <is>
          <t>SRB</t>
        </is>
      </c>
      <c r="C712" t="inlineStr">
        <is>
          <t>mit.gen.fos.1</t>
        </is>
      </c>
      <c r="D712" t="n">
        <v>26.53328195</v>
      </c>
      <c r="E712" t="n">
        <v>26.84518117</v>
      </c>
      <c r="F712" t="n">
        <v>29.45250017</v>
      </c>
      <c r="G712" t="n">
        <v>35.77187233</v>
      </c>
      <c r="H712" t="n">
        <v>43.26857131</v>
      </c>
    </row>
    <row r="713">
      <c r="A713" t="inlineStr">
        <is>
          <t>STP|mit.gen.fos.1</t>
        </is>
      </c>
      <c r="B713" t="inlineStr">
        <is>
          <t>STP</t>
        </is>
      </c>
      <c r="C713" t="inlineStr">
        <is>
          <t>mit.gen.fos.1</t>
        </is>
      </c>
      <c r="D713" t="n">
        <v>0.07371873742</v>
      </c>
      <c r="E713" t="n">
        <v>0.07481833101</v>
      </c>
      <c r="F713" t="n">
        <v>0.08143734146000001</v>
      </c>
      <c r="G713" t="n">
        <v>0.09887517485</v>
      </c>
      <c r="H713" t="n">
        <v>0.1186230341</v>
      </c>
    </row>
    <row r="714">
      <c r="A714" t="inlineStr">
        <is>
          <t>SUR|mit.gen.fos.1</t>
        </is>
      </c>
      <c r="B714" t="inlineStr">
        <is>
          <t>SUR</t>
        </is>
      </c>
      <c r="C714" t="inlineStr">
        <is>
          <t>mit.gen.fos.1</t>
        </is>
      </c>
      <c r="D714" t="n">
        <v>0.9942956072</v>
      </c>
      <c r="E714" t="n">
        <v>0.9696030409</v>
      </c>
      <c r="F714" t="n">
        <v>0.9192985272</v>
      </c>
      <c r="G714" t="n">
        <v>0.689435555</v>
      </c>
      <c r="H714" t="n">
        <v>0.2811584195</v>
      </c>
    </row>
    <row r="715">
      <c r="A715" t="inlineStr">
        <is>
          <t>SVK|mit.gen.fos.1</t>
        </is>
      </c>
      <c r="B715" t="inlineStr">
        <is>
          <t>SVK</t>
        </is>
      </c>
      <c r="C715" t="inlineStr">
        <is>
          <t>mit.gen.fos.1</t>
        </is>
      </c>
      <c r="D715" t="n">
        <v>4.378452716</v>
      </c>
      <c r="E715" t="n">
        <v>4.078009208</v>
      </c>
      <c r="F715" t="n">
        <v>2.540899236</v>
      </c>
      <c r="G715" t="n">
        <v>0</v>
      </c>
      <c r="H715" t="n">
        <v>0</v>
      </c>
    </row>
    <row r="716">
      <c r="A716" t="inlineStr">
        <is>
          <t>SVN|mit.gen.fos.1</t>
        </is>
      </c>
      <c r="B716" t="inlineStr">
        <is>
          <t>SVN</t>
        </is>
      </c>
      <c r="C716" t="inlineStr">
        <is>
          <t>mit.gen.fos.1</t>
        </is>
      </c>
      <c r="D716" t="n">
        <v>3.21062762</v>
      </c>
      <c r="E716" t="n">
        <v>2.929564899</v>
      </c>
      <c r="F716" t="n">
        <v>1.5182714</v>
      </c>
      <c r="G716" t="n">
        <v>0</v>
      </c>
      <c r="H716" t="n">
        <v>0</v>
      </c>
    </row>
    <row r="717">
      <c r="A717" t="inlineStr">
        <is>
          <t>SWE|mit.gen.fos.1</t>
        </is>
      </c>
      <c r="B717" t="inlineStr">
        <is>
          <t>SWE</t>
        </is>
      </c>
      <c r="C717" t="inlineStr">
        <is>
          <t>mit.gen.fos.1</t>
        </is>
      </c>
      <c r="D717" t="n">
        <v>2.093643011</v>
      </c>
      <c r="E717" t="n">
        <v>1.856692439</v>
      </c>
      <c r="F717" t="n">
        <v>0.6166974982</v>
      </c>
      <c r="G717" t="n">
        <v>0</v>
      </c>
      <c r="H717" t="n">
        <v>0</v>
      </c>
    </row>
    <row r="718">
      <c r="A718" t="inlineStr">
        <is>
          <t>SWZ|mit.gen.fos.1</t>
        </is>
      </c>
      <c r="B718" t="inlineStr">
        <is>
          <t>SWZ</t>
        </is>
      </c>
      <c r="C718" t="inlineStr">
        <is>
          <t>mit.gen.fos.1</t>
        </is>
      </c>
      <c r="D718" t="n">
        <v>0.0545672109</v>
      </c>
      <c r="E718" t="n">
        <v>0.05226480625</v>
      </c>
      <c r="F718" t="n">
        <v>0.03917559321</v>
      </c>
      <c r="G718" t="n">
        <v>0</v>
      </c>
      <c r="H718" t="n">
        <v>0</v>
      </c>
    </row>
    <row r="719">
      <c r="A719" t="inlineStr">
        <is>
          <t>SYC|mit.gen.fos.1</t>
        </is>
      </c>
      <c r="B719" t="inlineStr">
        <is>
          <t>SYC</t>
        </is>
      </c>
      <c r="C719" t="inlineStr">
        <is>
          <t>mit.gen.fos.1</t>
        </is>
      </c>
      <c r="D719" t="n">
        <v>0.5316951767</v>
      </c>
      <c r="E719" t="n">
        <v>0.5453833993</v>
      </c>
      <c r="F719" t="n">
        <v>0.5398739393999999</v>
      </c>
      <c r="G719" t="n">
        <v>0.5257351235</v>
      </c>
      <c r="H719" t="n">
        <v>0.4989466939</v>
      </c>
    </row>
    <row r="720">
      <c r="A720" t="inlineStr">
        <is>
          <t>SYR|mit.gen.fos.1</t>
        </is>
      </c>
      <c r="B720" t="inlineStr">
        <is>
          <t>SYR</t>
        </is>
      </c>
      <c r="C720" t="inlineStr">
        <is>
          <t>mit.gen.fos.1</t>
        </is>
      </c>
      <c r="D720" t="n">
        <v>24.2529024</v>
      </c>
      <c r="E720" t="n">
        <v>24.72170737</v>
      </c>
      <c r="F720" t="n">
        <v>27.47559471</v>
      </c>
      <c r="G720" t="n">
        <v>36.16893827</v>
      </c>
      <c r="H720" t="n">
        <v>49.0697512</v>
      </c>
    </row>
    <row r="721">
      <c r="A721" t="inlineStr">
        <is>
          <t>TCD|mit.gen.fos.1</t>
        </is>
      </c>
      <c r="B721" t="inlineStr">
        <is>
          <t>TCD</t>
        </is>
      </c>
      <c r="C721" t="inlineStr">
        <is>
          <t>mit.gen.fos.1</t>
        </is>
      </c>
      <c r="D721" t="n">
        <v>0.35438433</v>
      </c>
      <c r="E721" t="n">
        <v>0.3684742497</v>
      </c>
      <c r="F721" t="n">
        <v>0.4437141291</v>
      </c>
      <c r="G721" t="n">
        <v>0.6284034264</v>
      </c>
      <c r="H721" t="n">
        <v>0.8386532513</v>
      </c>
    </row>
    <row r="722">
      <c r="A722" t="inlineStr">
        <is>
          <t>TGO|mit.gen.fos.1</t>
        </is>
      </c>
      <c r="B722" t="inlineStr">
        <is>
          <t>TGO</t>
        </is>
      </c>
      <c r="C722" t="inlineStr">
        <is>
          <t>mit.gen.fos.1</t>
        </is>
      </c>
      <c r="D722" t="n">
        <v>1.134091756</v>
      </c>
      <c r="E722" t="n">
        <v>1.149818195</v>
      </c>
      <c r="F722" t="n">
        <v>1.177971133</v>
      </c>
      <c r="G722" t="n">
        <v>1.098595672</v>
      </c>
      <c r="H722" t="n">
        <v>0.7199096644</v>
      </c>
    </row>
    <row r="723">
      <c r="A723" t="inlineStr">
        <is>
          <t>THA|mit.gen.fos.1</t>
        </is>
      </c>
      <c r="B723" t="inlineStr">
        <is>
          <t>THA</t>
        </is>
      </c>
      <c r="C723" t="inlineStr">
        <is>
          <t>mit.gen.fos.1</t>
        </is>
      </c>
      <c r="D723" t="n">
        <v>164.7353947</v>
      </c>
      <c r="E723" t="n">
        <v>166.671924</v>
      </c>
      <c r="F723" t="n">
        <v>172.3290543</v>
      </c>
      <c r="G723" t="n">
        <v>196.5937209</v>
      </c>
      <c r="H723" t="n">
        <v>230.193833</v>
      </c>
    </row>
    <row r="724">
      <c r="A724" t="inlineStr">
        <is>
          <t>TJK|mit.gen.fos.1</t>
        </is>
      </c>
      <c r="B724" t="inlineStr">
        <is>
          <t>TJK</t>
        </is>
      </c>
      <c r="C724" t="inlineStr">
        <is>
          <t>mit.gen.fos.1</t>
        </is>
      </c>
      <c r="D724" t="n">
        <v>0</v>
      </c>
      <c r="E724" t="n">
        <v>0.6072853276</v>
      </c>
      <c r="F724" t="n">
        <v>0.7957897798</v>
      </c>
      <c r="G724" t="n">
        <v>0</v>
      </c>
      <c r="H724" t="n">
        <v>0</v>
      </c>
    </row>
    <row r="725">
      <c r="A725" t="inlineStr">
        <is>
          <t>TKM|mit.gen.fos.1</t>
        </is>
      </c>
      <c r="B725" t="inlineStr">
        <is>
          <t>TKM</t>
        </is>
      </c>
      <c r="C725" t="inlineStr">
        <is>
          <t>mit.gen.fos.1</t>
        </is>
      </c>
      <c r="D725" t="n">
        <v>14.08662923</v>
      </c>
      <c r="E725" t="n">
        <v>14.44265198</v>
      </c>
      <c r="F725" t="n">
        <v>15.88383741</v>
      </c>
      <c r="G725" t="n">
        <v>19.66311267</v>
      </c>
      <c r="H725" t="n">
        <v>23.98227898</v>
      </c>
    </row>
    <row r="726">
      <c r="A726" t="inlineStr">
        <is>
          <t>TLS|mit.gen.fos.1</t>
        </is>
      </c>
      <c r="B726" t="inlineStr">
        <is>
          <t>TLS</t>
        </is>
      </c>
      <c r="C726" t="inlineStr">
        <is>
          <t>mit.gen.fos.1</t>
        </is>
      </c>
      <c r="D726" t="n">
        <v>0.3662087727</v>
      </c>
      <c r="E726" t="n">
        <v>0.3784377688</v>
      </c>
      <c r="F726" t="n">
        <v>0.442581037</v>
      </c>
      <c r="G726" t="n">
        <v>0.6070175318</v>
      </c>
      <c r="H726" t="n">
        <v>0.8013138119</v>
      </c>
    </row>
    <row r="727">
      <c r="A727" t="inlineStr">
        <is>
          <t>TON|mit.gen.fos.1</t>
        </is>
      </c>
      <c r="B727" t="inlineStr">
        <is>
          <t>TON</t>
        </is>
      </c>
      <c r="C727" t="inlineStr">
        <is>
          <t>mit.gen.fos.1</t>
        </is>
      </c>
      <c r="D727" t="n">
        <v>0.06087364235</v>
      </c>
      <c r="E727" t="n">
        <v>0.06214610851</v>
      </c>
      <c r="F727" t="n">
        <v>0.06869016108000001</v>
      </c>
      <c r="G727" t="n">
        <v>0.08730180056</v>
      </c>
      <c r="H727" t="n">
        <v>0.1075907549</v>
      </c>
    </row>
    <row r="728">
      <c r="A728" t="inlineStr">
        <is>
          <t>TTO|mit.gen.fos.1</t>
        </is>
      </c>
      <c r="B728" t="inlineStr">
        <is>
          <t>TTO</t>
        </is>
      </c>
      <c r="C728" t="inlineStr">
        <is>
          <t>mit.gen.fos.1</t>
        </is>
      </c>
      <c r="D728" t="n">
        <v>9.56194515</v>
      </c>
      <c r="E728" t="n">
        <v>9.579416988</v>
      </c>
      <c r="F728" t="n">
        <v>9.720416030000001</v>
      </c>
      <c r="G728" t="n">
        <v>10.35254368</v>
      </c>
      <c r="H728" t="n">
        <v>11.1448381</v>
      </c>
    </row>
    <row r="729">
      <c r="A729" t="inlineStr">
        <is>
          <t>TUN|mit.gen.fos.1</t>
        </is>
      </c>
      <c r="B729" t="inlineStr">
        <is>
          <t>TUN</t>
        </is>
      </c>
      <c r="C729" t="inlineStr">
        <is>
          <t>mit.gen.fos.1</t>
        </is>
      </c>
      <c r="D729" t="n">
        <v>21.48572828</v>
      </c>
      <c r="E729" t="n">
        <v>21.74768663</v>
      </c>
      <c r="F729" t="n">
        <v>23.0688011</v>
      </c>
      <c r="G729" t="n">
        <v>28.13388119</v>
      </c>
      <c r="H729" t="n">
        <v>35.46162371</v>
      </c>
    </row>
    <row r="730">
      <c r="A730" t="inlineStr">
        <is>
          <t>TUR|mit.gen.fos.1</t>
        </is>
      </c>
      <c r="B730" t="inlineStr">
        <is>
          <t>TUR</t>
        </is>
      </c>
      <c r="C730" t="inlineStr">
        <is>
          <t>mit.gen.fos.1</t>
        </is>
      </c>
      <c r="D730" t="n">
        <v>226.4148562</v>
      </c>
      <c r="E730" t="n">
        <v>230.0392269</v>
      </c>
      <c r="F730" t="n">
        <v>246.3999555</v>
      </c>
      <c r="G730" t="n">
        <v>277.412764</v>
      </c>
      <c r="H730" t="n">
        <v>304.934293</v>
      </c>
    </row>
    <row r="731">
      <c r="A731" t="inlineStr">
        <is>
          <t>TZA|mit.gen.fos.1</t>
        </is>
      </c>
      <c r="B731" t="inlineStr">
        <is>
          <t>TZA</t>
        </is>
      </c>
      <c r="C731" t="inlineStr">
        <is>
          <t>mit.gen.fos.1</t>
        </is>
      </c>
      <c r="D731" t="n">
        <v>5.995330437</v>
      </c>
      <c r="E731" t="n">
        <v>6.26087957</v>
      </c>
      <c r="F731" t="n">
        <v>7.797047442</v>
      </c>
      <c r="G731" t="n">
        <v>11.47798333</v>
      </c>
      <c r="H731" t="n">
        <v>15.73962915</v>
      </c>
    </row>
    <row r="732">
      <c r="A732" t="inlineStr">
        <is>
          <t>UGA|mit.gen.fos.1</t>
        </is>
      </c>
      <c r="B732" t="inlineStr">
        <is>
          <t>UGA</t>
        </is>
      </c>
      <c r="C732" t="inlineStr">
        <is>
          <t>mit.gen.fos.1</t>
        </is>
      </c>
      <c r="D732" t="n">
        <v>0.1715032539</v>
      </c>
      <c r="E732" t="n">
        <v>0.1801535307</v>
      </c>
      <c r="F732" t="n">
        <v>0.2349702279</v>
      </c>
      <c r="G732" t="n">
        <v>0.3559811173</v>
      </c>
      <c r="H732" t="n">
        <v>0.4871370584</v>
      </c>
    </row>
    <row r="733">
      <c r="A733" t="inlineStr">
        <is>
          <t>UKR|mit.gen.fos.1</t>
        </is>
      </c>
      <c r="B733" t="inlineStr">
        <is>
          <t>UKR</t>
        </is>
      </c>
      <c r="C733" t="inlineStr">
        <is>
          <t>mit.gen.fos.1</t>
        </is>
      </c>
      <c r="D733" t="n">
        <v>31.09478173</v>
      </c>
      <c r="E733" t="n">
        <v>29.14435685</v>
      </c>
      <c r="F733" t="n">
        <v>19.1506628</v>
      </c>
      <c r="G733" t="n">
        <v>0</v>
      </c>
      <c r="H733" t="n">
        <v>0</v>
      </c>
    </row>
    <row r="734">
      <c r="A734" t="inlineStr">
        <is>
          <t>URY|mit.gen.fos.1</t>
        </is>
      </c>
      <c r="B734" t="inlineStr">
        <is>
          <t>URY</t>
        </is>
      </c>
      <c r="C734" t="inlineStr">
        <is>
          <t>mit.gen.fos.1</t>
        </is>
      </c>
      <c r="D734" t="n">
        <v>0.2608880159</v>
      </c>
      <c r="E734" t="n">
        <v>0.02148666524</v>
      </c>
      <c r="F734" t="n">
        <v>0</v>
      </c>
      <c r="G734" t="n">
        <v>0</v>
      </c>
      <c r="H734" t="n">
        <v>0</v>
      </c>
    </row>
    <row r="735">
      <c r="A735" t="inlineStr">
        <is>
          <t>USA|mit.gen.fos.1</t>
        </is>
      </c>
      <c r="B735" t="inlineStr">
        <is>
          <t>USA</t>
        </is>
      </c>
      <c r="C735" t="inlineStr">
        <is>
          <t>mit.gen.fos.1</t>
        </is>
      </c>
      <c r="D735" t="n">
        <v>2627.915163</v>
      </c>
      <c r="E735" t="n">
        <v>2628.763369</v>
      </c>
      <c r="F735" t="n">
        <v>2651.402388</v>
      </c>
      <c r="G735" t="n">
        <v>2557.832564</v>
      </c>
      <c r="H735" t="n">
        <v>2222.130828</v>
      </c>
    </row>
    <row r="736">
      <c r="A736" t="inlineStr">
        <is>
          <t>UZB|mit.gen.fos.1</t>
        </is>
      </c>
      <c r="B736" t="inlineStr">
        <is>
          <t>UZB</t>
        </is>
      </c>
      <c r="C736" t="inlineStr">
        <is>
          <t>mit.gen.fos.1</t>
        </is>
      </c>
      <c r="D736" t="n">
        <v>69.96776905999999</v>
      </c>
      <c r="E736" t="n">
        <v>72.06040793</v>
      </c>
      <c r="F736" t="n">
        <v>77.94970665</v>
      </c>
      <c r="G736" t="n">
        <v>76.77704779</v>
      </c>
      <c r="H736" t="n">
        <v>58.92911028</v>
      </c>
    </row>
    <row r="737">
      <c r="A737" t="inlineStr">
        <is>
          <t>VCT|mit.gen.fos.1</t>
        </is>
      </c>
      <c r="B737" t="inlineStr">
        <is>
          <t>VCT</t>
        </is>
      </c>
      <c r="C737" t="inlineStr">
        <is>
          <t>mit.gen.fos.1</t>
        </is>
      </c>
      <c r="D737" t="n">
        <v>0.1310292616</v>
      </c>
      <c r="E737" t="n">
        <v>0.1341649693</v>
      </c>
      <c r="F737" t="n">
        <v>0.1497013603</v>
      </c>
      <c r="G737" t="n">
        <v>0.1877855754</v>
      </c>
      <c r="H737" t="n">
        <v>0.2294360194</v>
      </c>
    </row>
    <row r="738">
      <c r="A738" t="inlineStr">
        <is>
          <t>VEN|mit.gen.fos.1</t>
        </is>
      </c>
      <c r="B738" t="inlineStr">
        <is>
          <t>VEN</t>
        </is>
      </c>
      <c r="C738" t="inlineStr">
        <is>
          <t>mit.gen.fos.1</t>
        </is>
      </c>
      <c r="D738" t="n">
        <v>7.111144697</v>
      </c>
      <c r="E738" t="n">
        <v>5.547918274</v>
      </c>
      <c r="F738" t="n">
        <v>0</v>
      </c>
      <c r="G738" t="n">
        <v>0</v>
      </c>
      <c r="H738" t="n">
        <v>0</v>
      </c>
    </row>
    <row r="739">
      <c r="A739" t="inlineStr">
        <is>
          <t>VNM|mit.gen.fos.1</t>
        </is>
      </c>
      <c r="B739" t="inlineStr">
        <is>
          <t>VNM</t>
        </is>
      </c>
      <c r="C739" t="inlineStr">
        <is>
          <t>mit.gen.fos.1</t>
        </is>
      </c>
      <c r="D739" t="n">
        <v>170.1413874</v>
      </c>
      <c r="E739" t="n">
        <v>180.1211692</v>
      </c>
      <c r="F739" t="n">
        <v>227.8633901</v>
      </c>
      <c r="G739" t="n">
        <v>321.9020697</v>
      </c>
      <c r="H739" t="n">
        <v>419.8184427</v>
      </c>
    </row>
    <row r="740">
      <c r="A740" t="inlineStr">
        <is>
          <t>VUT|mit.gen.fos.1</t>
        </is>
      </c>
      <c r="B740" t="inlineStr">
        <is>
          <t>VUT</t>
        </is>
      </c>
      <c r="C740" t="inlineStr">
        <is>
          <t>mit.gen.fos.1</t>
        </is>
      </c>
      <c r="D740" t="n">
        <v>0.06161801805</v>
      </c>
      <c r="E740" t="n">
        <v>0.06321335362</v>
      </c>
      <c r="F740" t="n">
        <v>0.07477761521</v>
      </c>
      <c r="G740" t="n">
        <v>0.1078579589</v>
      </c>
      <c r="H740" t="n">
        <v>0.1446594091</v>
      </c>
    </row>
    <row r="741">
      <c r="A741" t="inlineStr">
        <is>
          <t>WSM|mit.gen.fos.1</t>
        </is>
      </c>
      <c r="B741" t="inlineStr">
        <is>
          <t>WSM</t>
        </is>
      </c>
      <c r="C741" t="inlineStr">
        <is>
          <t>mit.gen.fos.1</t>
        </is>
      </c>
      <c r="D741" t="n">
        <v>0.09098577877</v>
      </c>
      <c r="E741" t="n">
        <v>0.09381676528000001</v>
      </c>
      <c r="F741" t="n">
        <v>0.1060251554</v>
      </c>
      <c r="G741" t="n">
        <v>0.1354652182</v>
      </c>
      <c r="H741" t="n">
        <v>0.1661057725</v>
      </c>
    </row>
    <row r="742">
      <c r="A742" t="inlineStr">
        <is>
          <t>XKX|mit.gen.fos.1</t>
        </is>
      </c>
      <c r="B742" t="inlineStr">
        <is>
          <t>XKX</t>
        </is>
      </c>
      <c r="C742" t="inlineStr">
        <is>
          <t>mit.gen.fos.1</t>
        </is>
      </c>
      <c r="D742" t="n">
        <v>5.24193062</v>
      </c>
      <c r="E742" t="n">
        <v>5.279992972</v>
      </c>
      <c r="F742" t="n">
        <v>5.420234005</v>
      </c>
      <c r="G742" t="n">
        <v>5.73442175</v>
      </c>
      <c r="H742" t="n">
        <v>5.819832396</v>
      </c>
    </row>
    <row r="743">
      <c r="A743" t="inlineStr">
        <is>
          <t>YEM|mit.gen.fos.1</t>
        </is>
      </c>
      <c r="B743" t="inlineStr">
        <is>
          <t>YEM</t>
        </is>
      </c>
      <c r="C743" t="inlineStr">
        <is>
          <t>mit.gen.fos.1</t>
        </is>
      </c>
      <c r="D743" t="n">
        <v>3.838125111</v>
      </c>
      <c r="E743" t="n">
        <v>3.811081127</v>
      </c>
      <c r="F743" t="n">
        <v>3.95340174</v>
      </c>
      <c r="G743" t="n">
        <v>5.066140496</v>
      </c>
      <c r="H743" t="n">
        <v>6.946133564</v>
      </c>
    </row>
    <row r="744">
      <c r="A744" t="inlineStr">
        <is>
          <t>ZAF|mit.gen.fos.1</t>
        </is>
      </c>
      <c r="B744" t="inlineStr">
        <is>
          <t>ZAF</t>
        </is>
      </c>
      <c r="C744" t="inlineStr">
        <is>
          <t>mit.gen.fos.1</t>
        </is>
      </c>
      <c r="D744" t="n">
        <v>199.9421447</v>
      </c>
      <c r="E744" t="n">
        <v>197.7957204</v>
      </c>
      <c r="F744" t="n">
        <v>188.6735622</v>
      </c>
      <c r="G744" t="n">
        <v>182.6834216</v>
      </c>
      <c r="H744" t="n">
        <v>176.7318774</v>
      </c>
    </row>
    <row r="745">
      <c r="A745" t="inlineStr">
        <is>
          <t>ZMB|mit.gen.fos.1</t>
        </is>
      </c>
      <c r="B745" t="inlineStr">
        <is>
          <t>ZMB</t>
        </is>
      </c>
      <c r="C745" t="inlineStr">
        <is>
          <t>mit.gen.fos.1</t>
        </is>
      </c>
      <c r="D745" t="n">
        <v>2.473991993</v>
      </c>
      <c r="E745" t="n">
        <v>2.536430696</v>
      </c>
      <c r="F745" t="n">
        <v>2.931232842</v>
      </c>
      <c r="G745" t="n">
        <v>3.874037685</v>
      </c>
      <c r="H745" t="n">
        <v>5.055791118</v>
      </c>
    </row>
    <row r="746">
      <c r="A746" t="inlineStr">
        <is>
          <t>ZWE|mit.gen.fos.1</t>
        </is>
      </c>
      <c r="B746" t="inlineStr">
        <is>
          <t>ZWE</t>
        </is>
      </c>
      <c r="C746" t="inlineStr">
        <is>
          <t>mit.gen.fos.1</t>
        </is>
      </c>
      <c r="D746" t="n">
        <v>4.406260644</v>
      </c>
      <c r="E746" t="n">
        <v>4.648454252</v>
      </c>
      <c r="F746" t="n">
        <v>5.506666504</v>
      </c>
      <c r="G746" t="n">
        <v>7.588233031</v>
      </c>
      <c r="H746" t="n">
        <v>10.28596224</v>
      </c>
    </row>
    <row r="747">
      <c r="A747" t="inlineStr">
        <is>
          <t>ABW|mit.inv.gen.2</t>
        </is>
      </c>
      <c r="B747" t="inlineStr">
        <is>
          <t>ABW</t>
        </is>
      </c>
      <c r="C747" t="inlineStr">
        <is>
          <t>mit.inv.gen.2</t>
        </is>
      </c>
      <c r="D747" t="n">
        <v>0</v>
      </c>
      <c r="E747" t="n">
        <v>0.04769646833</v>
      </c>
      <c r="F747" t="n">
        <v>0.04598858199</v>
      </c>
      <c r="G747" t="n">
        <v>0.06452162821</v>
      </c>
      <c r="H747" t="n">
        <v>0.04843341342</v>
      </c>
    </row>
    <row r="748">
      <c r="A748" t="inlineStr">
        <is>
          <t>AFG|mit.inv.gen.2</t>
        </is>
      </c>
      <c r="B748" t="inlineStr">
        <is>
          <t>AFG</t>
        </is>
      </c>
      <c r="C748" t="inlineStr">
        <is>
          <t>mit.inv.gen.2</t>
        </is>
      </c>
      <c r="D748" t="n">
        <v>0</v>
      </c>
      <c r="E748" t="n">
        <v>0.07394639566</v>
      </c>
      <c r="F748" t="n">
        <v>0.1005490617</v>
      </c>
      <c r="G748" t="n">
        <v>0.1565363214</v>
      </c>
      <c r="H748" t="n">
        <v>0.1708314914</v>
      </c>
    </row>
    <row r="749">
      <c r="A749" t="inlineStr">
        <is>
          <t>AGO|mit.inv.gen.2</t>
        </is>
      </c>
      <c r="B749" t="inlineStr">
        <is>
          <t>AGO</t>
        </is>
      </c>
      <c r="C749" t="inlineStr">
        <is>
          <t>mit.inv.gen.2</t>
        </is>
      </c>
      <c r="D749" t="n">
        <v>0</v>
      </c>
      <c r="E749" t="n">
        <v>0.3440892791</v>
      </c>
      <c r="F749" t="n">
        <v>0.3968466988</v>
      </c>
      <c r="G749" t="n">
        <v>0.6210671533</v>
      </c>
      <c r="H749" t="n">
        <v>0.6573992034</v>
      </c>
    </row>
    <row r="750">
      <c r="A750" t="inlineStr">
        <is>
          <t>ALB|mit.inv.gen.2</t>
        </is>
      </c>
      <c r="B750" t="inlineStr">
        <is>
          <t>ALB</t>
        </is>
      </c>
      <c r="C750" t="inlineStr">
        <is>
          <t>mit.inv.gen.2</t>
        </is>
      </c>
      <c r="D750" t="n">
        <v>0</v>
      </c>
      <c r="E750" t="n">
        <v>0.09631982458</v>
      </c>
      <c r="F750" t="n">
        <v>0.1144441158</v>
      </c>
      <c r="G750" t="n">
        <v>0.1437943307</v>
      </c>
      <c r="H750" t="n">
        <v>0.1516432927</v>
      </c>
    </row>
    <row r="751">
      <c r="A751" t="inlineStr">
        <is>
          <t>ARE|mit.inv.gen.2</t>
        </is>
      </c>
      <c r="B751" t="inlineStr">
        <is>
          <t>ARE</t>
        </is>
      </c>
      <c r="C751" t="inlineStr">
        <is>
          <t>mit.inv.gen.2</t>
        </is>
      </c>
      <c r="D751" t="n">
        <v>0</v>
      </c>
      <c r="E751" t="n">
        <v>6.633993073</v>
      </c>
      <c r="F751" t="n">
        <v>6.142378362</v>
      </c>
      <c r="G751" t="n">
        <v>8.175889530999999</v>
      </c>
      <c r="H751" t="n">
        <v>6.155512427</v>
      </c>
    </row>
    <row r="752">
      <c r="A752" t="inlineStr">
        <is>
          <t>ARG|mit.inv.gen.2</t>
        </is>
      </c>
      <c r="B752" t="inlineStr">
        <is>
          <t>ARG</t>
        </is>
      </c>
      <c r="C752" t="inlineStr">
        <is>
          <t>mit.inv.gen.2</t>
        </is>
      </c>
      <c r="D752" t="n">
        <v>0</v>
      </c>
      <c r="E752" t="n">
        <v>3.561887539</v>
      </c>
      <c r="F752" t="n">
        <v>3.585522119</v>
      </c>
      <c r="G752" t="n">
        <v>4.238981033</v>
      </c>
      <c r="H752" t="n">
        <v>3.096297714</v>
      </c>
    </row>
    <row r="753">
      <c r="A753" t="inlineStr">
        <is>
          <t>ARM|mit.inv.gen.2</t>
        </is>
      </c>
      <c r="B753" t="inlineStr">
        <is>
          <t>ARM</t>
        </is>
      </c>
      <c r="C753" t="inlineStr">
        <is>
          <t>mit.inv.gen.2</t>
        </is>
      </c>
      <c r="D753" t="n">
        <v>0</v>
      </c>
      <c r="E753" t="n">
        <v>0.3582947026</v>
      </c>
      <c r="F753" t="n">
        <v>0.3607254429</v>
      </c>
      <c r="G753" t="n">
        <v>0.4280452159</v>
      </c>
      <c r="H753" t="n">
        <v>0.3954540341</v>
      </c>
    </row>
    <row r="754">
      <c r="A754" t="inlineStr">
        <is>
          <t>ATG|mit.inv.gen.2</t>
        </is>
      </c>
      <c r="B754" t="inlineStr">
        <is>
          <t>ATG</t>
        </is>
      </c>
      <c r="C754" t="inlineStr">
        <is>
          <t>mit.inv.gen.2</t>
        </is>
      </c>
      <c r="D754" t="n">
        <v>0</v>
      </c>
      <c r="E754" t="n">
        <v>0.01855442566</v>
      </c>
      <c r="F754" t="n">
        <v>0.02504748822</v>
      </c>
      <c r="G754" t="n">
        <v>0.03855423158</v>
      </c>
      <c r="H754" t="n">
        <v>0.03013959969</v>
      </c>
    </row>
    <row r="755">
      <c r="A755" t="inlineStr">
        <is>
          <t>AUS|mit.inv.gen.2</t>
        </is>
      </c>
      <c r="B755" t="inlineStr">
        <is>
          <t>AUS</t>
        </is>
      </c>
      <c r="C755" t="inlineStr">
        <is>
          <t>mit.inv.gen.2</t>
        </is>
      </c>
      <c r="D755" t="n">
        <v>0</v>
      </c>
      <c r="E755" t="n">
        <v>13.66430781</v>
      </c>
      <c r="F755" t="n">
        <v>19.91807952</v>
      </c>
      <c r="G755" t="n">
        <v>14.93904785</v>
      </c>
      <c r="H755" t="n">
        <v>13.43384213</v>
      </c>
    </row>
    <row r="756">
      <c r="A756" t="inlineStr">
        <is>
          <t>AUT|mit.inv.gen.2</t>
        </is>
      </c>
      <c r="B756" t="inlineStr">
        <is>
          <t>AUT</t>
        </is>
      </c>
      <c r="C756" t="inlineStr">
        <is>
          <t>mit.inv.gen.2</t>
        </is>
      </c>
      <c r="D756" t="n">
        <v>0</v>
      </c>
      <c r="E756" t="n">
        <v>2.481361399</v>
      </c>
      <c r="F756" t="n">
        <v>3.172345296</v>
      </c>
      <c r="G756" t="n">
        <v>2.734336223</v>
      </c>
      <c r="H756" t="n">
        <v>2.288978598</v>
      </c>
    </row>
    <row r="757">
      <c r="A757" t="inlineStr">
        <is>
          <t>AZE|mit.inv.gen.2</t>
        </is>
      </c>
      <c r="B757" t="inlineStr">
        <is>
          <t>AZE</t>
        </is>
      </c>
      <c r="C757" t="inlineStr">
        <is>
          <t>mit.inv.gen.2</t>
        </is>
      </c>
      <c r="D757" t="n">
        <v>0</v>
      </c>
      <c r="E757" t="n">
        <v>0.7651604084</v>
      </c>
      <c r="F757" t="n">
        <v>1.074057628</v>
      </c>
      <c r="G757" t="n">
        <v>1.828226284</v>
      </c>
      <c r="H757" t="n">
        <v>1.421605846</v>
      </c>
    </row>
    <row r="758">
      <c r="A758" t="inlineStr">
        <is>
          <t>BDI|mit.inv.gen.2</t>
        </is>
      </c>
      <c r="B758" t="inlineStr">
        <is>
          <t>BDI</t>
        </is>
      </c>
      <c r="C758" t="inlineStr">
        <is>
          <t>mit.inv.gen.2</t>
        </is>
      </c>
      <c r="D758" t="n">
        <v>0</v>
      </c>
      <c r="E758" t="n">
        <v>0.008669629449</v>
      </c>
      <c r="F758" t="n">
        <v>0.01607073309</v>
      </c>
      <c r="G758" t="n">
        <v>0.02670800974</v>
      </c>
      <c r="H758" t="n">
        <v>0.0275192824</v>
      </c>
    </row>
    <row r="759">
      <c r="A759" t="inlineStr">
        <is>
          <t>BEL|mit.inv.gen.2</t>
        </is>
      </c>
      <c r="B759" t="inlineStr">
        <is>
          <t>BEL</t>
        </is>
      </c>
      <c r="C759" t="inlineStr">
        <is>
          <t>mit.inv.gen.2</t>
        </is>
      </c>
      <c r="D759" t="n">
        <v>0</v>
      </c>
      <c r="E759" t="n">
        <v>3.245331518</v>
      </c>
      <c r="F759" t="n">
        <v>4.011971115</v>
      </c>
      <c r="G759" t="n">
        <v>3.538598585</v>
      </c>
      <c r="H759" t="n">
        <v>2.826794147</v>
      </c>
    </row>
    <row r="760">
      <c r="A760" t="inlineStr">
        <is>
          <t>BEN|mit.inv.gen.2</t>
        </is>
      </c>
      <c r="B760" t="inlineStr">
        <is>
          <t>BEN</t>
        </is>
      </c>
      <c r="C760" t="inlineStr">
        <is>
          <t>mit.inv.gen.2</t>
        </is>
      </c>
      <c r="D760" t="n">
        <v>0</v>
      </c>
      <c r="E760" t="n">
        <v>0.04962728608</v>
      </c>
      <c r="F760" t="n">
        <v>0.08456638606</v>
      </c>
      <c r="G760" t="n">
        <v>0.1559494678</v>
      </c>
      <c r="H760" t="n">
        <v>0.1328906859</v>
      </c>
    </row>
    <row r="761">
      <c r="A761" t="inlineStr">
        <is>
          <t>BFA|mit.inv.gen.2</t>
        </is>
      </c>
      <c r="B761" t="inlineStr">
        <is>
          <t>BFA</t>
        </is>
      </c>
      <c r="C761" t="inlineStr">
        <is>
          <t>mit.inv.gen.2</t>
        </is>
      </c>
      <c r="D761" t="n">
        <v>0</v>
      </c>
      <c r="E761" t="n">
        <v>0.09681420960000001</v>
      </c>
      <c r="F761" t="n">
        <v>0.1489326717</v>
      </c>
      <c r="G761" t="n">
        <v>0.282440711</v>
      </c>
      <c r="H761" t="n">
        <v>0.2687200136</v>
      </c>
    </row>
    <row r="762">
      <c r="A762" t="inlineStr">
        <is>
          <t>BGD|mit.inv.gen.2</t>
        </is>
      </c>
      <c r="B762" t="inlineStr">
        <is>
          <t>BGD</t>
        </is>
      </c>
      <c r="C762" t="inlineStr">
        <is>
          <t>mit.inv.gen.2</t>
        </is>
      </c>
      <c r="D762" t="n">
        <v>0</v>
      </c>
      <c r="E762" t="n">
        <v>3.046457447</v>
      </c>
      <c r="F762" t="n">
        <v>4.237008882</v>
      </c>
      <c r="G762" t="n">
        <v>7.176243977</v>
      </c>
      <c r="H762" t="n">
        <v>6.08827115</v>
      </c>
    </row>
    <row r="763">
      <c r="A763" t="inlineStr">
        <is>
          <t>BGR|mit.inv.gen.2</t>
        </is>
      </c>
      <c r="B763" t="inlineStr">
        <is>
          <t>BGR</t>
        </is>
      </c>
      <c r="C763" t="inlineStr">
        <is>
          <t>mit.inv.gen.2</t>
        </is>
      </c>
      <c r="D763" t="n">
        <v>0</v>
      </c>
      <c r="E763" t="n">
        <v>0.9464948813</v>
      </c>
      <c r="F763" t="n">
        <v>1.202396891</v>
      </c>
      <c r="G763" t="n">
        <v>1.34936607</v>
      </c>
      <c r="H763" t="n">
        <v>1.410616345</v>
      </c>
    </row>
    <row r="764">
      <c r="A764" t="inlineStr">
        <is>
          <t>BHR|mit.inv.gen.2</t>
        </is>
      </c>
      <c r="B764" t="inlineStr">
        <is>
          <t>BHR</t>
        </is>
      </c>
      <c r="C764" t="inlineStr">
        <is>
          <t>mit.inv.gen.2</t>
        </is>
      </c>
      <c r="D764" t="n">
        <v>0</v>
      </c>
      <c r="E764" t="n">
        <v>0.700078882</v>
      </c>
      <c r="F764" t="n">
        <v>0.6380019582000001</v>
      </c>
      <c r="G764" t="n">
        <v>0.8610257584</v>
      </c>
      <c r="H764" t="n">
        <v>0.4899139437</v>
      </c>
    </row>
    <row r="765">
      <c r="A765" t="inlineStr">
        <is>
          <t>BHS|mit.inv.gen.2</t>
        </is>
      </c>
      <c r="B765" t="inlineStr">
        <is>
          <t>BHS</t>
        </is>
      </c>
      <c r="C765" t="inlineStr">
        <is>
          <t>mit.inv.gen.2</t>
        </is>
      </c>
      <c r="D765" t="n">
        <v>0</v>
      </c>
      <c r="E765" t="n">
        <v>0.1269578913</v>
      </c>
      <c r="F765" t="n">
        <v>0.131571793</v>
      </c>
      <c r="G765" t="n">
        <v>0.174359587</v>
      </c>
      <c r="H765" t="n">
        <v>0.121934775</v>
      </c>
    </row>
    <row r="766">
      <c r="A766" t="inlineStr">
        <is>
          <t>BIH|mit.inv.gen.2</t>
        </is>
      </c>
      <c r="B766" t="inlineStr">
        <is>
          <t>BIH</t>
        </is>
      </c>
      <c r="C766" t="inlineStr">
        <is>
          <t>mit.inv.gen.2</t>
        </is>
      </c>
      <c r="D766" t="n">
        <v>0</v>
      </c>
      <c r="E766" t="n">
        <v>0.3351756366</v>
      </c>
      <c r="F766" t="n">
        <v>0.4427094528</v>
      </c>
      <c r="G766" t="n">
        <v>0.7136148806</v>
      </c>
      <c r="H766" t="n">
        <v>0.5752452809</v>
      </c>
    </row>
    <row r="767">
      <c r="A767" t="inlineStr">
        <is>
          <t>BLR|mit.inv.gen.2</t>
        </is>
      </c>
      <c r="B767" t="inlineStr">
        <is>
          <t>BLR</t>
        </is>
      </c>
      <c r="C767" t="inlineStr">
        <is>
          <t>mit.inv.gen.2</t>
        </is>
      </c>
      <c r="D767" t="n">
        <v>0</v>
      </c>
      <c r="E767" t="n">
        <v>0.8334695431</v>
      </c>
      <c r="F767" t="n">
        <v>1.110962792</v>
      </c>
      <c r="G767" t="n">
        <v>1.799798558</v>
      </c>
      <c r="H767" t="n">
        <v>1.584504224</v>
      </c>
    </row>
    <row r="768">
      <c r="A768" t="inlineStr">
        <is>
          <t>BLZ|mit.inv.gen.2</t>
        </is>
      </c>
      <c r="B768" t="inlineStr">
        <is>
          <t>BLZ</t>
        </is>
      </c>
      <c r="C768" t="inlineStr">
        <is>
          <t>mit.inv.gen.2</t>
        </is>
      </c>
      <c r="D768" t="n">
        <v>0</v>
      </c>
      <c r="E768" t="n">
        <v>0.01228376021</v>
      </c>
      <c r="F768" t="n">
        <v>0.01554353394</v>
      </c>
      <c r="G768" t="n">
        <v>0.0234995961</v>
      </c>
      <c r="H768" t="n">
        <v>0.02253987026</v>
      </c>
    </row>
    <row r="769">
      <c r="A769" t="inlineStr">
        <is>
          <t>BOL|mit.inv.gen.2</t>
        </is>
      </c>
      <c r="B769" t="inlineStr">
        <is>
          <t>BOL</t>
        </is>
      </c>
      <c r="C769" t="inlineStr">
        <is>
          <t>mit.inv.gen.2</t>
        </is>
      </c>
      <c r="D769" t="n">
        <v>0</v>
      </c>
      <c r="E769" t="n">
        <v>0.2288972387</v>
      </c>
      <c r="F769" t="n">
        <v>0.252114683</v>
      </c>
      <c r="G769" t="n">
        <v>0.5794518162</v>
      </c>
      <c r="H769" t="n">
        <v>0.5948643352</v>
      </c>
    </row>
    <row r="770">
      <c r="A770" t="inlineStr">
        <is>
          <t>BRA|mit.inv.gen.2</t>
        </is>
      </c>
      <c r="B770" t="inlineStr">
        <is>
          <t>BRA</t>
        </is>
      </c>
      <c r="C770" t="inlineStr">
        <is>
          <t>mit.inv.gen.2</t>
        </is>
      </c>
      <c r="D770" t="n">
        <v>0</v>
      </c>
      <c r="E770" t="n">
        <v>11.20841538</v>
      </c>
      <c r="F770" t="n">
        <v>13.11656702</v>
      </c>
      <c r="G770" t="n">
        <v>18.65697825</v>
      </c>
      <c r="H770" t="n">
        <v>18.33885989</v>
      </c>
    </row>
    <row r="771">
      <c r="A771" t="inlineStr">
        <is>
          <t>BRB|mit.inv.gen.2</t>
        </is>
      </c>
      <c r="B771" t="inlineStr">
        <is>
          <t>BRB</t>
        </is>
      </c>
      <c r="C771" t="inlineStr">
        <is>
          <t>mit.inv.gen.2</t>
        </is>
      </c>
      <c r="D771" t="n">
        <v>0</v>
      </c>
      <c r="E771" t="n">
        <v>0.04512682033</v>
      </c>
      <c r="F771" t="n">
        <v>0.05137226974</v>
      </c>
      <c r="G771" t="n">
        <v>0.07348387896</v>
      </c>
      <c r="H771" t="n">
        <v>0.05028957971</v>
      </c>
    </row>
    <row r="772">
      <c r="A772" t="inlineStr">
        <is>
          <t>BRN|mit.inv.gen.2</t>
        </is>
      </c>
      <c r="B772" t="inlineStr">
        <is>
          <t>BRN</t>
        </is>
      </c>
      <c r="C772" t="inlineStr">
        <is>
          <t>mit.inv.gen.2</t>
        </is>
      </c>
      <c r="D772" t="n">
        <v>0</v>
      </c>
      <c r="E772" t="n">
        <v>0.1107895359</v>
      </c>
      <c r="F772" t="n">
        <v>0.1549744336</v>
      </c>
      <c r="G772" t="n">
        <v>0.2294760278</v>
      </c>
      <c r="H772" t="n">
        <v>0.1590318343</v>
      </c>
    </row>
    <row r="773">
      <c r="A773" t="inlineStr">
        <is>
          <t>BTN|mit.inv.gen.2</t>
        </is>
      </c>
      <c r="B773" t="inlineStr">
        <is>
          <t>BTN</t>
        </is>
      </c>
      <c r="C773" t="inlineStr">
        <is>
          <t>mit.inv.gen.2</t>
        </is>
      </c>
      <c r="D773" t="n">
        <v>0</v>
      </c>
      <c r="E773" t="n">
        <v>0</v>
      </c>
      <c r="F773" t="n">
        <v>0</v>
      </c>
      <c r="G773" t="n">
        <v>0</v>
      </c>
      <c r="H773" t="n">
        <v>0.08387503876999999</v>
      </c>
    </row>
    <row r="774">
      <c r="A774" t="inlineStr">
        <is>
          <t>BWA|mit.inv.gen.2</t>
        </is>
      </c>
      <c r="B774" t="inlineStr">
        <is>
          <t>BWA</t>
        </is>
      </c>
      <c r="C774" t="inlineStr">
        <is>
          <t>mit.inv.gen.2</t>
        </is>
      </c>
      <c r="D774" t="n">
        <v>0</v>
      </c>
      <c r="E774" t="n">
        <v>0.07796470945</v>
      </c>
      <c r="F774" t="n">
        <v>0.1387976493</v>
      </c>
      <c r="G774" t="n">
        <v>0.2305978932</v>
      </c>
      <c r="H774" t="n">
        <v>0.1582292094</v>
      </c>
    </row>
    <row r="775">
      <c r="A775" t="inlineStr">
        <is>
          <t>CAF|mit.inv.gen.2</t>
        </is>
      </c>
      <c r="B775" t="inlineStr">
        <is>
          <t>CAF</t>
        </is>
      </c>
      <c r="C775" t="inlineStr">
        <is>
          <t>mit.inv.gen.2</t>
        </is>
      </c>
      <c r="D775" t="n">
        <v>0</v>
      </c>
      <c r="E775" t="n">
        <v>0</v>
      </c>
      <c r="F775" t="n">
        <v>0.00586626553</v>
      </c>
      <c r="G775" t="n">
        <v>0.01095375942</v>
      </c>
      <c r="H775" t="n">
        <v>0.01154901613</v>
      </c>
    </row>
    <row r="776">
      <c r="A776" t="inlineStr">
        <is>
          <t>CAN|mit.inv.gen.2</t>
        </is>
      </c>
      <c r="B776" t="inlineStr">
        <is>
          <t>CAN</t>
        </is>
      </c>
      <c r="C776" t="inlineStr">
        <is>
          <t>mit.inv.gen.2</t>
        </is>
      </c>
      <c r="D776" t="n">
        <v>0</v>
      </c>
      <c r="E776" t="n">
        <v>17.5529467</v>
      </c>
      <c r="F776" t="n">
        <v>22.61511954</v>
      </c>
      <c r="G776" t="n">
        <v>20.363063</v>
      </c>
      <c r="H776" t="n">
        <v>17.91489729</v>
      </c>
    </row>
    <row r="777">
      <c r="A777" t="inlineStr">
        <is>
          <t>CHE|mit.inv.gen.2</t>
        </is>
      </c>
      <c r="B777" t="inlineStr">
        <is>
          <t>CHE</t>
        </is>
      </c>
      <c r="C777" t="inlineStr">
        <is>
          <t>mit.inv.gen.2</t>
        </is>
      </c>
      <c r="D777" t="n">
        <v>0</v>
      </c>
      <c r="E777" t="n">
        <v>2.262357808</v>
      </c>
      <c r="F777" t="n">
        <v>2.816537709</v>
      </c>
      <c r="G777" t="n">
        <v>2.915957442</v>
      </c>
      <c r="H777" t="n">
        <v>2.450970085</v>
      </c>
    </row>
    <row r="778">
      <c r="A778" t="inlineStr">
        <is>
          <t>CHL|mit.inv.gen.2</t>
        </is>
      </c>
      <c r="B778" t="inlineStr">
        <is>
          <t>CHL</t>
        </is>
      </c>
      <c r="C778" t="inlineStr">
        <is>
          <t>mit.inv.gen.2</t>
        </is>
      </c>
      <c r="D778" t="n">
        <v>0</v>
      </c>
      <c r="E778" t="n">
        <v>1.882829406</v>
      </c>
      <c r="F778" t="n">
        <v>2.262658206</v>
      </c>
      <c r="G778" t="n">
        <v>2.927830015</v>
      </c>
      <c r="H778" t="n">
        <v>2.067535986</v>
      </c>
    </row>
    <row r="779">
      <c r="A779" t="inlineStr">
        <is>
          <t>CHN|mit.inv.gen.2</t>
        </is>
      </c>
      <c r="B779" t="inlineStr">
        <is>
          <t>CHN</t>
        </is>
      </c>
      <c r="C779" t="inlineStr">
        <is>
          <t>mit.inv.gen.2</t>
        </is>
      </c>
      <c r="D779" t="n">
        <v>0</v>
      </c>
      <c r="E779" t="n">
        <v>426.9151807</v>
      </c>
      <c r="F779" t="n">
        <v>530.8162683</v>
      </c>
      <c r="G779" t="n">
        <v>782.0547945</v>
      </c>
      <c r="H779" t="n">
        <v>542.9185807</v>
      </c>
    </row>
    <row r="780">
      <c r="A780" t="inlineStr">
        <is>
          <t>CIV|mit.inv.gen.2</t>
        </is>
      </c>
      <c r="B780" t="inlineStr">
        <is>
          <t>CIV</t>
        </is>
      </c>
      <c r="C780" t="inlineStr">
        <is>
          <t>mit.inv.gen.2</t>
        </is>
      </c>
      <c r="D780" t="n">
        <v>0</v>
      </c>
      <c r="E780" t="n">
        <v>0.2371963481</v>
      </c>
      <c r="F780" t="n">
        <v>0.3299285133</v>
      </c>
      <c r="G780" t="n">
        <v>0.535823273</v>
      </c>
      <c r="H780" t="n">
        <v>0.4751780232</v>
      </c>
    </row>
    <row r="781">
      <c r="A781" t="inlineStr">
        <is>
          <t>CMR|mit.inv.gen.2</t>
        </is>
      </c>
      <c r="B781" t="inlineStr">
        <is>
          <t>CMR</t>
        </is>
      </c>
      <c r="C781" t="inlineStr">
        <is>
          <t>mit.inv.gen.2</t>
        </is>
      </c>
      <c r="D781" t="n">
        <v>0</v>
      </c>
      <c r="E781" t="n">
        <v>0.1193078229</v>
      </c>
      <c r="F781" t="n">
        <v>0.1826968264</v>
      </c>
      <c r="G781" t="n">
        <v>0.2337356396</v>
      </c>
      <c r="H781" t="n">
        <v>0.2401608719</v>
      </c>
    </row>
    <row r="782">
      <c r="A782" t="inlineStr">
        <is>
          <t>COD|mit.inv.gen.2</t>
        </is>
      </c>
      <c r="B782" t="inlineStr">
        <is>
          <t>COD</t>
        </is>
      </c>
      <c r="C782" t="inlineStr">
        <is>
          <t>mit.inv.gen.2</t>
        </is>
      </c>
      <c r="D782" t="n">
        <v>0</v>
      </c>
      <c r="E782" t="n">
        <v>0.2179768176</v>
      </c>
      <c r="F782" t="n">
        <v>0.2775225529</v>
      </c>
      <c r="G782" t="n">
        <v>0.341670725</v>
      </c>
      <c r="H782" t="n">
        <v>0.3737315393</v>
      </c>
    </row>
    <row r="783">
      <c r="A783" t="inlineStr">
        <is>
          <t>COG|mit.inv.gen.2</t>
        </is>
      </c>
      <c r="B783" t="inlineStr">
        <is>
          <t>COG</t>
        </is>
      </c>
      <c r="C783" t="inlineStr">
        <is>
          <t>mit.inv.gen.2</t>
        </is>
      </c>
      <c r="D783" t="n">
        <v>0</v>
      </c>
      <c r="E783" t="n">
        <v>0.0146398255</v>
      </c>
      <c r="F783" t="n">
        <v>0.04767972773</v>
      </c>
      <c r="G783" t="n">
        <v>0.09496282867</v>
      </c>
      <c r="H783" t="n">
        <v>0.07711932311</v>
      </c>
    </row>
    <row r="784">
      <c r="A784" t="inlineStr">
        <is>
          <t>COL|mit.inv.gen.2</t>
        </is>
      </c>
      <c r="B784" t="inlineStr">
        <is>
          <t>COL</t>
        </is>
      </c>
      <c r="C784" t="inlineStr">
        <is>
          <t>mit.inv.gen.2</t>
        </is>
      </c>
      <c r="D784" t="n">
        <v>0</v>
      </c>
      <c r="E784" t="n">
        <v>0.9790520507</v>
      </c>
      <c r="F784" t="n">
        <v>1.179167335</v>
      </c>
      <c r="G784" t="n">
        <v>1.75978806</v>
      </c>
      <c r="H784" t="n">
        <v>1.688782157</v>
      </c>
    </row>
    <row r="785">
      <c r="A785" t="inlineStr">
        <is>
          <t>COM|mit.inv.gen.2</t>
        </is>
      </c>
      <c r="B785" t="inlineStr">
        <is>
          <t>COM</t>
        </is>
      </c>
      <c r="C785" t="inlineStr">
        <is>
          <t>mit.inv.gen.2</t>
        </is>
      </c>
      <c r="D785" t="n">
        <v>0</v>
      </c>
      <c r="E785" t="n">
        <v>0.005879133622</v>
      </c>
      <c r="F785" t="n">
        <v>0.01050395317</v>
      </c>
      <c r="G785" t="n">
        <v>0.02197615489</v>
      </c>
      <c r="H785" t="n">
        <v>0.02215353273</v>
      </c>
    </row>
    <row r="786">
      <c r="A786" t="inlineStr">
        <is>
          <t>CPV|mit.inv.gen.2</t>
        </is>
      </c>
      <c r="B786" t="inlineStr">
        <is>
          <t>CPV</t>
        </is>
      </c>
      <c r="C786" t="inlineStr">
        <is>
          <t>mit.inv.gen.2</t>
        </is>
      </c>
      <c r="D786" t="n">
        <v>0</v>
      </c>
      <c r="E786" t="n">
        <v>0.02278971047</v>
      </c>
      <c r="F786" t="n">
        <v>0.02704130386</v>
      </c>
      <c r="G786" t="n">
        <v>0.03846084832</v>
      </c>
      <c r="H786" t="n">
        <v>0.03840565778</v>
      </c>
    </row>
    <row r="787">
      <c r="A787" t="inlineStr">
        <is>
          <t>CRI|mit.inv.gen.2</t>
        </is>
      </c>
      <c r="B787" t="inlineStr">
        <is>
          <t>CRI</t>
        </is>
      </c>
      <c r="C787" t="inlineStr">
        <is>
          <t>mit.inv.gen.2</t>
        </is>
      </c>
      <c r="D787" t="n">
        <v>0</v>
      </c>
      <c r="E787" t="n">
        <v>0.2231059746</v>
      </c>
      <c r="F787" t="n">
        <v>0.2571311619</v>
      </c>
      <c r="G787" t="n">
        <v>0.3397186424</v>
      </c>
      <c r="H787" t="n">
        <v>0.327707903</v>
      </c>
    </row>
    <row r="788">
      <c r="A788" t="inlineStr">
        <is>
          <t>CYP|mit.inv.gen.2</t>
        </is>
      </c>
      <c r="B788" t="inlineStr">
        <is>
          <t>CYP</t>
        </is>
      </c>
      <c r="C788" t="inlineStr">
        <is>
          <t>mit.inv.gen.2</t>
        </is>
      </c>
      <c r="D788" t="n">
        <v>0</v>
      </c>
      <c r="E788" t="n">
        <v>0.3392556175</v>
      </c>
      <c r="F788" t="n">
        <v>0.5047476181</v>
      </c>
      <c r="G788" t="n">
        <v>0.3983684147</v>
      </c>
      <c r="H788" t="n">
        <v>0.3794171386</v>
      </c>
    </row>
    <row r="789">
      <c r="A789" t="inlineStr">
        <is>
          <t>CZE|mit.inv.gen.2</t>
        </is>
      </c>
      <c r="B789" t="inlineStr">
        <is>
          <t>CZE</t>
        </is>
      </c>
      <c r="C789" t="inlineStr">
        <is>
          <t>mit.inv.gen.2</t>
        </is>
      </c>
      <c r="D789" t="n">
        <v>0</v>
      </c>
      <c r="E789" t="n">
        <v>3.289950996</v>
      </c>
      <c r="F789" t="n">
        <v>4.596552485</v>
      </c>
      <c r="G789" t="n">
        <v>3.532857124</v>
      </c>
      <c r="H789" t="n">
        <v>2.822502705</v>
      </c>
    </row>
    <row r="790">
      <c r="A790" t="inlineStr">
        <is>
          <t>DEU|mit.inv.gen.2</t>
        </is>
      </c>
      <c r="B790" t="inlineStr">
        <is>
          <t>DEU</t>
        </is>
      </c>
      <c r="C790" t="inlineStr">
        <is>
          <t>mit.inv.gen.2</t>
        </is>
      </c>
      <c r="D790" t="n">
        <v>0</v>
      </c>
      <c r="E790" t="n">
        <v>27.53762666</v>
      </c>
      <c r="F790" t="n">
        <v>36.6914827</v>
      </c>
      <c r="G790" t="n">
        <v>29.25345729</v>
      </c>
      <c r="H790" t="n">
        <v>23.66715339</v>
      </c>
    </row>
    <row r="791">
      <c r="A791" t="inlineStr">
        <is>
          <t>DJI|mit.inv.gen.2</t>
        </is>
      </c>
      <c r="B791" t="inlineStr">
        <is>
          <t>DJI</t>
        </is>
      </c>
      <c r="C791" t="inlineStr">
        <is>
          <t>mit.inv.gen.2</t>
        </is>
      </c>
      <c r="D791" t="n">
        <v>0</v>
      </c>
      <c r="E791" t="n">
        <v>0.02553095173</v>
      </c>
      <c r="F791" t="n">
        <v>0.03065427384</v>
      </c>
      <c r="G791" t="n">
        <v>0.04358729758</v>
      </c>
      <c r="H791" t="n">
        <v>0.04157804414</v>
      </c>
    </row>
    <row r="792">
      <c r="A792" t="inlineStr">
        <is>
          <t>DMA|mit.inv.gen.2</t>
        </is>
      </c>
      <c r="B792" t="inlineStr">
        <is>
          <t>DMA</t>
        </is>
      </c>
      <c r="C792" t="inlineStr">
        <is>
          <t>mit.inv.gen.2</t>
        </is>
      </c>
      <c r="D792" t="n">
        <v>0</v>
      </c>
      <c r="E792" t="n">
        <v>0.004141494411</v>
      </c>
      <c r="F792" t="n">
        <v>0.004942271218</v>
      </c>
      <c r="G792" t="n">
        <v>0.008173380597999999</v>
      </c>
      <c r="H792" t="n">
        <v>0.006998568209</v>
      </c>
    </row>
    <row r="793">
      <c r="A793" t="inlineStr">
        <is>
          <t>DNK|mit.inv.gen.2</t>
        </is>
      </c>
      <c r="B793" t="inlineStr">
        <is>
          <t>DNK</t>
        </is>
      </c>
      <c r="C793" t="inlineStr">
        <is>
          <t>mit.inv.gen.2</t>
        </is>
      </c>
      <c r="D793" t="n">
        <v>0</v>
      </c>
      <c r="E793" t="n">
        <v>1.888794221</v>
      </c>
      <c r="F793" t="n">
        <v>1.584190575</v>
      </c>
      <c r="G793" t="n">
        <v>1.514485902</v>
      </c>
      <c r="H793" t="n">
        <v>1.250233817</v>
      </c>
    </row>
    <row r="794">
      <c r="A794" t="inlineStr">
        <is>
          <t>DOM|mit.inv.gen.2</t>
        </is>
      </c>
      <c r="B794" t="inlineStr">
        <is>
          <t>DOM</t>
        </is>
      </c>
      <c r="C794" t="inlineStr">
        <is>
          <t>mit.inv.gen.2</t>
        </is>
      </c>
      <c r="D794" t="n">
        <v>0</v>
      </c>
      <c r="E794" t="n">
        <v>0.5913687804</v>
      </c>
      <c r="F794" t="n">
        <v>0.8296714166</v>
      </c>
      <c r="G794" t="n">
        <v>1.243074472</v>
      </c>
      <c r="H794" t="n">
        <v>1.042197542</v>
      </c>
    </row>
    <row r="795">
      <c r="A795" t="inlineStr">
        <is>
          <t>DZA|mit.inv.gen.2</t>
        </is>
      </c>
      <c r="B795" t="inlineStr">
        <is>
          <t>DZA</t>
        </is>
      </c>
      <c r="C795" t="inlineStr">
        <is>
          <t>mit.inv.gen.2</t>
        </is>
      </c>
      <c r="D795" t="n">
        <v>0</v>
      </c>
      <c r="E795" t="n">
        <v>2.375332808</v>
      </c>
      <c r="F795" t="n">
        <v>2.883109803</v>
      </c>
      <c r="G795" t="n">
        <v>4.266808892</v>
      </c>
      <c r="H795" t="n">
        <v>3.553622113</v>
      </c>
    </row>
    <row r="796">
      <c r="A796" t="inlineStr">
        <is>
          <t>ECU|mit.inv.gen.2</t>
        </is>
      </c>
      <c r="B796" t="inlineStr">
        <is>
          <t>ECU</t>
        </is>
      </c>
      <c r="C796" t="inlineStr">
        <is>
          <t>mit.inv.gen.2</t>
        </is>
      </c>
      <c r="D796" t="n">
        <v>0</v>
      </c>
      <c r="E796" t="n">
        <v>1.064880239</v>
      </c>
      <c r="F796" t="n">
        <v>1.236516052</v>
      </c>
      <c r="G796" t="n">
        <v>1.944370116</v>
      </c>
      <c r="H796" t="n">
        <v>1.76479062</v>
      </c>
    </row>
    <row r="797">
      <c r="A797" t="inlineStr">
        <is>
          <t>EGY|mit.inv.gen.2</t>
        </is>
      </c>
      <c r="B797" t="inlineStr">
        <is>
          <t>EGY</t>
        </is>
      </c>
      <c r="C797" t="inlineStr">
        <is>
          <t>mit.inv.gen.2</t>
        </is>
      </c>
      <c r="D797" t="n">
        <v>0</v>
      </c>
      <c r="E797" t="n">
        <v>3.066589155</v>
      </c>
      <c r="F797" t="n">
        <v>3.687237579</v>
      </c>
      <c r="G797" t="n">
        <v>5.932223325</v>
      </c>
      <c r="H797" t="n">
        <v>5.453660446</v>
      </c>
    </row>
    <row r="798">
      <c r="A798" t="inlineStr">
        <is>
          <t>ESP|mit.inv.gen.2</t>
        </is>
      </c>
      <c r="B798" t="inlineStr">
        <is>
          <t>ESP</t>
        </is>
      </c>
      <c r="C798" t="inlineStr">
        <is>
          <t>mit.inv.gen.2</t>
        </is>
      </c>
      <c r="D798" t="n">
        <v>0</v>
      </c>
      <c r="E798" t="n">
        <v>11.15331604</v>
      </c>
      <c r="F798" t="n">
        <v>13.50207347</v>
      </c>
      <c r="G798" t="n">
        <v>11.3324111</v>
      </c>
      <c r="H798" t="n">
        <v>9.896838579000001</v>
      </c>
    </row>
    <row r="799">
      <c r="A799" t="inlineStr">
        <is>
          <t>EST|mit.inv.gen.2</t>
        </is>
      </c>
      <c r="B799" t="inlineStr">
        <is>
          <t>EST</t>
        </is>
      </c>
      <c r="C799" t="inlineStr">
        <is>
          <t>mit.inv.gen.2</t>
        </is>
      </c>
      <c r="D799" t="n">
        <v>0</v>
      </c>
      <c r="E799" t="n">
        <v>0.2172308374</v>
      </c>
      <c r="F799" t="n">
        <v>0.2946223577</v>
      </c>
      <c r="G799" t="n">
        <v>0.2162320807</v>
      </c>
      <c r="H799" t="n">
        <v>0.1787803436</v>
      </c>
    </row>
    <row r="800">
      <c r="A800" t="inlineStr">
        <is>
          <t>ETH|mit.inv.gen.2</t>
        </is>
      </c>
      <c r="B800" t="inlineStr">
        <is>
          <t>ETH</t>
        </is>
      </c>
      <c r="C800" t="inlineStr">
        <is>
          <t>mit.inv.gen.2</t>
        </is>
      </c>
      <c r="D800" t="n">
        <v>0</v>
      </c>
      <c r="E800" t="n">
        <v>0.01338606014</v>
      </c>
      <c r="F800" t="n">
        <v>0.8966508273</v>
      </c>
      <c r="G800" t="n">
        <v>1.303542192</v>
      </c>
      <c r="H800" t="n">
        <v>1.612175433</v>
      </c>
    </row>
    <row r="801">
      <c r="A801" t="inlineStr">
        <is>
          <t>FIN|mit.inv.gen.2</t>
        </is>
      </c>
      <c r="B801" t="inlineStr">
        <is>
          <t>FIN</t>
        </is>
      </c>
      <c r="C801" t="inlineStr">
        <is>
          <t>mit.inv.gen.2</t>
        </is>
      </c>
      <c r="D801" t="n">
        <v>0</v>
      </c>
      <c r="E801" t="n">
        <v>2.048778083</v>
      </c>
      <c r="F801" t="n">
        <v>1.654613744</v>
      </c>
      <c r="G801" t="n">
        <v>1.804832319</v>
      </c>
      <c r="H801" t="n">
        <v>1.695453459</v>
      </c>
    </row>
    <row r="802">
      <c r="A802" t="inlineStr">
        <is>
          <t>FJI|mit.inv.gen.2</t>
        </is>
      </c>
      <c r="B802" t="inlineStr">
        <is>
          <t>FJI</t>
        </is>
      </c>
      <c r="C802" t="inlineStr">
        <is>
          <t>mit.inv.gen.2</t>
        </is>
      </c>
      <c r="D802" t="n">
        <v>0</v>
      </c>
      <c r="E802" t="n">
        <v>0.026040406</v>
      </c>
      <c r="F802" t="n">
        <v>0.02886024457</v>
      </c>
      <c r="G802" t="n">
        <v>0.04179485593</v>
      </c>
      <c r="H802" t="n">
        <v>0.03901129935</v>
      </c>
    </row>
    <row r="803">
      <c r="A803" t="inlineStr">
        <is>
          <t>FRA|mit.inv.gen.2</t>
        </is>
      </c>
      <c r="B803" t="inlineStr">
        <is>
          <t>FRA</t>
        </is>
      </c>
      <c r="C803" t="inlineStr">
        <is>
          <t>mit.inv.gen.2</t>
        </is>
      </c>
      <c r="D803" t="n">
        <v>0</v>
      </c>
      <c r="E803" t="n">
        <v>17.92656267</v>
      </c>
      <c r="F803" t="n">
        <v>14.52123033</v>
      </c>
      <c r="G803" t="n">
        <v>15.83828203</v>
      </c>
      <c r="H803" t="n">
        <v>12.63718424</v>
      </c>
    </row>
    <row r="804">
      <c r="A804" t="inlineStr">
        <is>
          <t>GAB|mit.inv.gen.2</t>
        </is>
      </c>
      <c r="B804" t="inlineStr">
        <is>
          <t>GAB</t>
        </is>
      </c>
      <c r="C804" t="inlineStr">
        <is>
          <t>mit.inv.gen.2</t>
        </is>
      </c>
      <c r="D804" t="n">
        <v>0</v>
      </c>
      <c r="E804" t="n">
        <v>0.05122969724</v>
      </c>
      <c r="F804" t="n">
        <v>0.05737936895</v>
      </c>
      <c r="G804" t="n">
        <v>0.08547136218</v>
      </c>
      <c r="H804" t="n">
        <v>0.07673370415</v>
      </c>
    </row>
    <row r="805">
      <c r="A805" t="inlineStr">
        <is>
          <t>GBR|mit.inv.gen.2</t>
        </is>
      </c>
      <c r="B805" t="inlineStr">
        <is>
          <t>GBR</t>
        </is>
      </c>
      <c r="C805" t="inlineStr">
        <is>
          <t>mit.inv.gen.2</t>
        </is>
      </c>
      <c r="D805" t="n">
        <v>0</v>
      </c>
      <c r="E805" t="n">
        <v>15.7238157</v>
      </c>
      <c r="F805" t="n">
        <v>20.41044991</v>
      </c>
      <c r="G805" t="n">
        <v>17.06336654</v>
      </c>
      <c r="H805" t="n">
        <v>12.63534504</v>
      </c>
    </row>
    <row r="806">
      <c r="A806" t="inlineStr">
        <is>
          <t>GEO|mit.inv.gen.2</t>
        </is>
      </c>
      <c r="B806" t="inlineStr">
        <is>
          <t>GEO</t>
        </is>
      </c>
      <c r="C806" t="inlineStr">
        <is>
          <t>mit.inv.gen.2</t>
        </is>
      </c>
      <c r="D806" t="n">
        <v>0</v>
      </c>
      <c r="E806" t="n">
        <v>0.4523404654</v>
      </c>
      <c r="F806" t="n">
        <v>0.4480629229</v>
      </c>
      <c r="G806" t="n">
        <v>0.6123486953</v>
      </c>
      <c r="H806" t="n">
        <v>0.5900157477</v>
      </c>
    </row>
    <row r="807">
      <c r="A807" t="inlineStr">
        <is>
          <t>GHA|mit.inv.gen.2</t>
        </is>
      </c>
      <c r="B807" t="inlineStr">
        <is>
          <t>GHA</t>
        </is>
      </c>
      <c r="C807" t="inlineStr">
        <is>
          <t>mit.inv.gen.2</t>
        </is>
      </c>
      <c r="D807" t="n">
        <v>0</v>
      </c>
      <c r="E807" t="n">
        <v>0.2536041107</v>
      </c>
      <c r="F807" t="n">
        <v>0.6185412719</v>
      </c>
      <c r="G807" t="n">
        <v>1.101302233</v>
      </c>
      <c r="H807" t="n">
        <v>0.9650092202</v>
      </c>
    </row>
    <row r="808">
      <c r="A808" t="inlineStr">
        <is>
          <t>GIN|mit.inv.gen.2</t>
        </is>
      </c>
      <c r="B808" t="inlineStr">
        <is>
          <t>GIN</t>
        </is>
      </c>
      <c r="C808" t="inlineStr">
        <is>
          <t>mit.inv.gen.2</t>
        </is>
      </c>
      <c r="D808" t="n">
        <v>0</v>
      </c>
      <c r="E808" t="n">
        <v>0.1218045692</v>
      </c>
      <c r="F808" t="n">
        <v>0.1870577565</v>
      </c>
      <c r="G808" t="n">
        <v>0.2777422812</v>
      </c>
      <c r="H808" t="n">
        <v>0.3113545216</v>
      </c>
    </row>
    <row r="809">
      <c r="A809" t="inlineStr">
        <is>
          <t>GMB|mit.inv.gen.2</t>
        </is>
      </c>
      <c r="B809" t="inlineStr">
        <is>
          <t>GMB</t>
        </is>
      </c>
      <c r="C809" t="inlineStr">
        <is>
          <t>mit.inv.gen.2</t>
        </is>
      </c>
      <c r="D809" t="n">
        <v>0</v>
      </c>
      <c r="E809" t="n">
        <v>0.01958434558</v>
      </c>
      <c r="F809" t="n">
        <v>0.02617561003</v>
      </c>
      <c r="G809" t="n">
        <v>0.04442803217</v>
      </c>
      <c r="H809" t="n">
        <v>0.04995555776</v>
      </c>
    </row>
    <row r="810">
      <c r="A810" t="inlineStr">
        <is>
          <t>GNB|mit.inv.gen.2</t>
        </is>
      </c>
      <c r="B810" t="inlineStr">
        <is>
          <t>GNB</t>
        </is>
      </c>
      <c r="C810" t="inlineStr">
        <is>
          <t>mit.inv.gen.2</t>
        </is>
      </c>
      <c r="D810" t="n">
        <v>0</v>
      </c>
      <c r="E810" t="n">
        <v>0.005846514072</v>
      </c>
      <c r="F810" t="n">
        <v>0.008529539112999999</v>
      </c>
      <c r="G810" t="n">
        <v>0.01619490127</v>
      </c>
      <c r="H810" t="n">
        <v>0.01741213266</v>
      </c>
    </row>
    <row r="811">
      <c r="A811" t="inlineStr">
        <is>
          <t>GNQ|mit.inv.gen.2</t>
        </is>
      </c>
      <c r="B811" t="inlineStr">
        <is>
          <t>GNQ</t>
        </is>
      </c>
      <c r="C811" t="inlineStr">
        <is>
          <t>mit.inv.gen.2</t>
        </is>
      </c>
      <c r="D811" t="n">
        <v>0</v>
      </c>
      <c r="E811" t="n">
        <v>0.02941010788</v>
      </c>
      <c r="F811" t="n">
        <v>0.0424314612</v>
      </c>
      <c r="G811" t="n">
        <v>0.07853175541</v>
      </c>
      <c r="H811" t="n">
        <v>0.07929984831</v>
      </c>
    </row>
    <row r="812">
      <c r="A812" t="inlineStr">
        <is>
          <t>GRC|mit.inv.gen.2</t>
        </is>
      </c>
      <c r="B812" t="inlineStr">
        <is>
          <t>GRC</t>
        </is>
      </c>
      <c r="C812" t="inlineStr">
        <is>
          <t>mit.inv.gen.2</t>
        </is>
      </c>
      <c r="D812" t="n">
        <v>0</v>
      </c>
      <c r="E812" t="n">
        <v>2.42498222</v>
      </c>
      <c r="F812" t="n">
        <v>3.151858228</v>
      </c>
      <c r="G812" t="n">
        <v>2.21505628</v>
      </c>
      <c r="H812" t="n">
        <v>1.919746307</v>
      </c>
    </row>
    <row r="813">
      <c r="A813" t="inlineStr">
        <is>
          <t>GRD|mit.inv.gen.2</t>
        </is>
      </c>
      <c r="B813" t="inlineStr">
        <is>
          <t>GRD</t>
        </is>
      </c>
      <c r="C813" t="inlineStr">
        <is>
          <t>mit.inv.gen.2</t>
        </is>
      </c>
      <c r="D813" t="n">
        <v>0</v>
      </c>
      <c r="E813" t="n">
        <v>0.009084281499000001</v>
      </c>
      <c r="F813" t="n">
        <v>0.01084439898</v>
      </c>
      <c r="G813" t="n">
        <v>0.01768448854</v>
      </c>
      <c r="H813" t="n">
        <v>0.01514006897</v>
      </c>
    </row>
    <row r="814">
      <c r="A814" t="inlineStr">
        <is>
          <t>GTM|mit.inv.gen.2</t>
        </is>
      </c>
      <c r="B814" t="inlineStr">
        <is>
          <t>GTM</t>
        </is>
      </c>
      <c r="C814" t="inlineStr">
        <is>
          <t>mit.inv.gen.2</t>
        </is>
      </c>
      <c r="D814" t="n">
        <v>0</v>
      </c>
      <c r="E814" t="n">
        <v>0.1871982322</v>
      </c>
      <c r="F814" t="n">
        <v>0.2478075652</v>
      </c>
      <c r="G814" t="n">
        <v>0.3650039502</v>
      </c>
      <c r="H814" t="n">
        <v>0.3194499852</v>
      </c>
    </row>
    <row r="815">
      <c r="A815" t="inlineStr">
        <is>
          <t>GUY|mit.inv.gen.2</t>
        </is>
      </c>
      <c r="B815" t="inlineStr">
        <is>
          <t>GUY</t>
        </is>
      </c>
      <c r="C815" t="inlineStr">
        <is>
          <t>mit.inv.gen.2</t>
        </is>
      </c>
      <c r="D815" t="n">
        <v>0</v>
      </c>
      <c r="E815" t="n">
        <v>0.0791155761</v>
      </c>
      <c r="F815" t="n">
        <v>0.1477334381</v>
      </c>
      <c r="G815" t="n">
        <v>0.2338083215</v>
      </c>
      <c r="H815" t="n">
        <v>0.2097795528</v>
      </c>
    </row>
    <row r="816">
      <c r="A816" t="inlineStr">
        <is>
          <t>HKG|mit.inv.gen.2</t>
        </is>
      </c>
      <c r="B816" t="inlineStr">
        <is>
          <t>HKG</t>
        </is>
      </c>
      <c r="C816" t="inlineStr">
        <is>
          <t>mit.inv.gen.2</t>
        </is>
      </c>
      <c r="D816" t="n">
        <v>0</v>
      </c>
      <c r="E816" t="n">
        <v>2.234620694</v>
      </c>
      <c r="F816" t="n">
        <v>2.925687647</v>
      </c>
      <c r="G816" t="n">
        <v>1.309915515</v>
      </c>
      <c r="H816" t="n">
        <v>1.070316081</v>
      </c>
    </row>
    <row r="817">
      <c r="A817" t="inlineStr">
        <is>
          <t>HND|mit.inv.gen.2</t>
        </is>
      </c>
      <c r="B817" t="inlineStr">
        <is>
          <t>HND</t>
        </is>
      </c>
      <c r="C817" t="inlineStr">
        <is>
          <t>mit.inv.gen.2</t>
        </is>
      </c>
      <c r="D817" t="n">
        <v>0</v>
      </c>
      <c r="E817" t="n">
        <v>0.1848716896</v>
      </c>
      <c r="F817" t="n">
        <v>0.2415346392</v>
      </c>
      <c r="G817" t="n">
        <v>0.4067564826</v>
      </c>
      <c r="H817" t="n">
        <v>0.3900034516</v>
      </c>
    </row>
    <row r="818">
      <c r="A818" t="inlineStr">
        <is>
          <t>HRV|mit.inv.gen.2</t>
        </is>
      </c>
      <c r="B818" t="inlineStr">
        <is>
          <t>HRV</t>
        </is>
      </c>
      <c r="C818" t="inlineStr">
        <is>
          <t>mit.inv.gen.2</t>
        </is>
      </c>
      <c r="D818" t="n">
        <v>0</v>
      </c>
      <c r="E818" t="n">
        <v>0.5955169702000001</v>
      </c>
      <c r="F818" t="n">
        <v>0.7328353265000001</v>
      </c>
      <c r="G818" t="n">
        <v>0.5772196382</v>
      </c>
      <c r="H818" t="n">
        <v>0.468364847</v>
      </c>
    </row>
    <row r="819">
      <c r="A819" t="inlineStr">
        <is>
          <t>HTI|mit.inv.gen.2</t>
        </is>
      </c>
      <c r="B819" t="inlineStr">
        <is>
          <t>HTI</t>
        </is>
      </c>
      <c r="C819" t="inlineStr">
        <is>
          <t>mit.inv.gen.2</t>
        </is>
      </c>
      <c r="D819" t="n">
        <v>0</v>
      </c>
      <c r="E819" t="n">
        <v>0.04537550283</v>
      </c>
      <c r="F819" t="n">
        <v>0.05976278992</v>
      </c>
      <c r="G819" t="n">
        <v>0.09670659362</v>
      </c>
      <c r="H819" t="n">
        <v>0.1015547971</v>
      </c>
    </row>
    <row r="820">
      <c r="A820" t="inlineStr">
        <is>
          <t>HUN|mit.inv.gen.2</t>
        </is>
      </c>
      <c r="B820" t="inlineStr">
        <is>
          <t>HUN</t>
        </is>
      </c>
      <c r="C820" t="inlineStr">
        <is>
          <t>mit.inv.gen.2</t>
        </is>
      </c>
      <c r="D820" t="n">
        <v>0</v>
      </c>
      <c r="E820" t="n">
        <v>0.9926891736</v>
      </c>
      <c r="F820" t="n">
        <v>1.385835886</v>
      </c>
      <c r="G820" t="n">
        <v>1.300059772</v>
      </c>
      <c r="H820" t="n">
        <v>1.16653926</v>
      </c>
    </row>
    <row r="821">
      <c r="A821" t="inlineStr">
        <is>
          <t>IDN|mit.inv.gen.2</t>
        </is>
      </c>
      <c r="B821" t="inlineStr">
        <is>
          <t>IDN</t>
        </is>
      </c>
      <c r="C821" t="inlineStr">
        <is>
          <t>mit.inv.gen.2</t>
        </is>
      </c>
      <c r="D821" t="n">
        <v>0</v>
      </c>
      <c r="E821" t="n">
        <v>8.853501014000001</v>
      </c>
      <c r="F821" t="n">
        <v>11.67345178</v>
      </c>
      <c r="G821" t="n">
        <v>18.94668942</v>
      </c>
      <c r="H821" t="n">
        <v>17.66700162</v>
      </c>
    </row>
    <row r="822">
      <c r="A822" t="inlineStr">
        <is>
          <t>IND|mit.inv.gen.2</t>
        </is>
      </c>
      <c r="B822" t="inlineStr">
        <is>
          <t>IND</t>
        </is>
      </c>
      <c r="C822" t="inlineStr">
        <is>
          <t>mit.inv.gen.2</t>
        </is>
      </c>
      <c r="D822" t="n">
        <v>0</v>
      </c>
      <c r="E822" t="n">
        <v>51.20356369</v>
      </c>
      <c r="F822" t="n">
        <v>67.42745773</v>
      </c>
      <c r="G822" t="n">
        <v>107.827924</v>
      </c>
      <c r="H822" t="n">
        <v>100.4750447</v>
      </c>
    </row>
    <row r="823">
      <c r="A823" t="inlineStr">
        <is>
          <t>IRL|mit.inv.gen.2</t>
        </is>
      </c>
      <c r="B823" t="inlineStr">
        <is>
          <t>IRL</t>
        </is>
      </c>
      <c r="C823" t="inlineStr">
        <is>
          <t>mit.inv.gen.2</t>
        </is>
      </c>
      <c r="D823" t="n">
        <v>0</v>
      </c>
      <c r="E823" t="n">
        <v>3.134612557</v>
      </c>
      <c r="F823" t="n">
        <v>2.652230777</v>
      </c>
      <c r="G823" t="n">
        <v>1.872958627</v>
      </c>
      <c r="H823" t="n">
        <v>1.448837145</v>
      </c>
    </row>
    <row r="824">
      <c r="A824" t="inlineStr">
        <is>
          <t>IRN|mit.inv.gen.2</t>
        </is>
      </c>
      <c r="B824" t="inlineStr">
        <is>
          <t>IRN</t>
        </is>
      </c>
      <c r="C824" t="inlineStr">
        <is>
          <t>mit.inv.gen.2</t>
        </is>
      </c>
      <c r="D824" t="n">
        <v>0</v>
      </c>
      <c r="E824" t="n">
        <v>8.413407665999999</v>
      </c>
      <c r="F824" t="n">
        <v>7.6042381</v>
      </c>
      <c r="G824" t="n">
        <v>15.44459163</v>
      </c>
      <c r="H824" t="n">
        <v>12.76041318</v>
      </c>
    </row>
    <row r="825">
      <c r="A825" t="inlineStr">
        <is>
          <t>IRQ|mit.inv.gen.2</t>
        </is>
      </c>
      <c r="B825" t="inlineStr">
        <is>
          <t>IRQ</t>
        </is>
      </c>
      <c r="C825" t="inlineStr">
        <is>
          <t>mit.inv.gen.2</t>
        </is>
      </c>
      <c r="D825" t="n">
        <v>0</v>
      </c>
      <c r="E825" t="n">
        <v>1.647340998</v>
      </c>
      <c r="F825" t="n">
        <v>1.2927901</v>
      </c>
      <c r="G825" t="n">
        <v>2.71248571</v>
      </c>
      <c r="H825" t="n">
        <v>2.19432621</v>
      </c>
    </row>
    <row r="826">
      <c r="A826" t="inlineStr">
        <is>
          <t>ISL|mit.inv.gen.2</t>
        </is>
      </c>
      <c r="B826" t="inlineStr">
        <is>
          <t>ISL</t>
        </is>
      </c>
      <c r="C826" t="inlineStr">
        <is>
          <t>mit.inv.gen.2</t>
        </is>
      </c>
      <c r="D826" t="n">
        <v>0</v>
      </c>
      <c r="E826" t="n">
        <v>0.07315451979</v>
      </c>
      <c r="F826" t="n">
        <v>0.1288588135</v>
      </c>
      <c r="G826" t="n">
        <v>0.1240636429</v>
      </c>
      <c r="H826" t="n">
        <v>0.1212814403</v>
      </c>
    </row>
    <row r="827">
      <c r="A827" t="inlineStr">
        <is>
          <t>ISR|mit.inv.gen.2</t>
        </is>
      </c>
      <c r="B827" t="inlineStr">
        <is>
          <t>ISR</t>
        </is>
      </c>
      <c r="C827" t="inlineStr">
        <is>
          <t>mit.inv.gen.2</t>
        </is>
      </c>
      <c r="D827" t="n">
        <v>0</v>
      </c>
      <c r="E827" t="n">
        <v>4.3319614</v>
      </c>
      <c r="F827" t="n">
        <v>6.16514645</v>
      </c>
      <c r="G827" t="n">
        <v>3.246437775</v>
      </c>
      <c r="H827" t="n">
        <v>2.837581139</v>
      </c>
    </row>
    <row r="828">
      <c r="A828" t="inlineStr">
        <is>
          <t>ITA|mit.inv.gen.2</t>
        </is>
      </c>
      <c r="B828" t="inlineStr">
        <is>
          <t>ITA</t>
        </is>
      </c>
      <c r="C828" t="inlineStr">
        <is>
          <t>mit.inv.gen.2</t>
        </is>
      </c>
      <c r="D828" t="n">
        <v>0</v>
      </c>
      <c r="E828" t="n">
        <v>12.17591066</v>
      </c>
      <c r="F828" t="n">
        <v>16.61463926</v>
      </c>
      <c r="G828" t="n">
        <v>12.67300118</v>
      </c>
      <c r="H828" t="n">
        <v>9.951435870999999</v>
      </c>
    </row>
    <row r="829">
      <c r="A829" t="inlineStr">
        <is>
          <t>JAM|mit.inv.gen.2</t>
        </is>
      </c>
      <c r="B829" t="inlineStr">
        <is>
          <t>JAM</t>
        </is>
      </c>
      <c r="C829" t="inlineStr">
        <is>
          <t>mit.inv.gen.2</t>
        </is>
      </c>
      <c r="D829" t="n">
        <v>0</v>
      </c>
      <c r="E829" t="n">
        <v>0.1524969514</v>
      </c>
      <c r="F829" t="n">
        <v>0.174129828</v>
      </c>
      <c r="G829" t="n">
        <v>0.3215689449</v>
      </c>
      <c r="H829" t="n">
        <v>0.2771427478</v>
      </c>
    </row>
    <row r="830">
      <c r="A830" t="inlineStr">
        <is>
          <t>JOR|mit.inv.gen.2</t>
        </is>
      </c>
      <c r="B830" t="inlineStr">
        <is>
          <t>JOR</t>
        </is>
      </c>
      <c r="C830" t="inlineStr">
        <is>
          <t>mit.inv.gen.2</t>
        </is>
      </c>
      <c r="D830" t="n">
        <v>0</v>
      </c>
      <c r="E830" t="n">
        <v>0.4042186382</v>
      </c>
      <c r="F830" t="n">
        <v>0.4809522432</v>
      </c>
      <c r="G830" t="n">
        <v>0.7459563576</v>
      </c>
      <c r="H830" t="n">
        <v>0.5633539051999999</v>
      </c>
    </row>
    <row r="831">
      <c r="A831" t="inlineStr">
        <is>
          <t>JPN|mit.inv.gen.2</t>
        </is>
      </c>
      <c r="B831" t="inlineStr">
        <is>
          <t>JPN</t>
        </is>
      </c>
      <c r="C831" t="inlineStr">
        <is>
          <t>mit.inv.gen.2</t>
        </is>
      </c>
      <c r="D831" t="n">
        <v>0</v>
      </c>
      <c r="E831" t="n">
        <v>40.48445514</v>
      </c>
      <c r="F831" t="n">
        <v>52.88622098</v>
      </c>
      <c r="G831" t="n">
        <v>33.93104334</v>
      </c>
      <c r="H831" t="n">
        <v>29.72457174</v>
      </c>
    </row>
    <row r="832">
      <c r="A832" t="inlineStr">
        <is>
          <t>KAZ|mit.inv.gen.2</t>
        </is>
      </c>
      <c r="B832" t="inlineStr">
        <is>
          <t>KAZ</t>
        </is>
      </c>
      <c r="C832" t="inlineStr">
        <is>
          <t>mit.inv.gen.2</t>
        </is>
      </c>
      <c r="D832" t="n">
        <v>0</v>
      </c>
      <c r="E832" t="n">
        <v>3.387573901</v>
      </c>
      <c r="F832" t="n">
        <v>4.380033487</v>
      </c>
      <c r="G832" t="n">
        <v>7.057500388</v>
      </c>
      <c r="H832" t="n">
        <v>6.067183739</v>
      </c>
    </row>
    <row r="833">
      <c r="A833" t="inlineStr">
        <is>
          <t>KEN|mit.inv.gen.2</t>
        </is>
      </c>
      <c r="B833" t="inlineStr">
        <is>
          <t>KEN</t>
        </is>
      </c>
      <c r="C833" t="inlineStr">
        <is>
          <t>mit.inv.gen.2</t>
        </is>
      </c>
      <c r="D833" t="n">
        <v>0</v>
      </c>
      <c r="E833" t="n">
        <v>0.2983381802</v>
      </c>
      <c r="F833" t="n">
        <v>0.4068376213</v>
      </c>
      <c r="G833" t="n">
        <v>0.5663268621999999</v>
      </c>
      <c r="H833" t="n">
        <v>0.6042017179</v>
      </c>
    </row>
    <row r="834">
      <c r="A834" t="inlineStr">
        <is>
          <t>KGZ|mit.inv.gen.2</t>
        </is>
      </c>
      <c r="B834" t="inlineStr">
        <is>
          <t>KGZ</t>
        </is>
      </c>
      <c r="C834" t="inlineStr">
        <is>
          <t>mit.inv.gen.2</t>
        </is>
      </c>
      <c r="D834" t="n">
        <v>0</v>
      </c>
      <c r="E834" t="n">
        <v>0.4194797873</v>
      </c>
      <c r="F834" t="n">
        <v>0.364776078</v>
      </c>
      <c r="G834" t="n">
        <v>0.3966078462</v>
      </c>
      <c r="H834" t="n">
        <v>0.458667886</v>
      </c>
    </row>
    <row r="835">
      <c r="A835" t="inlineStr">
        <is>
          <t>KHM|mit.inv.gen.2</t>
        </is>
      </c>
      <c r="B835" t="inlineStr">
        <is>
          <t>KHM</t>
        </is>
      </c>
      <c r="C835" t="inlineStr">
        <is>
          <t>mit.inv.gen.2</t>
        </is>
      </c>
      <c r="D835" t="n">
        <v>0</v>
      </c>
      <c r="E835" t="n">
        <v>0.3575871551</v>
      </c>
      <c r="F835" t="n">
        <v>0.4380689953</v>
      </c>
      <c r="G835" t="n">
        <v>0.7121008939</v>
      </c>
      <c r="H835" t="n">
        <v>0.6319783637</v>
      </c>
    </row>
    <row r="836">
      <c r="A836" t="inlineStr">
        <is>
          <t>KNA|mit.inv.gen.2</t>
        </is>
      </c>
      <c r="B836" t="inlineStr">
        <is>
          <t>KNA</t>
        </is>
      </c>
      <c r="C836" t="inlineStr">
        <is>
          <t>mit.inv.gen.2</t>
        </is>
      </c>
      <c r="D836" t="n">
        <v>0</v>
      </c>
      <c r="E836" t="n">
        <v>0.01179480475</v>
      </c>
      <c r="F836" t="n">
        <v>0.01463210886</v>
      </c>
      <c r="G836" t="n">
        <v>0.01979027475</v>
      </c>
      <c r="H836" t="n">
        <v>0.0149483967</v>
      </c>
    </row>
    <row r="837">
      <c r="A837" t="inlineStr">
        <is>
          <t>KOR|mit.inv.gen.2</t>
        </is>
      </c>
      <c r="B837" t="inlineStr">
        <is>
          <t>KOR</t>
        </is>
      </c>
      <c r="C837" t="inlineStr">
        <is>
          <t>mit.inv.gen.2</t>
        </is>
      </c>
      <c r="D837" t="n">
        <v>0</v>
      </c>
      <c r="E837" t="n">
        <v>22.59114779</v>
      </c>
      <c r="F837" t="n">
        <v>32.5249779</v>
      </c>
      <c r="G837" t="n">
        <v>21.30746858</v>
      </c>
      <c r="H837" t="n">
        <v>18.71579371</v>
      </c>
    </row>
    <row r="838">
      <c r="A838" t="inlineStr">
        <is>
          <t>KWT|mit.inv.gen.2</t>
        </is>
      </c>
      <c r="B838" t="inlineStr">
        <is>
          <t>KWT</t>
        </is>
      </c>
      <c r="C838" t="inlineStr">
        <is>
          <t>mit.inv.gen.2</t>
        </is>
      </c>
      <c r="D838" t="n">
        <v>0</v>
      </c>
      <c r="E838" t="n">
        <v>2.237404313</v>
      </c>
      <c r="F838" t="n">
        <v>1.762367453</v>
      </c>
      <c r="G838" t="n">
        <v>2.943699047</v>
      </c>
      <c r="H838" t="n">
        <v>2.004576619</v>
      </c>
    </row>
    <row r="839">
      <c r="A839" t="inlineStr">
        <is>
          <t>LAO|mit.inv.gen.2</t>
        </is>
      </c>
      <c r="B839" t="inlineStr">
        <is>
          <t>LAO</t>
        </is>
      </c>
      <c r="C839" t="inlineStr">
        <is>
          <t>mit.inv.gen.2</t>
        </is>
      </c>
      <c r="D839" t="n">
        <v>0</v>
      </c>
      <c r="E839" t="n">
        <v>0.0008117201843</v>
      </c>
      <c r="F839" t="n">
        <v>0.0006970517416</v>
      </c>
      <c r="G839" t="n">
        <v>0.0005140227719</v>
      </c>
      <c r="H839" t="n">
        <v>0.0003790527938</v>
      </c>
    </row>
    <row r="840">
      <c r="A840" t="inlineStr">
        <is>
          <t>LBN|mit.inv.gen.2</t>
        </is>
      </c>
      <c r="B840" t="inlineStr">
        <is>
          <t>LBN</t>
        </is>
      </c>
      <c r="C840" t="inlineStr">
        <is>
          <t>mit.inv.gen.2</t>
        </is>
      </c>
      <c r="D840" t="n">
        <v>0</v>
      </c>
      <c r="E840" t="n">
        <v>0.6871751904</v>
      </c>
      <c r="F840" t="n">
        <v>0.7069146672</v>
      </c>
      <c r="G840" t="n">
        <v>0.953924542</v>
      </c>
      <c r="H840" t="n">
        <v>0.8814258522</v>
      </c>
    </row>
    <row r="841">
      <c r="A841" t="inlineStr">
        <is>
          <t>LBR|mit.inv.gen.2</t>
        </is>
      </c>
      <c r="B841" t="inlineStr">
        <is>
          <t>LBR</t>
        </is>
      </c>
      <c r="C841" t="inlineStr">
        <is>
          <t>mit.inv.gen.2</t>
        </is>
      </c>
      <c r="D841" t="n">
        <v>0</v>
      </c>
      <c r="E841" t="n">
        <v>0.01735059533</v>
      </c>
      <c r="F841" t="n">
        <v>0.02482174315</v>
      </c>
      <c r="G841" t="n">
        <v>0.04052177677</v>
      </c>
      <c r="H841" t="n">
        <v>0.04373195132</v>
      </c>
    </row>
    <row r="842">
      <c r="A842" t="inlineStr">
        <is>
          <t>LBY|mit.inv.gen.2</t>
        </is>
      </c>
      <c r="B842" t="inlineStr">
        <is>
          <t>LBY</t>
        </is>
      </c>
      <c r="C842" t="inlineStr">
        <is>
          <t>mit.inv.gen.2</t>
        </is>
      </c>
      <c r="D842" t="n">
        <v>0</v>
      </c>
      <c r="E842" t="n">
        <v>2.420121941</v>
      </c>
      <c r="F842" t="n">
        <v>1.894764893</v>
      </c>
      <c r="G842" t="n">
        <v>2.512379845</v>
      </c>
      <c r="H842" t="n">
        <v>2.024540822</v>
      </c>
    </row>
    <row r="843">
      <c r="A843" t="inlineStr">
        <is>
          <t>LCA|mit.inv.gen.2</t>
        </is>
      </c>
      <c r="B843" t="inlineStr">
        <is>
          <t>LCA</t>
        </is>
      </c>
      <c r="C843" t="inlineStr">
        <is>
          <t>mit.inv.gen.2</t>
        </is>
      </c>
      <c r="D843" t="n">
        <v>0</v>
      </c>
      <c r="E843" t="n">
        <v>0.009377067669000001</v>
      </c>
      <c r="F843" t="n">
        <v>0.01264112976</v>
      </c>
      <c r="G843" t="n">
        <v>0.02223961455</v>
      </c>
      <c r="H843" t="n">
        <v>0.01816432029</v>
      </c>
    </row>
    <row r="844">
      <c r="A844" t="inlineStr">
        <is>
          <t>LKA|mit.inv.gen.2</t>
        </is>
      </c>
      <c r="B844" t="inlineStr">
        <is>
          <t>LKA</t>
        </is>
      </c>
      <c r="C844" t="inlineStr">
        <is>
          <t>mit.inv.gen.2</t>
        </is>
      </c>
      <c r="D844" t="n">
        <v>0</v>
      </c>
      <c r="E844" t="n">
        <v>0.2275278408</v>
      </c>
      <c r="F844" t="n">
        <v>0.3181711621</v>
      </c>
      <c r="G844" t="n">
        <v>0.5410765404</v>
      </c>
      <c r="H844" t="n">
        <v>0.4907998046</v>
      </c>
    </row>
    <row r="845">
      <c r="A845" t="inlineStr">
        <is>
          <t>LSO|mit.inv.gen.2</t>
        </is>
      </c>
      <c r="B845" t="inlineStr">
        <is>
          <t>LSO</t>
        </is>
      </c>
      <c r="C845" t="inlineStr">
        <is>
          <t>mit.inv.gen.2</t>
        </is>
      </c>
      <c r="D845" t="n">
        <v>0</v>
      </c>
      <c r="E845" t="n">
        <v>0.04121793624</v>
      </c>
      <c r="F845" t="n">
        <v>0.05395467905</v>
      </c>
      <c r="G845" t="n">
        <v>0.09229251184999999</v>
      </c>
      <c r="H845" t="n">
        <v>0.09177113202999999</v>
      </c>
    </row>
    <row r="846">
      <c r="A846" t="inlineStr">
        <is>
          <t>LTU|mit.inv.gen.2</t>
        </is>
      </c>
      <c r="B846" t="inlineStr">
        <is>
          <t>LTU</t>
        </is>
      </c>
      <c r="C846" t="inlineStr">
        <is>
          <t>mit.inv.gen.2</t>
        </is>
      </c>
      <c r="D846" t="n">
        <v>0</v>
      </c>
      <c r="E846" t="n">
        <v>0.5262774845</v>
      </c>
      <c r="F846" t="n">
        <v>0.685021584</v>
      </c>
      <c r="G846" t="n">
        <v>0.5940176312</v>
      </c>
      <c r="H846" t="n">
        <v>0.4873365338</v>
      </c>
    </row>
    <row r="847">
      <c r="A847" t="inlineStr">
        <is>
          <t>LUX|mit.inv.gen.2</t>
        </is>
      </c>
      <c r="B847" t="inlineStr">
        <is>
          <t>LUX</t>
        </is>
      </c>
      <c r="C847" t="inlineStr">
        <is>
          <t>mit.inv.gen.2</t>
        </is>
      </c>
      <c r="D847" t="n">
        <v>0</v>
      </c>
      <c r="E847" t="n">
        <v>0.2411679144</v>
      </c>
      <c r="F847" t="n">
        <v>0.285833417</v>
      </c>
      <c r="G847" t="n">
        <v>0.2897732274</v>
      </c>
      <c r="H847" t="n">
        <v>0.2259198352</v>
      </c>
    </row>
    <row r="848">
      <c r="A848" t="inlineStr">
        <is>
          <t>LVA|mit.inv.gen.2</t>
        </is>
      </c>
      <c r="B848" t="inlineStr">
        <is>
          <t>LVA</t>
        </is>
      </c>
      <c r="C848" t="inlineStr">
        <is>
          <t>mit.inv.gen.2</t>
        </is>
      </c>
      <c r="D848" t="n">
        <v>0</v>
      </c>
      <c r="E848" t="n">
        <v>0.2529884414</v>
      </c>
      <c r="F848" t="n">
        <v>0.3479095007</v>
      </c>
      <c r="G848" t="n">
        <v>0.2889307534</v>
      </c>
      <c r="H848" t="n">
        <v>0.2372558777</v>
      </c>
    </row>
    <row r="849">
      <c r="A849" t="inlineStr">
        <is>
          <t>MAC|mit.inv.gen.2</t>
        </is>
      </c>
      <c r="B849" t="inlineStr">
        <is>
          <t>MAC</t>
        </is>
      </c>
      <c r="C849" t="inlineStr">
        <is>
          <t>mit.inv.gen.2</t>
        </is>
      </c>
      <c r="D849" t="n">
        <v>0</v>
      </c>
      <c r="E849" t="n">
        <v>0.1615248267</v>
      </c>
      <c r="F849" t="n">
        <v>0.1932713083</v>
      </c>
      <c r="G849" t="n">
        <v>0.08394766075</v>
      </c>
      <c r="H849" t="n">
        <v>0.07217497732</v>
      </c>
    </row>
    <row r="850">
      <c r="A850" t="inlineStr">
        <is>
          <t>MAR|mit.inv.gen.2</t>
        </is>
      </c>
      <c r="B850" t="inlineStr">
        <is>
          <t>MAR</t>
        </is>
      </c>
      <c r="C850" t="inlineStr">
        <is>
          <t>mit.inv.gen.2</t>
        </is>
      </c>
      <c r="D850" t="n">
        <v>0</v>
      </c>
      <c r="E850" t="n">
        <v>0.8406878297</v>
      </c>
      <c r="F850" t="n">
        <v>1.112713003</v>
      </c>
      <c r="G850" t="n">
        <v>1.823599938</v>
      </c>
      <c r="H850" t="n">
        <v>1.652199231</v>
      </c>
    </row>
    <row r="851">
      <c r="A851" t="inlineStr">
        <is>
          <t>MDA|mit.inv.gen.2</t>
        </is>
      </c>
      <c r="B851" t="inlineStr">
        <is>
          <t>MDA</t>
        </is>
      </c>
      <c r="C851" t="inlineStr">
        <is>
          <t>mit.inv.gen.2</t>
        </is>
      </c>
      <c r="D851" t="n">
        <v>0</v>
      </c>
      <c r="E851" t="n">
        <v>0.2215800431</v>
      </c>
      <c r="F851" t="n">
        <v>0.2656788743</v>
      </c>
      <c r="G851" t="n">
        <v>0.4467271869</v>
      </c>
      <c r="H851" t="n">
        <v>0.4340591799</v>
      </c>
    </row>
    <row r="852">
      <c r="A852" t="inlineStr">
        <is>
          <t>MDG|mit.inv.gen.2</t>
        </is>
      </c>
      <c r="B852" t="inlineStr">
        <is>
          <t>MDG</t>
        </is>
      </c>
      <c r="C852" t="inlineStr">
        <is>
          <t>mit.inv.gen.2</t>
        </is>
      </c>
      <c r="D852" t="n">
        <v>0</v>
      </c>
      <c r="E852" t="n">
        <v>0.04376905911</v>
      </c>
      <c r="F852" t="n">
        <v>0.06092055548</v>
      </c>
      <c r="G852" t="n">
        <v>0.09748212287999999</v>
      </c>
      <c r="H852" t="n">
        <v>0.09506600662</v>
      </c>
    </row>
    <row r="853">
      <c r="A853" t="inlineStr">
        <is>
          <t>MDV|mit.inv.gen.2</t>
        </is>
      </c>
      <c r="B853" t="inlineStr">
        <is>
          <t>MDV</t>
        </is>
      </c>
      <c r="C853" t="inlineStr">
        <is>
          <t>mit.inv.gen.2</t>
        </is>
      </c>
      <c r="D853" t="n">
        <v>0</v>
      </c>
      <c r="E853" t="n">
        <v>0.08554353959</v>
      </c>
      <c r="F853" t="n">
        <v>0.08866417767</v>
      </c>
      <c r="G853" t="n">
        <v>0.1323340402</v>
      </c>
      <c r="H853" t="n">
        <v>0.106874254</v>
      </c>
    </row>
    <row r="854">
      <c r="A854" t="inlineStr">
        <is>
          <t>MEX|mit.inv.gen.2</t>
        </is>
      </c>
      <c r="B854" t="inlineStr">
        <is>
          <t>MEX</t>
        </is>
      </c>
      <c r="C854" t="inlineStr">
        <is>
          <t>mit.inv.gen.2</t>
        </is>
      </c>
      <c r="D854" t="n">
        <v>0</v>
      </c>
      <c r="E854" t="n">
        <v>6.850648443</v>
      </c>
      <c r="F854" t="n">
        <v>8.978331079</v>
      </c>
      <c r="G854" t="n">
        <v>14.2690827</v>
      </c>
      <c r="H854" t="n">
        <v>12.37549422</v>
      </c>
    </row>
    <row r="855">
      <c r="A855" t="inlineStr">
        <is>
          <t>MKD|mit.inv.gen.2</t>
        </is>
      </c>
      <c r="B855" t="inlineStr">
        <is>
          <t>MKD</t>
        </is>
      </c>
      <c r="C855" t="inlineStr">
        <is>
          <t>mit.inv.gen.2</t>
        </is>
      </c>
      <c r="D855" t="n">
        <v>0</v>
      </c>
      <c r="E855" t="n">
        <v>0.1112583056</v>
      </c>
      <c r="F855" t="n">
        <v>0.1187323472</v>
      </c>
      <c r="G855" t="n">
        <v>0.1645927249</v>
      </c>
      <c r="H855" t="n">
        <v>0.1391776721</v>
      </c>
    </row>
    <row r="856">
      <c r="A856" t="inlineStr">
        <is>
          <t>MLI|mit.inv.gen.2</t>
        </is>
      </c>
      <c r="B856" t="inlineStr">
        <is>
          <t>MLI</t>
        </is>
      </c>
      <c r="C856" t="inlineStr">
        <is>
          <t>mit.inv.gen.2</t>
        </is>
      </c>
      <c r="D856" t="n">
        <v>0</v>
      </c>
      <c r="E856" t="n">
        <v>0.1271405021</v>
      </c>
      <c r="F856" t="n">
        <v>0.2213127181</v>
      </c>
      <c r="G856" t="n">
        <v>0.4549628501</v>
      </c>
      <c r="H856" t="n">
        <v>0.4411942945</v>
      </c>
    </row>
    <row r="857">
      <c r="A857" t="inlineStr">
        <is>
          <t>MLT|mit.inv.gen.2</t>
        </is>
      </c>
      <c r="B857" t="inlineStr">
        <is>
          <t>MLT</t>
        </is>
      </c>
      <c r="C857" t="inlineStr">
        <is>
          <t>mit.inv.gen.2</t>
        </is>
      </c>
      <c r="D857" t="n">
        <v>0</v>
      </c>
      <c r="E857" t="n">
        <v>0.0995864011</v>
      </c>
      <c r="F857" t="n">
        <v>0.1342504066</v>
      </c>
      <c r="G857" t="n">
        <v>0.06395924565</v>
      </c>
      <c r="H857" t="n">
        <v>0.05293929847</v>
      </c>
    </row>
    <row r="858">
      <c r="A858" t="inlineStr">
        <is>
          <t>MMR|mit.inv.gen.2</t>
        </is>
      </c>
      <c r="B858" t="inlineStr">
        <is>
          <t>MMR</t>
        </is>
      </c>
      <c r="C858" t="inlineStr">
        <is>
          <t>mit.inv.gen.2</t>
        </is>
      </c>
      <c r="D858" t="n">
        <v>0</v>
      </c>
      <c r="E858" t="n">
        <v>0.2959346907</v>
      </c>
      <c r="F858" t="n">
        <v>0.6830506769</v>
      </c>
      <c r="G858" t="n">
        <v>1.187806558</v>
      </c>
      <c r="H858" t="n">
        <v>1.255970473</v>
      </c>
    </row>
    <row r="859">
      <c r="A859" t="inlineStr">
        <is>
          <t>MNE|mit.inv.gen.2</t>
        </is>
      </c>
      <c r="B859" t="inlineStr">
        <is>
          <t>MNE</t>
        </is>
      </c>
      <c r="C859" t="inlineStr">
        <is>
          <t>mit.inv.gen.2</t>
        </is>
      </c>
      <c r="D859" t="n">
        <v>0</v>
      </c>
      <c r="E859" t="n">
        <v>0.0457807475</v>
      </c>
      <c r="F859" t="n">
        <v>0.06059117853</v>
      </c>
      <c r="G859" t="n">
        <v>0.060810229</v>
      </c>
      <c r="H859" t="n">
        <v>0.06039152218</v>
      </c>
    </row>
    <row r="860">
      <c r="A860" t="inlineStr">
        <is>
          <t>MNG|mit.inv.gen.2</t>
        </is>
      </c>
      <c r="B860" t="inlineStr">
        <is>
          <t>MNG</t>
        </is>
      </c>
      <c r="C860" t="inlineStr">
        <is>
          <t>mit.inv.gen.2</t>
        </is>
      </c>
      <c r="D860" t="n">
        <v>0</v>
      </c>
      <c r="E860" t="n">
        <v>0.1997908119</v>
      </c>
      <c r="F860" t="n">
        <v>0.2504703169</v>
      </c>
      <c r="G860" t="n">
        <v>0.4193584462</v>
      </c>
      <c r="H860" t="n">
        <v>0.3567089879</v>
      </c>
    </row>
    <row r="861">
      <c r="A861" t="inlineStr">
        <is>
          <t>MOZ|mit.inv.gen.2</t>
        </is>
      </c>
      <c r="B861" t="inlineStr">
        <is>
          <t>MOZ</t>
        </is>
      </c>
      <c r="C861" t="inlineStr">
        <is>
          <t>mit.inv.gen.2</t>
        </is>
      </c>
      <c r="D861" t="n">
        <v>0</v>
      </c>
      <c r="E861" t="n">
        <v>0.01406954925</v>
      </c>
      <c r="F861" t="n">
        <v>0.2070247925</v>
      </c>
      <c r="G861" t="n">
        <v>0.5014023756</v>
      </c>
      <c r="H861" t="n">
        <v>0.5424189517</v>
      </c>
    </row>
    <row r="862">
      <c r="A862" t="inlineStr">
        <is>
          <t>MRT|mit.inv.gen.2</t>
        </is>
      </c>
      <c r="B862" t="inlineStr">
        <is>
          <t>MRT</t>
        </is>
      </c>
      <c r="C862" t="inlineStr">
        <is>
          <t>mit.inv.gen.2</t>
        </is>
      </c>
      <c r="D862" t="n">
        <v>0</v>
      </c>
      <c r="E862" t="n">
        <v>0.08834412693</v>
      </c>
      <c r="F862" t="n">
        <v>0.1440969289</v>
      </c>
      <c r="G862" t="n">
        <v>0.2845288716</v>
      </c>
      <c r="H862" t="n">
        <v>0.2903999741</v>
      </c>
    </row>
    <row r="863">
      <c r="A863" t="inlineStr">
        <is>
          <t>MUS|mit.inv.gen.2</t>
        </is>
      </c>
      <c r="B863" t="inlineStr">
        <is>
          <t>MUS</t>
        </is>
      </c>
      <c r="C863" t="inlineStr">
        <is>
          <t>mit.inv.gen.2</t>
        </is>
      </c>
      <c r="D863" t="n">
        <v>0</v>
      </c>
      <c r="E863" t="n">
        <v>0.06707581746999999</v>
      </c>
      <c r="F863" t="n">
        <v>0.08508250043</v>
      </c>
      <c r="G863" t="n">
        <v>0.1322325004</v>
      </c>
      <c r="H863" t="n">
        <v>0.09552910638999999</v>
      </c>
    </row>
    <row r="864">
      <c r="A864" t="inlineStr">
        <is>
          <t>MWI|mit.inv.gen.2</t>
        </is>
      </c>
      <c r="B864" t="inlineStr">
        <is>
          <t>MWI</t>
        </is>
      </c>
      <c r="C864" t="inlineStr">
        <is>
          <t>mit.inv.gen.2</t>
        </is>
      </c>
      <c r="D864" t="n">
        <v>0</v>
      </c>
      <c r="E864" t="n">
        <v>0.01852022943</v>
      </c>
      <c r="F864" t="n">
        <v>0.03265599829</v>
      </c>
      <c r="G864" t="n">
        <v>0.06155573727</v>
      </c>
      <c r="H864" t="n">
        <v>0.06670672847</v>
      </c>
    </row>
    <row r="865">
      <c r="A865" t="inlineStr">
        <is>
          <t>MYS|mit.inv.gen.2</t>
        </is>
      </c>
      <c r="B865" t="inlineStr">
        <is>
          <t>MYS</t>
        </is>
      </c>
      <c r="C865" t="inlineStr">
        <is>
          <t>mit.inv.gen.2</t>
        </is>
      </c>
      <c r="D865" t="n">
        <v>0</v>
      </c>
      <c r="E865" t="n">
        <v>3.711593804</v>
      </c>
      <c r="F865" t="n">
        <v>4.725233776</v>
      </c>
      <c r="G865" t="n">
        <v>7.314117088</v>
      </c>
      <c r="H865" t="n">
        <v>6.011173611</v>
      </c>
    </row>
    <row r="866">
      <c r="A866" t="inlineStr">
        <is>
          <t>NAM|mit.inv.gen.2</t>
        </is>
      </c>
      <c r="B866" t="inlineStr">
        <is>
          <t>NAM</t>
        </is>
      </c>
      <c r="C866" t="inlineStr">
        <is>
          <t>mit.inv.gen.2</t>
        </is>
      </c>
      <c r="D866" t="n">
        <v>0</v>
      </c>
      <c r="E866" t="n">
        <v>0.0343474248</v>
      </c>
      <c r="F866" t="n">
        <v>0.04659923945</v>
      </c>
      <c r="G866" t="n">
        <v>0.0684972319</v>
      </c>
      <c r="H866" t="n">
        <v>0.07091271961999999</v>
      </c>
    </row>
    <row r="867">
      <c r="A867" t="inlineStr">
        <is>
          <t>NER|mit.inv.gen.2</t>
        </is>
      </c>
      <c r="B867" t="inlineStr">
        <is>
          <t>NER</t>
        </is>
      </c>
      <c r="C867" t="inlineStr">
        <is>
          <t>mit.inv.gen.2</t>
        </is>
      </c>
      <c r="D867" t="n">
        <v>0</v>
      </c>
      <c r="E867" t="n">
        <v>0.06612603119</v>
      </c>
      <c r="F867" t="n">
        <v>0.08958313751999999</v>
      </c>
      <c r="G867" t="n">
        <v>0.1424777549</v>
      </c>
      <c r="H867" t="n">
        <v>0.1264100837</v>
      </c>
    </row>
    <row r="868">
      <c r="A868" t="inlineStr">
        <is>
          <t>NGA|mit.inv.gen.2</t>
        </is>
      </c>
      <c r="B868" t="inlineStr">
        <is>
          <t>NGA</t>
        </is>
      </c>
      <c r="C868" t="inlineStr">
        <is>
          <t>mit.inv.gen.2</t>
        </is>
      </c>
      <c r="D868" t="n">
        <v>0</v>
      </c>
      <c r="E868" t="n">
        <v>0.904783462</v>
      </c>
      <c r="F868" t="n">
        <v>1.400873009</v>
      </c>
      <c r="G868" t="n">
        <v>2.449124249</v>
      </c>
      <c r="H868" t="n">
        <v>2.288609188</v>
      </c>
    </row>
    <row r="869">
      <c r="A869" t="inlineStr">
        <is>
          <t>NIC|mit.inv.gen.2</t>
        </is>
      </c>
      <c r="B869" t="inlineStr">
        <is>
          <t>NIC</t>
        </is>
      </c>
      <c r="C869" t="inlineStr">
        <is>
          <t>mit.inv.gen.2</t>
        </is>
      </c>
      <c r="D869" t="n">
        <v>0</v>
      </c>
      <c r="E869" t="n">
        <v>0.09091579407</v>
      </c>
      <c r="F869" t="n">
        <v>0.1129191527</v>
      </c>
      <c r="G869" t="n">
        <v>0.183001074</v>
      </c>
      <c r="H869" t="n">
        <v>0.187179519</v>
      </c>
    </row>
    <row r="870">
      <c r="A870" t="inlineStr">
        <is>
          <t>NLD|mit.inv.gen.2</t>
        </is>
      </c>
      <c r="B870" t="inlineStr">
        <is>
          <t>NLD</t>
        </is>
      </c>
      <c r="C870" t="inlineStr">
        <is>
          <t>mit.inv.gen.2</t>
        </is>
      </c>
      <c r="D870" t="n">
        <v>0</v>
      </c>
      <c r="E870" t="n">
        <v>6.704172155</v>
      </c>
      <c r="F870" t="n">
        <v>8.513122693</v>
      </c>
      <c r="G870" t="n">
        <v>6.876483097</v>
      </c>
      <c r="H870" t="n">
        <v>5.287669111</v>
      </c>
    </row>
    <row r="871">
      <c r="A871" t="inlineStr">
        <is>
          <t>NOR|mit.inv.gen.2</t>
        </is>
      </c>
      <c r="B871" t="inlineStr">
        <is>
          <t>NOR</t>
        </is>
      </c>
      <c r="C871" t="inlineStr">
        <is>
          <t>mit.inv.gen.2</t>
        </is>
      </c>
      <c r="D871" t="n">
        <v>0</v>
      </c>
      <c r="E871" t="n">
        <v>2.209205345</v>
      </c>
      <c r="F871" t="n">
        <v>2.915369869</v>
      </c>
      <c r="G871" t="n">
        <v>3.034362153</v>
      </c>
      <c r="H871" t="n">
        <v>2.931460705</v>
      </c>
    </row>
    <row r="872">
      <c r="A872" t="inlineStr">
        <is>
          <t>NPL|mit.inv.gen.2</t>
        </is>
      </c>
      <c r="B872" t="inlineStr">
        <is>
          <t>NPL</t>
        </is>
      </c>
      <c r="C872" t="inlineStr">
        <is>
          <t>mit.inv.gen.2</t>
        </is>
      </c>
      <c r="D872" t="n">
        <v>0</v>
      </c>
      <c r="E872" t="n">
        <v>0.3061428941</v>
      </c>
      <c r="F872" t="n">
        <v>0.350071222</v>
      </c>
      <c r="G872" t="n">
        <v>0.5422642537</v>
      </c>
      <c r="H872" t="n">
        <v>0.6443211492000001</v>
      </c>
    </row>
    <row r="873">
      <c r="A873" t="inlineStr">
        <is>
          <t>NRU|mit.inv.gen.2</t>
        </is>
      </c>
      <c r="B873" t="inlineStr">
        <is>
          <t>NRU</t>
        </is>
      </c>
      <c r="C873" t="inlineStr">
        <is>
          <t>mit.inv.gen.2</t>
        </is>
      </c>
      <c r="D873" t="n">
        <v>0</v>
      </c>
      <c r="E873" t="n">
        <v>0.003074082967</v>
      </c>
      <c r="F873" t="n">
        <v>0.004188168917</v>
      </c>
      <c r="G873" t="n">
        <v>0.007083400566</v>
      </c>
      <c r="H873" t="n">
        <v>0.006641560294</v>
      </c>
    </row>
    <row r="874">
      <c r="A874" t="inlineStr">
        <is>
          <t>NZL|mit.inv.gen.2</t>
        </is>
      </c>
      <c r="B874" t="inlineStr">
        <is>
          <t>NZL</t>
        </is>
      </c>
      <c r="C874" t="inlineStr">
        <is>
          <t>mit.inv.gen.2</t>
        </is>
      </c>
      <c r="D874" t="n">
        <v>0</v>
      </c>
      <c r="E874" t="n">
        <v>0.8047336203</v>
      </c>
      <c r="F874" t="n">
        <v>1.505417766</v>
      </c>
      <c r="G874" t="n">
        <v>1.296181263</v>
      </c>
      <c r="H874" t="n">
        <v>1.0616039</v>
      </c>
    </row>
    <row r="875">
      <c r="A875" t="inlineStr">
        <is>
          <t>OMN|mit.inv.gen.2</t>
        </is>
      </c>
      <c r="B875" t="inlineStr">
        <is>
          <t>OMN</t>
        </is>
      </c>
      <c r="C875" t="inlineStr">
        <is>
          <t>mit.inv.gen.2</t>
        </is>
      </c>
      <c r="D875" t="n">
        <v>0</v>
      </c>
      <c r="E875" t="n">
        <v>1.833540196</v>
      </c>
      <c r="F875" t="n">
        <v>2.388208942</v>
      </c>
      <c r="G875" t="n">
        <v>3.313497804</v>
      </c>
      <c r="H875" t="n">
        <v>2.338656694</v>
      </c>
    </row>
    <row r="876">
      <c r="A876" t="inlineStr">
        <is>
          <t>PAK|mit.inv.gen.2</t>
        </is>
      </c>
      <c r="B876" t="inlineStr">
        <is>
          <t>PAK</t>
        </is>
      </c>
      <c r="C876" t="inlineStr">
        <is>
          <t>mit.inv.gen.2</t>
        </is>
      </c>
      <c r="D876" t="n">
        <v>0</v>
      </c>
      <c r="E876" t="n">
        <v>2.477547123</v>
      </c>
      <c r="F876" t="n">
        <v>3.183910445</v>
      </c>
      <c r="G876" t="n">
        <v>5.030322815</v>
      </c>
      <c r="H876" t="n">
        <v>4.896368729</v>
      </c>
    </row>
    <row r="877">
      <c r="A877" t="inlineStr">
        <is>
          <t>PAN|mit.inv.gen.2</t>
        </is>
      </c>
      <c r="B877" t="inlineStr">
        <is>
          <t>PAN</t>
        </is>
      </c>
      <c r="C877" t="inlineStr">
        <is>
          <t>mit.inv.gen.2</t>
        </is>
      </c>
      <c r="D877" t="n">
        <v>0</v>
      </c>
      <c r="E877" t="n">
        <v>0.3092670077</v>
      </c>
      <c r="F877" t="n">
        <v>0.3277468028</v>
      </c>
      <c r="G877" t="n">
        <v>0.372135247</v>
      </c>
      <c r="H877" t="n">
        <v>0.2740328586</v>
      </c>
    </row>
    <row r="878">
      <c r="A878" t="inlineStr">
        <is>
          <t>PER|mit.inv.gen.2</t>
        </is>
      </c>
      <c r="B878" t="inlineStr">
        <is>
          <t>PER</t>
        </is>
      </c>
      <c r="C878" t="inlineStr">
        <is>
          <t>mit.inv.gen.2</t>
        </is>
      </c>
      <c r="D878" t="n">
        <v>0</v>
      </c>
      <c r="E878" t="n">
        <v>1.444049315</v>
      </c>
      <c r="F878" t="n">
        <v>1.743087156</v>
      </c>
      <c r="G878" t="n">
        <v>2.887641527</v>
      </c>
      <c r="H878" t="n">
        <v>2.531052841</v>
      </c>
    </row>
    <row r="879">
      <c r="A879" t="inlineStr">
        <is>
          <t>PHL|mit.inv.gen.2</t>
        </is>
      </c>
      <c r="B879" t="inlineStr">
        <is>
          <t>PHL</t>
        </is>
      </c>
      <c r="C879" t="inlineStr">
        <is>
          <t>mit.inv.gen.2</t>
        </is>
      </c>
      <c r="D879" t="n">
        <v>0</v>
      </c>
      <c r="E879" t="n">
        <v>2.930995993</v>
      </c>
      <c r="F879" t="n">
        <v>3.842850488</v>
      </c>
      <c r="G879" t="n">
        <v>6.482648912</v>
      </c>
      <c r="H879" t="n">
        <v>5.481927859</v>
      </c>
    </row>
    <row r="880">
      <c r="A880" t="inlineStr">
        <is>
          <t>PLW|mit.inv.gen.2</t>
        </is>
      </c>
      <c r="B880" t="inlineStr">
        <is>
          <t>PLW</t>
        </is>
      </c>
      <c r="C880" t="inlineStr">
        <is>
          <t>mit.inv.gen.2</t>
        </is>
      </c>
      <c r="D880" t="n">
        <v>0</v>
      </c>
      <c r="E880" t="n">
        <v>0.005179590889</v>
      </c>
      <c r="F880" t="n">
        <v>0.006420329566</v>
      </c>
      <c r="G880" t="n">
        <v>0.009908652864</v>
      </c>
      <c r="H880" t="n">
        <v>0.007047139995</v>
      </c>
    </row>
    <row r="881">
      <c r="A881" t="inlineStr">
        <is>
          <t>PNG|mit.inv.gen.2</t>
        </is>
      </c>
      <c r="B881" t="inlineStr">
        <is>
          <t>PNG</t>
        </is>
      </c>
      <c r="C881" t="inlineStr">
        <is>
          <t>mit.inv.gen.2</t>
        </is>
      </c>
      <c r="D881" t="n">
        <v>0</v>
      </c>
      <c r="E881" t="n">
        <v>0.178781018</v>
      </c>
      <c r="F881" t="n">
        <v>0.2268778723</v>
      </c>
      <c r="G881" t="n">
        <v>0.4058562471</v>
      </c>
      <c r="H881" t="n">
        <v>0.4251461069</v>
      </c>
    </row>
    <row r="882">
      <c r="A882" t="inlineStr">
        <is>
          <t>POL|mit.inv.gen.2</t>
        </is>
      </c>
      <c r="B882" t="inlineStr">
        <is>
          <t>POL</t>
        </is>
      </c>
      <c r="C882" t="inlineStr">
        <is>
          <t>mit.inv.gen.2</t>
        </is>
      </c>
      <c r="D882" t="n">
        <v>0</v>
      </c>
      <c r="E882" t="n">
        <v>6.698853382</v>
      </c>
      <c r="F882" t="n">
        <v>7.964027541</v>
      </c>
      <c r="G882" t="n">
        <v>10.45688047</v>
      </c>
      <c r="H882" t="n">
        <v>7.10997022</v>
      </c>
    </row>
    <row r="883">
      <c r="A883" t="inlineStr">
        <is>
          <t>PRI|mit.inv.gen.2</t>
        </is>
      </c>
      <c r="B883" t="inlineStr">
        <is>
          <t>PRI</t>
        </is>
      </c>
      <c r="C883" t="inlineStr">
        <is>
          <t>mit.inv.gen.2</t>
        </is>
      </c>
      <c r="D883" t="n">
        <v>0</v>
      </c>
      <c r="E883" t="n">
        <v>0.1686723278</v>
      </c>
      <c r="F883" t="n">
        <v>0.36668542</v>
      </c>
      <c r="G883" t="n">
        <v>0.3940832601</v>
      </c>
      <c r="H883" t="n">
        <v>0.2874141097</v>
      </c>
    </row>
    <row r="884">
      <c r="A884" t="inlineStr">
        <is>
          <t>PRT|mit.inv.gen.2</t>
        </is>
      </c>
      <c r="B884" t="inlineStr">
        <is>
          <t>PRT</t>
        </is>
      </c>
      <c r="C884" t="inlineStr">
        <is>
          <t>mit.inv.gen.2</t>
        </is>
      </c>
      <c r="D884" t="n">
        <v>0</v>
      </c>
      <c r="E884" t="n">
        <v>1.355183382</v>
      </c>
      <c r="F884" t="n">
        <v>1.660738643</v>
      </c>
      <c r="G884" t="n">
        <v>1.270500168</v>
      </c>
      <c r="H884" t="n">
        <v>1.07453097</v>
      </c>
    </row>
    <row r="885">
      <c r="A885" t="inlineStr">
        <is>
          <t>PRY|mit.inv.gen.2</t>
        </is>
      </c>
      <c r="B885" t="inlineStr">
        <is>
          <t>PRY</t>
        </is>
      </c>
      <c r="C885" t="inlineStr">
        <is>
          <t>mit.inv.gen.2</t>
        </is>
      </c>
      <c r="D885" t="n">
        <v>0</v>
      </c>
      <c r="E885" t="n">
        <v>0</v>
      </c>
      <c r="F885" t="n">
        <v>0</v>
      </c>
      <c r="G885" t="n">
        <v>0.5576710934</v>
      </c>
      <c r="H885" t="n">
        <v>0.6346962429</v>
      </c>
    </row>
    <row r="886">
      <c r="A886" t="inlineStr">
        <is>
          <t>QAT|mit.inv.gen.2</t>
        </is>
      </c>
      <c r="B886" t="inlineStr">
        <is>
          <t>QAT</t>
        </is>
      </c>
      <c r="C886" t="inlineStr">
        <is>
          <t>mit.inv.gen.2</t>
        </is>
      </c>
      <c r="D886" t="n">
        <v>0</v>
      </c>
      <c r="E886" t="n">
        <v>2.149335839</v>
      </c>
      <c r="F886" t="n">
        <v>1.121350495</v>
      </c>
      <c r="G886" t="n">
        <v>1.945476257</v>
      </c>
      <c r="H886" t="n">
        <v>1.395117982</v>
      </c>
    </row>
    <row r="887">
      <c r="A887" t="inlineStr">
        <is>
          <t>ROU|mit.inv.gen.2</t>
        </is>
      </c>
      <c r="B887" t="inlineStr">
        <is>
          <t>ROU</t>
        </is>
      </c>
      <c r="C887" t="inlineStr">
        <is>
          <t>mit.inv.gen.2</t>
        </is>
      </c>
      <c r="D887" t="n">
        <v>0</v>
      </c>
      <c r="E887" t="n">
        <v>1.64085788</v>
      </c>
      <c r="F887" t="n">
        <v>2.001518921</v>
      </c>
      <c r="G887" t="n">
        <v>3.066249173</v>
      </c>
      <c r="H887" t="n">
        <v>2.913886436</v>
      </c>
    </row>
    <row r="888">
      <c r="A888" t="inlineStr">
        <is>
          <t>RUS|mit.inv.gen.2</t>
        </is>
      </c>
      <c r="B888" t="inlineStr">
        <is>
          <t>RUS</t>
        </is>
      </c>
      <c r="C888" t="inlineStr">
        <is>
          <t>mit.inv.gen.2</t>
        </is>
      </c>
      <c r="D888" t="n">
        <v>0</v>
      </c>
      <c r="E888" t="n">
        <v>31.43504057</v>
      </c>
      <c r="F888" t="n">
        <v>42.4630783</v>
      </c>
      <c r="G888" t="n">
        <v>74.55468408</v>
      </c>
      <c r="H888" t="n">
        <v>69.51709789</v>
      </c>
    </row>
    <row r="889">
      <c r="A889" t="inlineStr">
        <is>
          <t>RWA|mit.inv.gen.2</t>
        </is>
      </c>
      <c r="B889" t="inlineStr">
        <is>
          <t>RWA</t>
        </is>
      </c>
      <c r="C889" t="inlineStr">
        <is>
          <t>mit.inv.gen.2</t>
        </is>
      </c>
      <c r="D889" t="n">
        <v>0</v>
      </c>
      <c r="E889" t="n">
        <v>0.02728005258</v>
      </c>
      <c r="F889" t="n">
        <v>0.03807305515</v>
      </c>
      <c r="G889" t="n">
        <v>0.05554664044</v>
      </c>
      <c r="H889" t="n">
        <v>0.05573326183</v>
      </c>
    </row>
    <row r="890">
      <c r="A890" t="inlineStr">
        <is>
          <t>SAU|mit.inv.gen.2</t>
        </is>
      </c>
      <c r="B890" t="inlineStr">
        <is>
          <t>SAU</t>
        </is>
      </c>
      <c r="C890" t="inlineStr">
        <is>
          <t>mit.inv.gen.2</t>
        </is>
      </c>
      <c r="D890" t="n">
        <v>0</v>
      </c>
      <c r="E890" t="n">
        <v>11.2240725</v>
      </c>
      <c r="F890" t="n">
        <v>12.63051188</v>
      </c>
      <c r="G890" t="n">
        <v>18.50359571</v>
      </c>
      <c r="H890" t="n">
        <v>11.63073873</v>
      </c>
    </row>
    <row r="891">
      <c r="A891" t="inlineStr">
        <is>
          <t>SDN|mit.inv.gen.2</t>
        </is>
      </c>
      <c r="B891" t="inlineStr">
        <is>
          <t>SDN</t>
        </is>
      </c>
      <c r="C891" t="inlineStr">
        <is>
          <t>mit.inv.gen.2</t>
        </is>
      </c>
      <c r="D891" t="n">
        <v>0</v>
      </c>
      <c r="E891" t="n">
        <v>0.3217486776</v>
      </c>
      <c r="F891" t="n">
        <v>0.4220713978</v>
      </c>
      <c r="G891" t="n">
        <v>0.6469303664</v>
      </c>
      <c r="H891" t="n">
        <v>0.6779206761</v>
      </c>
    </row>
    <row r="892">
      <c r="A892" t="inlineStr">
        <is>
          <t>SEN|mit.inv.gen.2</t>
        </is>
      </c>
      <c r="B892" t="inlineStr">
        <is>
          <t>SEN</t>
        </is>
      </c>
      <c r="C892" t="inlineStr">
        <is>
          <t>mit.inv.gen.2</t>
        </is>
      </c>
      <c r="D892" t="n">
        <v>0</v>
      </c>
      <c r="E892" t="n">
        <v>0.1766204698</v>
      </c>
      <c r="F892" t="n">
        <v>0.1538654148</v>
      </c>
      <c r="G892" t="n">
        <v>0.2858736459</v>
      </c>
      <c r="H892" t="n">
        <v>0.2611087694</v>
      </c>
    </row>
    <row r="893">
      <c r="A893" t="inlineStr">
        <is>
          <t>SGP|mit.inv.gen.2</t>
        </is>
      </c>
      <c r="B893" t="inlineStr">
        <is>
          <t>SGP</t>
        </is>
      </c>
      <c r="C893" t="inlineStr">
        <is>
          <t>mit.inv.gen.2</t>
        </is>
      </c>
      <c r="D893" t="n">
        <v>0</v>
      </c>
      <c r="E893" t="n">
        <v>2.558150564</v>
      </c>
      <c r="F893" t="n">
        <v>3.890010868</v>
      </c>
      <c r="G893" t="n">
        <v>2.185646661</v>
      </c>
      <c r="H893" t="n">
        <v>1.996212441</v>
      </c>
    </row>
    <row r="894">
      <c r="A894" t="inlineStr">
        <is>
          <t>SLB|mit.inv.gen.2</t>
        </is>
      </c>
      <c r="B894" t="inlineStr">
        <is>
          <t>SLB</t>
        </is>
      </c>
      <c r="C894" t="inlineStr">
        <is>
          <t>mit.inv.gen.2</t>
        </is>
      </c>
      <c r="D894" t="n">
        <v>0</v>
      </c>
      <c r="E894" t="n">
        <v>0.007484819386</v>
      </c>
      <c r="F894" t="n">
        <v>0.0103145164</v>
      </c>
      <c r="G894" t="n">
        <v>0.01467589445</v>
      </c>
      <c r="H894" t="n">
        <v>0.01369025837</v>
      </c>
    </row>
    <row r="895">
      <c r="A895" t="inlineStr">
        <is>
          <t>SLE|mit.inv.gen.2</t>
        </is>
      </c>
      <c r="B895" t="inlineStr">
        <is>
          <t>SLE</t>
        </is>
      </c>
      <c r="C895" t="inlineStr">
        <is>
          <t>mit.inv.gen.2</t>
        </is>
      </c>
      <c r="D895" t="n">
        <v>0</v>
      </c>
      <c r="E895" t="n">
        <v>0.01154913628</v>
      </c>
      <c r="F895" t="n">
        <v>0.01829994726</v>
      </c>
      <c r="G895" t="n">
        <v>0.03059130709</v>
      </c>
      <c r="H895" t="n">
        <v>0.03684582436</v>
      </c>
    </row>
    <row r="896">
      <c r="A896" t="inlineStr">
        <is>
          <t>SLV|mit.inv.gen.2</t>
        </is>
      </c>
      <c r="B896" t="inlineStr">
        <is>
          <t>SLV</t>
        </is>
      </c>
      <c r="C896" t="inlineStr">
        <is>
          <t>mit.inv.gen.2</t>
        </is>
      </c>
      <c r="D896" t="n">
        <v>0</v>
      </c>
      <c r="E896" t="n">
        <v>0.1594331086</v>
      </c>
      <c r="F896" t="n">
        <v>0.2039500375</v>
      </c>
      <c r="G896" t="n">
        <v>0.3117674528</v>
      </c>
      <c r="H896" t="n">
        <v>0.342635725</v>
      </c>
    </row>
    <row r="897">
      <c r="A897" t="inlineStr">
        <is>
          <t>SOM|mit.inv.gen.2</t>
        </is>
      </c>
      <c r="B897" t="inlineStr">
        <is>
          <t>SOM</t>
        </is>
      </c>
      <c r="C897" t="inlineStr">
        <is>
          <t>mit.inv.gen.2</t>
        </is>
      </c>
      <c r="D897" t="n">
        <v>0</v>
      </c>
      <c r="E897" t="n">
        <v>0.01376511144</v>
      </c>
      <c r="F897" t="n">
        <v>0.02007238935</v>
      </c>
      <c r="G897" t="n">
        <v>0.03948634203</v>
      </c>
      <c r="H897" t="n">
        <v>0.04070761577</v>
      </c>
    </row>
    <row r="898">
      <c r="A898" t="inlineStr">
        <is>
          <t>SRB|mit.inv.gen.2</t>
        </is>
      </c>
      <c r="B898" t="inlineStr">
        <is>
          <t>SRB</t>
        </is>
      </c>
      <c r="C898" t="inlineStr">
        <is>
          <t>mit.inv.gen.2</t>
        </is>
      </c>
      <c r="D898" t="n">
        <v>0</v>
      </c>
      <c r="E898" t="n">
        <v>0.9161943261</v>
      </c>
      <c r="F898" t="n">
        <v>1.271520509</v>
      </c>
      <c r="G898" t="n">
        <v>2.042568847</v>
      </c>
      <c r="H898" t="n">
        <v>1.609596334</v>
      </c>
    </row>
    <row r="899">
      <c r="A899" t="inlineStr">
        <is>
          <t>STP|mit.inv.gen.2</t>
        </is>
      </c>
      <c r="B899" t="inlineStr">
        <is>
          <t>STP</t>
        </is>
      </c>
      <c r="C899" t="inlineStr">
        <is>
          <t>mit.inv.gen.2</t>
        </is>
      </c>
      <c r="D899" t="n">
        <v>0</v>
      </c>
      <c r="E899" t="n">
        <v>0.003025198153</v>
      </c>
      <c r="F899" t="n">
        <v>0.004761353628</v>
      </c>
      <c r="G899" t="n">
        <v>0.008754342851</v>
      </c>
      <c r="H899" t="n">
        <v>0.009072476471000001</v>
      </c>
    </row>
    <row r="900">
      <c r="A900" t="inlineStr">
        <is>
          <t>SUR|mit.inv.gen.2</t>
        </is>
      </c>
      <c r="B900" t="inlineStr">
        <is>
          <t>SUR</t>
        </is>
      </c>
      <c r="C900" t="inlineStr">
        <is>
          <t>mit.inv.gen.2</t>
        </is>
      </c>
      <c r="D900" t="n">
        <v>0</v>
      </c>
      <c r="E900" t="n">
        <v>0.05126715422</v>
      </c>
      <c r="F900" t="n">
        <v>0.07331717821</v>
      </c>
      <c r="G900" t="n">
        <v>0.09355599309</v>
      </c>
      <c r="H900" t="n">
        <v>0.09365882089999999</v>
      </c>
    </row>
    <row r="901">
      <c r="A901" t="inlineStr">
        <is>
          <t>SVK|mit.inv.gen.2</t>
        </is>
      </c>
      <c r="B901" t="inlineStr">
        <is>
          <t>SVK</t>
        </is>
      </c>
      <c r="C901" t="inlineStr">
        <is>
          <t>mit.inv.gen.2</t>
        </is>
      </c>
      <c r="D901" t="n">
        <v>0</v>
      </c>
      <c r="E901" t="n">
        <v>0.81413921</v>
      </c>
      <c r="F901" t="n">
        <v>0.9978844797999999</v>
      </c>
      <c r="G901" t="n">
        <v>0.9491027815</v>
      </c>
      <c r="H901" t="n">
        <v>0.7639278792</v>
      </c>
    </row>
    <row r="902">
      <c r="A902" t="inlineStr">
        <is>
          <t>SVN|mit.inv.gen.2</t>
        </is>
      </c>
      <c r="B902" t="inlineStr">
        <is>
          <t>SVN</t>
        </is>
      </c>
      <c r="C902" t="inlineStr">
        <is>
          <t>mit.inv.gen.2</t>
        </is>
      </c>
      <c r="D902" t="n">
        <v>0</v>
      </c>
      <c r="E902" t="n">
        <v>0.3298672718</v>
      </c>
      <c r="F902" t="n">
        <v>0.486316539</v>
      </c>
      <c r="G902" t="n">
        <v>0.379302372</v>
      </c>
      <c r="H902" t="n">
        <v>0.317580001</v>
      </c>
    </row>
    <row r="903">
      <c r="A903" t="inlineStr">
        <is>
          <t>SWE|mit.inv.gen.2</t>
        </is>
      </c>
      <c r="B903" t="inlineStr">
        <is>
          <t>SWE</t>
        </is>
      </c>
      <c r="C903" t="inlineStr">
        <is>
          <t>mit.inv.gen.2</t>
        </is>
      </c>
      <c r="D903" t="n">
        <v>0</v>
      </c>
      <c r="E903" t="n">
        <v>2.794464175</v>
      </c>
      <c r="F903" t="n">
        <v>3.539342292</v>
      </c>
      <c r="G903" t="n">
        <v>3.259205181</v>
      </c>
      <c r="H903" t="n">
        <v>2.979105083</v>
      </c>
    </row>
    <row r="904">
      <c r="A904" t="inlineStr">
        <is>
          <t>SWZ|mit.inv.gen.2</t>
        </is>
      </c>
      <c r="B904" t="inlineStr">
        <is>
          <t>SWZ</t>
        </is>
      </c>
      <c r="C904" t="inlineStr">
        <is>
          <t>mit.inv.gen.2</t>
        </is>
      </c>
      <c r="D904" t="n">
        <v>0</v>
      </c>
      <c r="E904" t="n">
        <v>0.01498125938</v>
      </c>
      <c r="F904" t="n">
        <v>0.02343453649</v>
      </c>
      <c r="G904" t="n">
        <v>0.03447296573</v>
      </c>
      <c r="H904" t="n">
        <v>0.03595951823</v>
      </c>
    </row>
    <row r="905">
      <c r="A905" t="inlineStr">
        <is>
          <t>SYC|mit.inv.gen.2</t>
        </is>
      </c>
      <c r="B905" t="inlineStr">
        <is>
          <t>SYC</t>
        </is>
      </c>
      <c r="C905" t="inlineStr">
        <is>
          <t>mit.inv.gen.2</t>
        </is>
      </c>
      <c r="D905" t="n">
        <v>0</v>
      </c>
      <c r="E905" t="n">
        <v>0.02070915799</v>
      </c>
      <c r="F905" t="n">
        <v>0.02062787003</v>
      </c>
      <c r="G905" t="n">
        <v>0.03081109183</v>
      </c>
      <c r="H905" t="n">
        <v>0.02248855001</v>
      </c>
    </row>
    <row r="906">
      <c r="A906" t="inlineStr">
        <is>
          <t>SYR|mit.inv.gen.2</t>
        </is>
      </c>
      <c r="B906" t="inlineStr">
        <is>
          <t>SYR</t>
        </is>
      </c>
      <c r="C906" t="inlineStr">
        <is>
          <t>mit.inv.gen.2</t>
        </is>
      </c>
      <c r="D906" t="n">
        <v>0</v>
      </c>
      <c r="E906" t="n">
        <v>1.063104163</v>
      </c>
      <c r="F906" t="n">
        <v>1.322356269</v>
      </c>
      <c r="G906" t="n">
        <v>2.360612988</v>
      </c>
      <c r="H906" t="n">
        <v>2.092925722</v>
      </c>
    </row>
    <row r="907">
      <c r="A907" t="inlineStr">
        <is>
          <t>TCD|mit.inv.gen.2</t>
        </is>
      </c>
      <c r="B907" t="inlineStr">
        <is>
          <t>TCD</t>
        </is>
      </c>
      <c r="C907" t="inlineStr">
        <is>
          <t>mit.inv.gen.2</t>
        </is>
      </c>
      <c r="D907" t="n">
        <v>0</v>
      </c>
      <c r="E907" t="n">
        <v>0.05879413895</v>
      </c>
      <c r="F907" t="n">
        <v>0.07452607392</v>
      </c>
      <c r="G907" t="n">
        <v>0.09306823765</v>
      </c>
      <c r="H907" t="n">
        <v>0.1096406485</v>
      </c>
    </row>
    <row r="908">
      <c r="A908" t="inlineStr">
        <is>
          <t>TGO|mit.inv.gen.2</t>
        </is>
      </c>
      <c r="B908" t="inlineStr">
        <is>
          <t>TGO</t>
        </is>
      </c>
      <c r="C908" t="inlineStr">
        <is>
          <t>mit.inv.gen.2</t>
        </is>
      </c>
      <c r="D908" t="n">
        <v>0</v>
      </c>
      <c r="E908" t="n">
        <v>0.03530727736</v>
      </c>
      <c r="F908" t="n">
        <v>0.0411137188</v>
      </c>
      <c r="G908" t="n">
        <v>0.06297366218</v>
      </c>
      <c r="H908" t="n">
        <v>0.05639418724</v>
      </c>
    </row>
    <row r="909">
      <c r="A909" t="inlineStr">
        <is>
          <t>THA|mit.inv.gen.2</t>
        </is>
      </c>
      <c r="B909" t="inlineStr">
        <is>
          <t>THA</t>
        </is>
      </c>
      <c r="C909" t="inlineStr">
        <is>
          <t>mit.inv.gen.2</t>
        </is>
      </c>
      <c r="D909" t="n">
        <v>0</v>
      </c>
      <c r="E909" t="n">
        <v>3.644695554</v>
      </c>
      <c r="F909" t="n">
        <v>4.090660749</v>
      </c>
      <c r="G909" t="n">
        <v>6.986190387</v>
      </c>
      <c r="H909" t="n">
        <v>5.644541595</v>
      </c>
    </row>
    <row r="910">
      <c r="A910" t="inlineStr">
        <is>
          <t>TJK|mit.inv.gen.2</t>
        </is>
      </c>
      <c r="B910" t="inlineStr">
        <is>
          <t>TJK</t>
        </is>
      </c>
      <c r="C910" t="inlineStr">
        <is>
          <t>mit.inv.gen.2</t>
        </is>
      </c>
      <c r="D910" t="n">
        <v>0</v>
      </c>
      <c r="E910" t="n">
        <v>0.2539149649</v>
      </c>
      <c r="F910" t="n">
        <v>0.3596988394</v>
      </c>
      <c r="G910" t="n">
        <v>0.4422954315</v>
      </c>
      <c r="H910" t="n">
        <v>0.5324866485999999</v>
      </c>
    </row>
    <row r="911">
      <c r="A911" t="inlineStr">
        <is>
          <t>TKM|mit.inv.gen.2</t>
        </is>
      </c>
      <c r="B911" t="inlineStr">
        <is>
          <t>TKM</t>
        </is>
      </c>
      <c r="C911" t="inlineStr">
        <is>
          <t>mit.inv.gen.2</t>
        </is>
      </c>
      <c r="D911" t="n">
        <v>0</v>
      </c>
      <c r="E911" t="n">
        <v>1.496770063</v>
      </c>
      <c r="F911" t="n">
        <v>2.1621281</v>
      </c>
      <c r="G911" t="n">
        <v>3.743935526</v>
      </c>
      <c r="H911" t="n">
        <v>3.649116254</v>
      </c>
    </row>
    <row r="912">
      <c r="A912" t="inlineStr">
        <is>
          <t>TLS|mit.inv.gen.2</t>
        </is>
      </c>
      <c r="B912" t="inlineStr">
        <is>
          <t>TLS</t>
        </is>
      </c>
      <c r="C912" t="inlineStr">
        <is>
          <t>mit.inv.gen.2</t>
        </is>
      </c>
      <c r="D912" t="n">
        <v>0</v>
      </c>
      <c r="E912" t="n">
        <v>0.01495166234</v>
      </c>
      <c r="F912" t="n">
        <v>0.02273312496</v>
      </c>
      <c r="G912" t="n">
        <v>0.04205812932</v>
      </c>
      <c r="H912" t="n">
        <v>0.04406983962</v>
      </c>
    </row>
    <row r="913">
      <c r="A913" t="inlineStr">
        <is>
          <t>TON|mit.inv.gen.2</t>
        </is>
      </c>
      <c r="B913" t="inlineStr">
        <is>
          <t>TON</t>
        </is>
      </c>
      <c r="C913" t="inlineStr">
        <is>
          <t>mit.inv.gen.2</t>
        </is>
      </c>
      <c r="D913" t="n">
        <v>0</v>
      </c>
      <c r="E913" t="n">
        <v>0.002533881325</v>
      </c>
      <c r="F913" t="n">
        <v>0.003633100953</v>
      </c>
      <c r="G913" t="n">
        <v>0.006494167476</v>
      </c>
      <c r="H913" t="n">
        <v>0.005178341086</v>
      </c>
    </row>
    <row r="914">
      <c r="A914" t="inlineStr">
        <is>
          <t>TTO|mit.inv.gen.2</t>
        </is>
      </c>
      <c r="B914" t="inlineStr">
        <is>
          <t>TTO</t>
        </is>
      </c>
      <c r="C914" t="inlineStr">
        <is>
          <t>mit.inv.gen.2</t>
        </is>
      </c>
      <c r="D914" t="n">
        <v>0</v>
      </c>
      <c r="E914" t="n">
        <v>0.2181623838</v>
      </c>
      <c r="F914" t="n">
        <v>0.2602911191</v>
      </c>
      <c r="G914" t="n">
        <v>0.4123806012</v>
      </c>
      <c r="H914" t="n">
        <v>0.283404436</v>
      </c>
    </row>
    <row r="915">
      <c r="A915" t="inlineStr">
        <is>
          <t>TUN|mit.inv.gen.2</t>
        </is>
      </c>
      <c r="B915" t="inlineStr">
        <is>
          <t>TUN</t>
        </is>
      </c>
      <c r="C915" t="inlineStr">
        <is>
          <t>mit.inv.gen.2</t>
        </is>
      </c>
      <c r="D915" t="n">
        <v>0</v>
      </c>
      <c r="E915" t="n">
        <v>0.6501965257</v>
      </c>
      <c r="F915" t="n">
        <v>0.88620464</v>
      </c>
      <c r="G915" t="n">
        <v>1.722578231</v>
      </c>
      <c r="H915" t="n">
        <v>1.551520139</v>
      </c>
    </row>
    <row r="916">
      <c r="A916" t="inlineStr">
        <is>
          <t>TUR|mit.inv.gen.2</t>
        </is>
      </c>
      <c r="B916" t="inlineStr">
        <is>
          <t>TUR</t>
        </is>
      </c>
      <c r="C916" t="inlineStr">
        <is>
          <t>mit.inv.gen.2</t>
        </is>
      </c>
      <c r="D916" t="n">
        <v>0</v>
      </c>
      <c r="E916" t="n">
        <v>8.431319235</v>
      </c>
      <c r="F916" t="n">
        <v>9.846804929999999</v>
      </c>
      <c r="G916" t="n">
        <v>14.01717152</v>
      </c>
      <c r="H916" t="n">
        <v>11.81160384</v>
      </c>
    </row>
    <row r="917">
      <c r="A917" t="inlineStr">
        <is>
          <t>TZA|mit.inv.gen.2</t>
        </is>
      </c>
      <c r="B917" t="inlineStr">
        <is>
          <t>TZA</t>
        </is>
      </c>
      <c r="C917" t="inlineStr">
        <is>
          <t>mit.inv.gen.2</t>
        </is>
      </c>
      <c r="D917" t="n">
        <v>0</v>
      </c>
      <c r="E917" t="n">
        <v>0.1802255785</v>
      </c>
      <c r="F917" t="n">
        <v>0.2830479163</v>
      </c>
      <c r="G917" t="n">
        <v>0.5087796731000001</v>
      </c>
      <c r="H917" t="n">
        <v>0.4746114478</v>
      </c>
    </row>
    <row r="918">
      <c r="A918" t="inlineStr">
        <is>
          <t>UGA|mit.inv.gen.2</t>
        </is>
      </c>
      <c r="B918" t="inlineStr">
        <is>
          <t>UGA</t>
        </is>
      </c>
      <c r="C918" t="inlineStr">
        <is>
          <t>mit.inv.gen.2</t>
        </is>
      </c>
      <c r="D918" t="n">
        <v>0</v>
      </c>
      <c r="E918" t="n">
        <v>0.12473005</v>
      </c>
      <c r="F918" t="n">
        <v>0.2042234436</v>
      </c>
      <c r="G918" t="n">
        <v>0.3007391139</v>
      </c>
      <c r="H918" t="n">
        <v>0.3449333523</v>
      </c>
    </row>
    <row r="919">
      <c r="A919" t="inlineStr">
        <is>
          <t>UKR|mit.inv.gen.2</t>
        </is>
      </c>
      <c r="B919" t="inlineStr">
        <is>
          <t>UKR</t>
        </is>
      </c>
      <c r="C919" t="inlineStr">
        <is>
          <t>mit.inv.gen.2</t>
        </is>
      </c>
      <c r="D919" t="n">
        <v>0</v>
      </c>
      <c r="E919" t="n">
        <v>3.881051424</v>
      </c>
      <c r="F919" t="n">
        <v>5.142844535</v>
      </c>
      <c r="G919" t="n">
        <v>7.184010048</v>
      </c>
      <c r="H919" t="n">
        <v>8.669679443</v>
      </c>
    </row>
    <row r="920">
      <c r="A920" t="inlineStr">
        <is>
          <t>URY|mit.inv.gen.2</t>
        </is>
      </c>
      <c r="B920" t="inlineStr">
        <is>
          <t>URY</t>
        </is>
      </c>
      <c r="C920" t="inlineStr">
        <is>
          <t>mit.inv.gen.2</t>
        </is>
      </c>
      <c r="D920" t="n">
        <v>0</v>
      </c>
      <c r="E920" t="n">
        <v>0.2488761763</v>
      </c>
      <c r="F920" t="n">
        <v>0.2058860847</v>
      </c>
      <c r="G920" t="n">
        <v>0.2293726985</v>
      </c>
      <c r="H920" t="n">
        <v>0.2050403403</v>
      </c>
    </row>
    <row r="921">
      <c r="A921" t="inlineStr">
        <is>
          <t>USA|mit.inv.gen.2</t>
        </is>
      </c>
      <c r="B921" t="inlineStr">
        <is>
          <t>USA</t>
        </is>
      </c>
      <c r="C921" t="inlineStr">
        <is>
          <t>mit.inv.gen.2</t>
        </is>
      </c>
      <c r="D921" t="n">
        <v>0</v>
      </c>
      <c r="E921" t="n">
        <v>149.8610918</v>
      </c>
      <c r="F921" t="n">
        <v>217.3863656</v>
      </c>
      <c r="G921" t="n">
        <v>152.2705946</v>
      </c>
      <c r="H921" t="n">
        <v>121.7436622</v>
      </c>
    </row>
    <row r="922">
      <c r="A922" t="inlineStr">
        <is>
          <t>UZB|mit.inv.gen.2</t>
        </is>
      </c>
      <c r="B922" t="inlineStr">
        <is>
          <t>UZB</t>
        </is>
      </c>
      <c r="C922" t="inlineStr">
        <is>
          <t>mit.inv.gen.2</t>
        </is>
      </c>
      <c r="D922" t="n">
        <v>0</v>
      </c>
      <c r="E922" t="n">
        <v>3.071568512</v>
      </c>
      <c r="F922" t="n">
        <v>4.15805962</v>
      </c>
      <c r="G922" t="n">
        <v>6.756355526</v>
      </c>
      <c r="H922" t="n">
        <v>6.62712817</v>
      </c>
    </row>
    <row r="923">
      <c r="A923" t="inlineStr">
        <is>
          <t>VCT|mit.inv.gen.2</t>
        </is>
      </c>
      <c r="B923" t="inlineStr">
        <is>
          <t>VCT</t>
        </is>
      </c>
      <c r="C923" t="inlineStr">
        <is>
          <t>mit.inv.gen.2</t>
        </is>
      </c>
      <c r="D923" t="n">
        <v>0</v>
      </c>
      <c r="E923" t="n">
        <v>0.00418008852</v>
      </c>
      <c r="F923" t="n">
        <v>0.005759303067</v>
      </c>
      <c r="G923" t="n">
        <v>0.0100066432</v>
      </c>
      <c r="H923" t="n">
        <v>0.008466403268</v>
      </c>
    </row>
    <row r="924">
      <c r="A924" t="inlineStr">
        <is>
          <t>VEN|mit.inv.gen.2</t>
        </is>
      </c>
      <c r="B924" t="inlineStr">
        <is>
          <t>VEN</t>
        </is>
      </c>
      <c r="C924" t="inlineStr">
        <is>
          <t>mit.inv.gen.2</t>
        </is>
      </c>
      <c r="D924" t="n">
        <v>0</v>
      </c>
      <c r="E924" t="n">
        <v>1.340538841</v>
      </c>
      <c r="F924" t="n">
        <v>1.817453344</v>
      </c>
      <c r="G924" t="n">
        <v>2.242198243</v>
      </c>
      <c r="H924" t="n">
        <v>2.521077068</v>
      </c>
    </row>
    <row r="925">
      <c r="A925" t="inlineStr">
        <is>
          <t>VNM|mit.inv.gen.2</t>
        </is>
      </c>
      <c r="B925" t="inlineStr">
        <is>
          <t>VNM</t>
        </is>
      </c>
      <c r="C925" t="inlineStr">
        <is>
          <t>mit.inv.gen.2</t>
        </is>
      </c>
      <c r="D925" t="n">
        <v>0</v>
      </c>
      <c r="E925" t="n">
        <v>6.624894051</v>
      </c>
      <c r="F925" t="n">
        <v>7.810801405</v>
      </c>
      <c r="G925" t="n">
        <v>10.44158793</v>
      </c>
      <c r="H925" t="n">
        <v>9.492874628999999</v>
      </c>
    </row>
    <row r="926">
      <c r="A926" t="inlineStr">
        <is>
          <t>VUT|mit.inv.gen.2</t>
        </is>
      </c>
      <c r="B926" t="inlineStr">
        <is>
          <t>VUT</t>
        </is>
      </c>
      <c r="C926" t="inlineStr">
        <is>
          <t>mit.inv.gen.2</t>
        </is>
      </c>
      <c r="D926" t="n">
        <v>0</v>
      </c>
      <c r="E926" t="n">
        <v>0.003228697518</v>
      </c>
      <c r="F926" t="n">
        <v>0.005879017047</v>
      </c>
      <c r="G926" t="n">
        <v>0.01154179111</v>
      </c>
      <c r="H926" t="n">
        <v>0.009941816904999999</v>
      </c>
    </row>
    <row r="927">
      <c r="A927" t="inlineStr">
        <is>
          <t>WSM|mit.inv.gen.2</t>
        </is>
      </c>
      <c r="B927" t="inlineStr">
        <is>
          <t>WSM</t>
        </is>
      </c>
      <c r="C927" t="inlineStr">
        <is>
          <t>mit.inv.gen.2</t>
        </is>
      </c>
      <c r="D927" t="n">
        <v>0</v>
      </c>
      <c r="E927" t="n">
        <v>0.005616744948</v>
      </c>
      <c r="F927" t="n">
        <v>0.00750314589</v>
      </c>
      <c r="G927" t="n">
        <v>0.0121872463</v>
      </c>
      <c r="H927" t="n">
        <v>0.01062916522</v>
      </c>
    </row>
    <row r="928">
      <c r="A928" t="inlineStr">
        <is>
          <t>XKX|mit.inv.gen.2</t>
        </is>
      </c>
      <c r="B928" t="inlineStr">
        <is>
          <t>XKX</t>
        </is>
      </c>
      <c r="C928" t="inlineStr">
        <is>
          <t>mit.inv.gen.2</t>
        </is>
      </c>
      <c r="D928" t="n">
        <v>0</v>
      </c>
      <c r="E928" t="n">
        <v>0.1001980084</v>
      </c>
      <c r="F928" t="n">
        <v>0.1178904311</v>
      </c>
      <c r="G928" t="n">
        <v>0.1991265218</v>
      </c>
      <c r="H928" t="n">
        <v>0.1624303669</v>
      </c>
    </row>
    <row r="929">
      <c r="A929" t="inlineStr">
        <is>
          <t>YEM|mit.inv.gen.2</t>
        </is>
      </c>
      <c r="B929" t="inlineStr">
        <is>
          <t>YEM</t>
        </is>
      </c>
      <c r="C929" t="inlineStr">
        <is>
          <t>mit.inv.gen.2</t>
        </is>
      </c>
      <c r="D929" t="n">
        <v>0</v>
      </c>
      <c r="E929" t="n">
        <v>0.1347182111</v>
      </c>
      <c r="F929" t="n">
        <v>0.171998112</v>
      </c>
      <c r="G929" t="n">
        <v>0.2720840195</v>
      </c>
      <c r="H929" t="n">
        <v>0.2747802655</v>
      </c>
    </row>
    <row r="930">
      <c r="A930" t="inlineStr">
        <is>
          <t>ZAF|mit.inv.gen.2</t>
        </is>
      </c>
      <c r="B930" t="inlineStr">
        <is>
          <t>ZAF</t>
        </is>
      </c>
      <c r="C930" t="inlineStr">
        <is>
          <t>mit.inv.gen.2</t>
        </is>
      </c>
      <c r="D930" t="n">
        <v>0</v>
      </c>
      <c r="E930" t="n">
        <v>4.359866821</v>
      </c>
      <c r="F930" t="n">
        <v>5.118324373</v>
      </c>
      <c r="G930" t="n">
        <v>8.487408406</v>
      </c>
      <c r="H930" t="n">
        <v>6.767369173</v>
      </c>
    </row>
    <row r="931">
      <c r="A931" t="inlineStr">
        <is>
          <t>ZMB|mit.inv.gen.2</t>
        </is>
      </c>
      <c r="B931" t="inlineStr">
        <is>
          <t>ZMB</t>
        </is>
      </c>
      <c r="C931" t="inlineStr">
        <is>
          <t>mit.inv.gen.2</t>
        </is>
      </c>
      <c r="D931" t="n">
        <v>0</v>
      </c>
      <c r="E931" t="n">
        <v>0.281853816</v>
      </c>
      <c r="F931" t="n">
        <v>0.394430245</v>
      </c>
      <c r="G931" t="n">
        <v>0.5539208419</v>
      </c>
      <c r="H931" t="n">
        <v>0.595123989</v>
      </c>
    </row>
    <row r="932">
      <c r="A932" t="inlineStr">
        <is>
          <t>ZWE|mit.inv.gen.2</t>
        </is>
      </c>
      <c r="B932" t="inlineStr">
        <is>
          <t>ZWE</t>
        </is>
      </c>
      <c r="C932" t="inlineStr">
        <is>
          <t>mit.inv.gen.2</t>
        </is>
      </c>
      <c r="D932" t="n">
        <v>0</v>
      </c>
      <c r="E932" t="n">
        <v>0.3508444948</v>
      </c>
      <c r="F932" t="n">
        <v>0.3519007245</v>
      </c>
      <c r="G932" t="n">
        <v>0.5266192555</v>
      </c>
      <c r="H932" t="n">
        <v>0.5317750941</v>
      </c>
    </row>
    <row r="933">
      <c r="A933" t="inlineStr">
        <is>
          <t>ABW|mit.inv.grid.2</t>
        </is>
      </c>
      <c r="B933" t="inlineStr">
        <is>
          <t>ABW</t>
        </is>
      </c>
      <c r="C933" t="inlineStr">
        <is>
          <t>mit.inv.grid.2</t>
        </is>
      </c>
      <c r="D933" t="n">
        <v>0</v>
      </c>
      <c r="E933" t="n">
        <v>0.02884072459</v>
      </c>
      <c r="F933" t="n">
        <v>0.03492565903</v>
      </c>
      <c r="G933" t="n">
        <v>0.07290439167</v>
      </c>
      <c r="H933" t="n">
        <v>0.05312242976</v>
      </c>
    </row>
    <row r="934">
      <c r="A934" t="inlineStr">
        <is>
          <t>AFG|mit.inv.grid.2</t>
        </is>
      </c>
      <c r="B934" t="inlineStr">
        <is>
          <t>AFG</t>
        </is>
      </c>
      <c r="C934" t="inlineStr">
        <is>
          <t>mit.inv.grid.2</t>
        </is>
      </c>
      <c r="D934" t="n">
        <v>0</v>
      </c>
      <c r="E934" t="n">
        <v>0.0443678374</v>
      </c>
      <c r="F934" t="n">
        <v>0.07345184912</v>
      </c>
      <c r="G934" t="n">
        <v>0.1593676748</v>
      </c>
      <c r="H934" t="n">
        <v>0.185000014</v>
      </c>
    </row>
    <row r="935">
      <c r="A935" t="inlineStr">
        <is>
          <t>AGO|mit.inv.grid.2</t>
        </is>
      </c>
      <c r="B935" t="inlineStr">
        <is>
          <t>AGO</t>
        </is>
      </c>
      <c r="C935" t="inlineStr">
        <is>
          <t>mit.inv.grid.2</t>
        </is>
      </c>
      <c r="D935" t="n">
        <v>0</v>
      </c>
      <c r="E935" t="n">
        <v>0.2064535675</v>
      </c>
      <c r="F935" t="n">
        <v>0.2731247932</v>
      </c>
      <c r="G935" t="n">
        <v>0.6237222836</v>
      </c>
      <c r="H935" t="n">
        <v>0.7360126128</v>
      </c>
    </row>
    <row r="936">
      <c r="A936" t="inlineStr">
        <is>
          <t>ALB|mit.inv.grid.2</t>
        </is>
      </c>
      <c r="B936" t="inlineStr">
        <is>
          <t>ALB</t>
        </is>
      </c>
      <c r="C936" t="inlineStr">
        <is>
          <t>mit.inv.grid.2</t>
        </is>
      </c>
      <c r="D936" t="n">
        <v>0</v>
      </c>
      <c r="E936" t="n">
        <v>0.05779189475</v>
      </c>
      <c r="F936" t="n">
        <v>0.07492698555000001</v>
      </c>
      <c r="G936" t="n">
        <v>0.1234342287</v>
      </c>
      <c r="H936" t="n">
        <v>0.1451459814</v>
      </c>
    </row>
    <row r="937">
      <c r="A937" t="inlineStr">
        <is>
          <t>ARE|mit.inv.grid.2</t>
        </is>
      </c>
      <c r="B937" t="inlineStr">
        <is>
          <t>ARE</t>
        </is>
      </c>
      <c r="C937" t="inlineStr">
        <is>
          <t>mit.inv.grid.2</t>
        </is>
      </c>
      <c r="D937" t="n">
        <v>0</v>
      </c>
      <c r="E937" t="n">
        <v>3.980395844</v>
      </c>
      <c r="F937" t="n">
        <v>4.349814215</v>
      </c>
      <c r="G937" t="n">
        <v>8.217058618999999</v>
      </c>
      <c r="H937" t="n">
        <v>6.259492514</v>
      </c>
    </row>
    <row r="938">
      <c r="A938" t="inlineStr">
        <is>
          <t>ARG|mit.inv.grid.2</t>
        </is>
      </c>
      <c r="B938" t="inlineStr">
        <is>
          <t>ARG</t>
        </is>
      </c>
      <c r="C938" t="inlineStr">
        <is>
          <t>mit.inv.grid.2</t>
        </is>
      </c>
      <c r="D938" t="n">
        <v>0</v>
      </c>
      <c r="E938" t="n">
        <v>2.137132523</v>
      </c>
      <c r="F938" t="n">
        <v>2.714765599</v>
      </c>
      <c r="G938" t="n">
        <v>4.567723528</v>
      </c>
      <c r="H938" t="n">
        <v>3.397555845</v>
      </c>
    </row>
    <row r="939">
      <c r="A939" t="inlineStr">
        <is>
          <t>ARM|mit.inv.grid.2</t>
        </is>
      </c>
      <c r="B939" t="inlineStr">
        <is>
          <t>ARM</t>
        </is>
      </c>
      <c r="C939" t="inlineStr">
        <is>
          <t>mit.inv.grid.2</t>
        </is>
      </c>
      <c r="D939" t="n">
        <v>0</v>
      </c>
      <c r="E939" t="n">
        <v>0.2149768215</v>
      </c>
      <c r="F939" t="n">
        <v>0.2715563426</v>
      </c>
      <c r="G939" t="n">
        <v>0.4586041471</v>
      </c>
      <c r="H939" t="n">
        <v>0.4490356673</v>
      </c>
    </row>
    <row r="940">
      <c r="A940" t="inlineStr">
        <is>
          <t>ATG|mit.inv.grid.2</t>
        </is>
      </c>
      <c r="B940" t="inlineStr">
        <is>
          <t>ATG</t>
        </is>
      </c>
      <c r="C940" t="inlineStr">
        <is>
          <t>mit.inv.grid.2</t>
        </is>
      </c>
      <c r="D940" t="n">
        <v>0</v>
      </c>
      <c r="E940" t="n">
        <v>0.0111326554</v>
      </c>
      <c r="F940" t="n">
        <v>0.01753647668</v>
      </c>
      <c r="G940" t="n">
        <v>0.0430974599</v>
      </c>
      <c r="H940" t="n">
        <v>0.03323553373</v>
      </c>
    </row>
    <row r="941">
      <c r="A941" t="inlineStr">
        <is>
          <t>AUS|mit.inv.grid.2</t>
        </is>
      </c>
      <c r="B941" t="inlineStr">
        <is>
          <t>AUS</t>
        </is>
      </c>
      <c r="C941" t="inlineStr">
        <is>
          <t>mit.inv.grid.2</t>
        </is>
      </c>
      <c r="D941" t="n">
        <v>0</v>
      </c>
      <c r="E941" t="n">
        <v>10.62391926</v>
      </c>
      <c r="F941" t="n">
        <v>20.75610775</v>
      </c>
      <c r="G941" t="n">
        <v>16.74401588</v>
      </c>
      <c r="H941" t="n">
        <v>14.59437328</v>
      </c>
    </row>
    <row r="942">
      <c r="A942" t="inlineStr">
        <is>
          <t>AUT|mit.inv.grid.2</t>
        </is>
      </c>
      <c r="B942" t="inlineStr">
        <is>
          <t>AUT</t>
        </is>
      </c>
      <c r="C942" t="inlineStr">
        <is>
          <t>mit.inv.grid.2</t>
        </is>
      </c>
      <c r="D942" t="n">
        <v>0</v>
      </c>
      <c r="E942" t="n">
        <v>1.692069233</v>
      </c>
      <c r="F942" t="n">
        <v>2.67868404</v>
      </c>
      <c r="G942" t="n">
        <v>2.725268605</v>
      </c>
      <c r="H942" t="n">
        <v>2.350077512</v>
      </c>
    </row>
    <row r="943">
      <c r="A943" t="inlineStr">
        <is>
          <t>AZE|mit.inv.grid.2</t>
        </is>
      </c>
      <c r="B943" t="inlineStr">
        <is>
          <t>AZE</t>
        </is>
      </c>
      <c r="C943" t="inlineStr">
        <is>
          <t>mit.inv.grid.2</t>
        </is>
      </c>
      <c r="D943" t="n">
        <v>0</v>
      </c>
      <c r="E943" t="n">
        <v>0.459096245</v>
      </c>
      <c r="F943" t="n">
        <v>0.7217301232</v>
      </c>
      <c r="G943" t="n">
        <v>1.954477032</v>
      </c>
      <c r="H943" t="n">
        <v>1.541877927</v>
      </c>
    </row>
    <row r="944">
      <c r="A944" t="inlineStr">
        <is>
          <t>BDI|mit.inv.grid.2</t>
        </is>
      </c>
      <c r="B944" t="inlineStr">
        <is>
          <t>BDI</t>
        </is>
      </c>
      <c r="C944" t="inlineStr">
        <is>
          <t>mit.inv.grid.2</t>
        </is>
      </c>
      <c r="D944" t="n">
        <v>0</v>
      </c>
      <c r="E944" t="n">
        <v>0.005201777669</v>
      </c>
      <c r="F944" t="n">
        <v>0.01217157785</v>
      </c>
      <c r="G944" t="n">
        <v>0.02920974684</v>
      </c>
      <c r="H944" t="n">
        <v>0.03031312516</v>
      </c>
    </row>
    <row r="945">
      <c r="A945" t="inlineStr">
        <is>
          <t>BEL|mit.inv.grid.2</t>
        </is>
      </c>
      <c r="B945" t="inlineStr">
        <is>
          <t>BEL</t>
        </is>
      </c>
      <c r="C945" t="inlineStr">
        <is>
          <t>mit.inv.grid.2</t>
        </is>
      </c>
      <c r="D945" t="n">
        <v>0</v>
      </c>
      <c r="E945" t="n">
        <v>2.469518944</v>
      </c>
      <c r="F945" t="n">
        <v>3.807708199</v>
      </c>
      <c r="G945" t="n">
        <v>3.989860898</v>
      </c>
      <c r="H945" t="n">
        <v>3.122023123</v>
      </c>
    </row>
    <row r="946">
      <c r="A946" t="inlineStr">
        <is>
          <t>BEN|mit.inv.grid.2</t>
        </is>
      </c>
      <c r="B946" t="inlineStr">
        <is>
          <t>BEN</t>
        </is>
      </c>
      <c r="C946" t="inlineStr">
        <is>
          <t>mit.inv.grid.2</t>
        </is>
      </c>
      <c r="D946" t="n">
        <v>0</v>
      </c>
      <c r="E946" t="n">
        <v>0.02977637165</v>
      </c>
      <c r="F946" t="n">
        <v>0.05603483915</v>
      </c>
      <c r="G946" t="n">
        <v>0.1723906456</v>
      </c>
      <c r="H946" t="n">
        <v>0.1464156121</v>
      </c>
    </row>
    <row r="947">
      <c r="A947" t="inlineStr">
        <is>
          <t>BFA|mit.inv.grid.2</t>
        </is>
      </c>
      <c r="B947" t="inlineStr">
        <is>
          <t>BFA</t>
        </is>
      </c>
      <c r="C947" t="inlineStr">
        <is>
          <t>mit.inv.grid.2</t>
        </is>
      </c>
      <c r="D947" t="n">
        <v>0</v>
      </c>
      <c r="E947" t="n">
        <v>0.05808852576</v>
      </c>
      <c r="F947" t="n">
        <v>0.1042688438</v>
      </c>
      <c r="G947" t="n">
        <v>0.3206071516</v>
      </c>
      <c r="H947" t="n">
        <v>0.3081854187</v>
      </c>
    </row>
    <row r="948">
      <c r="A948" t="inlineStr">
        <is>
          <t>BGD|mit.inv.grid.2</t>
        </is>
      </c>
      <c r="B948" t="inlineStr">
        <is>
          <t>BGD</t>
        </is>
      </c>
      <c r="C948" t="inlineStr">
        <is>
          <t>mit.inv.grid.2</t>
        </is>
      </c>
      <c r="D948" t="n">
        <v>0</v>
      </c>
      <c r="E948" t="n">
        <v>1.827874468</v>
      </c>
      <c r="F948" t="n">
        <v>2.853455874</v>
      </c>
      <c r="G948" t="n">
        <v>7.494409543</v>
      </c>
      <c r="H948" t="n">
        <v>6.290579475</v>
      </c>
    </row>
    <row r="949">
      <c r="A949" t="inlineStr">
        <is>
          <t>BGR|mit.inv.grid.2</t>
        </is>
      </c>
      <c r="B949" t="inlineStr">
        <is>
          <t>BGR</t>
        </is>
      </c>
      <c r="C949" t="inlineStr">
        <is>
          <t>mit.inv.grid.2</t>
        </is>
      </c>
      <c r="D949" t="n">
        <v>0</v>
      </c>
      <c r="E949" t="n">
        <v>0.6186144394999999</v>
      </c>
      <c r="F949" t="n">
        <v>0.9908638266000001</v>
      </c>
      <c r="G949" t="n">
        <v>1.429934075</v>
      </c>
      <c r="H949" t="n">
        <v>1.527540704</v>
      </c>
    </row>
    <row r="950">
      <c r="A950" t="inlineStr">
        <is>
          <t>BHR|mit.inv.grid.2</t>
        </is>
      </c>
      <c r="B950" t="inlineStr">
        <is>
          <t>BHR</t>
        </is>
      </c>
      <c r="C950" t="inlineStr">
        <is>
          <t>mit.inv.grid.2</t>
        </is>
      </c>
      <c r="D950" t="n">
        <v>0</v>
      </c>
      <c r="E950" t="n">
        <v>0.4200473292</v>
      </c>
      <c r="F950" t="n">
        <v>0.4356592477</v>
      </c>
      <c r="G950" t="n">
        <v>0.9501097316</v>
      </c>
      <c r="H950" t="n">
        <v>0.5415769228</v>
      </c>
    </row>
    <row r="951">
      <c r="A951" t="inlineStr">
        <is>
          <t>BHS|mit.inv.grid.2</t>
        </is>
      </c>
      <c r="B951" t="inlineStr">
        <is>
          <t>BHS</t>
        </is>
      </c>
      <c r="C951" t="inlineStr">
        <is>
          <t>mit.inv.grid.2</t>
        </is>
      </c>
      <c r="D951" t="n">
        <v>0</v>
      </c>
      <c r="E951" t="n">
        <v>0.07617473479</v>
      </c>
      <c r="F951" t="n">
        <v>0.08678025552</v>
      </c>
      <c r="G951" t="n">
        <v>0.1921211523</v>
      </c>
      <c r="H951" t="n">
        <v>0.1343422507</v>
      </c>
    </row>
    <row r="952">
      <c r="A952" t="inlineStr">
        <is>
          <t>BIH|mit.inv.grid.2</t>
        </is>
      </c>
      <c r="B952" t="inlineStr">
        <is>
          <t>BIH</t>
        </is>
      </c>
      <c r="C952" t="inlineStr">
        <is>
          <t>mit.inv.grid.2</t>
        </is>
      </c>
      <c r="D952" t="n">
        <v>0</v>
      </c>
      <c r="E952" t="n">
        <v>0.201105382</v>
      </c>
      <c r="F952" t="n">
        <v>0.3027101534</v>
      </c>
      <c r="G952" t="n">
        <v>0.709169809</v>
      </c>
      <c r="H952" t="n">
        <v>0.6252217343000001</v>
      </c>
    </row>
    <row r="953">
      <c r="A953" t="inlineStr">
        <is>
          <t>BLR|mit.inv.grid.2</t>
        </is>
      </c>
      <c r="B953" t="inlineStr">
        <is>
          <t>BLR</t>
        </is>
      </c>
      <c r="C953" t="inlineStr">
        <is>
          <t>mit.inv.grid.2</t>
        </is>
      </c>
      <c r="D953" t="n">
        <v>0</v>
      </c>
      <c r="E953" t="n">
        <v>0.5000817258</v>
      </c>
      <c r="F953" t="n">
        <v>0.7306846151</v>
      </c>
      <c r="G953" t="n">
        <v>1.881626752</v>
      </c>
      <c r="H953" t="n">
        <v>1.82908624</v>
      </c>
    </row>
    <row r="954">
      <c r="A954" t="inlineStr">
        <is>
          <t>BLZ|mit.inv.grid.2</t>
        </is>
      </c>
      <c r="B954" t="inlineStr">
        <is>
          <t>BLZ</t>
        </is>
      </c>
      <c r="C954" t="inlineStr">
        <is>
          <t>mit.inv.grid.2</t>
        </is>
      </c>
      <c r="D954" t="n">
        <v>0</v>
      </c>
      <c r="E954" t="n">
        <v>0.007370256126</v>
      </c>
      <c r="F954" t="n">
        <v>0.01004456294</v>
      </c>
      <c r="G954" t="n">
        <v>0.02161645096</v>
      </c>
      <c r="H954" t="n">
        <v>0.02327668341</v>
      </c>
    </row>
    <row r="955">
      <c r="A955" t="inlineStr">
        <is>
          <t>BOL|mit.inv.grid.2</t>
        </is>
      </c>
      <c r="B955" t="inlineStr">
        <is>
          <t>BOL</t>
        </is>
      </c>
      <c r="C955" t="inlineStr">
        <is>
          <t>mit.inv.grid.2</t>
        </is>
      </c>
      <c r="D955" t="n">
        <v>0</v>
      </c>
      <c r="E955" t="n">
        <v>0.1373383432</v>
      </c>
      <c r="F955" t="n">
        <v>0.1698635775</v>
      </c>
      <c r="G955" t="n">
        <v>0.5764856195</v>
      </c>
      <c r="H955" t="n">
        <v>0.6134212266</v>
      </c>
    </row>
    <row r="956">
      <c r="A956" t="inlineStr">
        <is>
          <t>BRA|mit.inv.grid.2</t>
        </is>
      </c>
      <c r="B956" t="inlineStr">
        <is>
          <t>BRA</t>
        </is>
      </c>
      <c r="C956" t="inlineStr">
        <is>
          <t>mit.inv.grid.2</t>
        </is>
      </c>
      <c r="D956" t="n">
        <v>0</v>
      </c>
      <c r="E956" t="n">
        <v>7.829999702</v>
      </c>
      <c r="F956" t="n">
        <v>10.64873609</v>
      </c>
      <c r="G956" t="n">
        <v>18.5542851</v>
      </c>
      <c r="H956" t="n">
        <v>19.77484431</v>
      </c>
    </row>
    <row r="957">
      <c r="A957" t="inlineStr">
        <is>
          <t>BRB|mit.inv.grid.2</t>
        </is>
      </c>
      <c r="B957" t="inlineStr">
        <is>
          <t>BRB</t>
        </is>
      </c>
      <c r="C957" t="inlineStr">
        <is>
          <t>mit.inv.grid.2</t>
        </is>
      </c>
      <c r="D957" t="n">
        <v>0</v>
      </c>
      <c r="E957" t="n">
        <v>0.0270760922</v>
      </c>
      <c r="F957" t="n">
        <v>0.03716981979</v>
      </c>
      <c r="G957" t="n">
        <v>0.08259861605</v>
      </c>
      <c r="H957" t="n">
        <v>0.05573677255</v>
      </c>
    </row>
    <row r="958">
      <c r="A958" t="inlineStr">
        <is>
          <t>BRN|mit.inv.grid.2</t>
        </is>
      </c>
      <c r="B958" t="inlineStr">
        <is>
          <t>BRN</t>
        </is>
      </c>
      <c r="C958" t="inlineStr">
        <is>
          <t>mit.inv.grid.2</t>
        </is>
      </c>
      <c r="D958" t="n">
        <v>0</v>
      </c>
      <c r="E958" t="n">
        <v>0.06647372153</v>
      </c>
      <c r="F958" t="n">
        <v>0.1035841622</v>
      </c>
      <c r="G958" t="n">
        <v>0.2524829769</v>
      </c>
      <c r="H958" t="n">
        <v>0.1751860119</v>
      </c>
    </row>
    <row r="959">
      <c r="A959" t="inlineStr">
        <is>
          <t>BTN|mit.inv.grid.2</t>
        </is>
      </c>
      <c r="B959" t="inlineStr">
        <is>
          <t>BTN</t>
        </is>
      </c>
      <c r="C959" t="inlineStr">
        <is>
          <t>mit.inv.grid.2</t>
        </is>
      </c>
      <c r="D959" t="n">
        <v>0</v>
      </c>
      <c r="E959" t="n">
        <v>0</v>
      </c>
      <c r="F959" t="n">
        <v>0</v>
      </c>
      <c r="G959" t="n">
        <v>0</v>
      </c>
      <c r="H959" t="n">
        <v>0.05714666571</v>
      </c>
    </row>
    <row r="960">
      <c r="A960" t="inlineStr">
        <is>
          <t>BWA|mit.inv.grid.2</t>
        </is>
      </c>
      <c r="B960" t="inlineStr">
        <is>
          <t>BWA</t>
        </is>
      </c>
      <c r="C960" t="inlineStr">
        <is>
          <t>mit.inv.grid.2</t>
        </is>
      </c>
      <c r="D960" t="n">
        <v>0</v>
      </c>
      <c r="E960" t="n">
        <v>0.04677882567</v>
      </c>
      <c r="F960" t="n">
        <v>0.09413484587</v>
      </c>
      <c r="G960" t="n">
        <v>0.2617829213</v>
      </c>
      <c r="H960" t="n">
        <v>0.1814121154</v>
      </c>
    </row>
    <row r="961">
      <c r="A961" t="inlineStr">
        <is>
          <t>CAF|mit.inv.grid.2</t>
        </is>
      </c>
      <c r="B961" t="inlineStr">
        <is>
          <t>CAF</t>
        </is>
      </c>
      <c r="C961" t="inlineStr">
        <is>
          <t>mit.inv.grid.2</t>
        </is>
      </c>
      <c r="D961" t="n">
        <v>0</v>
      </c>
      <c r="E961" t="n">
        <v>0</v>
      </c>
      <c r="F961" t="n">
        <v>0.004524873768</v>
      </c>
      <c r="G961" t="n">
        <v>0.01188704436</v>
      </c>
      <c r="H961" t="n">
        <v>0.012721508</v>
      </c>
    </row>
    <row r="962">
      <c r="A962" t="inlineStr">
        <is>
          <t>CAN|mit.inv.grid.2</t>
        </is>
      </c>
      <c r="B962" t="inlineStr">
        <is>
          <t>CAN</t>
        </is>
      </c>
      <c r="C962" t="inlineStr">
        <is>
          <t>mit.inv.grid.2</t>
        </is>
      </c>
      <c r="D962" t="n">
        <v>0</v>
      </c>
      <c r="E962" t="n">
        <v>10.53176802</v>
      </c>
      <c r="F962" t="n">
        <v>17.60910421</v>
      </c>
      <c r="G962" t="n">
        <v>20.29933758</v>
      </c>
      <c r="H962" t="n">
        <v>18.45683536</v>
      </c>
    </row>
    <row r="963">
      <c r="A963" t="inlineStr">
        <is>
          <t>CHE|mit.inv.grid.2</t>
        </is>
      </c>
      <c r="B963" t="inlineStr">
        <is>
          <t>CHE</t>
        </is>
      </c>
      <c r="C963" t="inlineStr">
        <is>
          <t>mit.inv.grid.2</t>
        </is>
      </c>
      <c r="D963" t="n">
        <v>0</v>
      </c>
      <c r="E963" t="n">
        <v>1.357414685</v>
      </c>
      <c r="F963" t="n">
        <v>1.917073132</v>
      </c>
      <c r="G963" t="n">
        <v>2.454636344</v>
      </c>
      <c r="H963" t="n">
        <v>2.204219968</v>
      </c>
    </row>
    <row r="964">
      <c r="A964" t="inlineStr">
        <is>
          <t>CHL|mit.inv.grid.2</t>
        </is>
      </c>
      <c r="B964" t="inlineStr">
        <is>
          <t>CHL</t>
        </is>
      </c>
      <c r="C964" t="inlineStr">
        <is>
          <t>mit.inv.grid.2</t>
        </is>
      </c>
      <c r="D964" t="n">
        <v>0</v>
      </c>
      <c r="E964" t="n">
        <v>1.473954791</v>
      </c>
      <c r="F964" t="n">
        <v>2.069038198</v>
      </c>
      <c r="G964" t="n">
        <v>3.175461468</v>
      </c>
      <c r="H964" t="n">
        <v>2.160649843</v>
      </c>
    </row>
    <row r="965">
      <c r="A965" t="inlineStr">
        <is>
          <t>CHN|mit.inv.grid.2</t>
        </is>
      </c>
      <c r="B965" t="inlineStr">
        <is>
          <t>CHN</t>
        </is>
      </c>
      <c r="C965" t="inlineStr">
        <is>
          <t>mit.inv.grid.2</t>
        </is>
      </c>
      <c r="D965" t="n">
        <v>0</v>
      </c>
      <c r="E965" t="n">
        <v>279.6370932</v>
      </c>
      <c r="F965" t="n">
        <v>460.2571803</v>
      </c>
      <c r="G965" t="n">
        <v>878.0358937</v>
      </c>
      <c r="H965" t="n">
        <v>590.9026421999999</v>
      </c>
    </row>
    <row r="966">
      <c r="A966" t="inlineStr">
        <is>
          <t>CIV|mit.inv.grid.2</t>
        </is>
      </c>
      <c r="B966" t="inlineStr">
        <is>
          <t>CIV</t>
        </is>
      </c>
      <c r="C966" t="inlineStr">
        <is>
          <t>mit.inv.grid.2</t>
        </is>
      </c>
      <c r="D966" t="n">
        <v>0</v>
      </c>
      <c r="E966" t="n">
        <v>0.1423178089</v>
      </c>
      <c r="F966" t="n">
        <v>0.2248067796</v>
      </c>
      <c r="G966" t="n">
        <v>0.5716369259</v>
      </c>
      <c r="H966" t="n">
        <v>0.5234368037</v>
      </c>
    </row>
    <row r="967">
      <c r="A967" t="inlineStr">
        <is>
          <t>CMR|mit.inv.grid.2</t>
        </is>
      </c>
      <c r="B967" t="inlineStr">
        <is>
          <t>CMR</t>
        </is>
      </c>
      <c r="C967" t="inlineStr">
        <is>
          <t>mit.inv.grid.2</t>
        </is>
      </c>
      <c r="D967" t="n">
        <v>0</v>
      </c>
      <c r="E967" t="n">
        <v>0.07158469375</v>
      </c>
      <c r="F967" t="n">
        <v>0.1219835076</v>
      </c>
      <c r="G967" t="n">
        <v>0.2341065333</v>
      </c>
      <c r="H967" t="n">
        <v>0.262145821</v>
      </c>
    </row>
    <row r="968">
      <c r="A968" t="inlineStr">
        <is>
          <t>COD|mit.inv.grid.2</t>
        </is>
      </c>
      <c r="B968" t="inlineStr">
        <is>
          <t>COD</t>
        </is>
      </c>
      <c r="C968" t="inlineStr">
        <is>
          <t>mit.inv.grid.2</t>
        </is>
      </c>
      <c r="D968" t="n">
        <v>0</v>
      </c>
      <c r="E968" t="n">
        <v>0.1307860906</v>
      </c>
      <c r="F968" t="n">
        <v>0.2062244594</v>
      </c>
      <c r="G968" t="n">
        <v>0.3176429078</v>
      </c>
      <c r="H968" t="n">
        <v>0.3792530287</v>
      </c>
    </row>
    <row r="969">
      <c r="A969" t="inlineStr">
        <is>
          <t>COG|mit.inv.grid.2</t>
        </is>
      </c>
      <c r="B969" t="inlineStr">
        <is>
          <t>COG</t>
        </is>
      </c>
      <c r="C969" t="inlineStr">
        <is>
          <t>mit.inv.grid.2</t>
        </is>
      </c>
      <c r="D969" t="n">
        <v>0</v>
      </c>
      <c r="E969" t="n">
        <v>0.008783895301000001</v>
      </c>
      <c r="F969" t="n">
        <v>0.02860783664</v>
      </c>
      <c r="G969" t="n">
        <v>0.09113737136</v>
      </c>
      <c r="H969" t="n">
        <v>0.08495748233</v>
      </c>
    </row>
    <row r="970">
      <c r="A970" t="inlineStr">
        <is>
          <t>COL|mit.inv.grid.2</t>
        </is>
      </c>
      <c r="B970" t="inlineStr">
        <is>
          <t>COL</t>
        </is>
      </c>
      <c r="C970" t="inlineStr">
        <is>
          <t>mit.inv.grid.2</t>
        </is>
      </c>
      <c r="D970" t="n">
        <v>0</v>
      </c>
      <c r="E970" t="n">
        <v>0.5874312304</v>
      </c>
      <c r="F970" t="n">
        <v>0.7856251178</v>
      </c>
      <c r="G970" t="n">
        <v>1.609103354</v>
      </c>
      <c r="H970" t="n">
        <v>1.708142042</v>
      </c>
    </row>
    <row r="971">
      <c r="A971" t="inlineStr">
        <is>
          <t>COM|mit.inv.grid.2</t>
        </is>
      </c>
      <c r="B971" t="inlineStr">
        <is>
          <t>COM</t>
        </is>
      </c>
      <c r="C971" t="inlineStr">
        <is>
          <t>mit.inv.grid.2</t>
        </is>
      </c>
      <c r="D971" t="n">
        <v>0</v>
      </c>
      <c r="E971" t="n">
        <v>0.003527480173</v>
      </c>
      <c r="F971" t="n">
        <v>0.006845869877</v>
      </c>
      <c r="G971" t="n">
        <v>0.02417027267</v>
      </c>
      <c r="H971" t="n">
        <v>0.02440262796</v>
      </c>
    </row>
    <row r="972">
      <c r="A972" t="inlineStr">
        <is>
          <t>CPV|mit.inv.grid.2</t>
        </is>
      </c>
      <c r="B972" t="inlineStr">
        <is>
          <t>CPV</t>
        </is>
      </c>
      <c r="C972" t="inlineStr">
        <is>
          <t>mit.inv.grid.2</t>
        </is>
      </c>
      <c r="D972" t="n">
        <v>0</v>
      </c>
      <c r="E972" t="n">
        <v>0.01529936142</v>
      </c>
      <c r="F972" t="n">
        <v>0.02178948325</v>
      </c>
      <c r="G972" t="n">
        <v>0.04356176835</v>
      </c>
      <c r="H972" t="n">
        <v>0.04226535561</v>
      </c>
    </row>
    <row r="973">
      <c r="A973" t="inlineStr">
        <is>
          <t>CRI|mit.inv.grid.2</t>
        </is>
      </c>
      <c r="B973" t="inlineStr">
        <is>
          <t>CRI</t>
        </is>
      </c>
      <c r="C973" t="inlineStr">
        <is>
          <t>mit.inv.grid.2</t>
        </is>
      </c>
      <c r="D973" t="n">
        <v>0</v>
      </c>
      <c r="E973" t="n">
        <v>0.1338635848</v>
      </c>
      <c r="F973" t="n">
        <v>0.1840008968</v>
      </c>
      <c r="G973" t="n">
        <v>0.3114573856</v>
      </c>
      <c r="H973" t="n">
        <v>0.3308336459</v>
      </c>
    </row>
    <row r="974">
      <c r="A974" t="inlineStr">
        <is>
          <t>CYP|mit.inv.grid.2</t>
        </is>
      </c>
      <c r="B974" t="inlineStr">
        <is>
          <t>CYP</t>
        </is>
      </c>
      <c r="C974" t="inlineStr">
        <is>
          <t>mit.inv.grid.2</t>
        </is>
      </c>
      <c r="D974" t="n">
        <v>0</v>
      </c>
      <c r="E974" t="n">
        <v>0.2386003764</v>
      </c>
      <c r="F974" t="n">
        <v>0.5004142101</v>
      </c>
      <c r="G974" t="n">
        <v>0.4248528121</v>
      </c>
      <c r="H974" t="n">
        <v>0.3883960351</v>
      </c>
    </row>
    <row r="975">
      <c r="A975" t="inlineStr">
        <is>
          <t>CZE|mit.inv.grid.2</t>
        </is>
      </c>
      <c r="B975" t="inlineStr">
        <is>
          <t>CZE</t>
        </is>
      </c>
      <c r="C975" t="inlineStr">
        <is>
          <t>mit.inv.grid.2</t>
        </is>
      </c>
      <c r="D975" t="n">
        <v>0</v>
      </c>
      <c r="E975" t="n">
        <v>1.973970597</v>
      </c>
      <c r="F975" t="n">
        <v>3.720732455</v>
      </c>
      <c r="G975" t="n">
        <v>3.757740171</v>
      </c>
      <c r="H975" t="n">
        <v>3.028242199</v>
      </c>
    </row>
    <row r="976">
      <c r="A976" t="inlineStr">
        <is>
          <t>DEU|mit.inv.grid.2</t>
        </is>
      </c>
      <c r="B976" t="inlineStr">
        <is>
          <t>DEU</t>
        </is>
      </c>
      <c r="C976" t="inlineStr">
        <is>
          <t>mit.inv.grid.2</t>
        </is>
      </c>
      <c r="D976" t="n">
        <v>0</v>
      </c>
      <c r="E976" t="n">
        <v>24.02964924</v>
      </c>
      <c r="F976" t="n">
        <v>39.02968138</v>
      </c>
      <c r="G976" t="n">
        <v>32.82310928</v>
      </c>
      <c r="H976" t="n">
        <v>25.75033738</v>
      </c>
    </row>
    <row r="977">
      <c r="A977" t="inlineStr">
        <is>
          <t>DJI|mit.inv.grid.2</t>
        </is>
      </c>
      <c r="B977" t="inlineStr">
        <is>
          <t>DJI</t>
        </is>
      </c>
      <c r="C977" t="inlineStr">
        <is>
          <t>mit.inv.grid.2</t>
        </is>
      </c>
      <c r="D977" t="n">
        <v>0</v>
      </c>
      <c r="E977" t="n">
        <v>0.01531857104</v>
      </c>
      <c r="F977" t="n">
        <v>0.02202139444</v>
      </c>
      <c r="G977" t="n">
        <v>0.04457688024</v>
      </c>
      <c r="H977" t="n">
        <v>0.04245801923</v>
      </c>
    </row>
    <row r="978">
      <c r="A978" t="inlineStr">
        <is>
          <t>DMA|mit.inv.grid.2</t>
        </is>
      </c>
      <c r="B978" t="inlineStr">
        <is>
          <t>DMA</t>
        </is>
      </c>
      <c r="C978" t="inlineStr">
        <is>
          <t>mit.inv.grid.2</t>
        </is>
      </c>
      <c r="D978" t="n">
        <v>0</v>
      </c>
      <c r="E978" t="n">
        <v>0.002484896646</v>
      </c>
      <c r="F978" t="n">
        <v>0.003315056441</v>
      </c>
      <c r="G978" t="n">
        <v>0.008820200925</v>
      </c>
      <c r="H978" t="n">
        <v>0.007709084522</v>
      </c>
    </row>
    <row r="979">
      <c r="A979" t="inlineStr">
        <is>
          <t>DNK|mit.inv.grid.2</t>
        </is>
      </c>
      <c r="B979" t="inlineStr">
        <is>
          <t>DNK</t>
        </is>
      </c>
      <c r="C979" t="inlineStr">
        <is>
          <t>mit.inv.grid.2</t>
        </is>
      </c>
      <c r="D979" t="n">
        <v>0</v>
      </c>
      <c r="E979" t="n">
        <v>2.104067655</v>
      </c>
      <c r="F979" t="n">
        <v>1.828801961</v>
      </c>
      <c r="G979" t="n">
        <v>1.707750188</v>
      </c>
      <c r="H979" t="n">
        <v>1.370359185</v>
      </c>
    </row>
    <row r="980">
      <c r="A980" t="inlineStr">
        <is>
          <t>DOM|mit.inv.grid.2</t>
        </is>
      </c>
      <c r="B980" t="inlineStr">
        <is>
          <t>DOM</t>
        </is>
      </c>
      <c r="C980" t="inlineStr">
        <is>
          <t>mit.inv.grid.2</t>
        </is>
      </c>
      <c r="D980" t="n">
        <v>0</v>
      </c>
      <c r="E980" t="n">
        <v>0.3552404274</v>
      </c>
      <c r="F980" t="n">
        <v>0.6366683990999999</v>
      </c>
      <c r="G980" t="n">
        <v>1.418007193</v>
      </c>
      <c r="H980" t="n">
        <v>1.174044727</v>
      </c>
    </row>
    <row r="981">
      <c r="A981" t="inlineStr">
        <is>
          <t>DZA|mit.inv.grid.2</t>
        </is>
      </c>
      <c r="B981" t="inlineStr">
        <is>
          <t>DZA</t>
        </is>
      </c>
      <c r="C981" t="inlineStr">
        <is>
          <t>mit.inv.grid.2</t>
        </is>
      </c>
      <c r="D981" t="n">
        <v>0</v>
      </c>
      <c r="E981" t="n">
        <v>1.425199685</v>
      </c>
      <c r="F981" t="n">
        <v>1.894989832</v>
      </c>
      <c r="G981" t="n">
        <v>4.58761399</v>
      </c>
      <c r="H981" t="n">
        <v>3.795233955</v>
      </c>
    </row>
    <row r="982">
      <c r="A982" t="inlineStr">
        <is>
          <t>ECU|mit.inv.grid.2</t>
        </is>
      </c>
      <c r="B982" t="inlineStr">
        <is>
          <t>ECU</t>
        </is>
      </c>
      <c r="C982" t="inlineStr">
        <is>
          <t>mit.inv.grid.2</t>
        </is>
      </c>
      <c r="D982" t="n">
        <v>0</v>
      </c>
      <c r="E982" t="n">
        <v>0.6389281433</v>
      </c>
      <c r="F982" t="n">
        <v>0.8387373363</v>
      </c>
      <c r="G982" t="n">
        <v>1.937703749</v>
      </c>
      <c r="H982" t="n">
        <v>1.945994305</v>
      </c>
    </row>
    <row r="983">
      <c r="A983" t="inlineStr">
        <is>
          <t>EGY|mit.inv.grid.2</t>
        </is>
      </c>
      <c r="B983" t="inlineStr">
        <is>
          <t>EGY</t>
        </is>
      </c>
      <c r="C983" t="inlineStr">
        <is>
          <t>mit.inv.grid.2</t>
        </is>
      </c>
      <c r="D983" t="n">
        <v>0</v>
      </c>
      <c r="E983" t="n">
        <v>1.839953493</v>
      </c>
      <c r="F983" t="n">
        <v>2.573176614</v>
      </c>
      <c r="G983" t="n">
        <v>6.348654267</v>
      </c>
      <c r="H983" t="n">
        <v>5.781708329</v>
      </c>
    </row>
    <row r="984">
      <c r="A984" t="inlineStr">
        <is>
          <t>ESP|mit.inv.grid.2</t>
        </is>
      </c>
      <c r="B984" t="inlineStr">
        <is>
          <t>ESP</t>
        </is>
      </c>
      <c r="C984" t="inlineStr">
        <is>
          <t>mit.inv.grid.2</t>
        </is>
      </c>
      <c r="D984" t="n">
        <v>0</v>
      </c>
      <c r="E984" t="n">
        <v>9.31010289</v>
      </c>
      <c r="F984" t="n">
        <v>13.3106451</v>
      </c>
      <c r="G984" t="n">
        <v>12.40889989</v>
      </c>
      <c r="H984" t="n">
        <v>10.46010341</v>
      </c>
    </row>
    <row r="985">
      <c r="A985" t="inlineStr">
        <is>
          <t>EST|mit.inv.grid.2</t>
        </is>
      </c>
      <c r="B985" t="inlineStr">
        <is>
          <t>EST</t>
        </is>
      </c>
      <c r="C985" t="inlineStr">
        <is>
          <t>mit.inv.grid.2</t>
        </is>
      </c>
      <c r="D985" t="n">
        <v>0</v>
      </c>
      <c r="E985" t="n">
        <v>0.1736508214</v>
      </c>
      <c r="F985" t="n">
        <v>0.2894357425</v>
      </c>
      <c r="G985" t="n">
        <v>0.2363439361</v>
      </c>
      <c r="H985" t="n">
        <v>0.1885131087</v>
      </c>
    </row>
    <row r="986">
      <c r="A986" t="inlineStr">
        <is>
          <t>ETH|mit.inv.grid.2</t>
        </is>
      </c>
      <c r="B986" t="inlineStr">
        <is>
          <t>ETH</t>
        </is>
      </c>
      <c r="C986" t="inlineStr">
        <is>
          <t>mit.inv.grid.2</t>
        </is>
      </c>
      <c r="D986" t="n">
        <v>0</v>
      </c>
      <c r="E986" t="n">
        <v>0.008031636086999999</v>
      </c>
      <c r="F986" t="n">
        <v>0.5379904964</v>
      </c>
      <c r="G986" t="n">
        <v>1.237174051</v>
      </c>
      <c r="H986" t="n">
        <v>1.687149758</v>
      </c>
    </row>
    <row r="987">
      <c r="A987" t="inlineStr">
        <is>
          <t>FIN|mit.inv.grid.2</t>
        </is>
      </c>
      <c r="B987" t="inlineStr">
        <is>
          <t>FIN</t>
        </is>
      </c>
      <c r="C987" t="inlineStr">
        <is>
          <t>mit.inv.grid.2</t>
        </is>
      </c>
      <c r="D987" t="n">
        <v>0</v>
      </c>
      <c r="E987" t="n">
        <v>1.444485208</v>
      </c>
      <c r="F987" t="n">
        <v>1.277957467</v>
      </c>
      <c r="G987" t="n">
        <v>1.557347689</v>
      </c>
      <c r="H987" t="n">
        <v>1.547979178</v>
      </c>
    </row>
    <row r="988">
      <c r="A988" t="inlineStr">
        <is>
          <t>FJI|mit.inv.grid.2</t>
        </is>
      </c>
      <c r="B988" t="inlineStr">
        <is>
          <t>FJI</t>
        </is>
      </c>
      <c r="C988" t="inlineStr">
        <is>
          <t>mit.inv.grid.2</t>
        </is>
      </c>
      <c r="D988" t="n">
        <v>0</v>
      </c>
      <c r="E988" t="n">
        <v>0.0156242436</v>
      </c>
      <c r="F988" t="n">
        <v>0.01916288135</v>
      </c>
      <c r="G988" t="n">
        <v>0.04116329544</v>
      </c>
      <c r="H988" t="n">
        <v>0.04298116442</v>
      </c>
    </row>
    <row r="989">
      <c r="A989" t="inlineStr">
        <is>
          <t>FRA|mit.inv.grid.2</t>
        </is>
      </c>
      <c r="B989" t="inlineStr">
        <is>
          <t>FRA</t>
        </is>
      </c>
      <c r="C989" t="inlineStr">
        <is>
          <t>mit.inv.grid.2</t>
        </is>
      </c>
      <c r="D989" t="n">
        <v>0</v>
      </c>
      <c r="E989" t="n">
        <v>10.7559376</v>
      </c>
      <c r="F989" t="n">
        <v>10.28726056</v>
      </c>
      <c r="G989" t="n">
        <v>13.4116415</v>
      </c>
      <c r="H989" t="n">
        <v>11.36123181</v>
      </c>
    </row>
    <row r="990">
      <c r="A990" t="inlineStr">
        <is>
          <t>GAB|mit.inv.grid.2</t>
        </is>
      </c>
      <c r="B990" t="inlineStr">
        <is>
          <t>GAB</t>
        </is>
      </c>
      <c r="C990" t="inlineStr">
        <is>
          <t>mit.inv.grid.2</t>
        </is>
      </c>
      <c r="D990" t="n">
        <v>0</v>
      </c>
      <c r="E990" t="n">
        <v>0.03073781834</v>
      </c>
      <c r="F990" t="n">
        <v>0.03766091506</v>
      </c>
      <c r="G990" t="n">
        <v>0.08686278557</v>
      </c>
      <c r="H990" t="n">
        <v>0.08452394737</v>
      </c>
    </row>
    <row r="991">
      <c r="A991" t="inlineStr">
        <is>
          <t>GBR|mit.inv.grid.2</t>
        </is>
      </c>
      <c r="B991" t="inlineStr">
        <is>
          <t>GBR</t>
        </is>
      </c>
      <c r="C991" t="inlineStr">
        <is>
          <t>mit.inv.grid.2</t>
        </is>
      </c>
      <c r="D991" t="n">
        <v>0</v>
      </c>
      <c r="E991" t="n">
        <v>12.51892993</v>
      </c>
      <c r="F991" t="n">
        <v>20.56905788</v>
      </c>
      <c r="G991" t="n">
        <v>19.5530095</v>
      </c>
      <c r="H991" t="n">
        <v>14.09124787</v>
      </c>
    </row>
    <row r="992">
      <c r="A992" t="inlineStr">
        <is>
          <t>GEO|mit.inv.grid.2</t>
        </is>
      </c>
      <c r="B992" t="inlineStr">
        <is>
          <t>GEO</t>
        </is>
      </c>
      <c r="C992" t="inlineStr">
        <is>
          <t>mit.inv.grid.2</t>
        </is>
      </c>
      <c r="D992" t="n">
        <v>0</v>
      </c>
      <c r="E992" t="n">
        <v>0.2714042792</v>
      </c>
      <c r="F992" t="n">
        <v>0.321148278</v>
      </c>
      <c r="G992" t="n">
        <v>0.6270601794</v>
      </c>
      <c r="H992" t="n">
        <v>0.6623284451</v>
      </c>
    </row>
    <row r="993">
      <c r="A993" t="inlineStr">
        <is>
          <t>GHA|mit.inv.grid.2</t>
        </is>
      </c>
      <c r="B993" t="inlineStr">
        <is>
          <t>GHA</t>
        </is>
      </c>
      <c r="C993" t="inlineStr">
        <is>
          <t>mit.inv.grid.2</t>
        </is>
      </c>
      <c r="D993" t="n">
        <v>0</v>
      </c>
      <c r="E993" t="n">
        <v>0.1521624664</v>
      </c>
      <c r="F993" t="n">
        <v>0.3901630305</v>
      </c>
      <c r="G993" t="n">
        <v>1.154906945</v>
      </c>
      <c r="H993" t="n">
        <v>1.104899536</v>
      </c>
    </row>
    <row r="994">
      <c r="A994" t="inlineStr">
        <is>
          <t>GIN|mit.inv.grid.2</t>
        </is>
      </c>
      <c r="B994" t="inlineStr">
        <is>
          <t>GIN</t>
        </is>
      </c>
      <c r="C994" t="inlineStr">
        <is>
          <t>mit.inv.grid.2</t>
        </is>
      </c>
      <c r="D994" t="n">
        <v>0</v>
      </c>
      <c r="E994" t="n">
        <v>0.07308274152999999</v>
      </c>
      <c r="F994" t="n">
        <v>0.1399033613</v>
      </c>
      <c r="G994" t="n">
        <v>0.3020307251</v>
      </c>
      <c r="H994" t="n">
        <v>0.3429900212</v>
      </c>
    </row>
    <row r="995">
      <c r="A995" t="inlineStr">
        <is>
          <t>GMB|mit.inv.grid.2</t>
        </is>
      </c>
      <c r="B995" t="inlineStr">
        <is>
          <t>GMB</t>
        </is>
      </c>
      <c r="C995" t="inlineStr">
        <is>
          <t>mit.inv.grid.2</t>
        </is>
      </c>
      <c r="D995" t="n">
        <v>0</v>
      </c>
      <c r="E995" t="n">
        <v>0.01175060735</v>
      </c>
      <c r="F995" t="n">
        <v>0.01699502762</v>
      </c>
      <c r="G995" t="n">
        <v>0.04886376425</v>
      </c>
      <c r="H995" t="n">
        <v>0.05502720066</v>
      </c>
    </row>
    <row r="996">
      <c r="A996" t="inlineStr">
        <is>
          <t>GNB|mit.inv.grid.2</t>
        </is>
      </c>
      <c r="B996" t="inlineStr">
        <is>
          <t>GNB</t>
        </is>
      </c>
      <c r="C996" t="inlineStr">
        <is>
          <t>mit.inv.grid.2</t>
        </is>
      </c>
      <c r="D996" t="n">
        <v>0</v>
      </c>
      <c r="E996" t="n">
        <v>0.003507908443</v>
      </c>
      <c r="F996" t="n">
        <v>0.005605816742</v>
      </c>
      <c r="G996" t="n">
        <v>0.01781181382</v>
      </c>
      <c r="H996" t="n">
        <v>0.01917986628</v>
      </c>
    </row>
    <row r="997">
      <c r="A997" t="inlineStr">
        <is>
          <t>GNQ|mit.inv.grid.2</t>
        </is>
      </c>
      <c r="B997" t="inlineStr">
        <is>
          <t>GNQ</t>
        </is>
      </c>
      <c r="C997" t="inlineStr">
        <is>
          <t>mit.inv.grid.2</t>
        </is>
      </c>
      <c r="D997" t="n">
        <v>0</v>
      </c>
      <c r="E997" t="n">
        <v>0.01764606473</v>
      </c>
      <c r="F997" t="n">
        <v>0.02848506905</v>
      </c>
      <c r="G997" t="n">
        <v>0.08350193911999999</v>
      </c>
      <c r="H997" t="n">
        <v>0.08735061443</v>
      </c>
    </row>
    <row r="998">
      <c r="A998" t="inlineStr">
        <is>
          <t>GRC|mit.inv.grid.2</t>
        </is>
      </c>
      <c r="B998" t="inlineStr">
        <is>
          <t>GRC</t>
        </is>
      </c>
      <c r="C998" t="inlineStr">
        <is>
          <t>mit.inv.grid.2</t>
        </is>
      </c>
      <c r="D998" t="n">
        <v>0</v>
      </c>
      <c r="E998" t="n">
        <v>2.038073643</v>
      </c>
      <c r="F998" t="n">
        <v>3.36769805</v>
      </c>
      <c r="G998" t="n">
        <v>2.498792329</v>
      </c>
      <c r="H998" t="n">
        <v>2.102951205</v>
      </c>
    </row>
    <row r="999">
      <c r="A999" t="inlineStr">
        <is>
          <t>GRD|mit.inv.grid.2</t>
        </is>
      </c>
      <c r="B999" t="inlineStr">
        <is>
          <t>GRD</t>
        </is>
      </c>
      <c r="C999" t="inlineStr">
        <is>
          <t>mit.inv.grid.2</t>
        </is>
      </c>
      <c r="D999" t="n">
        <v>0</v>
      </c>
      <c r="E999" t="n">
        <v>0.005450568899</v>
      </c>
      <c r="F999" t="n">
        <v>0.007156098424</v>
      </c>
      <c r="G999" t="n">
        <v>0.01945012273</v>
      </c>
      <c r="H999" t="n">
        <v>0.01667713564</v>
      </c>
    </row>
    <row r="1000">
      <c r="A1000" t="inlineStr">
        <is>
          <t>GTM|mit.inv.grid.2</t>
        </is>
      </c>
      <c r="B1000" t="inlineStr">
        <is>
          <t>GTM</t>
        </is>
      </c>
      <c r="C1000" t="inlineStr">
        <is>
          <t>mit.inv.grid.2</t>
        </is>
      </c>
      <c r="D1000" t="n">
        <v>0</v>
      </c>
      <c r="E1000" t="n">
        <v>0.1123189393</v>
      </c>
      <c r="F1000" t="n">
        <v>0.1666073909</v>
      </c>
      <c r="G1000" t="n">
        <v>0.3444842246</v>
      </c>
      <c r="H1000" t="n">
        <v>0.3329003085</v>
      </c>
    </row>
    <row r="1001">
      <c r="A1001" t="inlineStr">
        <is>
          <t>GUY|mit.inv.grid.2</t>
        </is>
      </c>
      <c r="B1001" t="inlineStr">
        <is>
          <t>GUY</t>
        </is>
      </c>
      <c r="C1001" t="inlineStr">
        <is>
          <t>mit.inv.grid.2</t>
        </is>
      </c>
      <c r="D1001" t="n">
        <v>0</v>
      </c>
      <c r="E1001" t="n">
        <v>0.04746934566</v>
      </c>
      <c r="F1001" t="n">
        <v>0.09704503457999999</v>
      </c>
      <c r="G1001" t="n">
        <v>0.2582177564</v>
      </c>
      <c r="H1001" t="n">
        <v>0.2310946085</v>
      </c>
    </row>
    <row r="1002">
      <c r="A1002" t="inlineStr">
        <is>
          <t>HKG|mit.inv.grid.2</t>
        </is>
      </c>
      <c r="B1002" t="inlineStr">
        <is>
          <t>HKG</t>
        </is>
      </c>
      <c r="C1002" t="inlineStr">
        <is>
          <t>mit.inv.grid.2</t>
        </is>
      </c>
      <c r="D1002" t="n">
        <v>0</v>
      </c>
      <c r="E1002" t="n">
        <v>1.340772416</v>
      </c>
      <c r="F1002" t="n">
        <v>2.757269667</v>
      </c>
      <c r="G1002" t="n">
        <v>1.534276686</v>
      </c>
      <c r="H1002" t="n">
        <v>1.227402717</v>
      </c>
    </row>
    <row r="1003">
      <c r="A1003" t="inlineStr">
        <is>
          <t>HND|mit.inv.grid.2</t>
        </is>
      </c>
      <c r="B1003" t="inlineStr">
        <is>
          <t>HND</t>
        </is>
      </c>
      <c r="C1003" t="inlineStr">
        <is>
          <t>mit.inv.grid.2</t>
        </is>
      </c>
      <c r="D1003" t="n">
        <v>0</v>
      </c>
      <c r="E1003" t="n">
        <v>0.1109230138</v>
      </c>
      <c r="F1003" t="n">
        <v>0.1810718649</v>
      </c>
      <c r="G1003" t="n">
        <v>0.4187638178</v>
      </c>
      <c r="H1003" t="n">
        <v>0.4172886546</v>
      </c>
    </row>
    <row r="1004">
      <c r="A1004" t="inlineStr">
        <is>
          <t>HRV|mit.inv.grid.2</t>
        </is>
      </c>
      <c r="B1004" t="inlineStr">
        <is>
          <t>HRV</t>
        </is>
      </c>
      <c r="C1004" t="inlineStr">
        <is>
          <t>mit.inv.grid.2</t>
        </is>
      </c>
      <c r="D1004" t="n">
        <v>0</v>
      </c>
      <c r="E1004" t="n">
        <v>0.4062434284</v>
      </c>
      <c r="F1004" t="n">
        <v>0.6414193386</v>
      </c>
      <c r="G1004" t="n">
        <v>0.6121174252</v>
      </c>
      <c r="H1004" t="n">
        <v>0.5037438364</v>
      </c>
    </row>
    <row r="1005">
      <c r="A1005" t="inlineStr">
        <is>
          <t>HTI|mit.inv.grid.2</t>
        </is>
      </c>
      <c r="B1005" t="inlineStr">
        <is>
          <t>HTI</t>
        </is>
      </c>
      <c r="C1005" t="inlineStr">
        <is>
          <t>mit.inv.grid.2</t>
        </is>
      </c>
      <c r="D1005" t="n">
        <v>0</v>
      </c>
      <c r="E1005" t="n">
        <v>0.0272253017</v>
      </c>
      <c r="F1005" t="n">
        <v>0.03933264666</v>
      </c>
      <c r="G1005" t="n">
        <v>0.10566777</v>
      </c>
      <c r="H1005" t="n">
        <v>0.1118649546</v>
      </c>
    </row>
    <row r="1006">
      <c r="A1006" t="inlineStr">
        <is>
          <t>HUN|mit.inv.grid.2</t>
        </is>
      </c>
      <c r="B1006" t="inlineStr">
        <is>
          <t>HUN</t>
        </is>
      </c>
      <c r="C1006" t="inlineStr">
        <is>
          <t>mit.inv.grid.2</t>
        </is>
      </c>
      <c r="D1006" t="n">
        <v>0</v>
      </c>
      <c r="E1006" t="n">
        <v>0.7135269155</v>
      </c>
      <c r="F1006" t="n">
        <v>1.231995648</v>
      </c>
      <c r="G1006" t="n">
        <v>1.39612814</v>
      </c>
      <c r="H1006" t="n">
        <v>1.257540209</v>
      </c>
    </row>
    <row r="1007">
      <c r="A1007" t="inlineStr">
        <is>
          <t>IDN|mit.inv.grid.2</t>
        </is>
      </c>
      <c r="B1007" t="inlineStr">
        <is>
          <t>IDN</t>
        </is>
      </c>
      <c r="C1007" t="inlineStr">
        <is>
          <t>mit.inv.grid.2</t>
        </is>
      </c>
      <c r="D1007" t="n">
        <v>0</v>
      </c>
      <c r="E1007" t="n">
        <v>5.312100609</v>
      </c>
      <c r="F1007" t="n">
        <v>7.874789895</v>
      </c>
      <c r="G1007" t="n">
        <v>20.58539462</v>
      </c>
      <c r="H1007" t="n">
        <v>19.55293394</v>
      </c>
    </row>
    <row r="1008">
      <c r="A1008" t="inlineStr">
        <is>
          <t>IND|mit.inv.grid.2</t>
        </is>
      </c>
      <c r="B1008" t="inlineStr">
        <is>
          <t>IND</t>
        </is>
      </c>
      <c r="C1008" t="inlineStr">
        <is>
          <t>mit.inv.grid.2</t>
        </is>
      </c>
      <c r="D1008" t="n">
        <v>0</v>
      </c>
      <c r="E1008" t="n">
        <v>30.72213821</v>
      </c>
      <c r="F1008" t="n">
        <v>51.01631988</v>
      </c>
      <c r="G1008" t="n">
        <v>116.7642956</v>
      </c>
      <c r="H1008" t="n">
        <v>106.6116714</v>
      </c>
    </row>
    <row r="1009">
      <c r="A1009" t="inlineStr">
        <is>
          <t>IRL|mit.inv.grid.2</t>
        </is>
      </c>
      <c r="B1009" t="inlineStr">
        <is>
          <t>IRL</t>
        </is>
      </c>
      <c r="C1009" t="inlineStr">
        <is>
          <t>mit.inv.grid.2</t>
        </is>
      </c>
      <c r="D1009" t="n">
        <v>0</v>
      </c>
      <c r="E1009" t="n">
        <v>2.569247879</v>
      </c>
      <c r="F1009" t="n">
        <v>2.885321572</v>
      </c>
      <c r="G1009" t="n">
        <v>2.122986941</v>
      </c>
      <c r="H1009" t="n">
        <v>1.595072238</v>
      </c>
    </row>
    <row r="1010">
      <c r="A1010" t="inlineStr">
        <is>
          <t>IRN|mit.inv.grid.2</t>
        </is>
      </c>
      <c r="B1010" t="inlineStr">
        <is>
          <t>IRN</t>
        </is>
      </c>
      <c r="C1010" t="inlineStr">
        <is>
          <t>mit.inv.grid.2</t>
        </is>
      </c>
      <c r="D1010" t="n">
        <v>0</v>
      </c>
      <c r="E1010" t="n">
        <v>5.0480446</v>
      </c>
      <c r="F1010" t="n">
        <v>5.181809878</v>
      </c>
      <c r="G1010" t="n">
        <v>17.33786358</v>
      </c>
      <c r="H1010" t="n">
        <v>14.69718159</v>
      </c>
    </row>
    <row r="1011">
      <c r="A1011" t="inlineStr">
        <is>
          <t>IRQ|mit.inv.grid.2</t>
        </is>
      </c>
      <c r="B1011" t="inlineStr">
        <is>
          <t>IRQ</t>
        </is>
      </c>
      <c r="C1011" t="inlineStr">
        <is>
          <t>mit.inv.grid.2</t>
        </is>
      </c>
      <c r="D1011" t="n">
        <v>0</v>
      </c>
      <c r="E1011" t="n">
        <v>0.9884045989</v>
      </c>
      <c r="F1011" t="n">
        <v>0.8721889409</v>
      </c>
      <c r="G1011" t="n">
        <v>2.962185652</v>
      </c>
      <c r="H1011" t="n">
        <v>2.417503783</v>
      </c>
    </row>
    <row r="1012">
      <c r="A1012" t="inlineStr">
        <is>
          <t>ISL|mit.inv.grid.2</t>
        </is>
      </c>
      <c r="B1012" t="inlineStr">
        <is>
          <t>ISL</t>
        </is>
      </c>
      <c r="C1012" t="inlineStr">
        <is>
          <t>mit.inv.grid.2</t>
        </is>
      </c>
      <c r="D1012" t="n">
        <v>0</v>
      </c>
      <c r="E1012" t="n">
        <v>0.04389271187</v>
      </c>
      <c r="F1012" t="n">
        <v>0.0773152881</v>
      </c>
      <c r="G1012" t="n">
        <v>0.07443818570999999</v>
      </c>
      <c r="H1012" t="n">
        <v>0.07784624077000001</v>
      </c>
    </row>
    <row r="1013">
      <c r="A1013" t="inlineStr">
        <is>
          <t>ISR|mit.inv.grid.2</t>
        </is>
      </c>
      <c r="B1013" t="inlineStr">
        <is>
          <t>ISR</t>
        </is>
      </c>
      <c r="C1013" t="inlineStr">
        <is>
          <t>mit.inv.grid.2</t>
        </is>
      </c>
      <c r="D1013" t="n">
        <v>0</v>
      </c>
      <c r="E1013" t="n">
        <v>2.7547539</v>
      </c>
      <c r="F1013" t="n">
        <v>5.862059125</v>
      </c>
      <c r="G1013" t="n">
        <v>3.443108404</v>
      </c>
      <c r="H1013" t="n">
        <v>2.886656167</v>
      </c>
    </row>
    <row r="1014">
      <c r="A1014" t="inlineStr">
        <is>
          <t>ITA|mit.inv.grid.2</t>
        </is>
      </c>
      <c r="B1014" t="inlineStr">
        <is>
          <t>ITA</t>
        </is>
      </c>
      <c r="C1014" t="inlineStr">
        <is>
          <t>mit.inv.grid.2</t>
        </is>
      </c>
      <c r="D1014" t="n">
        <v>0</v>
      </c>
      <c r="E1014" t="n">
        <v>8.472424755</v>
      </c>
      <c r="F1014" t="n">
        <v>15.68384015</v>
      </c>
      <c r="G1014" t="n">
        <v>14.05324734</v>
      </c>
      <c r="H1014" t="n">
        <v>10.67324893</v>
      </c>
    </row>
    <row r="1015">
      <c r="A1015" t="inlineStr">
        <is>
          <t>JAM|mit.inv.grid.2</t>
        </is>
      </c>
      <c r="B1015" t="inlineStr">
        <is>
          <t>JAM</t>
        </is>
      </c>
      <c r="C1015" t="inlineStr">
        <is>
          <t>mit.inv.grid.2</t>
        </is>
      </c>
      <c r="D1015" t="n">
        <v>0</v>
      </c>
      <c r="E1015" t="n">
        <v>0.09149817086000001</v>
      </c>
      <c r="F1015" t="n">
        <v>0.1260116458</v>
      </c>
      <c r="G1015" t="n">
        <v>0.3598007419</v>
      </c>
      <c r="H1015" t="n">
        <v>0.3078757677</v>
      </c>
    </row>
    <row r="1016">
      <c r="A1016" t="inlineStr">
        <is>
          <t>JOR|mit.inv.grid.2</t>
        </is>
      </c>
      <c r="B1016" t="inlineStr">
        <is>
          <t>JOR</t>
        </is>
      </c>
      <c r="C1016" t="inlineStr">
        <is>
          <t>mit.inv.grid.2</t>
        </is>
      </c>
      <c r="D1016" t="n">
        <v>0</v>
      </c>
      <c r="E1016" t="n">
        <v>0.2672552885</v>
      </c>
      <c r="F1016" t="n">
        <v>0.3976606174</v>
      </c>
      <c r="G1016" t="n">
        <v>0.8306716395</v>
      </c>
      <c r="H1016" t="n">
        <v>0.607292493</v>
      </c>
    </row>
    <row r="1017">
      <c r="A1017" t="inlineStr">
        <is>
          <t>JPN|mit.inv.grid.2</t>
        </is>
      </c>
      <c r="B1017" t="inlineStr">
        <is>
          <t>JPN</t>
        </is>
      </c>
      <c r="C1017" t="inlineStr">
        <is>
          <t>mit.inv.grid.2</t>
        </is>
      </c>
      <c r="D1017" t="n">
        <v>0</v>
      </c>
      <c r="E1017" t="n">
        <v>24.29067308</v>
      </c>
      <c r="F1017" t="n">
        <v>47.2418361</v>
      </c>
      <c r="G1017" t="n">
        <v>38.3744452</v>
      </c>
      <c r="H1017" t="n">
        <v>32.62952445</v>
      </c>
    </row>
    <row r="1018">
      <c r="A1018" t="inlineStr">
        <is>
          <t>KAZ|mit.inv.grid.2</t>
        </is>
      </c>
      <c r="B1018" t="inlineStr">
        <is>
          <t>KAZ</t>
        </is>
      </c>
      <c r="C1018" t="inlineStr">
        <is>
          <t>mit.inv.grid.2</t>
        </is>
      </c>
      <c r="D1018" t="n">
        <v>0</v>
      </c>
      <c r="E1018" t="n">
        <v>2.03254434</v>
      </c>
      <c r="F1018" t="n">
        <v>3.113505051</v>
      </c>
      <c r="G1018" t="n">
        <v>7.792623004</v>
      </c>
      <c r="H1018" t="n">
        <v>6.658883524</v>
      </c>
    </row>
    <row r="1019">
      <c r="A1019" t="inlineStr">
        <is>
          <t>KEN|mit.inv.grid.2</t>
        </is>
      </c>
      <c r="B1019" t="inlineStr">
        <is>
          <t>KEN</t>
        </is>
      </c>
      <c r="C1019" t="inlineStr">
        <is>
          <t>mit.inv.grid.2</t>
        </is>
      </c>
      <c r="D1019" t="n">
        <v>0</v>
      </c>
      <c r="E1019" t="n">
        <v>0.1966306907</v>
      </c>
      <c r="F1019" t="n">
        <v>0.3564469996</v>
      </c>
      <c r="G1019" t="n">
        <v>0.6339777455</v>
      </c>
      <c r="H1019" t="n">
        <v>0.6933746874</v>
      </c>
    </row>
    <row r="1020">
      <c r="A1020" t="inlineStr">
        <is>
          <t>KGZ|mit.inv.grid.2</t>
        </is>
      </c>
      <c r="B1020" t="inlineStr">
        <is>
          <t>KGZ</t>
        </is>
      </c>
      <c r="C1020" t="inlineStr">
        <is>
          <t>mit.inv.grid.2</t>
        </is>
      </c>
      <c r="D1020" t="n">
        <v>0</v>
      </c>
      <c r="E1020" t="n">
        <v>0.2516878724</v>
      </c>
      <c r="F1020" t="n">
        <v>0.2695364659</v>
      </c>
      <c r="G1020" t="n">
        <v>0.386861689</v>
      </c>
      <c r="H1020" t="n">
        <v>0.4825273095</v>
      </c>
    </row>
    <row r="1021">
      <c r="A1021" t="inlineStr">
        <is>
          <t>KHM|mit.inv.grid.2</t>
        </is>
      </c>
      <c r="B1021" t="inlineStr">
        <is>
          <t>KHM</t>
        </is>
      </c>
      <c r="C1021" t="inlineStr">
        <is>
          <t>mit.inv.grid.2</t>
        </is>
      </c>
      <c r="D1021" t="n">
        <v>0</v>
      </c>
      <c r="E1021" t="n">
        <v>0.2145522931</v>
      </c>
      <c r="F1021" t="n">
        <v>0.3227911398</v>
      </c>
      <c r="G1021" t="n">
        <v>0.7664369503</v>
      </c>
      <c r="H1021" t="n">
        <v>0.7064437941</v>
      </c>
    </row>
    <row r="1022">
      <c r="A1022" t="inlineStr">
        <is>
          <t>KNA|mit.inv.grid.2</t>
        </is>
      </c>
      <c r="B1022" t="inlineStr">
        <is>
          <t>KNA</t>
        </is>
      </c>
      <c r="C1022" t="inlineStr">
        <is>
          <t>mit.inv.grid.2</t>
        </is>
      </c>
      <c r="D1022" t="n">
        <v>0</v>
      </c>
      <c r="E1022" t="n">
        <v>0.007076882851</v>
      </c>
      <c r="F1022" t="n">
        <v>0.01012375911</v>
      </c>
      <c r="G1022" t="n">
        <v>0.02212027843</v>
      </c>
      <c r="H1022" t="n">
        <v>0.01646024124</v>
      </c>
    </row>
    <row r="1023">
      <c r="A1023" t="inlineStr">
        <is>
          <t>KOR|mit.inv.grid.2</t>
        </is>
      </c>
      <c r="B1023" t="inlineStr">
        <is>
          <t>KOR</t>
        </is>
      </c>
      <c r="C1023" t="inlineStr">
        <is>
          <t>mit.inv.grid.2</t>
        </is>
      </c>
      <c r="D1023" t="n">
        <v>0</v>
      </c>
      <c r="E1023" t="n">
        <v>13.55468867</v>
      </c>
      <c r="F1023" t="n">
        <v>26.93780802</v>
      </c>
      <c r="G1023" t="n">
        <v>23.29972475</v>
      </c>
      <c r="H1023" t="n">
        <v>19.73651928</v>
      </c>
    </row>
    <row r="1024">
      <c r="A1024" t="inlineStr">
        <is>
          <t>KWT|mit.inv.grid.2</t>
        </is>
      </c>
      <c r="B1024" t="inlineStr">
        <is>
          <t>KWT</t>
        </is>
      </c>
      <c r="C1024" t="inlineStr">
        <is>
          <t>mit.inv.grid.2</t>
        </is>
      </c>
      <c r="D1024" t="n">
        <v>0</v>
      </c>
      <c r="E1024" t="n">
        <v>1.342442588</v>
      </c>
      <c r="F1024" t="n">
        <v>1.220072588</v>
      </c>
      <c r="G1024" t="n">
        <v>3.174427439</v>
      </c>
      <c r="H1024" t="n">
        <v>2.142524587</v>
      </c>
    </row>
    <row r="1025">
      <c r="A1025" t="inlineStr">
        <is>
          <t>LAO|mit.inv.grid.2</t>
        </is>
      </c>
      <c r="B1025" t="inlineStr">
        <is>
          <t>LAO</t>
        </is>
      </c>
      <c r="C1025" t="inlineStr">
        <is>
          <t>mit.inv.grid.2</t>
        </is>
      </c>
      <c r="D1025" t="n">
        <v>0</v>
      </c>
      <c r="E1025" t="n">
        <v>0.0004870321106</v>
      </c>
      <c r="F1025" t="n">
        <v>0.0004182310449</v>
      </c>
      <c r="G1025" t="n">
        <v>0.0003084136632</v>
      </c>
      <c r="H1025" t="n">
        <v>0.0002274316763</v>
      </c>
    </row>
    <row r="1026">
      <c r="A1026" t="inlineStr">
        <is>
          <t>LBN|mit.inv.grid.2</t>
        </is>
      </c>
      <c r="B1026" t="inlineStr">
        <is>
          <t>LBN</t>
        </is>
      </c>
      <c r="C1026" t="inlineStr">
        <is>
          <t>mit.inv.grid.2</t>
        </is>
      </c>
      <c r="D1026" t="n">
        <v>0</v>
      </c>
      <c r="E1026" t="n">
        <v>0.4123051143</v>
      </c>
      <c r="F1026" t="n">
        <v>0.5027120086</v>
      </c>
      <c r="G1026" t="n">
        <v>1.016978055</v>
      </c>
      <c r="H1026" t="n">
        <v>0.9728589242</v>
      </c>
    </row>
    <row r="1027">
      <c r="A1027" t="inlineStr">
        <is>
          <t>LBR|mit.inv.grid.2</t>
        </is>
      </c>
      <c r="B1027" t="inlineStr">
        <is>
          <t>LBR</t>
        </is>
      </c>
      <c r="C1027" t="inlineStr">
        <is>
          <t>mit.inv.grid.2</t>
        </is>
      </c>
      <c r="D1027" t="n">
        <v>0</v>
      </c>
      <c r="E1027" t="n">
        <v>0.0104103572</v>
      </c>
      <c r="F1027" t="n">
        <v>0.01762394555</v>
      </c>
      <c r="G1027" t="n">
        <v>0.04364560453</v>
      </c>
      <c r="H1027" t="n">
        <v>0.0481815119</v>
      </c>
    </row>
    <row r="1028">
      <c r="A1028" t="inlineStr">
        <is>
          <t>LBY|mit.inv.grid.2</t>
        </is>
      </c>
      <c r="B1028" t="inlineStr">
        <is>
          <t>LBY</t>
        </is>
      </c>
      <c r="C1028" t="inlineStr">
        <is>
          <t>mit.inv.grid.2</t>
        </is>
      </c>
      <c r="D1028" t="n">
        <v>0</v>
      </c>
      <c r="E1028" t="n">
        <v>1.452073165</v>
      </c>
      <c r="F1028" t="n">
        <v>1.23524749</v>
      </c>
      <c r="G1028" t="n">
        <v>2.763370475</v>
      </c>
      <c r="H1028" t="n">
        <v>2.230088249</v>
      </c>
    </row>
    <row r="1029">
      <c r="A1029" t="inlineStr">
        <is>
          <t>LCA|mit.inv.grid.2</t>
        </is>
      </c>
      <c r="B1029" t="inlineStr">
        <is>
          <t>LCA</t>
        </is>
      </c>
      <c r="C1029" t="inlineStr">
        <is>
          <t>mit.inv.grid.2</t>
        </is>
      </c>
      <c r="D1029" t="n">
        <v>0</v>
      </c>
      <c r="E1029" t="n">
        <v>0.005626240601</v>
      </c>
      <c r="F1029" t="n">
        <v>0.008635215119000001</v>
      </c>
      <c r="G1029" t="n">
        <v>0.02458712286</v>
      </c>
      <c r="H1029" t="n">
        <v>0.02001872595</v>
      </c>
    </row>
    <row r="1030">
      <c r="A1030" t="inlineStr">
        <is>
          <t>LKA|mit.inv.grid.2</t>
        </is>
      </c>
      <c r="B1030" t="inlineStr">
        <is>
          <t>LKA</t>
        </is>
      </c>
      <c r="C1030" t="inlineStr">
        <is>
          <t>mit.inv.grid.2</t>
        </is>
      </c>
      <c r="D1030" t="n">
        <v>0</v>
      </c>
      <c r="E1030" t="n">
        <v>0.1371060839</v>
      </c>
      <c r="F1030" t="n">
        <v>0.2421165498</v>
      </c>
      <c r="G1030" t="n">
        <v>0.5700547540999999</v>
      </c>
      <c r="H1030" t="n">
        <v>0.5410893696</v>
      </c>
    </row>
    <row r="1031">
      <c r="A1031" t="inlineStr">
        <is>
          <t>LSO|mit.inv.grid.2</t>
        </is>
      </c>
      <c r="B1031" t="inlineStr">
        <is>
          <t>LSO</t>
        </is>
      </c>
      <c r="C1031" t="inlineStr">
        <is>
          <t>mit.inv.grid.2</t>
        </is>
      </c>
      <c r="D1031" t="n">
        <v>0</v>
      </c>
      <c r="E1031" t="n">
        <v>0.02473076175</v>
      </c>
      <c r="F1031" t="n">
        <v>0.03762386451</v>
      </c>
      <c r="G1031" t="n">
        <v>0.1021295065</v>
      </c>
      <c r="H1031" t="n">
        <v>0.1010880215</v>
      </c>
    </row>
    <row r="1032">
      <c r="A1032" t="inlineStr">
        <is>
          <t>LTU|mit.inv.grid.2</t>
        </is>
      </c>
      <c r="B1032" t="inlineStr">
        <is>
          <t>LTU</t>
        </is>
      </c>
      <c r="C1032" t="inlineStr">
        <is>
          <t>mit.inv.grid.2</t>
        </is>
      </c>
      <c r="D1032" t="n">
        <v>0</v>
      </c>
      <c r="E1032" t="n">
        <v>0.5324511471</v>
      </c>
      <c r="F1032" t="n">
        <v>0.777102595</v>
      </c>
      <c r="G1032" t="n">
        <v>0.6585172269</v>
      </c>
      <c r="H1032" t="n">
        <v>0.5227593722</v>
      </c>
    </row>
    <row r="1033">
      <c r="A1033" t="inlineStr">
        <is>
          <t>LUX|mit.inv.grid.2</t>
        </is>
      </c>
      <c r="B1033" t="inlineStr">
        <is>
          <t>LUX</t>
        </is>
      </c>
      <c r="C1033" t="inlineStr">
        <is>
          <t>mit.inv.grid.2</t>
        </is>
      </c>
      <c r="D1033" t="n">
        <v>0</v>
      </c>
      <c r="E1033" t="n">
        <v>0.1493926571</v>
      </c>
      <c r="F1033" t="n">
        <v>0.2372555105</v>
      </c>
      <c r="G1033" t="n">
        <v>0.2868796207</v>
      </c>
      <c r="H1033" t="n">
        <v>0.2326766494</v>
      </c>
    </row>
    <row r="1034">
      <c r="A1034" t="inlineStr">
        <is>
          <t>LVA|mit.inv.grid.2</t>
        </is>
      </c>
      <c r="B1034" t="inlineStr">
        <is>
          <t>LVA</t>
        </is>
      </c>
      <c r="C1034" t="inlineStr">
        <is>
          <t>mit.inv.grid.2</t>
        </is>
      </c>
      <c r="D1034" t="n">
        <v>0</v>
      </c>
      <c r="E1034" t="n">
        <v>0.1551906003</v>
      </c>
      <c r="F1034" t="n">
        <v>0.2915758011</v>
      </c>
      <c r="G1034" t="n">
        <v>0.3051064174</v>
      </c>
      <c r="H1034" t="n">
        <v>0.255501988</v>
      </c>
    </row>
    <row r="1035">
      <c r="A1035" t="inlineStr">
        <is>
          <t>MAC|mit.inv.grid.2</t>
        </is>
      </c>
      <c r="B1035" t="inlineStr">
        <is>
          <t>MAC</t>
        </is>
      </c>
      <c r="C1035" t="inlineStr">
        <is>
          <t>mit.inv.grid.2</t>
        </is>
      </c>
      <c r="D1035" t="n">
        <v>0</v>
      </c>
      <c r="E1035" t="n">
        <v>0.09691489602</v>
      </c>
      <c r="F1035" t="n">
        <v>0.1560323115</v>
      </c>
      <c r="G1035" t="n">
        <v>0.09331135358000001</v>
      </c>
      <c r="H1035" t="n">
        <v>0.07939633568</v>
      </c>
    </row>
    <row r="1036">
      <c r="A1036" t="inlineStr">
        <is>
          <t>MAR|mit.inv.grid.2</t>
        </is>
      </c>
      <c r="B1036" t="inlineStr">
        <is>
          <t>MAR</t>
        </is>
      </c>
      <c r="C1036" t="inlineStr">
        <is>
          <t>mit.inv.grid.2</t>
        </is>
      </c>
      <c r="D1036" t="n">
        <v>0</v>
      </c>
      <c r="E1036" t="n">
        <v>0.5309823872</v>
      </c>
      <c r="F1036" t="n">
        <v>0.8660952317</v>
      </c>
      <c r="G1036" t="n">
        <v>1.978693466</v>
      </c>
      <c r="H1036" t="n">
        <v>1.727693592</v>
      </c>
    </row>
    <row r="1037">
      <c r="A1037" t="inlineStr">
        <is>
          <t>MDA|mit.inv.grid.2</t>
        </is>
      </c>
      <c r="B1037" t="inlineStr">
        <is>
          <t>MDA</t>
        </is>
      </c>
      <c r="C1037" t="inlineStr">
        <is>
          <t>mit.inv.grid.2</t>
        </is>
      </c>
      <c r="D1037" t="n">
        <v>0</v>
      </c>
      <c r="E1037" t="n">
        <v>0.1329480259</v>
      </c>
      <c r="F1037" t="n">
        <v>0.1927812322</v>
      </c>
      <c r="G1037" t="n">
        <v>0.4806394492</v>
      </c>
      <c r="H1037" t="n">
        <v>0.465366304</v>
      </c>
    </row>
    <row r="1038">
      <c r="A1038" t="inlineStr">
        <is>
          <t>MDG|mit.inv.grid.2</t>
        </is>
      </c>
      <c r="B1038" t="inlineStr">
        <is>
          <t>MDG</t>
        </is>
      </c>
      <c r="C1038" t="inlineStr">
        <is>
          <t>mit.inv.grid.2</t>
        </is>
      </c>
      <c r="D1038" t="n">
        <v>0</v>
      </c>
      <c r="E1038" t="n">
        <v>0.02626143547</v>
      </c>
      <c r="F1038" t="n">
        <v>0.04126153276</v>
      </c>
      <c r="G1038" t="n">
        <v>0.100875307</v>
      </c>
      <c r="H1038" t="n">
        <v>0.1038206523</v>
      </c>
    </row>
    <row r="1039">
      <c r="A1039" t="inlineStr">
        <is>
          <t>MDV|mit.inv.grid.2</t>
        </is>
      </c>
      <c r="B1039" t="inlineStr">
        <is>
          <t>MDV</t>
        </is>
      </c>
      <c r="C1039" t="inlineStr">
        <is>
          <t>mit.inv.grid.2</t>
        </is>
      </c>
      <c r="D1039" t="n">
        <v>0</v>
      </c>
      <c r="E1039" t="n">
        <v>0.05132612375</v>
      </c>
      <c r="F1039" t="n">
        <v>0.06066665705</v>
      </c>
      <c r="G1039" t="n">
        <v>0.1507762329</v>
      </c>
      <c r="H1039" t="n">
        <v>0.1226008039</v>
      </c>
    </row>
    <row r="1040">
      <c r="A1040" t="inlineStr">
        <is>
          <t>MEX|mit.inv.grid.2</t>
        </is>
      </c>
      <c r="B1040" t="inlineStr">
        <is>
          <t>MEX</t>
        </is>
      </c>
      <c r="C1040" t="inlineStr">
        <is>
          <t>mit.inv.grid.2</t>
        </is>
      </c>
      <c r="D1040" t="n">
        <v>0</v>
      </c>
      <c r="E1040" t="n">
        <v>4.110389066</v>
      </c>
      <c r="F1040" t="n">
        <v>6.598324487</v>
      </c>
      <c r="G1040" t="n">
        <v>15.28256062</v>
      </c>
      <c r="H1040" t="n">
        <v>13.18717576</v>
      </c>
    </row>
    <row r="1041">
      <c r="A1041" t="inlineStr">
        <is>
          <t>MKD|mit.inv.grid.2</t>
        </is>
      </c>
      <c r="B1041" t="inlineStr">
        <is>
          <t>MKD</t>
        </is>
      </c>
      <c r="C1041" t="inlineStr">
        <is>
          <t>mit.inv.grid.2</t>
        </is>
      </c>
      <c r="D1041" t="n">
        <v>0</v>
      </c>
      <c r="E1041" t="n">
        <v>0.0814956174</v>
      </c>
      <c r="F1041" t="n">
        <v>0.1038755193</v>
      </c>
      <c r="G1041" t="n">
        <v>0.1814865907</v>
      </c>
      <c r="H1041" t="n">
        <v>0.1500129685</v>
      </c>
    </row>
    <row r="1042">
      <c r="A1042" t="inlineStr">
        <is>
          <t>MLI|mit.inv.grid.2</t>
        </is>
      </c>
      <c r="B1042" t="inlineStr">
        <is>
          <t>MLI</t>
        </is>
      </c>
      <c r="C1042" t="inlineStr">
        <is>
          <t>mit.inv.grid.2</t>
        </is>
      </c>
      <c r="D1042" t="n">
        <v>0</v>
      </c>
      <c r="E1042" t="n">
        <v>0.07628430126000001</v>
      </c>
      <c r="F1042" t="n">
        <v>0.1558645796</v>
      </c>
      <c r="G1042" t="n">
        <v>0.5067022314</v>
      </c>
      <c r="H1042" t="n">
        <v>0.4940956574</v>
      </c>
    </row>
    <row r="1043">
      <c r="A1043" t="inlineStr">
        <is>
          <t>MLT|mit.inv.grid.2</t>
        </is>
      </c>
      <c r="B1043" t="inlineStr">
        <is>
          <t>MLT</t>
        </is>
      </c>
      <c r="C1043" t="inlineStr">
        <is>
          <t>mit.inv.grid.2</t>
        </is>
      </c>
      <c r="D1043" t="n">
        <v>0</v>
      </c>
      <c r="E1043" t="n">
        <v>0.05975184066</v>
      </c>
      <c r="F1043" t="n">
        <v>0.1292913808</v>
      </c>
      <c r="G1043" t="n">
        <v>0.07337506643</v>
      </c>
      <c r="H1043" t="n">
        <v>0.05913993741</v>
      </c>
    </row>
    <row r="1044">
      <c r="A1044" t="inlineStr">
        <is>
          <t>MMR|mit.inv.grid.2</t>
        </is>
      </c>
      <c r="B1044" t="inlineStr">
        <is>
          <t>MMR</t>
        </is>
      </c>
      <c r="C1044" t="inlineStr">
        <is>
          <t>mit.inv.grid.2</t>
        </is>
      </c>
      <c r="D1044" t="n">
        <v>0</v>
      </c>
      <c r="E1044" t="n">
        <v>0.1775608144</v>
      </c>
      <c r="F1044" t="n">
        <v>0.4642940706</v>
      </c>
      <c r="G1044" t="n">
        <v>1.259919373</v>
      </c>
      <c r="H1044" t="n">
        <v>1.440014805</v>
      </c>
    </row>
    <row r="1045">
      <c r="A1045" t="inlineStr">
        <is>
          <t>MNE|mit.inv.grid.2</t>
        </is>
      </c>
      <c r="B1045" t="inlineStr">
        <is>
          <t>MNE</t>
        </is>
      </c>
      <c r="C1045" t="inlineStr">
        <is>
          <t>mit.inv.grid.2</t>
        </is>
      </c>
      <c r="D1045" t="n">
        <v>0</v>
      </c>
      <c r="E1045" t="n">
        <v>0.0274684485</v>
      </c>
      <c r="F1045" t="n">
        <v>0.04398638376</v>
      </c>
      <c r="G1045" t="n">
        <v>0.05718498324</v>
      </c>
      <c r="H1045" t="n">
        <v>0.05983653699</v>
      </c>
    </row>
    <row r="1046">
      <c r="A1046" t="inlineStr">
        <is>
          <t>MNG|mit.inv.grid.2</t>
        </is>
      </c>
      <c r="B1046" t="inlineStr">
        <is>
          <t>MNG</t>
        </is>
      </c>
      <c r="C1046" t="inlineStr">
        <is>
          <t>mit.inv.grid.2</t>
        </is>
      </c>
      <c r="D1046" t="n">
        <v>0</v>
      </c>
      <c r="E1046" t="n">
        <v>0.1198744871</v>
      </c>
      <c r="F1046" t="n">
        <v>0.179181856</v>
      </c>
      <c r="G1046" t="n">
        <v>0.4673481248</v>
      </c>
      <c r="H1046" t="n">
        <v>0.3929238546</v>
      </c>
    </row>
    <row r="1047">
      <c r="A1047" t="inlineStr">
        <is>
          <t>MOZ|mit.inv.grid.2</t>
        </is>
      </c>
      <c r="B1047" t="inlineStr">
        <is>
          <t>MOZ</t>
        </is>
      </c>
      <c r="C1047" t="inlineStr">
        <is>
          <t>mit.inv.grid.2</t>
        </is>
      </c>
      <c r="D1047" t="n">
        <v>0</v>
      </c>
      <c r="E1047" t="n">
        <v>0.008441729546999999</v>
      </c>
      <c r="F1047" t="n">
        <v>0.1242148755</v>
      </c>
      <c r="G1047" t="n">
        <v>0.3926420077</v>
      </c>
      <c r="H1047" t="n">
        <v>0.5331625064</v>
      </c>
    </row>
    <row r="1048">
      <c r="A1048" t="inlineStr">
        <is>
          <t>MRT|mit.inv.grid.2</t>
        </is>
      </c>
      <c r="B1048" t="inlineStr">
        <is>
          <t>MRT</t>
        </is>
      </c>
      <c r="C1048" t="inlineStr">
        <is>
          <t>mit.inv.grid.2</t>
        </is>
      </c>
      <c r="D1048" t="n">
        <v>0</v>
      </c>
      <c r="E1048" t="n">
        <v>0.05300647616</v>
      </c>
      <c r="F1048" t="n">
        <v>0.1071758442</v>
      </c>
      <c r="G1048" t="n">
        <v>0.3101105638</v>
      </c>
      <c r="H1048" t="n">
        <v>0.3079473395</v>
      </c>
    </row>
    <row r="1049">
      <c r="A1049" t="inlineStr">
        <is>
          <t>MUS|mit.inv.grid.2</t>
        </is>
      </c>
      <c r="B1049" t="inlineStr">
        <is>
          <t>MUS</t>
        </is>
      </c>
      <c r="C1049" t="inlineStr">
        <is>
          <t>mit.inv.grid.2</t>
        </is>
      </c>
      <c r="D1049" t="n">
        <v>0</v>
      </c>
      <c r="E1049" t="n">
        <v>0.04024549048</v>
      </c>
      <c r="F1049" t="n">
        <v>0.06000231903</v>
      </c>
      <c r="G1049" t="n">
        <v>0.1451208709</v>
      </c>
      <c r="H1049" t="n">
        <v>0.1081908876</v>
      </c>
    </row>
    <row r="1050">
      <c r="A1050" t="inlineStr">
        <is>
          <t>MWI|mit.inv.grid.2</t>
        </is>
      </c>
      <c r="B1050" t="inlineStr">
        <is>
          <t>MWI</t>
        </is>
      </c>
      <c r="C1050" t="inlineStr">
        <is>
          <t>mit.inv.grid.2</t>
        </is>
      </c>
      <c r="D1050" t="n">
        <v>0</v>
      </c>
      <c r="E1050" t="n">
        <v>0.01111213766</v>
      </c>
      <c r="F1050" t="n">
        <v>0.01959359897</v>
      </c>
      <c r="G1050" t="n">
        <v>0.05436751481</v>
      </c>
      <c r="H1050" t="n">
        <v>0.06917843701</v>
      </c>
    </row>
    <row r="1051">
      <c r="A1051" t="inlineStr">
        <is>
          <t>MYS|mit.inv.grid.2</t>
        </is>
      </c>
      <c r="B1051" t="inlineStr">
        <is>
          <t>MYS</t>
        </is>
      </c>
      <c r="C1051" t="inlineStr">
        <is>
          <t>mit.inv.grid.2</t>
        </is>
      </c>
      <c r="D1051" t="n">
        <v>0</v>
      </c>
      <c r="E1051" t="n">
        <v>2.226956282</v>
      </c>
      <c r="F1051" t="n">
        <v>3.238594641</v>
      </c>
      <c r="G1051" t="n">
        <v>7.837113774</v>
      </c>
      <c r="H1051" t="n">
        <v>6.632437559</v>
      </c>
    </row>
    <row r="1052">
      <c r="A1052" t="inlineStr">
        <is>
          <t>NAM|mit.inv.grid.2</t>
        </is>
      </c>
      <c r="B1052" t="inlineStr">
        <is>
          <t>NAM</t>
        </is>
      </c>
      <c r="C1052" t="inlineStr">
        <is>
          <t>mit.inv.grid.2</t>
        </is>
      </c>
      <c r="D1052" t="n">
        <v>0</v>
      </c>
      <c r="E1052" t="n">
        <v>0.02060845488</v>
      </c>
      <c r="F1052" t="n">
        <v>0.03336582377</v>
      </c>
      <c r="G1052" t="n">
        <v>0.06212210215</v>
      </c>
      <c r="H1052" t="n">
        <v>0.06989532738</v>
      </c>
    </row>
    <row r="1053">
      <c r="A1053" t="inlineStr">
        <is>
          <t>NER|mit.inv.grid.2</t>
        </is>
      </c>
      <c r="B1053" t="inlineStr">
        <is>
          <t>NER</t>
        </is>
      </c>
      <c r="C1053" t="inlineStr">
        <is>
          <t>mit.inv.grid.2</t>
        </is>
      </c>
      <c r="D1053" t="n">
        <v>0</v>
      </c>
      <c r="E1053" t="n">
        <v>0.03967561871</v>
      </c>
      <c r="F1053" t="n">
        <v>0.05995459076</v>
      </c>
      <c r="G1053" t="n">
        <v>0.1621823481</v>
      </c>
      <c r="H1053" t="n">
        <v>0.1449538107</v>
      </c>
    </row>
    <row r="1054">
      <c r="A1054" t="inlineStr">
        <is>
          <t>NGA|mit.inv.grid.2</t>
        </is>
      </c>
      <c r="B1054" t="inlineStr">
        <is>
          <t>NGA</t>
        </is>
      </c>
      <c r="C1054" t="inlineStr">
        <is>
          <t>mit.inv.grid.2</t>
        </is>
      </c>
      <c r="D1054" t="n">
        <v>0</v>
      </c>
      <c r="E1054" t="n">
        <v>0.5428700772</v>
      </c>
      <c r="F1054" t="n">
        <v>0.9660794184</v>
      </c>
      <c r="G1054" t="n">
        <v>2.742052212</v>
      </c>
      <c r="H1054" t="n">
        <v>2.623847864</v>
      </c>
    </row>
    <row r="1055">
      <c r="A1055" t="inlineStr">
        <is>
          <t>NIC|mit.inv.grid.2</t>
        </is>
      </c>
      <c r="B1055" t="inlineStr">
        <is>
          <t>NIC</t>
        </is>
      </c>
      <c r="C1055" t="inlineStr">
        <is>
          <t>mit.inv.grid.2</t>
        </is>
      </c>
      <c r="D1055" t="n">
        <v>0</v>
      </c>
      <c r="E1055" t="n">
        <v>0.05454947644</v>
      </c>
      <c r="F1055" t="n">
        <v>0.08508332074</v>
      </c>
      <c r="G1055" t="n">
        <v>0.1911824481</v>
      </c>
      <c r="H1055" t="n">
        <v>0.2048309972</v>
      </c>
    </row>
    <row r="1056">
      <c r="A1056" t="inlineStr">
        <is>
          <t>NLD|mit.inv.grid.2</t>
        </is>
      </c>
      <c r="B1056" t="inlineStr">
        <is>
          <t>NLD</t>
        </is>
      </c>
      <c r="C1056" t="inlineStr">
        <is>
          <t>mit.inv.grid.2</t>
        </is>
      </c>
      <c r="D1056" t="n">
        <v>0</v>
      </c>
      <c r="E1056" t="n">
        <v>6.29877247</v>
      </c>
      <c r="F1056" t="n">
        <v>9.785999074999999</v>
      </c>
      <c r="G1056" t="n">
        <v>7.877612069</v>
      </c>
      <c r="H1056" t="n">
        <v>5.898630231</v>
      </c>
    </row>
    <row r="1057">
      <c r="A1057" t="inlineStr">
        <is>
          <t>NOR|mit.inv.grid.2</t>
        </is>
      </c>
      <c r="B1057" t="inlineStr">
        <is>
          <t>NOR</t>
        </is>
      </c>
      <c r="C1057" t="inlineStr">
        <is>
          <t>mit.inv.grid.2</t>
        </is>
      </c>
      <c r="D1057" t="n">
        <v>0</v>
      </c>
      <c r="E1057" t="n">
        <v>1.325523207</v>
      </c>
      <c r="F1057" t="n">
        <v>1.78805065</v>
      </c>
      <c r="G1057" t="n">
        <v>2.298567628</v>
      </c>
      <c r="H1057" t="n">
        <v>2.463250866</v>
      </c>
    </row>
    <row r="1058">
      <c r="A1058" t="inlineStr">
        <is>
          <t>NPL|mit.inv.grid.2</t>
        </is>
      </c>
      <c r="B1058" t="inlineStr">
        <is>
          <t>NPL</t>
        </is>
      </c>
      <c r="C1058" t="inlineStr">
        <is>
          <t>mit.inv.grid.2</t>
        </is>
      </c>
      <c r="D1058" t="n">
        <v>0</v>
      </c>
      <c r="E1058" t="n">
        <v>0.1836857365</v>
      </c>
      <c r="F1058" t="n">
        <v>0.2585435576</v>
      </c>
      <c r="G1058" t="n">
        <v>0.5525018860000001</v>
      </c>
      <c r="H1058" t="n">
        <v>0.7288625806</v>
      </c>
    </row>
    <row r="1059">
      <c r="A1059" t="inlineStr">
        <is>
          <t>NRU|mit.inv.grid.2</t>
        </is>
      </c>
      <c r="B1059" t="inlineStr">
        <is>
          <t>NRU</t>
        </is>
      </c>
      <c r="C1059" t="inlineStr">
        <is>
          <t>mit.inv.grid.2</t>
        </is>
      </c>
      <c r="D1059" t="n">
        <v>0</v>
      </c>
      <c r="E1059" t="n">
        <v>0.001910580831</v>
      </c>
      <c r="F1059" t="n">
        <v>0.003225671776</v>
      </c>
      <c r="G1059" t="n">
        <v>0.008047956510999999</v>
      </c>
      <c r="H1059" t="n">
        <v>0.007331902538</v>
      </c>
    </row>
    <row r="1060">
      <c r="A1060" t="inlineStr">
        <is>
          <t>NZL|mit.inv.grid.2</t>
        </is>
      </c>
      <c r="B1060" t="inlineStr">
        <is>
          <t>NZL</t>
        </is>
      </c>
      <c r="C1060" t="inlineStr">
        <is>
          <t>mit.inv.grid.2</t>
        </is>
      </c>
      <c r="D1060" t="n">
        <v>0</v>
      </c>
      <c r="E1060" t="n">
        <v>0.4828401722</v>
      </c>
      <c r="F1060" t="n">
        <v>1.062113357</v>
      </c>
      <c r="G1060" t="n">
        <v>1.184141555</v>
      </c>
      <c r="H1060" t="n">
        <v>1.032825742</v>
      </c>
    </row>
    <row r="1061">
      <c r="A1061" t="inlineStr">
        <is>
          <t>OMN|mit.inv.grid.2</t>
        </is>
      </c>
      <c r="B1061" t="inlineStr">
        <is>
          <t>OMN</t>
        </is>
      </c>
      <c r="C1061" t="inlineStr">
        <is>
          <t>mit.inv.grid.2</t>
        </is>
      </c>
      <c r="D1061" t="n">
        <v>0</v>
      </c>
      <c r="E1061" t="n">
        <v>1.100124117</v>
      </c>
      <c r="F1061" t="n">
        <v>1.638805421</v>
      </c>
      <c r="G1061" t="n">
        <v>3.696995592</v>
      </c>
      <c r="H1061" t="n">
        <v>2.594674235</v>
      </c>
    </row>
    <row r="1062">
      <c r="A1062" t="inlineStr">
        <is>
          <t>PAK|mit.inv.grid.2</t>
        </is>
      </c>
      <c r="B1062" t="inlineStr">
        <is>
          <t>PAK</t>
        </is>
      </c>
      <c r="C1062" t="inlineStr">
        <is>
          <t>mit.inv.grid.2</t>
        </is>
      </c>
      <c r="D1062" t="n">
        <v>0</v>
      </c>
      <c r="E1062" t="n">
        <v>1.615541899</v>
      </c>
      <c r="F1062" t="n">
        <v>2.545652414</v>
      </c>
      <c r="G1062" t="n">
        <v>5.219855778</v>
      </c>
      <c r="H1062" t="n">
        <v>4.980706407</v>
      </c>
    </row>
    <row r="1063">
      <c r="A1063" t="inlineStr">
        <is>
          <t>PAN|mit.inv.grid.2</t>
        </is>
      </c>
      <c r="B1063" t="inlineStr">
        <is>
          <t>PAN</t>
        </is>
      </c>
      <c r="C1063" t="inlineStr">
        <is>
          <t>mit.inv.grid.2</t>
        </is>
      </c>
      <c r="D1063" t="n">
        <v>0</v>
      </c>
      <c r="E1063" t="n">
        <v>0.1855602046</v>
      </c>
      <c r="F1063" t="n">
        <v>0.2428282772</v>
      </c>
      <c r="G1063" t="n">
        <v>0.3674567251</v>
      </c>
      <c r="H1063" t="n">
        <v>0.2948798297</v>
      </c>
    </row>
    <row r="1064">
      <c r="A1064" t="inlineStr">
        <is>
          <t>PER|mit.inv.grid.2</t>
        </is>
      </c>
      <c r="B1064" t="inlineStr">
        <is>
          <t>PER</t>
        </is>
      </c>
      <c r="C1064" t="inlineStr">
        <is>
          <t>mit.inv.grid.2</t>
        </is>
      </c>
      <c r="D1064" t="n">
        <v>0</v>
      </c>
      <c r="E1064" t="n">
        <v>0.8664295888</v>
      </c>
      <c r="F1064" t="n">
        <v>1.229445319</v>
      </c>
      <c r="G1064" t="n">
        <v>2.815693905</v>
      </c>
      <c r="H1064" t="n">
        <v>2.591099344</v>
      </c>
    </row>
    <row r="1065">
      <c r="A1065" t="inlineStr">
        <is>
          <t>PHL|mit.inv.grid.2</t>
        </is>
      </c>
      <c r="B1065" t="inlineStr">
        <is>
          <t>PHL</t>
        </is>
      </c>
      <c r="C1065" t="inlineStr">
        <is>
          <t>mit.inv.grid.2</t>
        </is>
      </c>
      <c r="D1065" t="n">
        <v>0</v>
      </c>
      <c r="E1065" t="n">
        <v>1.758597596</v>
      </c>
      <c r="F1065" t="n">
        <v>2.669567653</v>
      </c>
      <c r="G1065" t="n">
        <v>7.083145081</v>
      </c>
      <c r="H1065" t="n">
        <v>6.247460935</v>
      </c>
    </row>
    <row r="1066">
      <c r="A1066" t="inlineStr">
        <is>
          <t>PLW|mit.inv.grid.2</t>
        </is>
      </c>
      <c r="B1066" t="inlineStr">
        <is>
          <t>PLW</t>
        </is>
      </c>
      <c r="C1066" t="inlineStr">
        <is>
          <t>mit.inv.grid.2</t>
        </is>
      </c>
      <c r="D1066" t="n">
        <v>0</v>
      </c>
      <c r="E1066" t="n">
        <v>0.003107754533</v>
      </c>
      <c r="F1066" t="n">
        <v>0.004371063359</v>
      </c>
      <c r="G1066" t="n">
        <v>0.01074005983</v>
      </c>
      <c r="H1066" t="n">
        <v>0.007762587466</v>
      </c>
    </row>
    <row r="1067">
      <c r="A1067" t="inlineStr">
        <is>
          <t>PNG|mit.inv.grid.2</t>
        </is>
      </c>
      <c r="B1067" t="inlineStr">
        <is>
          <t>PNG</t>
        </is>
      </c>
      <c r="C1067" t="inlineStr">
        <is>
          <t>mit.inv.grid.2</t>
        </is>
      </c>
      <c r="D1067" t="n">
        <v>0</v>
      </c>
      <c r="E1067" t="n">
        <v>0.1072686108</v>
      </c>
      <c r="F1067" t="n">
        <v>0.1555067573</v>
      </c>
      <c r="G1067" t="n">
        <v>0.4394537294</v>
      </c>
      <c r="H1067" t="n">
        <v>0.4683202174</v>
      </c>
    </row>
    <row r="1068">
      <c r="A1068" t="inlineStr">
        <is>
          <t>POL|mit.inv.grid.2</t>
        </is>
      </c>
      <c r="B1068" t="inlineStr">
        <is>
          <t>POL</t>
        </is>
      </c>
      <c r="C1068" t="inlineStr">
        <is>
          <t>mit.inv.grid.2</t>
        </is>
      </c>
      <c r="D1068" t="n">
        <v>0</v>
      </c>
      <c r="E1068" t="n">
        <v>4.420427516</v>
      </c>
      <c r="F1068" t="n">
        <v>6.598613527</v>
      </c>
      <c r="G1068" t="n">
        <v>11.99400074</v>
      </c>
      <c r="H1068" t="n">
        <v>7.949446499</v>
      </c>
    </row>
    <row r="1069">
      <c r="A1069" t="inlineStr">
        <is>
          <t>PRI|mit.inv.grid.2</t>
        </is>
      </c>
      <c r="B1069" t="inlineStr">
        <is>
          <t>PRI</t>
        </is>
      </c>
      <c r="C1069" t="inlineStr">
        <is>
          <t>mit.inv.grid.2</t>
        </is>
      </c>
      <c r="D1069" t="n">
        <v>0</v>
      </c>
      <c r="E1069" t="n">
        <v>0.1564384661</v>
      </c>
      <c r="F1069" t="n">
        <v>0.4194997043</v>
      </c>
      <c r="G1069" t="n">
        <v>0.447639241</v>
      </c>
      <c r="H1069" t="n">
        <v>0.317425396</v>
      </c>
    </row>
    <row r="1070">
      <c r="A1070" t="inlineStr">
        <is>
          <t>PRT|mit.inv.grid.2</t>
        </is>
      </c>
      <c r="B1070" t="inlineStr">
        <is>
          <t>PRT</t>
        </is>
      </c>
      <c r="C1070" t="inlineStr">
        <is>
          <t>mit.inv.grid.2</t>
        </is>
      </c>
      <c r="D1070" t="n">
        <v>0</v>
      </c>
      <c r="E1070" t="n">
        <v>1.138389246</v>
      </c>
      <c r="F1070" t="n">
        <v>1.620668915</v>
      </c>
      <c r="G1070" t="n">
        <v>1.371903894</v>
      </c>
      <c r="H1070" t="n">
        <v>1.159891448</v>
      </c>
    </row>
    <row r="1071">
      <c r="A1071" t="inlineStr">
        <is>
          <t>PRY|mit.inv.grid.2</t>
        </is>
      </c>
      <c r="B1071" t="inlineStr">
        <is>
          <t>PRY</t>
        </is>
      </c>
      <c r="C1071" t="inlineStr">
        <is>
          <t>mit.inv.grid.2</t>
        </is>
      </c>
      <c r="D1071" t="n">
        <v>0</v>
      </c>
      <c r="E1071" t="n">
        <v>0</v>
      </c>
      <c r="F1071" t="n">
        <v>0</v>
      </c>
      <c r="G1071" t="n">
        <v>0.3669764522</v>
      </c>
      <c r="H1071" t="n">
        <v>0.5335919298</v>
      </c>
    </row>
    <row r="1072">
      <c r="A1072" t="inlineStr">
        <is>
          <t>QAT|mit.inv.grid.2</t>
        </is>
      </c>
      <c r="B1072" t="inlineStr">
        <is>
          <t>QAT</t>
        </is>
      </c>
      <c r="C1072" t="inlineStr">
        <is>
          <t>mit.inv.grid.2</t>
        </is>
      </c>
      <c r="D1072" t="n">
        <v>0</v>
      </c>
      <c r="E1072" t="n">
        <v>1.289601503</v>
      </c>
      <c r="F1072" t="n">
        <v>0.793351158</v>
      </c>
      <c r="G1072" t="n">
        <v>2.17641374</v>
      </c>
      <c r="H1072" t="n">
        <v>1.558119959</v>
      </c>
    </row>
    <row r="1073">
      <c r="A1073" t="inlineStr">
        <is>
          <t>ROU|mit.inv.grid.2</t>
        </is>
      </c>
      <c r="B1073" t="inlineStr">
        <is>
          <t>ROU</t>
        </is>
      </c>
      <c r="C1073" t="inlineStr">
        <is>
          <t>mit.inv.grid.2</t>
        </is>
      </c>
      <c r="D1073" t="n">
        <v>0</v>
      </c>
      <c r="E1073" t="n">
        <v>1.058768316</v>
      </c>
      <c r="F1073" t="n">
        <v>1.599044169</v>
      </c>
      <c r="G1073" t="n">
        <v>3.223266232</v>
      </c>
      <c r="H1073" t="n">
        <v>3.205551645</v>
      </c>
    </row>
    <row r="1074">
      <c r="A1074" t="inlineStr">
        <is>
          <t>RUS|mit.inv.grid.2</t>
        </is>
      </c>
      <c r="B1074" t="inlineStr">
        <is>
          <t>RUS</t>
        </is>
      </c>
      <c r="C1074" t="inlineStr">
        <is>
          <t>mit.inv.grid.2</t>
        </is>
      </c>
      <c r="D1074" t="n">
        <v>0</v>
      </c>
      <c r="E1074" t="n">
        <v>18.86102434</v>
      </c>
      <c r="F1074" t="n">
        <v>28.60681863</v>
      </c>
      <c r="G1074" t="n">
        <v>74.52821444999999</v>
      </c>
      <c r="H1074" t="n">
        <v>72.72413941000001</v>
      </c>
    </row>
    <row r="1075">
      <c r="A1075" t="inlineStr">
        <is>
          <t>RWA|mit.inv.grid.2</t>
        </is>
      </c>
      <c r="B1075" t="inlineStr">
        <is>
          <t>RWA</t>
        </is>
      </c>
      <c r="C1075" t="inlineStr">
        <is>
          <t>mit.inv.grid.2</t>
        </is>
      </c>
      <c r="D1075" t="n">
        <v>0</v>
      </c>
      <c r="E1075" t="n">
        <v>0.01636803155</v>
      </c>
      <c r="F1075" t="n">
        <v>0.02716924619</v>
      </c>
      <c r="G1075" t="n">
        <v>0.0595713691</v>
      </c>
      <c r="H1075" t="n">
        <v>0.0614220865</v>
      </c>
    </row>
    <row r="1076">
      <c r="A1076" t="inlineStr">
        <is>
          <t>SAU|mit.inv.grid.2</t>
        </is>
      </c>
      <c r="B1076" t="inlineStr">
        <is>
          <t>SAU</t>
        </is>
      </c>
      <c r="C1076" t="inlineStr">
        <is>
          <t>mit.inv.grid.2</t>
        </is>
      </c>
      <c r="D1076" t="n">
        <v>0</v>
      </c>
      <c r="E1076" t="n">
        <v>6.7344435</v>
      </c>
      <c r="F1076" t="n">
        <v>8.704272487000001</v>
      </c>
      <c r="G1076" t="n">
        <v>20.91328862</v>
      </c>
      <c r="H1076" t="n">
        <v>13.19406269</v>
      </c>
    </row>
    <row r="1077">
      <c r="A1077" t="inlineStr">
        <is>
          <t>SDN|mit.inv.grid.2</t>
        </is>
      </c>
      <c r="B1077" t="inlineStr">
        <is>
          <t>SDN</t>
        </is>
      </c>
      <c r="C1077" t="inlineStr">
        <is>
          <t>mit.inv.grid.2</t>
        </is>
      </c>
      <c r="D1077" t="n">
        <v>0</v>
      </c>
      <c r="E1077" t="n">
        <v>0.1930492066</v>
      </c>
      <c r="F1077" t="n">
        <v>0.3036211867</v>
      </c>
      <c r="G1077" t="n">
        <v>0.6745934145</v>
      </c>
      <c r="H1077" t="n">
        <v>0.7728565487</v>
      </c>
    </row>
    <row r="1078">
      <c r="A1078" t="inlineStr">
        <is>
          <t>SEN|mit.inv.grid.2</t>
        </is>
      </c>
      <c r="B1078" t="inlineStr">
        <is>
          <t>SEN</t>
        </is>
      </c>
      <c r="C1078" t="inlineStr">
        <is>
          <t>mit.inv.grid.2</t>
        </is>
      </c>
      <c r="D1078" t="n">
        <v>0</v>
      </c>
      <c r="E1078" t="n">
        <v>0.1059722819</v>
      </c>
      <c r="F1078" t="n">
        <v>0.114038712</v>
      </c>
      <c r="G1078" t="n">
        <v>0.3047175455</v>
      </c>
      <c r="H1078" t="n">
        <v>0.2708838426</v>
      </c>
    </row>
    <row r="1079">
      <c r="A1079" t="inlineStr">
        <is>
          <t>SGP|mit.inv.grid.2</t>
        </is>
      </c>
      <c r="B1079" t="inlineStr">
        <is>
          <t>SGP</t>
        </is>
      </c>
      <c r="C1079" t="inlineStr">
        <is>
          <t>mit.inv.grid.2</t>
        </is>
      </c>
      <c r="D1079" t="n">
        <v>0</v>
      </c>
      <c r="E1079" t="n">
        <v>1.534890339</v>
      </c>
      <c r="F1079" t="n">
        <v>3.657546977</v>
      </c>
      <c r="G1079" t="n">
        <v>2.531466043</v>
      </c>
      <c r="H1079" t="n">
        <v>2.257058348</v>
      </c>
    </row>
    <row r="1080">
      <c r="A1080" t="inlineStr">
        <is>
          <t>SLB|mit.inv.grid.2</t>
        </is>
      </c>
      <c r="B1080" t="inlineStr">
        <is>
          <t>SLB</t>
        </is>
      </c>
      <c r="C1080" t="inlineStr">
        <is>
          <t>mit.inv.grid.2</t>
        </is>
      </c>
      <c r="D1080" t="n">
        <v>0</v>
      </c>
      <c r="E1080" t="n">
        <v>0.004490891631</v>
      </c>
      <c r="F1080" t="n">
        <v>0.006967596554</v>
      </c>
      <c r="G1080" t="n">
        <v>0.0164314191</v>
      </c>
      <c r="H1080" t="n">
        <v>0.01509312766</v>
      </c>
    </row>
    <row r="1081">
      <c r="A1081" t="inlineStr">
        <is>
          <t>SLE|mit.inv.grid.2</t>
        </is>
      </c>
      <c r="B1081" t="inlineStr">
        <is>
          <t>SLE</t>
        </is>
      </c>
      <c r="C1081" t="inlineStr">
        <is>
          <t>mit.inv.grid.2</t>
        </is>
      </c>
      <c r="D1081" t="n">
        <v>0</v>
      </c>
      <c r="E1081" t="n">
        <v>0.006929481769</v>
      </c>
      <c r="F1081" t="n">
        <v>0.01685438389</v>
      </c>
      <c r="G1081" t="n">
        <v>0.03469712186</v>
      </c>
      <c r="H1081" t="n">
        <v>0.04060035436</v>
      </c>
    </row>
    <row r="1082">
      <c r="A1082" t="inlineStr">
        <is>
          <t>SLV|mit.inv.grid.2</t>
        </is>
      </c>
      <c r="B1082" t="inlineStr">
        <is>
          <t>SLV</t>
        </is>
      </c>
      <c r="C1082" t="inlineStr">
        <is>
          <t>mit.inv.grid.2</t>
        </is>
      </c>
      <c r="D1082" t="n">
        <v>0</v>
      </c>
      <c r="E1082" t="n">
        <v>0.09809732173000001</v>
      </c>
      <c r="F1082" t="n">
        <v>0.1583441013</v>
      </c>
      <c r="G1082" t="n">
        <v>0.3124129726</v>
      </c>
      <c r="H1082" t="n">
        <v>0.3746981589</v>
      </c>
    </row>
    <row r="1083">
      <c r="A1083" t="inlineStr">
        <is>
          <t>SOM|mit.inv.grid.2</t>
        </is>
      </c>
      <c r="B1083" t="inlineStr">
        <is>
          <t>SOM</t>
        </is>
      </c>
      <c r="C1083" t="inlineStr">
        <is>
          <t>mit.inv.grid.2</t>
        </is>
      </c>
      <c r="D1083" t="n">
        <v>0</v>
      </c>
      <c r="E1083" t="n">
        <v>0.008475856267000001</v>
      </c>
      <c r="F1083" t="n">
        <v>0.01553704625</v>
      </c>
      <c r="G1083" t="n">
        <v>0.04483067696</v>
      </c>
      <c r="H1083" t="n">
        <v>0.0448997143</v>
      </c>
    </row>
    <row r="1084">
      <c r="A1084" t="inlineStr">
        <is>
          <t>SRB|mit.inv.grid.2</t>
        </is>
      </c>
      <c r="B1084" t="inlineStr">
        <is>
          <t>SRB</t>
        </is>
      </c>
      <c r="C1084" t="inlineStr">
        <is>
          <t>mit.inv.grid.2</t>
        </is>
      </c>
      <c r="D1084" t="n">
        <v>0</v>
      </c>
      <c r="E1084" t="n">
        <v>0.5497165957</v>
      </c>
      <c r="F1084" t="n">
        <v>0.8758810593</v>
      </c>
      <c r="G1084" t="n">
        <v>2.133351733</v>
      </c>
      <c r="H1084" t="n">
        <v>1.772403326</v>
      </c>
    </row>
    <row r="1085">
      <c r="A1085" t="inlineStr">
        <is>
          <t>STP|mit.inv.grid.2</t>
        </is>
      </c>
      <c r="B1085" t="inlineStr">
        <is>
          <t>STP</t>
        </is>
      </c>
      <c r="C1085" t="inlineStr">
        <is>
          <t>mit.inv.grid.2</t>
        </is>
      </c>
      <c r="D1085" t="n">
        <v>0</v>
      </c>
      <c r="E1085" t="n">
        <v>0.001815118892</v>
      </c>
      <c r="F1085" t="n">
        <v>0.003185503828</v>
      </c>
      <c r="G1085" t="n">
        <v>0.009593325797</v>
      </c>
      <c r="H1085" t="n">
        <v>0.009993542372</v>
      </c>
    </row>
    <row r="1086">
      <c r="A1086" t="inlineStr">
        <is>
          <t>SUR|mit.inv.grid.2</t>
        </is>
      </c>
      <c r="B1086" t="inlineStr">
        <is>
          <t>SUR</t>
        </is>
      </c>
      <c r="C1086" t="inlineStr">
        <is>
          <t>mit.inv.grid.2</t>
        </is>
      </c>
      <c r="D1086" t="n">
        <v>0</v>
      </c>
      <c r="E1086" t="n">
        <v>0.03076029253</v>
      </c>
      <c r="F1086" t="n">
        <v>0.05049689036</v>
      </c>
      <c r="G1086" t="n">
        <v>0.09776190354</v>
      </c>
      <c r="H1086" t="n">
        <v>0.1031755683</v>
      </c>
    </row>
    <row r="1087">
      <c r="A1087" t="inlineStr">
        <is>
          <t>SVK|mit.inv.grid.2</t>
        </is>
      </c>
      <c r="B1087" t="inlineStr">
        <is>
          <t>SVK</t>
        </is>
      </c>
      <c r="C1087" t="inlineStr">
        <is>
          <t>mit.inv.grid.2</t>
        </is>
      </c>
      <c r="D1087" t="n">
        <v>0</v>
      </c>
      <c r="E1087" t="n">
        <v>0.488483526</v>
      </c>
      <c r="F1087" t="n">
        <v>0.6923605121999999</v>
      </c>
      <c r="G1087" t="n">
        <v>0.8925142518</v>
      </c>
      <c r="H1087" t="n">
        <v>0.7719265245</v>
      </c>
    </row>
    <row r="1088">
      <c r="A1088" t="inlineStr">
        <is>
          <t>SVN|mit.inv.grid.2</t>
        </is>
      </c>
      <c r="B1088" t="inlineStr">
        <is>
          <t>SVN</t>
        </is>
      </c>
      <c r="C1088" t="inlineStr">
        <is>
          <t>mit.inv.grid.2</t>
        </is>
      </c>
      <c r="D1088" t="n">
        <v>0</v>
      </c>
      <c r="E1088" t="n">
        <v>0.1979203631</v>
      </c>
      <c r="F1088" t="n">
        <v>0.3628154601</v>
      </c>
      <c r="G1088" t="n">
        <v>0.3679683319</v>
      </c>
      <c r="H1088" t="n">
        <v>0.3235756473</v>
      </c>
    </row>
    <row r="1089">
      <c r="A1089" t="inlineStr">
        <is>
          <t>SWE|mit.inv.grid.2</t>
        </is>
      </c>
      <c r="B1089" t="inlineStr">
        <is>
          <t>SWE</t>
        </is>
      </c>
      <c r="C1089" t="inlineStr">
        <is>
          <t>mit.inv.grid.2</t>
        </is>
      </c>
      <c r="D1089" t="n">
        <v>0</v>
      </c>
      <c r="E1089" t="n">
        <v>1.847107764</v>
      </c>
      <c r="F1089" t="n">
        <v>2.588319373</v>
      </c>
      <c r="G1089" t="n">
        <v>2.68184817</v>
      </c>
      <c r="H1089" t="n">
        <v>2.582938375</v>
      </c>
    </row>
    <row r="1090">
      <c r="A1090" t="inlineStr">
        <is>
          <t>SWZ|mit.inv.grid.2</t>
        </is>
      </c>
      <c r="B1090" t="inlineStr">
        <is>
          <t>SWZ</t>
        </is>
      </c>
      <c r="C1090" t="inlineStr">
        <is>
          <t>mit.inv.grid.2</t>
        </is>
      </c>
      <c r="D1090" t="n">
        <v>0</v>
      </c>
      <c r="E1090" t="n">
        <v>0.008988755628</v>
      </c>
      <c r="F1090" t="n">
        <v>0.01465706393</v>
      </c>
      <c r="G1090" t="n">
        <v>0.03016074333</v>
      </c>
      <c r="H1090" t="n">
        <v>0.03530663168</v>
      </c>
    </row>
    <row r="1091">
      <c r="A1091" t="inlineStr">
        <is>
          <t>SYC|mit.inv.grid.2</t>
        </is>
      </c>
      <c r="B1091" t="inlineStr">
        <is>
          <t>SYC</t>
        </is>
      </c>
      <c r="C1091" t="inlineStr">
        <is>
          <t>mit.inv.grid.2</t>
        </is>
      </c>
      <c r="D1091" t="n">
        <v>0</v>
      </c>
      <c r="E1091" t="n">
        <v>0.01242549479</v>
      </c>
      <c r="F1091" t="n">
        <v>0.01588306292</v>
      </c>
      <c r="G1091" t="n">
        <v>0.03500335015</v>
      </c>
      <c r="H1091" t="n">
        <v>0.02485214817</v>
      </c>
    </row>
    <row r="1092">
      <c r="A1092" t="inlineStr">
        <is>
          <t>SYR|mit.inv.grid.2</t>
        </is>
      </c>
      <c r="B1092" t="inlineStr">
        <is>
          <t>SYR</t>
        </is>
      </c>
      <c r="C1092" t="inlineStr">
        <is>
          <t>mit.inv.grid.2</t>
        </is>
      </c>
      <c r="D1092" t="n">
        <v>0</v>
      </c>
      <c r="E1092" t="n">
        <v>0.6378624978</v>
      </c>
      <c r="F1092" t="n">
        <v>0.8964099078</v>
      </c>
      <c r="G1092" t="n">
        <v>2.66258126</v>
      </c>
      <c r="H1092" t="n">
        <v>2.399603731</v>
      </c>
    </row>
    <row r="1093">
      <c r="A1093" t="inlineStr">
        <is>
          <t>TCD|mit.inv.grid.2</t>
        </is>
      </c>
      <c r="B1093" t="inlineStr">
        <is>
          <t>TCD</t>
        </is>
      </c>
      <c r="C1093" t="inlineStr">
        <is>
          <t>mit.inv.grid.2</t>
        </is>
      </c>
      <c r="D1093" t="n">
        <v>0</v>
      </c>
      <c r="E1093" t="n">
        <v>0.03527648337</v>
      </c>
      <c r="F1093" t="n">
        <v>0.04791490545</v>
      </c>
      <c r="G1093" t="n">
        <v>0.1031924839</v>
      </c>
      <c r="H1093" t="n">
        <v>0.1207586889</v>
      </c>
    </row>
    <row r="1094">
      <c r="A1094" t="inlineStr">
        <is>
          <t>TGO|mit.inv.grid.2</t>
        </is>
      </c>
      <c r="B1094" t="inlineStr">
        <is>
          <t>TGO</t>
        </is>
      </c>
      <c r="C1094" t="inlineStr">
        <is>
          <t>mit.inv.grid.2</t>
        </is>
      </c>
      <c r="D1094" t="n">
        <v>0</v>
      </c>
      <c r="E1094" t="n">
        <v>0.02118436642</v>
      </c>
      <c r="F1094" t="n">
        <v>0.02879397366</v>
      </c>
      <c r="G1094" t="n">
        <v>0.06741435509</v>
      </c>
      <c r="H1094" t="n">
        <v>0.06108195968</v>
      </c>
    </row>
    <row r="1095">
      <c r="A1095" t="inlineStr">
        <is>
          <t>THA|mit.inv.grid.2</t>
        </is>
      </c>
      <c r="B1095" t="inlineStr">
        <is>
          <t>THA</t>
        </is>
      </c>
      <c r="C1095" t="inlineStr">
        <is>
          <t>mit.inv.grid.2</t>
        </is>
      </c>
      <c r="D1095" t="n">
        <v>0</v>
      </c>
      <c r="E1095" t="n">
        <v>2.186817332</v>
      </c>
      <c r="F1095" t="n">
        <v>2.899045912</v>
      </c>
      <c r="G1095" t="n">
        <v>7.454521387</v>
      </c>
      <c r="H1095" t="n">
        <v>6.064752708</v>
      </c>
    </row>
    <row r="1096">
      <c r="A1096" t="inlineStr">
        <is>
          <t>TJK|mit.inv.grid.2</t>
        </is>
      </c>
      <c r="B1096" t="inlineStr">
        <is>
          <t>TJK</t>
        </is>
      </c>
      <c r="C1096" t="inlineStr">
        <is>
          <t>mit.inv.grid.2</t>
        </is>
      </c>
      <c r="D1096" t="n">
        <v>0</v>
      </c>
      <c r="E1096" t="n">
        <v>0.152348979</v>
      </c>
      <c r="F1096" t="n">
        <v>0.226368327</v>
      </c>
      <c r="G1096" t="n">
        <v>0.3952019781</v>
      </c>
      <c r="H1096" t="n">
        <v>0.5335210732</v>
      </c>
    </row>
    <row r="1097">
      <c r="A1097" t="inlineStr">
        <is>
          <t>TKM|mit.inv.grid.2</t>
        </is>
      </c>
      <c r="B1097" t="inlineStr">
        <is>
          <t>TKM</t>
        </is>
      </c>
      <c r="C1097" t="inlineStr">
        <is>
          <t>mit.inv.grid.2</t>
        </is>
      </c>
      <c r="D1097" t="n">
        <v>0</v>
      </c>
      <c r="E1097" t="n">
        <v>0.8980620377</v>
      </c>
      <c r="F1097" t="n">
        <v>1.405267068</v>
      </c>
      <c r="G1097" t="n">
        <v>4.117742793</v>
      </c>
      <c r="H1097" t="n">
        <v>4.019585835</v>
      </c>
    </row>
    <row r="1098">
      <c r="A1098" t="inlineStr">
        <is>
          <t>TLS|mit.inv.grid.2</t>
        </is>
      </c>
      <c r="B1098" t="inlineStr">
        <is>
          <t>TLS</t>
        </is>
      </c>
      <c r="C1098" t="inlineStr">
        <is>
          <t>mit.inv.grid.2</t>
        </is>
      </c>
      <c r="D1098" t="n">
        <v>0</v>
      </c>
      <c r="E1098" t="n">
        <v>0.008970997404</v>
      </c>
      <c r="F1098" t="n">
        <v>0.01567156793</v>
      </c>
      <c r="G1098" t="n">
        <v>0.04641068398</v>
      </c>
      <c r="H1098" t="n">
        <v>0.04854394618</v>
      </c>
    </row>
    <row r="1099">
      <c r="A1099" t="inlineStr">
        <is>
          <t>TON|mit.inv.grid.2</t>
        </is>
      </c>
      <c r="B1099" t="inlineStr">
        <is>
          <t>TON</t>
        </is>
      </c>
      <c r="C1099" t="inlineStr">
        <is>
          <t>mit.inv.grid.2</t>
        </is>
      </c>
      <c r="D1099" t="n">
        <v>0</v>
      </c>
      <c r="E1099" t="n">
        <v>0.001520328795</v>
      </c>
      <c r="F1099" t="n">
        <v>0.002704501236</v>
      </c>
      <c r="G1099" t="n">
        <v>0.007349165991</v>
      </c>
      <c r="H1099" t="n">
        <v>0.005717437079</v>
      </c>
    </row>
    <row r="1100">
      <c r="A1100" t="inlineStr">
        <is>
          <t>TTO|mit.inv.grid.2</t>
        </is>
      </c>
      <c r="B1100" t="inlineStr">
        <is>
          <t>TTO</t>
        </is>
      </c>
      <c r="C1100" t="inlineStr">
        <is>
          <t>mit.inv.grid.2</t>
        </is>
      </c>
      <c r="D1100" t="n">
        <v>0</v>
      </c>
      <c r="E1100" t="n">
        <v>0.1308974303</v>
      </c>
      <c r="F1100" t="n">
        <v>0.1755188297</v>
      </c>
      <c r="G1100" t="n">
        <v>0.4536544978</v>
      </c>
      <c r="H1100" t="n">
        <v>0.3121869075</v>
      </c>
    </row>
    <row r="1101">
      <c r="A1101" t="inlineStr">
        <is>
          <t>TUN|mit.inv.grid.2</t>
        </is>
      </c>
      <c r="B1101" t="inlineStr">
        <is>
          <t>TUN</t>
        </is>
      </c>
      <c r="C1101" t="inlineStr">
        <is>
          <t>mit.inv.grid.2</t>
        </is>
      </c>
      <c r="D1101" t="n">
        <v>0</v>
      </c>
      <c r="E1101" t="n">
        <v>0.3901179154</v>
      </c>
      <c r="F1101" t="n">
        <v>0.6171474321</v>
      </c>
      <c r="G1101" t="n">
        <v>1.868937549</v>
      </c>
      <c r="H1101" t="n">
        <v>1.66484213</v>
      </c>
    </row>
    <row r="1102">
      <c r="A1102" t="inlineStr">
        <is>
          <t>TUR|mit.inv.grid.2</t>
        </is>
      </c>
      <c r="B1102" t="inlineStr">
        <is>
          <t>TUR</t>
        </is>
      </c>
      <c r="C1102" t="inlineStr">
        <is>
          <t>mit.inv.grid.2</t>
        </is>
      </c>
      <c r="D1102" t="n">
        <v>0</v>
      </c>
      <c r="E1102" t="n">
        <v>5.261756835</v>
      </c>
      <c r="F1102" t="n">
        <v>7.734807957</v>
      </c>
      <c r="G1102" t="n">
        <v>15.07578395</v>
      </c>
      <c r="H1102" t="n">
        <v>12.85939801</v>
      </c>
    </row>
    <row r="1103">
      <c r="A1103" t="inlineStr">
        <is>
          <t>TZA|mit.inv.grid.2</t>
        </is>
      </c>
      <c r="B1103" t="inlineStr">
        <is>
          <t>TZA</t>
        </is>
      </c>
      <c r="C1103" t="inlineStr">
        <is>
          <t>mit.inv.grid.2</t>
        </is>
      </c>
      <c r="D1103" t="n">
        <v>0</v>
      </c>
      <c r="E1103" t="n">
        <v>0.1081353471</v>
      </c>
      <c r="F1103" t="n">
        <v>0.1955002632</v>
      </c>
      <c r="G1103" t="n">
        <v>0.5490499314</v>
      </c>
      <c r="H1103" t="n">
        <v>0.5228267777</v>
      </c>
    </row>
    <row r="1104">
      <c r="A1104" t="inlineStr">
        <is>
          <t>UGA|mit.inv.grid.2</t>
        </is>
      </c>
      <c r="B1104" t="inlineStr">
        <is>
          <t>UGA</t>
        </is>
      </c>
      <c r="C1104" t="inlineStr">
        <is>
          <t>mit.inv.grid.2</t>
        </is>
      </c>
      <c r="D1104" t="n">
        <v>0</v>
      </c>
      <c r="E1104" t="n">
        <v>0.07483802999</v>
      </c>
      <c r="F1104" t="n">
        <v>0.1639980844</v>
      </c>
      <c r="G1104" t="n">
        <v>0.3191466899</v>
      </c>
      <c r="H1104" t="n">
        <v>0.3759381281</v>
      </c>
    </row>
    <row r="1105">
      <c r="A1105" t="inlineStr">
        <is>
          <t>UKR|mit.inv.grid.2</t>
        </is>
      </c>
      <c r="B1105" t="inlineStr">
        <is>
          <t>UKR</t>
        </is>
      </c>
      <c r="C1105" t="inlineStr">
        <is>
          <t>mit.inv.grid.2</t>
        </is>
      </c>
      <c r="D1105" t="n">
        <v>0</v>
      </c>
      <c r="E1105" t="n">
        <v>2.328630854</v>
      </c>
      <c r="F1105" t="n">
        <v>3.927197019</v>
      </c>
      <c r="G1105" t="n">
        <v>7.571308623</v>
      </c>
      <c r="H1105" t="n">
        <v>9.303321856</v>
      </c>
    </row>
    <row r="1106">
      <c r="A1106" t="inlineStr">
        <is>
          <t>URY|mit.inv.grid.2</t>
        </is>
      </c>
      <c r="B1106" t="inlineStr">
        <is>
          <t>URY</t>
        </is>
      </c>
      <c r="C1106" t="inlineStr">
        <is>
          <t>mit.inv.grid.2</t>
        </is>
      </c>
      <c r="D1106" t="n">
        <v>0</v>
      </c>
      <c r="E1106" t="n">
        <v>0.2144817038</v>
      </c>
      <c r="F1106" t="n">
        <v>0.1880417805</v>
      </c>
      <c r="G1106" t="n">
        <v>0.2264847116</v>
      </c>
      <c r="H1106" t="n">
        <v>0.2067988129</v>
      </c>
    </row>
    <row r="1107">
      <c r="A1107" t="inlineStr">
        <is>
          <t>USA|mit.inv.grid.2</t>
        </is>
      </c>
      <c r="B1107" t="inlineStr">
        <is>
          <t>USA</t>
        </is>
      </c>
      <c r="C1107" t="inlineStr">
        <is>
          <t>mit.inv.grid.2</t>
        </is>
      </c>
      <c r="D1107" t="n">
        <v>0</v>
      </c>
      <c r="E1107" t="n">
        <v>96.64971242999999</v>
      </c>
      <c r="F1107" t="n">
        <v>200.8939621</v>
      </c>
      <c r="G1107" t="n">
        <v>169.1254684</v>
      </c>
      <c r="H1107" t="n">
        <v>130.8242419</v>
      </c>
    </row>
    <row r="1108">
      <c r="A1108" t="inlineStr">
        <is>
          <t>UZB|mit.inv.grid.2</t>
        </is>
      </c>
      <c r="B1108" t="inlineStr">
        <is>
          <t>UZB</t>
        </is>
      </c>
      <c r="C1108" t="inlineStr">
        <is>
          <t>mit.inv.grid.2</t>
        </is>
      </c>
      <c r="D1108" t="n">
        <v>0</v>
      </c>
      <c r="E1108" t="n">
        <v>1.842941107</v>
      </c>
      <c r="F1108" t="n">
        <v>3.087910248</v>
      </c>
      <c r="G1108" t="n">
        <v>7.617988915</v>
      </c>
      <c r="H1108" t="n">
        <v>7.342903322</v>
      </c>
    </row>
    <row r="1109">
      <c r="A1109" t="inlineStr">
        <is>
          <t>VCT|mit.inv.grid.2</t>
        </is>
      </c>
      <c r="B1109" t="inlineStr">
        <is>
          <t>VCT</t>
        </is>
      </c>
      <c r="C1109" t="inlineStr">
        <is>
          <t>mit.inv.grid.2</t>
        </is>
      </c>
      <c r="D1109" t="n">
        <v>0</v>
      </c>
      <c r="E1109" t="n">
        <v>0.002508053112</v>
      </c>
      <c r="F1109" t="n">
        <v>0.003863089487</v>
      </c>
      <c r="G1109" t="n">
        <v>0.01085955722</v>
      </c>
      <c r="H1109" t="n">
        <v>0.009325938741</v>
      </c>
    </row>
    <row r="1110">
      <c r="A1110" t="inlineStr">
        <is>
          <t>VEN|mit.inv.grid.2</t>
        </is>
      </c>
      <c r="B1110" t="inlineStr">
        <is>
          <t>VEN</t>
        </is>
      </c>
      <c r="C1110" t="inlineStr">
        <is>
          <t>mit.inv.grid.2</t>
        </is>
      </c>
      <c r="D1110" t="n">
        <v>0</v>
      </c>
      <c r="E1110" t="n">
        <v>0.8043233047</v>
      </c>
      <c r="F1110" t="n">
        <v>1.292306241</v>
      </c>
      <c r="G1110" t="n">
        <v>2.068358611</v>
      </c>
      <c r="H1110" t="n">
        <v>2.556744049</v>
      </c>
    </row>
    <row r="1111">
      <c r="A1111" t="inlineStr">
        <is>
          <t>VNM|mit.inv.grid.2</t>
        </is>
      </c>
      <c r="B1111" t="inlineStr">
        <is>
          <t>VNM</t>
        </is>
      </c>
      <c r="C1111" t="inlineStr">
        <is>
          <t>mit.inv.grid.2</t>
        </is>
      </c>
      <c r="D1111" t="n">
        <v>0</v>
      </c>
      <c r="E1111" t="n">
        <v>3.974936431</v>
      </c>
      <c r="F1111" t="n">
        <v>5.905273314</v>
      </c>
      <c r="G1111" t="n">
        <v>11.20783247</v>
      </c>
      <c r="H1111" t="n">
        <v>10.45763314</v>
      </c>
    </row>
    <row r="1112">
      <c r="A1112" t="inlineStr">
        <is>
          <t>VUT|mit.inv.grid.2</t>
        </is>
      </c>
      <c r="B1112" t="inlineStr">
        <is>
          <t>VUT</t>
        </is>
      </c>
      <c r="C1112" t="inlineStr">
        <is>
          <t>mit.inv.grid.2</t>
        </is>
      </c>
      <c r="D1112" t="n">
        <v>0</v>
      </c>
      <c r="E1112" t="n">
        <v>0.001937218511</v>
      </c>
      <c r="F1112" t="n">
        <v>0.004341353082</v>
      </c>
      <c r="G1112" t="n">
        <v>0.01297252941</v>
      </c>
      <c r="H1112" t="n">
        <v>0.01096573339</v>
      </c>
    </row>
    <row r="1113">
      <c r="A1113" t="inlineStr">
        <is>
          <t>WSM|mit.inv.grid.2</t>
        </is>
      </c>
      <c r="B1113" t="inlineStr">
        <is>
          <t>WSM</t>
        </is>
      </c>
      <c r="C1113" t="inlineStr">
        <is>
          <t>mit.inv.grid.2</t>
        </is>
      </c>
      <c r="D1113" t="n">
        <v>0</v>
      </c>
      <c r="E1113" t="n">
        <v>0.003496954797</v>
      </c>
      <c r="F1113" t="n">
        <v>0.005954311024</v>
      </c>
      <c r="G1113" t="n">
        <v>0.0136206422</v>
      </c>
      <c r="H1113" t="n">
        <v>0.01174470447</v>
      </c>
    </row>
    <row r="1114">
      <c r="A1114" t="inlineStr">
        <is>
          <t>XKX|mit.inv.grid.2</t>
        </is>
      </c>
      <c r="B1114" t="inlineStr">
        <is>
          <t>XKX</t>
        </is>
      </c>
      <c r="C1114" t="inlineStr">
        <is>
          <t>mit.inv.grid.2</t>
        </is>
      </c>
      <c r="D1114" t="n">
        <v>0</v>
      </c>
      <c r="E1114" t="n">
        <v>0.06011880503</v>
      </c>
      <c r="F1114" t="n">
        <v>0.08440225076000001</v>
      </c>
      <c r="G1114" t="n">
        <v>0.2190967705</v>
      </c>
      <c r="H1114" t="n">
        <v>0.1784145906</v>
      </c>
    </row>
    <row r="1115">
      <c r="A1115" t="inlineStr">
        <is>
          <t>YEM|mit.inv.grid.2</t>
        </is>
      </c>
      <c r="B1115" t="inlineStr">
        <is>
          <t>YEM</t>
        </is>
      </c>
      <c r="C1115" t="inlineStr">
        <is>
          <t>mit.inv.grid.2</t>
        </is>
      </c>
      <c r="D1115" t="n">
        <v>0</v>
      </c>
      <c r="E1115" t="n">
        <v>0.08083092666</v>
      </c>
      <c r="F1115" t="n">
        <v>0.1223211984</v>
      </c>
      <c r="G1115" t="n">
        <v>0.3082174935</v>
      </c>
      <c r="H1115" t="n">
        <v>0.3033633172</v>
      </c>
    </row>
    <row r="1116">
      <c r="A1116" t="inlineStr">
        <is>
          <t>ZAF|mit.inv.grid.2</t>
        </is>
      </c>
      <c r="B1116" t="inlineStr">
        <is>
          <t>ZAF</t>
        </is>
      </c>
      <c r="C1116" t="inlineStr">
        <is>
          <t>mit.inv.grid.2</t>
        </is>
      </c>
      <c r="D1116" t="n">
        <v>0</v>
      </c>
      <c r="E1116" t="n">
        <v>2.615920092</v>
      </c>
      <c r="F1116" t="n">
        <v>3.826941185</v>
      </c>
      <c r="G1116" t="n">
        <v>9.249672839</v>
      </c>
      <c r="H1116" t="n">
        <v>7.265326272</v>
      </c>
    </row>
    <row r="1117">
      <c r="A1117" t="inlineStr">
        <is>
          <t>ZMB|mit.inv.grid.2</t>
        </is>
      </c>
      <c r="B1117" t="inlineStr">
        <is>
          <t>ZMB</t>
        </is>
      </c>
      <c r="C1117" t="inlineStr">
        <is>
          <t>mit.inv.grid.2</t>
        </is>
      </c>
      <c r="D1117" t="n">
        <v>0</v>
      </c>
      <c r="E1117" t="n">
        <v>0.1691122896</v>
      </c>
      <c r="F1117" t="n">
        <v>0.2508760349</v>
      </c>
      <c r="G1117" t="n">
        <v>0.50316951</v>
      </c>
      <c r="H1117" t="n">
        <v>0.6229217472</v>
      </c>
    </row>
    <row r="1118">
      <c r="A1118" t="inlineStr">
        <is>
          <t>ZWE|mit.inv.grid.2</t>
        </is>
      </c>
      <c r="B1118" t="inlineStr">
        <is>
          <t>ZWE</t>
        </is>
      </c>
      <c r="C1118" t="inlineStr">
        <is>
          <t>mit.inv.grid.2</t>
        </is>
      </c>
      <c r="D1118" t="n">
        <v>0</v>
      </c>
      <c r="E1118" t="n">
        <v>0.2105066969</v>
      </c>
      <c r="F1118" t="n">
        <v>0.2389225433</v>
      </c>
      <c r="G1118" t="n">
        <v>0.5395293920000001</v>
      </c>
      <c r="H1118" t="n">
        <v>0.6096958762</v>
      </c>
    </row>
    <row r="1119">
      <c r="A1119" t="inlineStr">
        <is>
          <t>ABW|mit.inv.trn.2</t>
        </is>
      </c>
      <c r="B1119" t="inlineStr">
        <is>
          <t>ABW</t>
        </is>
      </c>
      <c r="C1119" t="inlineStr">
        <is>
          <t>mit.inv.trn.2</t>
        </is>
      </c>
      <c r="D1119" t="n">
        <v>0</v>
      </c>
      <c r="E1119" t="n">
        <v>0.008881850884</v>
      </c>
      <c r="F1119" t="n">
        <v>0.01119810357</v>
      </c>
      <c r="G1119" t="n">
        <v>0.007935882397999999</v>
      </c>
      <c r="H1119" t="n">
        <v>0.00795371726</v>
      </c>
    </row>
    <row r="1120">
      <c r="A1120" t="inlineStr">
        <is>
          <t>AFG|mit.inv.trn.2</t>
        </is>
      </c>
      <c r="B1120" t="inlineStr">
        <is>
          <t>AFG</t>
        </is>
      </c>
      <c r="C1120" t="inlineStr">
        <is>
          <t>mit.inv.trn.2</t>
        </is>
      </c>
      <c r="D1120" t="n">
        <v>0</v>
      </c>
      <c r="E1120" t="n">
        <v>0.0616521187</v>
      </c>
      <c r="F1120" t="n">
        <v>0.1046068516</v>
      </c>
      <c r="G1120" t="n">
        <v>0.09564334615</v>
      </c>
      <c r="H1120" t="n">
        <v>0.116155263</v>
      </c>
    </row>
    <row r="1121">
      <c r="A1121" t="inlineStr">
        <is>
          <t>AGO|mit.inv.trn.2</t>
        </is>
      </c>
      <c r="B1121" t="inlineStr">
        <is>
          <t>AGO</t>
        </is>
      </c>
      <c r="C1121" t="inlineStr">
        <is>
          <t>mit.inv.trn.2</t>
        </is>
      </c>
      <c r="D1121" t="n">
        <v>0</v>
      </c>
      <c r="E1121" t="n">
        <v>0.114726885</v>
      </c>
      <c r="F1121" t="n">
        <v>0.1803044518</v>
      </c>
      <c r="G1121" t="n">
        <v>0.1596269342</v>
      </c>
      <c r="H1121" t="n">
        <v>0.1862408325</v>
      </c>
    </row>
    <row r="1122">
      <c r="A1122" t="inlineStr">
        <is>
          <t>ALB|mit.inv.trn.2</t>
        </is>
      </c>
      <c r="B1122" t="inlineStr">
        <is>
          <t>ALB</t>
        </is>
      </c>
      <c r="C1122" t="inlineStr">
        <is>
          <t>mit.inv.trn.2</t>
        </is>
      </c>
      <c r="D1122" t="n">
        <v>0</v>
      </c>
      <c r="E1122" t="n">
        <v>0.03592401164</v>
      </c>
      <c r="F1122" t="n">
        <v>0.0574912619</v>
      </c>
      <c r="G1122" t="n">
        <v>0.04479307984</v>
      </c>
      <c r="H1122" t="n">
        <v>0.04862417692</v>
      </c>
    </row>
    <row r="1123">
      <c r="A1123" t="inlineStr">
        <is>
          <t>ARE|mit.inv.trn.2</t>
        </is>
      </c>
      <c r="B1123" t="inlineStr">
        <is>
          <t>ARE</t>
        </is>
      </c>
      <c r="C1123" t="inlineStr">
        <is>
          <t>mit.inv.trn.2</t>
        </is>
      </c>
      <c r="D1123" t="n">
        <v>0</v>
      </c>
      <c r="E1123" t="n">
        <v>1.072980139</v>
      </c>
      <c r="F1123" t="n">
        <v>1.440060349</v>
      </c>
      <c r="G1123" t="n">
        <v>0.9912548901</v>
      </c>
      <c r="H1123" t="n">
        <v>0.9919652841</v>
      </c>
    </row>
    <row r="1124">
      <c r="A1124" t="inlineStr">
        <is>
          <t>ARG|mit.inv.trn.2</t>
        </is>
      </c>
      <c r="B1124" t="inlineStr">
        <is>
          <t>ARG</t>
        </is>
      </c>
      <c r="C1124" t="inlineStr">
        <is>
          <t>mit.inv.trn.2</t>
        </is>
      </c>
      <c r="D1124" t="n">
        <v>0</v>
      </c>
      <c r="E1124" t="n">
        <v>0.8180786057</v>
      </c>
      <c r="F1124" t="n">
        <v>1.226727902</v>
      </c>
      <c r="G1124" t="n">
        <v>0.8372673827</v>
      </c>
      <c r="H1124" t="n">
        <v>0.8344041539</v>
      </c>
    </row>
    <row r="1125">
      <c r="A1125" t="inlineStr">
        <is>
          <t>ARM|mit.inv.trn.2</t>
        </is>
      </c>
      <c r="B1125" t="inlineStr">
        <is>
          <t>ARM</t>
        </is>
      </c>
      <c r="C1125" t="inlineStr">
        <is>
          <t>mit.inv.trn.2</t>
        </is>
      </c>
      <c r="D1125" t="n">
        <v>0</v>
      </c>
      <c r="E1125" t="n">
        <v>0.02540706368</v>
      </c>
      <c r="F1125" t="n">
        <v>0.03854504667</v>
      </c>
      <c r="G1125" t="n">
        <v>0.02903748404</v>
      </c>
      <c r="H1125" t="n">
        <v>0.03194720098</v>
      </c>
    </row>
    <row r="1126">
      <c r="A1126" t="inlineStr">
        <is>
          <t>ATG|mit.inv.trn.2</t>
        </is>
      </c>
      <c r="B1126" t="inlineStr">
        <is>
          <t>ATG</t>
        </is>
      </c>
      <c r="C1126" t="inlineStr">
        <is>
          <t>mit.inv.trn.2</t>
        </is>
      </c>
      <c r="D1126" t="n">
        <v>0</v>
      </c>
      <c r="E1126" t="n">
        <v>0.006718771059</v>
      </c>
      <c r="F1126" t="n">
        <v>0.01024037859</v>
      </c>
      <c r="G1126" t="n">
        <v>0.007167063927</v>
      </c>
      <c r="H1126" t="n">
        <v>0.007169870339</v>
      </c>
    </row>
    <row r="1127">
      <c r="A1127" t="inlineStr">
        <is>
          <t>AUS|mit.inv.trn.2</t>
        </is>
      </c>
      <c r="B1127" t="inlineStr">
        <is>
          <t>AUS</t>
        </is>
      </c>
      <c r="C1127" t="inlineStr">
        <is>
          <t>mit.inv.trn.2</t>
        </is>
      </c>
      <c r="D1127" t="n">
        <v>0</v>
      </c>
      <c r="E1127" t="n">
        <v>7.255480141</v>
      </c>
      <c r="F1127" t="n">
        <v>7.061789517</v>
      </c>
      <c r="G1127" t="n">
        <v>3.235035146</v>
      </c>
      <c r="H1127" t="n">
        <v>3.22397557</v>
      </c>
    </row>
    <row r="1128">
      <c r="A1128" t="inlineStr">
        <is>
          <t>AUT|mit.inv.trn.2</t>
        </is>
      </c>
      <c r="B1128" t="inlineStr">
        <is>
          <t>AUT</t>
        </is>
      </c>
      <c r="C1128" t="inlineStr">
        <is>
          <t>mit.inv.trn.2</t>
        </is>
      </c>
      <c r="D1128" t="n">
        <v>0</v>
      </c>
      <c r="E1128" t="n">
        <v>1.359542944</v>
      </c>
      <c r="F1128" t="n">
        <v>1.285087013</v>
      </c>
      <c r="G1128" t="n">
        <v>0.5846165497</v>
      </c>
      <c r="H1128" t="n">
        <v>0.5804934368</v>
      </c>
    </row>
    <row r="1129">
      <c r="A1129" t="inlineStr">
        <is>
          <t>AZE|mit.inv.trn.2</t>
        </is>
      </c>
      <c r="B1129" t="inlineStr">
        <is>
          <t>AZE</t>
        </is>
      </c>
      <c r="C1129" t="inlineStr">
        <is>
          <t>mit.inv.trn.2</t>
        </is>
      </c>
      <c r="D1129" t="n">
        <v>0</v>
      </c>
      <c r="E1129" t="n">
        <v>0.1010515616</v>
      </c>
      <c r="F1129" t="n">
        <v>0.1734739932</v>
      </c>
      <c r="G1129" t="n">
        <v>0.1418585081</v>
      </c>
      <c r="H1129" t="n">
        <v>0.1562609179</v>
      </c>
    </row>
    <row r="1130">
      <c r="A1130" t="inlineStr">
        <is>
          <t>BDI|mit.inv.trn.2</t>
        </is>
      </c>
      <c r="B1130" t="inlineStr">
        <is>
          <t>BDI</t>
        </is>
      </c>
      <c r="C1130" t="inlineStr">
        <is>
          <t>mit.inv.trn.2</t>
        </is>
      </c>
      <c r="D1130" t="n">
        <v>0</v>
      </c>
      <c r="E1130" t="n">
        <v>0.01256372415</v>
      </c>
      <c r="F1130" t="n">
        <v>0.02129487365</v>
      </c>
      <c r="G1130" t="n">
        <v>0.01898289783</v>
      </c>
      <c r="H1130" t="n">
        <v>0.02295857878</v>
      </c>
    </row>
    <row r="1131">
      <c r="A1131" t="inlineStr">
        <is>
          <t>BEL|mit.inv.trn.2</t>
        </is>
      </c>
      <c r="B1131" t="inlineStr">
        <is>
          <t>BEL</t>
        </is>
      </c>
      <c r="C1131" t="inlineStr">
        <is>
          <t>mit.inv.trn.2</t>
        </is>
      </c>
      <c r="D1131" t="n">
        <v>0</v>
      </c>
      <c r="E1131" t="n">
        <v>1.32747341</v>
      </c>
      <c r="F1131" t="n">
        <v>1.254352202</v>
      </c>
      <c r="G1131" t="n">
        <v>0.5707909586</v>
      </c>
      <c r="H1131" t="n">
        <v>0.5672439462</v>
      </c>
    </row>
    <row r="1132">
      <c r="A1132" t="inlineStr">
        <is>
          <t>BEN|mit.inv.trn.2</t>
        </is>
      </c>
      <c r="B1132" t="inlineStr">
        <is>
          <t>BEN</t>
        </is>
      </c>
      <c r="C1132" t="inlineStr">
        <is>
          <t>mit.inv.trn.2</t>
        </is>
      </c>
      <c r="D1132" t="n">
        <v>0</v>
      </c>
      <c r="E1132" t="n">
        <v>0.1077027375</v>
      </c>
      <c r="F1132" t="n">
        <v>0.1861360386</v>
      </c>
      <c r="G1132" t="n">
        <v>0.1564860429</v>
      </c>
      <c r="H1132" t="n">
        <v>0.1907911303</v>
      </c>
    </row>
    <row r="1133">
      <c r="A1133" t="inlineStr">
        <is>
          <t>BFA|mit.inv.trn.2</t>
        </is>
      </c>
      <c r="B1133" t="inlineStr">
        <is>
          <t>BFA</t>
        </is>
      </c>
      <c r="C1133" t="inlineStr">
        <is>
          <t>mit.inv.trn.2</t>
        </is>
      </c>
      <c r="D1133" t="n">
        <v>0</v>
      </c>
      <c r="E1133" t="n">
        <v>0.06843221791</v>
      </c>
      <c r="F1133" t="n">
        <v>0.1167025006</v>
      </c>
      <c r="G1133" t="n">
        <v>0.1013566717</v>
      </c>
      <c r="H1133" t="n">
        <v>0.1223510489</v>
      </c>
    </row>
    <row r="1134">
      <c r="A1134" t="inlineStr">
        <is>
          <t>BGD|mit.inv.trn.2</t>
        </is>
      </c>
      <c r="B1134" t="inlineStr">
        <is>
          <t>BGD</t>
        </is>
      </c>
      <c r="C1134" t="inlineStr">
        <is>
          <t>mit.inv.trn.2</t>
        </is>
      </c>
      <c r="D1134" t="n">
        <v>0</v>
      </c>
      <c r="E1134" t="n">
        <v>0.1904530323</v>
      </c>
      <c r="F1134" t="n">
        <v>0.345101232</v>
      </c>
      <c r="G1134" t="n">
        <v>0.2845562109</v>
      </c>
      <c r="H1134" t="n">
        <v>0.3286437188</v>
      </c>
    </row>
    <row r="1135">
      <c r="A1135" t="inlineStr">
        <is>
          <t>BGR|mit.inv.trn.2</t>
        </is>
      </c>
      <c r="B1135" t="inlineStr">
        <is>
          <t>BGR</t>
        </is>
      </c>
      <c r="C1135" t="inlineStr">
        <is>
          <t>mit.inv.trn.2</t>
        </is>
      </c>
      <c r="D1135" t="n">
        <v>0</v>
      </c>
      <c r="E1135" t="n">
        <v>0.1925460568</v>
      </c>
      <c r="F1135" t="n">
        <v>0.306101433</v>
      </c>
      <c r="G1135" t="n">
        <v>0.2430046697</v>
      </c>
      <c r="H1135" t="n">
        <v>0.2642473563</v>
      </c>
    </row>
    <row r="1136">
      <c r="A1136" t="inlineStr">
        <is>
          <t>BHR|mit.inv.trn.2</t>
        </is>
      </c>
      <c r="B1136" t="inlineStr">
        <is>
          <t>BHR</t>
        </is>
      </c>
      <c r="C1136" t="inlineStr">
        <is>
          <t>mit.inv.trn.2</t>
        </is>
      </c>
      <c r="D1136" t="n">
        <v>0</v>
      </c>
      <c r="E1136" t="n">
        <v>0.07779425250999999</v>
      </c>
      <c r="F1136" t="n">
        <v>0.1016196269</v>
      </c>
      <c r="G1136" t="n">
        <v>0.07079583929</v>
      </c>
      <c r="H1136" t="n">
        <v>0.07087250387000001</v>
      </c>
    </row>
    <row r="1137">
      <c r="A1137" t="inlineStr">
        <is>
          <t>BHS|mit.inv.trn.2</t>
        </is>
      </c>
      <c r="B1137" t="inlineStr">
        <is>
          <t>BHS</t>
        </is>
      </c>
      <c r="C1137" t="inlineStr">
        <is>
          <t>mit.inv.trn.2</t>
        </is>
      </c>
      <c r="D1137" t="n">
        <v>0</v>
      </c>
      <c r="E1137" t="n">
        <v>0.03064519473</v>
      </c>
      <c r="F1137" t="n">
        <v>0.04563434458</v>
      </c>
      <c r="G1137" t="n">
        <v>0.03251183974</v>
      </c>
      <c r="H1137" t="n">
        <v>0.03259609419</v>
      </c>
    </row>
    <row r="1138">
      <c r="A1138" t="inlineStr">
        <is>
          <t>BIH|mit.inv.trn.2</t>
        </is>
      </c>
      <c r="B1138" t="inlineStr">
        <is>
          <t>BIH</t>
        </is>
      </c>
      <c r="C1138" t="inlineStr">
        <is>
          <t>mit.inv.trn.2</t>
        </is>
      </c>
      <c r="D1138" t="n">
        <v>0</v>
      </c>
      <c r="E1138" t="n">
        <v>0.07732906112</v>
      </c>
      <c r="F1138" t="n">
        <v>0.1267898089</v>
      </c>
      <c r="G1138" t="n">
        <v>0.1021266287</v>
      </c>
      <c r="H1138" t="n">
        <v>0.1108645581</v>
      </c>
    </row>
    <row r="1139">
      <c r="A1139" t="inlineStr">
        <is>
          <t>BLR|mit.inv.trn.2</t>
        </is>
      </c>
      <c r="B1139" t="inlineStr">
        <is>
          <t>BLR</t>
        </is>
      </c>
      <c r="C1139" t="inlineStr">
        <is>
          <t>mit.inv.trn.2</t>
        </is>
      </c>
      <c r="D1139" t="n">
        <v>0</v>
      </c>
      <c r="E1139" t="n">
        <v>0.1303772703</v>
      </c>
      <c r="F1139" t="n">
        <v>0.2049905226</v>
      </c>
      <c r="G1139" t="n">
        <v>0.1715048148</v>
      </c>
      <c r="H1139" t="n">
        <v>0.1874542282</v>
      </c>
    </row>
    <row r="1140">
      <c r="A1140" t="inlineStr">
        <is>
          <t>BLZ|mit.inv.trn.2</t>
        </is>
      </c>
      <c r="B1140" t="inlineStr">
        <is>
          <t>BLZ</t>
        </is>
      </c>
      <c r="C1140" t="inlineStr">
        <is>
          <t>mit.inv.trn.2</t>
        </is>
      </c>
      <c r="D1140" t="n">
        <v>0</v>
      </c>
      <c r="E1140" t="n">
        <v>0.01105228773</v>
      </c>
      <c r="F1140" t="n">
        <v>0.01728702245</v>
      </c>
      <c r="G1140" t="n">
        <v>0.01414882115</v>
      </c>
      <c r="H1140" t="n">
        <v>0.01558682797</v>
      </c>
    </row>
    <row r="1141">
      <c r="A1141" t="inlineStr">
        <is>
          <t>BOL|mit.inv.trn.2</t>
        </is>
      </c>
      <c r="B1141" t="inlineStr">
        <is>
          <t>BOL</t>
        </is>
      </c>
      <c r="C1141" t="inlineStr">
        <is>
          <t>mit.inv.trn.2</t>
        </is>
      </c>
      <c r="D1141" t="n">
        <v>0</v>
      </c>
      <c r="E1141" t="n">
        <v>0.1480389701</v>
      </c>
      <c r="F1141" t="n">
        <v>0.2040231384</v>
      </c>
      <c r="G1141" t="n">
        <v>0.1767352617</v>
      </c>
      <c r="H1141" t="n">
        <v>0.2066740455</v>
      </c>
    </row>
    <row r="1142">
      <c r="A1142" t="inlineStr">
        <is>
          <t>BRA|mit.inv.trn.2</t>
        </is>
      </c>
      <c r="B1142" t="inlineStr">
        <is>
          <t>BRA</t>
        </is>
      </c>
      <c r="C1142" t="inlineStr">
        <is>
          <t>mit.inv.trn.2</t>
        </is>
      </c>
      <c r="D1142" t="n">
        <v>0</v>
      </c>
      <c r="E1142" t="n">
        <v>3.398471002</v>
      </c>
      <c r="F1142" t="n">
        <v>5.358462322</v>
      </c>
      <c r="G1142" t="n">
        <v>4.386741225</v>
      </c>
      <c r="H1142" t="n">
        <v>4.79568111</v>
      </c>
    </row>
    <row r="1143">
      <c r="A1143" t="inlineStr">
        <is>
          <t>BRB|mit.inv.trn.2</t>
        </is>
      </c>
      <c r="B1143" t="inlineStr">
        <is>
          <t>BRB</t>
        </is>
      </c>
      <c r="C1143" t="inlineStr">
        <is>
          <t>mit.inv.trn.2</t>
        </is>
      </c>
      <c r="D1143" t="n">
        <v>0</v>
      </c>
      <c r="E1143" t="n">
        <v>0.01152268562</v>
      </c>
      <c r="F1143" t="n">
        <v>0.01774013665</v>
      </c>
      <c r="G1143" t="n">
        <v>0.0124646693</v>
      </c>
      <c r="H1143" t="n">
        <v>0.01246258357</v>
      </c>
    </row>
    <row r="1144">
      <c r="A1144" t="inlineStr">
        <is>
          <t>BRN|mit.inv.trn.2</t>
        </is>
      </c>
      <c r="B1144" t="inlineStr">
        <is>
          <t>BRN</t>
        </is>
      </c>
      <c r="C1144" t="inlineStr">
        <is>
          <t>mit.inv.trn.2</t>
        </is>
      </c>
      <c r="D1144" t="n">
        <v>0</v>
      </c>
      <c r="E1144" t="n">
        <v>0.02072505749</v>
      </c>
      <c r="F1144" t="n">
        <v>0.03542065258</v>
      </c>
      <c r="G1144" t="n">
        <v>0.02478551066</v>
      </c>
      <c r="H1144" t="n">
        <v>0.02479613652</v>
      </c>
    </row>
    <row r="1145">
      <c r="A1145" t="inlineStr">
        <is>
          <t>BTN|mit.inv.trn.2</t>
        </is>
      </c>
      <c r="B1145" t="inlineStr">
        <is>
          <t>BTN</t>
        </is>
      </c>
      <c r="C1145" t="inlineStr">
        <is>
          <t>mit.inv.trn.2</t>
        </is>
      </c>
      <c r="D1145" t="n">
        <v>0</v>
      </c>
      <c r="E1145" t="n">
        <v>0.001678468433</v>
      </c>
      <c r="F1145" t="n">
        <v>0.003048937692</v>
      </c>
      <c r="G1145" t="n">
        <v>0.002448359267</v>
      </c>
      <c r="H1145" t="n">
        <v>0.00291672029</v>
      </c>
    </row>
    <row r="1146">
      <c r="A1146" t="inlineStr">
        <is>
          <t>BWA|mit.inv.trn.2</t>
        </is>
      </c>
      <c r="B1146" t="inlineStr">
        <is>
          <t>BWA</t>
        </is>
      </c>
      <c r="C1146" t="inlineStr">
        <is>
          <t>mit.inv.trn.2</t>
        </is>
      </c>
      <c r="D1146" t="n">
        <v>0</v>
      </c>
      <c r="E1146" t="n">
        <v>0.04405088567</v>
      </c>
      <c r="F1146" t="n">
        <v>0.09157818837999999</v>
      </c>
      <c r="G1146" t="n">
        <v>0.06998625005</v>
      </c>
      <c r="H1146" t="n">
        <v>0.07714667701</v>
      </c>
    </row>
    <row r="1147">
      <c r="A1147" t="inlineStr">
        <is>
          <t>CAF|mit.inv.trn.2</t>
        </is>
      </c>
      <c r="B1147" t="inlineStr">
        <is>
          <t>CAF</t>
        </is>
      </c>
      <c r="C1147" t="inlineStr">
        <is>
          <t>mit.inv.trn.2</t>
        </is>
      </c>
      <c r="D1147" t="n">
        <v>0</v>
      </c>
      <c r="E1147" t="n">
        <v>0.005612407918</v>
      </c>
      <c r="F1147" t="n">
        <v>0.008239095023</v>
      </c>
      <c r="G1147" t="n">
        <v>0.007524677399</v>
      </c>
      <c r="H1147" t="n">
        <v>0.009040999375999999</v>
      </c>
    </row>
    <row r="1148">
      <c r="A1148" t="inlineStr">
        <is>
          <t>CAN|mit.inv.trn.2</t>
        </is>
      </c>
      <c r="B1148" t="inlineStr">
        <is>
          <t>CAN</t>
        </is>
      </c>
      <c r="C1148" t="inlineStr">
        <is>
          <t>mit.inv.trn.2</t>
        </is>
      </c>
      <c r="D1148" t="n">
        <v>0</v>
      </c>
      <c r="E1148" t="n">
        <v>9.922582099</v>
      </c>
      <c r="F1148" t="n">
        <v>9.441909143</v>
      </c>
      <c r="G1148" t="n">
        <v>4.393572522</v>
      </c>
      <c r="H1148" t="n">
        <v>4.391136914</v>
      </c>
    </row>
    <row r="1149">
      <c r="A1149" t="inlineStr">
        <is>
          <t>CHE|mit.inv.trn.2</t>
        </is>
      </c>
      <c r="B1149" t="inlineStr">
        <is>
          <t>CHE</t>
        </is>
      </c>
      <c r="C1149" t="inlineStr">
        <is>
          <t>mit.inv.trn.2</t>
        </is>
      </c>
      <c r="D1149" t="n">
        <v>0</v>
      </c>
      <c r="E1149" t="n">
        <v>1.064164689</v>
      </c>
      <c r="F1149" t="n">
        <v>1.025247307</v>
      </c>
      <c r="G1149" t="n">
        <v>0.4742323359</v>
      </c>
      <c r="H1149" t="n">
        <v>0.4726723568</v>
      </c>
    </row>
    <row r="1150">
      <c r="A1150" t="inlineStr">
        <is>
          <t>CHL|mit.inv.trn.2</t>
        </is>
      </c>
      <c r="B1150" t="inlineStr">
        <is>
          <t>CHL</t>
        </is>
      </c>
      <c r="C1150" t="inlineStr">
        <is>
          <t>mit.inv.trn.2</t>
        </is>
      </c>
      <c r="D1150" t="n">
        <v>0</v>
      </c>
      <c r="E1150" t="n">
        <v>0.5476271949</v>
      </c>
      <c r="F1150" t="n">
        <v>0.8640118082</v>
      </c>
      <c r="G1150" t="n">
        <v>0.6093493228</v>
      </c>
      <c r="H1150" t="n">
        <v>0.6071051716</v>
      </c>
    </row>
    <row r="1151">
      <c r="A1151" t="inlineStr">
        <is>
          <t>CHN|mit.inv.trn.2</t>
        </is>
      </c>
      <c r="B1151" t="inlineStr">
        <is>
          <t>CHN</t>
        </is>
      </c>
      <c r="C1151" t="inlineStr">
        <is>
          <t>mit.inv.trn.2</t>
        </is>
      </c>
      <c r="D1151" t="n">
        <v>0</v>
      </c>
      <c r="E1151" t="n">
        <v>124.1026396</v>
      </c>
      <c r="F1151" t="n">
        <v>73.35121782</v>
      </c>
      <c r="G1151" t="n">
        <v>30.54784926</v>
      </c>
      <c r="H1151" t="n">
        <v>33.61375029</v>
      </c>
    </row>
    <row r="1152">
      <c r="A1152" t="inlineStr">
        <is>
          <t>CIV|mit.inv.trn.2</t>
        </is>
      </c>
      <c r="B1152" t="inlineStr">
        <is>
          <t>CIV</t>
        </is>
      </c>
      <c r="C1152" t="inlineStr">
        <is>
          <t>mit.inv.trn.2</t>
        </is>
      </c>
      <c r="D1152" t="n">
        <v>0</v>
      </c>
      <c r="E1152" t="n">
        <v>0.1464551098</v>
      </c>
      <c r="F1152" t="n">
        <v>0.2489505511</v>
      </c>
      <c r="G1152" t="n">
        <v>0.2010550843</v>
      </c>
      <c r="H1152" t="n">
        <v>0.234907959</v>
      </c>
    </row>
    <row r="1153">
      <c r="A1153" t="inlineStr">
        <is>
          <t>CMR|mit.inv.trn.2</t>
        </is>
      </c>
      <c r="B1153" t="inlineStr">
        <is>
          <t>CMR</t>
        </is>
      </c>
      <c r="C1153" t="inlineStr">
        <is>
          <t>mit.inv.trn.2</t>
        </is>
      </c>
      <c r="D1153" t="n">
        <v>0</v>
      </c>
      <c r="E1153" t="n">
        <v>0.05184322641</v>
      </c>
      <c r="F1153" t="n">
        <v>0.08847699956000001</v>
      </c>
      <c r="G1153" t="n">
        <v>0.07623386888</v>
      </c>
      <c r="H1153" t="n">
        <v>0.08907488063000001</v>
      </c>
    </row>
    <row r="1154">
      <c r="A1154" t="inlineStr">
        <is>
          <t>COD|mit.inv.trn.2</t>
        </is>
      </c>
      <c r="B1154" t="inlineStr">
        <is>
          <t>COD</t>
        </is>
      </c>
      <c r="C1154" t="inlineStr">
        <is>
          <t>mit.inv.trn.2</t>
        </is>
      </c>
      <c r="D1154" t="n">
        <v>0</v>
      </c>
      <c r="E1154" t="n">
        <v>0.07524854283</v>
      </c>
      <c r="F1154" t="n">
        <v>0.1314744222</v>
      </c>
      <c r="G1154" t="n">
        <v>0.1110297733</v>
      </c>
      <c r="H1154" t="n">
        <v>0.1331637687</v>
      </c>
    </row>
    <row r="1155">
      <c r="A1155" t="inlineStr">
        <is>
          <t>COG|mit.inv.trn.2</t>
        </is>
      </c>
      <c r="B1155" t="inlineStr">
        <is>
          <t>COG</t>
        </is>
      </c>
      <c r="C1155" t="inlineStr">
        <is>
          <t>mit.inv.trn.2</t>
        </is>
      </c>
      <c r="D1155" t="n">
        <v>0</v>
      </c>
      <c r="E1155" t="n">
        <v>0.0210967786</v>
      </c>
      <c r="F1155" t="n">
        <v>0.03635319653</v>
      </c>
      <c r="G1155" t="n">
        <v>0.03164331942</v>
      </c>
      <c r="H1155" t="n">
        <v>0.0368577095</v>
      </c>
    </row>
    <row r="1156">
      <c r="A1156" t="inlineStr">
        <is>
          <t>COL|mit.inv.trn.2</t>
        </is>
      </c>
      <c r="B1156" t="inlineStr">
        <is>
          <t>COL</t>
        </is>
      </c>
      <c r="C1156" t="inlineStr">
        <is>
          <t>mit.inv.trn.2</t>
        </is>
      </c>
      <c r="D1156" t="n">
        <v>0</v>
      </c>
      <c r="E1156" t="n">
        <v>0.5395388407</v>
      </c>
      <c r="F1156" t="n">
        <v>0.8593276992</v>
      </c>
      <c r="G1156" t="n">
        <v>0.6979206482</v>
      </c>
      <c r="H1156" t="n">
        <v>0.7665913212</v>
      </c>
    </row>
    <row r="1157">
      <c r="A1157" t="inlineStr">
        <is>
          <t>COM|mit.inv.trn.2</t>
        </is>
      </c>
      <c r="B1157" t="inlineStr">
        <is>
          <t>COM</t>
        </is>
      </c>
      <c r="C1157" t="inlineStr">
        <is>
          <t>mit.inv.trn.2</t>
        </is>
      </c>
      <c r="D1157" t="n">
        <v>0</v>
      </c>
      <c r="E1157" t="n">
        <v>0.006360957866</v>
      </c>
      <c r="F1157" t="n">
        <v>0.01105843073</v>
      </c>
      <c r="G1157" t="n">
        <v>0.009764977708</v>
      </c>
      <c r="H1157" t="n">
        <v>0.01177438896</v>
      </c>
    </row>
    <row r="1158">
      <c r="A1158" t="inlineStr">
        <is>
          <t>CPV|mit.inv.trn.2</t>
        </is>
      </c>
      <c r="B1158" t="inlineStr">
        <is>
          <t>CPV</t>
        </is>
      </c>
      <c r="C1158" t="inlineStr">
        <is>
          <t>mit.inv.trn.2</t>
        </is>
      </c>
      <c r="D1158" t="n">
        <v>0</v>
      </c>
      <c r="E1158" t="n">
        <v>0.005957275718</v>
      </c>
      <c r="F1158" t="n">
        <v>0.009660224655000001</v>
      </c>
      <c r="G1158" t="n">
        <v>0.007950399779</v>
      </c>
      <c r="H1158" t="n">
        <v>0.00918413257</v>
      </c>
    </row>
    <row r="1159">
      <c r="A1159" t="inlineStr">
        <is>
          <t>CRI|mit.inv.trn.2</t>
        </is>
      </c>
      <c r="B1159" t="inlineStr">
        <is>
          <t>CRI</t>
        </is>
      </c>
      <c r="C1159" t="inlineStr">
        <is>
          <t>mit.inv.trn.2</t>
        </is>
      </c>
      <c r="D1159" t="n">
        <v>0</v>
      </c>
      <c r="E1159" t="n">
        <v>0.139976626</v>
      </c>
      <c r="F1159" t="n">
        <v>0.2160498249</v>
      </c>
      <c r="G1159" t="n">
        <v>0.169665762</v>
      </c>
      <c r="H1159" t="n">
        <v>0.1864886847</v>
      </c>
    </row>
    <row r="1160">
      <c r="A1160" t="inlineStr">
        <is>
          <t>CYP|mit.inv.trn.2</t>
        </is>
      </c>
      <c r="B1160" t="inlineStr">
        <is>
          <t>CYP</t>
        </is>
      </c>
      <c r="C1160" t="inlineStr">
        <is>
          <t>mit.inv.trn.2</t>
        </is>
      </c>
      <c r="D1160" t="n">
        <v>0</v>
      </c>
      <c r="E1160" t="n">
        <v>0.1362627082</v>
      </c>
      <c r="F1160" t="n">
        <v>0.1264316347</v>
      </c>
      <c r="G1160" t="n">
        <v>0.05621818743</v>
      </c>
      <c r="H1160" t="n">
        <v>0.05607997234</v>
      </c>
    </row>
    <row r="1161">
      <c r="A1161" t="inlineStr">
        <is>
          <t>CZE|mit.inv.trn.2</t>
        </is>
      </c>
      <c r="B1161" t="inlineStr">
        <is>
          <t>CZE</t>
        </is>
      </c>
      <c r="C1161" t="inlineStr">
        <is>
          <t>mit.inv.trn.2</t>
        </is>
      </c>
      <c r="D1161" t="n">
        <v>0</v>
      </c>
      <c r="E1161" t="n">
        <v>1.260359952</v>
      </c>
      <c r="F1161" t="n">
        <v>1.197114844</v>
      </c>
      <c r="G1161" t="n">
        <v>0.545055636</v>
      </c>
      <c r="H1161" t="n">
        <v>0.5416757253</v>
      </c>
    </row>
    <row r="1162">
      <c r="A1162" t="inlineStr">
        <is>
          <t>DEU|mit.inv.trn.2</t>
        </is>
      </c>
      <c r="B1162" t="inlineStr">
        <is>
          <t>DEU</t>
        </is>
      </c>
      <c r="C1162" t="inlineStr">
        <is>
          <t>mit.inv.trn.2</t>
        </is>
      </c>
      <c r="D1162" t="n">
        <v>0</v>
      </c>
      <c r="E1162" t="n">
        <v>9.779424741</v>
      </c>
      <c r="F1162" t="n">
        <v>9.276099861000001</v>
      </c>
      <c r="G1162" t="n">
        <v>4.236358413</v>
      </c>
      <c r="H1162" t="n">
        <v>4.215161566</v>
      </c>
    </row>
    <row r="1163">
      <c r="A1163" t="inlineStr">
        <is>
          <t>DJI|mit.inv.trn.2</t>
        </is>
      </c>
      <c r="B1163" t="inlineStr">
        <is>
          <t>DJI</t>
        </is>
      </c>
      <c r="C1163" t="inlineStr">
        <is>
          <t>mit.inv.trn.2</t>
        </is>
      </c>
      <c r="D1163" t="n">
        <v>0</v>
      </c>
      <c r="E1163" t="n">
        <v>0.003925318825</v>
      </c>
      <c r="F1163" t="n">
        <v>0.006744577096</v>
      </c>
      <c r="G1163" t="n">
        <v>0.005449096264</v>
      </c>
      <c r="H1163" t="n">
        <v>0.006342045156</v>
      </c>
    </row>
    <row r="1164">
      <c r="A1164" t="inlineStr">
        <is>
          <t>DMA|mit.inv.trn.2</t>
        </is>
      </c>
      <c r="B1164" t="inlineStr">
        <is>
          <t>DMA</t>
        </is>
      </c>
      <c r="C1164" t="inlineStr">
        <is>
          <t>mit.inv.trn.2</t>
        </is>
      </c>
      <c r="D1164" t="n">
        <v>0</v>
      </c>
      <c r="E1164" t="n">
        <v>0.001200087875</v>
      </c>
      <c r="F1164" t="n">
        <v>0.001797587091</v>
      </c>
      <c r="G1164" t="n">
        <v>0.001432311184</v>
      </c>
      <c r="H1164" t="n">
        <v>0.001579182136</v>
      </c>
    </row>
    <row r="1165">
      <c r="A1165" t="inlineStr">
        <is>
          <t>DNK|mit.inv.trn.2</t>
        </is>
      </c>
      <c r="B1165" t="inlineStr">
        <is>
          <t>DNK</t>
        </is>
      </c>
      <c r="C1165" t="inlineStr">
        <is>
          <t>mit.inv.trn.2</t>
        </is>
      </c>
      <c r="D1165" t="n">
        <v>0</v>
      </c>
      <c r="E1165" t="n">
        <v>0.880826786</v>
      </c>
      <c r="F1165" t="n">
        <v>0.8035399746</v>
      </c>
      <c r="G1165" t="n">
        <v>0.3684394855</v>
      </c>
      <c r="H1165" t="n">
        <v>0.3665134017</v>
      </c>
    </row>
    <row r="1166">
      <c r="A1166" t="inlineStr">
        <is>
          <t>DOM|mit.inv.trn.2</t>
        </is>
      </c>
      <c r="B1166" t="inlineStr">
        <is>
          <t>DOM</t>
        </is>
      </c>
      <c r="C1166" t="inlineStr">
        <is>
          <t>mit.inv.trn.2</t>
        </is>
      </c>
      <c r="D1166" t="n">
        <v>0</v>
      </c>
      <c r="E1166" t="n">
        <v>0.1354114223</v>
      </c>
      <c r="F1166" t="n">
        <v>0.2487926419</v>
      </c>
      <c r="G1166" t="n">
        <v>0.194692054</v>
      </c>
      <c r="H1166" t="n">
        <v>0.2141523085</v>
      </c>
    </row>
    <row r="1167">
      <c r="A1167" t="inlineStr">
        <is>
          <t>DZA|mit.inv.trn.2</t>
        </is>
      </c>
      <c r="B1167" t="inlineStr">
        <is>
          <t>DZA</t>
        </is>
      </c>
      <c r="C1167" t="inlineStr">
        <is>
          <t>mit.inv.trn.2</t>
        </is>
      </c>
      <c r="D1167" t="n">
        <v>0</v>
      </c>
      <c r="E1167" t="n">
        <v>0.6444017731</v>
      </c>
      <c r="F1167" t="n">
        <v>1.053568647</v>
      </c>
      <c r="G1167" t="n">
        <v>0.8171040916</v>
      </c>
      <c r="H1167" t="n">
        <v>0.8916062605</v>
      </c>
    </row>
    <row r="1168">
      <c r="A1168" t="inlineStr">
        <is>
          <t>ECU|mit.inv.trn.2</t>
        </is>
      </c>
      <c r="B1168" t="inlineStr">
        <is>
          <t>ECU</t>
        </is>
      </c>
      <c r="C1168" t="inlineStr">
        <is>
          <t>mit.inv.trn.2</t>
        </is>
      </c>
      <c r="D1168" t="n">
        <v>0</v>
      </c>
      <c r="E1168" t="n">
        <v>0.4163025714</v>
      </c>
      <c r="F1168" t="n">
        <v>0.6247458278</v>
      </c>
      <c r="G1168" t="n">
        <v>0.5042239028</v>
      </c>
      <c r="H1168" t="n">
        <v>0.5531516217</v>
      </c>
    </row>
    <row r="1169">
      <c r="A1169" t="inlineStr">
        <is>
          <t>EGY|mit.inv.trn.2</t>
        </is>
      </c>
      <c r="B1169" t="inlineStr">
        <is>
          <t>EGY</t>
        </is>
      </c>
      <c r="C1169" t="inlineStr">
        <is>
          <t>mit.inv.trn.2</t>
        </is>
      </c>
      <c r="D1169" t="n">
        <v>0</v>
      </c>
      <c r="E1169" t="n">
        <v>0.8597681876</v>
      </c>
      <c r="F1169" t="n">
        <v>1.438379375</v>
      </c>
      <c r="G1169" t="n">
        <v>1.211127024</v>
      </c>
      <c r="H1169" t="n">
        <v>1.414053752</v>
      </c>
    </row>
    <row r="1170">
      <c r="A1170" t="inlineStr">
        <is>
          <t>ESP|mit.inv.trn.2</t>
        </is>
      </c>
      <c r="B1170" t="inlineStr">
        <is>
          <t>ESP</t>
        </is>
      </c>
      <c r="C1170" t="inlineStr">
        <is>
          <t>mit.inv.trn.2</t>
        </is>
      </c>
      <c r="D1170" t="n">
        <v>0</v>
      </c>
      <c r="E1170" t="n">
        <v>5.582070605</v>
      </c>
      <c r="F1170" t="n">
        <v>5.165948081</v>
      </c>
      <c r="G1170" t="n">
        <v>2.363452544</v>
      </c>
      <c r="H1170" t="n">
        <v>2.346805807</v>
      </c>
    </row>
    <row r="1171">
      <c r="A1171" t="inlineStr">
        <is>
          <t>EST|mit.inv.trn.2</t>
        </is>
      </c>
      <c r="B1171" t="inlineStr">
        <is>
          <t>EST</t>
        </is>
      </c>
      <c r="C1171" t="inlineStr">
        <is>
          <t>mit.inv.trn.2</t>
        </is>
      </c>
      <c r="D1171" t="n">
        <v>0</v>
      </c>
      <c r="E1171" t="n">
        <v>0.1310548317</v>
      </c>
      <c r="F1171" t="n">
        <v>0.1263891725</v>
      </c>
      <c r="G1171" t="n">
        <v>0.05840142339</v>
      </c>
      <c r="H1171" t="n">
        <v>0.05804259873</v>
      </c>
    </row>
    <row r="1172">
      <c r="A1172" t="inlineStr">
        <is>
          <t>ETH|mit.inv.trn.2</t>
        </is>
      </c>
      <c r="B1172" t="inlineStr">
        <is>
          <t>ETH</t>
        </is>
      </c>
      <c r="C1172" t="inlineStr">
        <is>
          <t>mit.inv.trn.2</t>
        </is>
      </c>
      <c r="D1172" t="n">
        <v>0</v>
      </c>
      <c r="E1172" t="n">
        <v>0.2207036099</v>
      </c>
      <c r="F1172" t="n">
        <v>0.4004694583</v>
      </c>
      <c r="G1172" t="n">
        <v>0.3193078001</v>
      </c>
      <c r="H1172" t="n">
        <v>0.3822949898</v>
      </c>
    </row>
    <row r="1173">
      <c r="A1173" t="inlineStr">
        <is>
          <t>FIN|mit.inv.trn.2</t>
        </is>
      </c>
      <c r="B1173" t="inlineStr">
        <is>
          <t>FIN</t>
        </is>
      </c>
      <c r="C1173" t="inlineStr">
        <is>
          <t>mit.inv.trn.2</t>
        </is>
      </c>
      <c r="D1173" t="n">
        <v>0</v>
      </c>
      <c r="E1173" t="n">
        <v>0.7185140932</v>
      </c>
      <c r="F1173" t="n">
        <v>0.6863662013</v>
      </c>
      <c r="G1173" t="n">
        <v>0.3152178845</v>
      </c>
      <c r="H1173" t="n">
        <v>0.3137924566</v>
      </c>
    </row>
    <row r="1174">
      <c r="A1174" t="inlineStr">
        <is>
          <t>FJI|mit.inv.trn.2</t>
        </is>
      </c>
      <c r="B1174" t="inlineStr">
        <is>
          <t>FJI</t>
        </is>
      </c>
      <c r="C1174" t="inlineStr">
        <is>
          <t>mit.inv.trn.2</t>
        </is>
      </c>
      <c r="D1174" t="n">
        <v>0</v>
      </c>
      <c r="E1174" t="n">
        <v>0.01083265593</v>
      </c>
      <c r="F1174" t="n">
        <v>0.01672905783</v>
      </c>
      <c r="G1174" t="n">
        <v>0.01353802322</v>
      </c>
      <c r="H1174" t="n">
        <v>0.01485629662</v>
      </c>
    </row>
    <row r="1175">
      <c r="A1175" t="inlineStr">
        <is>
          <t>FRA|mit.inv.trn.2</t>
        </is>
      </c>
      <c r="B1175" t="inlineStr">
        <is>
          <t>FRA</t>
        </is>
      </c>
      <c r="C1175" t="inlineStr">
        <is>
          <t>mit.inv.trn.2</t>
        </is>
      </c>
      <c r="D1175" t="n">
        <v>0</v>
      </c>
      <c r="E1175" t="n">
        <v>6.949628384</v>
      </c>
      <c r="F1175" t="n">
        <v>6.600165013</v>
      </c>
      <c r="G1175" t="n">
        <v>3.013745577</v>
      </c>
      <c r="H1175" t="n">
        <v>2.993347316</v>
      </c>
    </row>
    <row r="1176">
      <c r="A1176" t="inlineStr">
        <is>
          <t>GAB|mit.inv.trn.2</t>
        </is>
      </c>
      <c r="B1176" t="inlineStr">
        <is>
          <t>GAB</t>
        </is>
      </c>
      <c r="C1176" t="inlineStr">
        <is>
          <t>mit.inv.trn.2</t>
        </is>
      </c>
      <c r="D1176" t="n">
        <v>0</v>
      </c>
      <c r="E1176" t="n">
        <v>0.00310483503</v>
      </c>
      <c r="F1176" t="n">
        <v>0.005136932025</v>
      </c>
      <c r="G1176" t="n">
        <v>0.004165167737</v>
      </c>
      <c r="H1176" t="n">
        <v>0.004609624252</v>
      </c>
    </row>
    <row r="1177">
      <c r="A1177" t="inlineStr">
        <is>
          <t>GBR|mit.inv.trn.2</t>
        </is>
      </c>
      <c r="B1177" t="inlineStr">
        <is>
          <t>GBR</t>
        </is>
      </c>
      <c r="C1177" t="inlineStr">
        <is>
          <t>mit.inv.trn.2</t>
        </is>
      </c>
      <c r="D1177" t="n">
        <v>0</v>
      </c>
      <c r="E1177" t="n">
        <v>7.238295708</v>
      </c>
      <c r="F1177" t="n">
        <v>6.866361405</v>
      </c>
      <c r="G1177" t="n">
        <v>3.135563765</v>
      </c>
      <c r="H1177" t="n">
        <v>3.119104264</v>
      </c>
    </row>
    <row r="1178">
      <c r="A1178" t="inlineStr">
        <is>
          <t>GEO|mit.inv.trn.2</t>
        </is>
      </c>
      <c r="B1178" t="inlineStr">
        <is>
          <t>GEO</t>
        </is>
      </c>
      <c r="C1178" t="inlineStr">
        <is>
          <t>mit.inv.trn.2</t>
        </is>
      </c>
      <c r="D1178" t="n">
        <v>0</v>
      </c>
      <c r="E1178" t="n">
        <v>0.07980170809000001</v>
      </c>
      <c r="F1178" t="n">
        <v>0.1218826543</v>
      </c>
      <c r="G1178" t="n">
        <v>0.1005530085</v>
      </c>
      <c r="H1178" t="n">
        <v>0.1178500886</v>
      </c>
    </row>
    <row r="1179">
      <c r="A1179" t="inlineStr">
        <is>
          <t>GHA|mit.inv.trn.2</t>
        </is>
      </c>
      <c r="B1179" t="inlineStr">
        <is>
          <t>GHA</t>
        </is>
      </c>
      <c r="C1179" t="inlineStr">
        <is>
          <t>mit.inv.trn.2</t>
        </is>
      </c>
      <c r="D1179" t="n">
        <v>0</v>
      </c>
      <c r="E1179" t="n">
        <v>0.2092915286</v>
      </c>
      <c r="F1179" t="n">
        <v>0.3322579822</v>
      </c>
      <c r="G1179" t="n">
        <v>0.277071111</v>
      </c>
      <c r="H1179" t="n">
        <v>0.3242109256</v>
      </c>
    </row>
    <row r="1180">
      <c r="A1180" t="inlineStr">
        <is>
          <t>GIN|mit.inv.trn.2</t>
        </is>
      </c>
      <c r="B1180" t="inlineStr">
        <is>
          <t>GIN</t>
        </is>
      </c>
      <c r="C1180" t="inlineStr">
        <is>
          <t>mit.inv.trn.2</t>
        </is>
      </c>
      <c r="D1180" t="n">
        <v>0</v>
      </c>
      <c r="E1180" t="n">
        <v>0.05915588521</v>
      </c>
      <c r="F1180" t="n">
        <v>0.1184715734</v>
      </c>
      <c r="G1180" t="n">
        <v>0.09655038763</v>
      </c>
      <c r="H1180" t="n">
        <v>0.1173575268</v>
      </c>
    </row>
    <row r="1181">
      <c r="A1181" t="inlineStr">
        <is>
          <t>GMB|mit.inv.trn.2</t>
        </is>
      </c>
      <c r="B1181" t="inlineStr">
        <is>
          <t>GMB</t>
        </is>
      </c>
      <c r="C1181" t="inlineStr">
        <is>
          <t>mit.inv.trn.2</t>
        </is>
      </c>
      <c r="D1181" t="n">
        <v>0</v>
      </c>
      <c r="E1181" t="n">
        <v>0.001648793475</v>
      </c>
      <c r="F1181" t="n">
        <v>0.002728800313</v>
      </c>
      <c r="G1181" t="n">
        <v>0.002405603616</v>
      </c>
      <c r="H1181" t="n">
        <v>0.002963632598</v>
      </c>
    </row>
    <row r="1182">
      <c r="A1182" t="inlineStr">
        <is>
          <t>GNB|mit.inv.trn.2</t>
        </is>
      </c>
      <c r="B1182" t="inlineStr">
        <is>
          <t>GNB</t>
        </is>
      </c>
      <c r="C1182" t="inlineStr">
        <is>
          <t>mit.inv.trn.2</t>
        </is>
      </c>
      <c r="D1182" t="n">
        <v>0</v>
      </c>
      <c r="E1182" t="n">
        <v>0.001863585079</v>
      </c>
      <c r="F1182" t="n">
        <v>0.003104918999</v>
      </c>
      <c r="G1182" t="n">
        <v>0.002709016528</v>
      </c>
      <c r="H1182" t="n">
        <v>0.003288276433</v>
      </c>
    </row>
    <row r="1183">
      <c r="A1183" t="inlineStr">
        <is>
          <t>GNQ|mit.inv.trn.2</t>
        </is>
      </c>
      <c r="B1183" t="inlineStr">
        <is>
          <t>GNQ</t>
        </is>
      </c>
      <c r="C1183" t="inlineStr">
        <is>
          <t>mit.inv.trn.2</t>
        </is>
      </c>
      <c r="D1183" t="n">
        <v>0</v>
      </c>
      <c r="E1183" t="n">
        <v>0.006097432889</v>
      </c>
      <c r="F1183" t="n">
        <v>0.008507994129</v>
      </c>
      <c r="G1183" t="n">
        <v>0.006695101664</v>
      </c>
      <c r="H1183" t="n">
        <v>0.007349218782</v>
      </c>
    </row>
    <row r="1184">
      <c r="A1184" t="inlineStr">
        <is>
          <t>GRC|mit.inv.trn.2</t>
        </is>
      </c>
      <c r="B1184" t="inlineStr">
        <is>
          <t>GRC</t>
        </is>
      </c>
      <c r="C1184" t="inlineStr">
        <is>
          <t>mit.inv.trn.2</t>
        </is>
      </c>
      <c r="D1184" t="n">
        <v>0</v>
      </c>
      <c r="E1184" t="n">
        <v>0.9974827043</v>
      </c>
      <c r="F1184" t="n">
        <v>0.947694012</v>
      </c>
      <c r="G1184" t="n">
        <v>0.4371260126</v>
      </c>
      <c r="H1184" t="n">
        <v>0.4355617529</v>
      </c>
    </row>
    <row r="1185">
      <c r="A1185" t="inlineStr">
        <is>
          <t>GRD|mit.inv.trn.2</t>
        </is>
      </c>
      <c r="B1185" t="inlineStr">
        <is>
          <t>GRD</t>
        </is>
      </c>
      <c r="C1185" t="inlineStr">
        <is>
          <t>mit.inv.trn.2</t>
        </is>
      </c>
      <c r="D1185" t="n">
        <v>0</v>
      </c>
      <c r="E1185" t="n">
        <v>0.002704281428</v>
      </c>
      <c r="F1185" t="n">
        <v>0.004077538361</v>
      </c>
      <c r="G1185" t="n">
        <v>0.003258978371</v>
      </c>
      <c r="H1185" t="n">
        <v>0.00360168916</v>
      </c>
    </row>
    <row r="1186">
      <c r="A1186" t="inlineStr">
        <is>
          <t>GTM|mit.inv.trn.2</t>
        </is>
      </c>
      <c r="B1186" t="inlineStr">
        <is>
          <t>GTM</t>
        </is>
      </c>
      <c r="C1186" t="inlineStr">
        <is>
          <t>mit.inv.trn.2</t>
        </is>
      </c>
      <c r="D1186" t="n">
        <v>0</v>
      </c>
      <c r="E1186" t="n">
        <v>0.2414027069</v>
      </c>
      <c r="F1186" t="n">
        <v>0.3938932862</v>
      </c>
      <c r="G1186" t="n">
        <v>0.3066634516</v>
      </c>
      <c r="H1186" t="n">
        <v>0.3375200802</v>
      </c>
    </row>
    <row r="1187">
      <c r="A1187" t="inlineStr">
        <is>
          <t>GUY|mit.inv.trn.2</t>
        </is>
      </c>
      <c r="B1187" t="inlineStr">
        <is>
          <t>GUY</t>
        </is>
      </c>
      <c r="C1187" t="inlineStr">
        <is>
          <t>mit.inv.trn.2</t>
        </is>
      </c>
      <c r="D1187" t="n">
        <v>0</v>
      </c>
      <c r="E1187" t="n">
        <v>0.04233113617</v>
      </c>
      <c r="F1187" t="n">
        <v>0.07893815530000001</v>
      </c>
      <c r="G1187" t="n">
        <v>0.05152157303</v>
      </c>
      <c r="H1187" t="n">
        <v>0.05687576566</v>
      </c>
    </row>
    <row r="1188">
      <c r="A1188" t="inlineStr">
        <is>
          <t>HKG|mit.inv.trn.2</t>
        </is>
      </c>
      <c r="B1188" t="inlineStr">
        <is>
          <t>HKG</t>
        </is>
      </c>
      <c r="C1188" t="inlineStr">
        <is>
          <t>mit.inv.trn.2</t>
        </is>
      </c>
      <c r="D1188" t="n">
        <v>0</v>
      </c>
      <c r="E1188" t="n">
        <v>0.5231324009</v>
      </c>
      <c r="F1188" t="n">
        <v>0.4739265228</v>
      </c>
      <c r="G1188" t="n">
        <v>0.2145656499</v>
      </c>
      <c r="H1188" t="n">
        <v>0.2131979612</v>
      </c>
    </row>
    <row r="1189">
      <c r="A1189" t="inlineStr">
        <is>
          <t>HND|mit.inv.trn.2</t>
        </is>
      </c>
      <c r="B1189" t="inlineStr">
        <is>
          <t>HND</t>
        </is>
      </c>
      <c r="C1189" t="inlineStr">
        <is>
          <t>mit.inv.trn.2</t>
        </is>
      </c>
      <c r="D1189" t="n">
        <v>0</v>
      </c>
      <c r="E1189" t="n">
        <v>0.1085234195</v>
      </c>
      <c r="F1189" t="n">
        <v>0.1773384999</v>
      </c>
      <c r="G1189" t="n">
        <v>0.1532660924</v>
      </c>
      <c r="H1189" t="n">
        <v>0.1794117552</v>
      </c>
    </row>
    <row r="1190">
      <c r="A1190" t="inlineStr">
        <is>
          <t>HRV|mit.inv.trn.2</t>
        </is>
      </c>
      <c r="B1190" t="inlineStr">
        <is>
          <t>HRV</t>
        </is>
      </c>
      <c r="C1190" t="inlineStr">
        <is>
          <t>mit.inv.trn.2</t>
        </is>
      </c>
      <c r="D1190" t="n">
        <v>0</v>
      </c>
      <c r="E1190" t="n">
        <v>0.3462780809</v>
      </c>
      <c r="F1190" t="n">
        <v>0.3257821176</v>
      </c>
      <c r="G1190" t="n">
        <v>0.1465545026</v>
      </c>
      <c r="H1190" t="n">
        <v>0.145566441</v>
      </c>
    </row>
    <row r="1191">
      <c r="A1191" t="inlineStr">
        <is>
          <t>HTI|mit.inv.trn.2</t>
        </is>
      </c>
      <c r="B1191" t="inlineStr">
        <is>
          <t>HTI</t>
        </is>
      </c>
      <c r="C1191" t="inlineStr">
        <is>
          <t>mit.inv.trn.2</t>
        </is>
      </c>
      <c r="D1191" t="n">
        <v>0</v>
      </c>
      <c r="E1191" t="n">
        <v>0.03046512252</v>
      </c>
      <c r="F1191" t="n">
        <v>0.04402325589</v>
      </c>
      <c r="G1191" t="n">
        <v>0.04146671489</v>
      </c>
      <c r="H1191" t="n">
        <v>0.04999862286</v>
      </c>
    </row>
    <row r="1192">
      <c r="A1192" t="inlineStr">
        <is>
          <t>HUN|mit.inv.trn.2</t>
        </is>
      </c>
      <c r="B1192" t="inlineStr">
        <is>
          <t>HUN</t>
        </is>
      </c>
      <c r="C1192" t="inlineStr">
        <is>
          <t>mit.inv.trn.2</t>
        </is>
      </c>
      <c r="D1192" t="n">
        <v>0</v>
      </c>
      <c r="E1192" t="n">
        <v>0.2582331916</v>
      </c>
      <c r="F1192" t="n">
        <v>0.4042700614</v>
      </c>
      <c r="G1192" t="n">
        <v>0.2920937322</v>
      </c>
      <c r="H1192" t="n">
        <v>0.290537369</v>
      </c>
    </row>
    <row r="1193">
      <c r="A1193" t="inlineStr">
        <is>
          <t>IDN|mit.inv.trn.2</t>
        </is>
      </c>
      <c r="B1193" t="inlineStr">
        <is>
          <t>IDN</t>
        </is>
      </c>
      <c r="C1193" t="inlineStr">
        <is>
          <t>mit.inv.trn.2</t>
        </is>
      </c>
      <c r="D1193" t="n">
        <v>0</v>
      </c>
      <c r="E1193" t="n">
        <v>3.144109235</v>
      </c>
      <c r="F1193" t="n">
        <v>5.317433139</v>
      </c>
      <c r="G1193" t="n">
        <v>4.432920453</v>
      </c>
      <c r="H1193" t="n">
        <v>5.209658066</v>
      </c>
    </row>
    <row r="1194">
      <c r="A1194" t="inlineStr">
        <is>
          <t>IND|mit.inv.trn.2</t>
        </is>
      </c>
      <c r="B1194" t="inlineStr">
        <is>
          <t>IND</t>
        </is>
      </c>
      <c r="C1194" t="inlineStr">
        <is>
          <t>mit.inv.trn.2</t>
        </is>
      </c>
      <c r="D1194" t="n">
        <v>0</v>
      </c>
      <c r="E1194" t="n">
        <v>6.835236915</v>
      </c>
      <c r="F1194" t="n">
        <v>11.16635973</v>
      </c>
      <c r="G1194" t="n">
        <v>8.937818583</v>
      </c>
      <c r="H1194" t="n">
        <v>10.4022603</v>
      </c>
    </row>
    <row r="1195">
      <c r="A1195" t="inlineStr">
        <is>
          <t>IRL|mit.inv.trn.2</t>
        </is>
      </c>
      <c r="B1195" t="inlineStr">
        <is>
          <t>IRL</t>
        </is>
      </c>
      <c r="C1195" t="inlineStr">
        <is>
          <t>mit.inv.trn.2</t>
        </is>
      </c>
      <c r="D1195" t="n">
        <v>0</v>
      </c>
      <c r="E1195" t="n">
        <v>1.411776947</v>
      </c>
      <c r="F1195" t="n">
        <v>0.8492018682</v>
      </c>
      <c r="G1195" t="n">
        <v>0.3835397986</v>
      </c>
      <c r="H1195" t="n">
        <v>0.3806861196</v>
      </c>
    </row>
    <row r="1196">
      <c r="A1196" t="inlineStr">
        <is>
          <t>IRN|mit.inv.trn.2</t>
        </is>
      </c>
      <c r="B1196" t="inlineStr">
        <is>
          <t>IRN</t>
        </is>
      </c>
      <c r="C1196" t="inlineStr">
        <is>
          <t>mit.inv.trn.2</t>
        </is>
      </c>
      <c r="D1196" t="n">
        <v>0</v>
      </c>
      <c r="E1196" t="n">
        <v>1.695150049</v>
      </c>
      <c r="F1196" t="n">
        <v>2.140275508</v>
      </c>
      <c r="G1196" t="n">
        <v>1.573207321</v>
      </c>
      <c r="H1196" t="n">
        <v>1.731383118</v>
      </c>
    </row>
    <row r="1197">
      <c r="A1197" t="inlineStr">
        <is>
          <t>IRQ|mit.inv.trn.2</t>
        </is>
      </c>
      <c r="B1197" t="inlineStr">
        <is>
          <t>IRQ</t>
        </is>
      </c>
      <c r="C1197" t="inlineStr">
        <is>
          <t>mit.inv.trn.2</t>
        </is>
      </c>
      <c r="D1197" t="n">
        <v>0</v>
      </c>
      <c r="E1197" t="n">
        <v>0.734690196</v>
      </c>
      <c r="F1197" t="n">
        <v>0.9082359406</v>
      </c>
      <c r="G1197" t="n">
        <v>0.6577430259</v>
      </c>
      <c r="H1197" t="n">
        <v>0.7240055926</v>
      </c>
    </row>
    <row r="1198">
      <c r="A1198" t="inlineStr">
        <is>
          <t>ISL|mit.inv.trn.2</t>
        </is>
      </c>
      <c r="B1198" t="inlineStr">
        <is>
          <t>ISL</t>
        </is>
      </c>
      <c r="C1198" t="inlineStr">
        <is>
          <t>mit.inv.trn.2</t>
        </is>
      </c>
      <c r="D1198" t="n">
        <v>0</v>
      </c>
      <c r="E1198" t="n">
        <v>0.06808530209999999</v>
      </c>
      <c r="F1198" t="n">
        <v>0.06751663561</v>
      </c>
      <c r="G1198" t="n">
        <v>0.03105631632</v>
      </c>
      <c r="H1198" t="n">
        <v>0.03089208226</v>
      </c>
    </row>
    <row r="1199">
      <c r="A1199" t="inlineStr">
        <is>
          <t>ISR|mit.inv.trn.2</t>
        </is>
      </c>
      <c r="B1199" t="inlineStr">
        <is>
          <t>ISR</t>
        </is>
      </c>
      <c r="C1199" t="inlineStr">
        <is>
          <t>mit.inv.trn.2</t>
        </is>
      </c>
      <c r="D1199" t="n">
        <v>0</v>
      </c>
      <c r="E1199" t="n">
        <v>1.597846702</v>
      </c>
      <c r="F1199" t="n">
        <v>1.638331696</v>
      </c>
      <c r="G1199" t="n">
        <v>0.7160705438</v>
      </c>
      <c r="H1199" t="n">
        <v>0.7148705167</v>
      </c>
    </row>
    <row r="1200">
      <c r="A1200" t="inlineStr">
        <is>
          <t>ITA|mit.inv.trn.2</t>
        </is>
      </c>
      <c r="B1200" t="inlineStr">
        <is>
          <t>ITA</t>
        </is>
      </c>
      <c r="C1200" t="inlineStr">
        <is>
          <t>mit.inv.trn.2</t>
        </is>
      </c>
      <c r="D1200" t="n">
        <v>0</v>
      </c>
      <c r="E1200" t="n">
        <v>5.663900255</v>
      </c>
      <c r="F1200" t="n">
        <v>5.331940065</v>
      </c>
      <c r="G1200" t="n">
        <v>2.419449821</v>
      </c>
      <c r="H1200" t="n">
        <v>2.404303242</v>
      </c>
    </row>
    <row r="1201">
      <c r="A1201" t="inlineStr">
        <is>
          <t>JAM|mit.inv.trn.2</t>
        </is>
      </c>
      <c r="B1201" t="inlineStr">
        <is>
          <t>JAM</t>
        </is>
      </c>
      <c r="C1201" t="inlineStr">
        <is>
          <t>mit.inv.trn.2</t>
        </is>
      </c>
      <c r="D1201" t="n">
        <v>0</v>
      </c>
      <c r="E1201" t="n">
        <v>0.05123441204</v>
      </c>
      <c r="F1201" t="n">
        <v>0.07463457916000001</v>
      </c>
      <c r="G1201" t="n">
        <v>0.06092400539</v>
      </c>
      <c r="H1201" t="n">
        <v>0.0670737916</v>
      </c>
    </row>
    <row r="1202">
      <c r="A1202" t="inlineStr">
        <is>
          <t>JOR|mit.inv.trn.2</t>
        </is>
      </c>
      <c r="B1202" t="inlineStr">
        <is>
          <t>JOR</t>
        </is>
      </c>
      <c r="C1202" t="inlineStr">
        <is>
          <t>mit.inv.trn.2</t>
        </is>
      </c>
      <c r="D1202" t="n">
        <v>0</v>
      </c>
      <c r="E1202" t="n">
        <v>0.1686185471</v>
      </c>
      <c r="F1202" t="n">
        <v>0.2765258343</v>
      </c>
      <c r="G1202" t="n">
        <v>0.2223028913</v>
      </c>
      <c r="H1202" t="n">
        <v>0.2445764807</v>
      </c>
    </row>
    <row r="1203">
      <c r="A1203" t="inlineStr">
        <is>
          <t>JPN|mit.inv.trn.2</t>
        </is>
      </c>
      <c r="B1203" t="inlineStr">
        <is>
          <t>JPN</t>
        </is>
      </c>
      <c r="C1203" t="inlineStr">
        <is>
          <t>mit.inv.trn.2</t>
        </is>
      </c>
      <c r="D1203" t="n">
        <v>0</v>
      </c>
      <c r="E1203" t="n">
        <v>10.2260185</v>
      </c>
      <c r="F1203" t="n">
        <v>9.691561102</v>
      </c>
      <c r="G1203" t="n">
        <v>4.434295008</v>
      </c>
      <c r="H1203" t="n">
        <v>4.429625218</v>
      </c>
    </row>
    <row r="1204">
      <c r="A1204" t="inlineStr">
        <is>
          <t>KAZ|mit.inv.trn.2</t>
        </is>
      </c>
      <c r="B1204" t="inlineStr">
        <is>
          <t>KAZ</t>
        </is>
      </c>
      <c r="C1204" t="inlineStr">
        <is>
          <t>mit.inv.trn.2</t>
        </is>
      </c>
      <c r="D1204" t="n">
        <v>0</v>
      </c>
      <c r="E1204" t="n">
        <v>0.5095776069</v>
      </c>
      <c r="F1204" t="n">
        <v>0.763254726</v>
      </c>
      <c r="G1204" t="n">
        <v>0.586627844</v>
      </c>
      <c r="H1204" t="n">
        <v>0.6483507348000001</v>
      </c>
    </row>
    <row r="1205">
      <c r="A1205" t="inlineStr">
        <is>
          <t>KEN|mit.inv.trn.2</t>
        </is>
      </c>
      <c r="B1205" t="inlineStr">
        <is>
          <t>KEN</t>
        </is>
      </c>
      <c r="C1205" t="inlineStr">
        <is>
          <t>mit.inv.trn.2</t>
        </is>
      </c>
      <c r="D1205" t="n">
        <v>0</v>
      </c>
      <c r="E1205" t="n">
        <v>0.206385419</v>
      </c>
      <c r="F1205" t="n">
        <v>0.3410799815</v>
      </c>
      <c r="G1205" t="n">
        <v>0.285744094</v>
      </c>
      <c r="H1205" t="n">
        <v>0.3337708991</v>
      </c>
    </row>
    <row r="1206">
      <c r="A1206" t="inlineStr">
        <is>
          <t>KGZ|mit.inv.trn.2</t>
        </is>
      </c>
      <c r="B1206" t="inlineStr">
        <is>
          <t>KGZ</t>
        </is>
      </c>
      <c r="C1206" t="inlineStr">
        <is>
          <t>mit.inv.trn.2</t>
        </is>
      </c>
      <c r="D1206" t="n">
        <v>0</v>
      </c>
      <c r="E1206" t="n">
        <v>0.04477540219</v>
      </c>
      <c r="F1206" t="n">
        <v>0.06133036941</v>
      </c>
      <c r="G1206" t="n">
        <v>0.04944074786</v>
      </c>
      <c r="H1206" t="n">
        <v>0.05749749955</v>
      </c>
    </row>
    <row r="1207">
      <c r="A1207" t="inlineStr">
        <is>
          <t>KHM|mit.inv.trn.2</t>
        </is>
      </c>
      <c r="B1207" t="inlineStr">
        <is>
          <t>KHM</t>
        </is>
      </c>
      <c r="C1207" t="inlineStr">
        <is>
          <t>mit.inv.trn.2</t>
        </is>
      </c>
      <c r="D1207" t="n">
        <v>0</v>
      </c>
      <c r="E1207" t="n">
        <v>0.1410241143</v>
      </c>
      <c r="F1207" t="n">
        <v>0.2236961435</v>
      </c>
      <c r="G1207" t="n">
        <v>0.1885857458</v>
      </c>
      <c r="H1207" t="n">
        <v>0.2192983575</v>
      </c>
    </row>
    <row r="1208">
      <c r="A1208" t="inlineStr">
        <is>
          <t>KNA|mit.inv.trn.2</t>
        </is>
      </c>
      <c r="B1208" t="inlineStr">
        <is>
          <t>KNA</t>
        </is>
      </c>
      <c r="C1208" t="inlineStr">
        <is>
          <t>mit.inv.trn.2</t>
        </is>
      </c>
      <c r="D1208" t="n">
        <v>0</v>
      </c>
      <c r="E1208" t="n">
        <v>0.00375912952</v>
      </c>
      <c r="F1208" t="n">
        <v>0.006071169711</v>
      </c>
      <c r="G1208" t="n">
        <v>0.004332112701</v>
      </c>
      <c r="H1208" t="n">
        <v>0.004311730252</v>
      </c>
    </row>
    <row r="1209">
      <c r="A1209" t="inlineStr">
        <is>
          <t>KOR|mit.inv.trn.2</t>
        </is>
      </c>
      <c r="B1209" t="inlineStr">
        <is>
          <t>KOR</t>
        </is>
      </c>
      <c r="C1209" t="inlineStr">
        <is>
          <t>mit.inv.trn.2</t>
        </is>
      </c>
      <c r="D1209" t="n">
        <v>0</v>
      </c>
      <c r="E1209" t="n">
        <v>6.287092777</v>
      </c>
      <c r="F1209" t="n">
        <v>6.22781004</v>
      </c>
      <c r="G1209" t="n">
        <v>2.867476574</v>
      </c>
      <c r="H1209" t="n">
        <v>2.855313058</v>
      </c>
    </row>
    <row r="1210">
      <c r="A1210" t="inlineStr">
        <is>
          <t>KWT|mit.inv.trn.2</t>
        </is>
      </c>
      <c r="B1210" t="inlineStr">
        <is>
          <t>KWT</t>
        </is>
      </c>
      <c r="C1210" t="inlineStr">
        <is>
          <t>mit.inv.trn.2</t>
        </is>
      </c>
      <c r="D1210" t="n">
        <v>0</v>
      </c>
      <c r="E1210" t="n">
        <v>0.4585653481</v>
      </c>
      <c r="F1210" t="n">
        <v>0.5856795034</v>
      </c>
      <c r="G1210" t="n">
        <v>0.4066483039</v>
      </c>
      <c r="H1210" t="n">
        <v>0.4064615621</v>
      </c>
    </row>
    <row r="1211">
      <c r="A1211" t="inlineStr">
        <is>
          <t>LAO|mit.inv.trn.2</t>
        </is>
      </c>
      <c r="B1211" t="inlineStr">
        <is>
          <t>LAO</t>
        </is>
      </c>
      <c r="C1211" t="inlineStr">
        <is>
          <t>mit.inv.trn.2</t>
        </is>
      </c>
      <c r="D1211" t="n">
        <v>0</v>
      </c>
      <c r="E1211" t="n">
        <v>0.03133944579</v>
      </c>
      <c r="F1211" t="n">
        <v>0.0502661164</v>
      </c>
      <c r="G1211" t="n">
        <v>0.04214707516</v>
      </c>
      <c r="H1211" t="n">
        <v>0.04873069427</v>
      </c>
    </row>
    <row r="1212">
      <c r="A1212" t="inlineStr">
        <is>
          <t>LBN|mit.inv.trn.2</t>
        </is>
      </c>
      <c r="B1212" t="inlineStr">
        <is>
          <t>LBN</t>
        </is>
      </c>
      <c r="C1212" t="inlineStr">
        <is>
          <t>mit.inv.trn.2</t>
        </is>
      </c>
      <c r="D1212" t="n">
        <v>0</v>
      </c>
      <c r="E1212" t="n">
        <v>0.1932006944</v>
      </c>
      <c r="F1212" t="n">
        <v>0.2965059526</v>
      </c>
      <c r="G1212" t="n">
        <v>0.23829101</v>
      </c>
      <c r="H1212" t="n">
        <v>0.2639523195</v>
      </c>
    </row>
    <row r="1213">
      <c r="A1213" t="inlineStr">
        <is>
          <t>LBR|mit.inv.trn.2</t>
        </is>
      </c>
      <c r="B1213" t="inlineStr">
        <is>
          <t>LBR</t>
        </is>
      </c>
      <c r="C1213" t="inlineStr">
        <is>
          <t>mit.inv.trn.2</t>
        </is>
      </c>
      <c r="D1213" t="n">
        <v>0</v>
      </c>
      <c r="E1213" t="n">
        <v>0.008944020855</v>
      </c>
      <c r="F1213" t="n">
        <v>0.01543602699</v>
      </c>
      <c r="G1213" t="n">
        <v>0.01340597436</v>
      </c>
      <c r="H1213" t="n">
        <v>0.01627274312</v>
      </c>
    </row>
    <row r="1214">
      <c r="A1214" t="inlineStr">
        <is>
          <t>LBY|mit.inv.trn.2</t>
        </is>
      </c>
      <c r="B1214" t="inlineStr">
        <is>
          <t>LBY</t>
        </is>
      </c>
      <c r="C1214" t="inlineStr">
        <is>
          <t>mit.inv.trn.2</t>
        </is>
      </c>
      <c r="D1214" t="n">
        <v>0</v>
      </c>
      <c r="E1214" t="n">
        <v>0.7033137789</v>
      </c>
      <c r="F1214" t="n">
        <v>0.8337210729</v>
      </c>
      <c r="G1214" t="n">
        <v>0.6133341153</v>
      </c>
      <c r="H1214" t="n">
        <v>0.6797395391</v>
      </c>
    </row>
    <row r="1215">
      <c r="A1215" t="inlineStr">
        <is>
          <t>LCA|mit.inv.trn.2</t>
        </is>
      </c>
      <c r="B1215" t="inlineStr">
        <is>
          <t>LCA</t>
        </is>
      </c>
      <c r="C1215" t="inlineStr">
        <is>
          <t>mit.inv.trn.2</t>
        </is>
      </c>
      <c r="D1215" t="n">
        <v>0</v>
      </c>
      <c r="E1215" t="n">
        <v>0.004369222767</v>
      </c>
      <c r="F1215" t="n">
        <v>0.007271448158</v>
      </c>
      <c r="G1215" t="n">
        <v>0.005993008086</v>
      </c>
      <c r="H1215" t="n">
        <v>0.00660120678</v>
      </c>
    </row>
    <row r="1216">
      <c r="A1216" t="inlineStr">
        <is>
          <t>LKA|mit.inv.trn.2</t>
        </is>
      </c>
      <c r="B1216" t="inlineStr">
        <is>
          <t>LKA</t>
        </is>
      </c>
      <c r="C1216" t="inlineStr">
        <is>
          <t>mit.inv.trn.2</t>
        </is>
      </c>
      <c r="D1216" t="n">
        <v>0</v>
      </c>
      <c r="E1216" t="n">
        <v>0.1474240416</v>
      </c>
      <c r="F1216" t="n">
        <v>0.2463866195</v>
      </c>
      <c r="G1216" t="n">
        <v>0.2139491501</v>
      </c>
      <c r="H1216" t="n">
        <v>0.2496748673</v>
      </c>
    </row>
    <row r="1217">
      <c r="A1217" t="inlineStr">
        <is>
          <t>LSO|mit.inv.trn.2</t>
        </is>
      </c>
      <c r="B1217" t="inlineStr">
        <is>
          <t>LSO</t>
        </is>
      </c>
      <c r="C1217" t="inlineStr">
        <is>
          <t>mit.inv.trn.2</t>
        </is>
      </c>
      <c r="D1217" t="n">
        <v>0</v>
      </c>
      <c r="E1217" t="n">
        <v>0.007993446939000001</v>
      </c>
      <c r="F1217" t="n">
        <v>0.01288434142</v>
      </c>
      <c r="G1217" t="n">
        <v>0.01192707864</v>
      </c>
      <c r="H1217" t="n">
        <v>0.01401438804</v>
      </c>
    </row>
    <row r="1218">
      <c r="A1218" t="inlineStr">
        <is>
          <t>LTU|mit.inv.trn.2</t>
        </is>
      </c>
      <c r="B1218" t="inlineStr">
        <is>
          <t>LTU</t>
        </is>
      </c>
      <c r="C1218" t="inlineStr">
        <is>
          <t>mit.inv.trn.2</t>
        </is>
      </c>
      <c r="D1218" t="n">
        <v>0</v>
      </c>
      <c r="E1218" t="n">
        <v>0.3239289748</v>
      </c>
      <c r="F1218" t="n">
        <v>0.316839158</v>
      </c>
      <c r="G1218" t="n">
        <v>0.1414982481</v>
      </c>
      <c r="H1218" t="n">
        <v>0.1403468086</v>
      </c>
    </row>
    <row r="1219">
      <c r="A1219" t="inlineStr">
        <is>
          <t>LUX|mit.inv.trn.2</t>
        </is>
      </c>
      <c r="B1219" t="inlineStr">
        <is>
          <t>LUX</t>
        </is>
      </c>
      <c r="C1219" t="inlineStr">
        <is>
          <t>mit.inv.trn.2</t>
        </is>
      </c>
      <c r="D1219" t="n">
        <v>0</v>
      </c>
      <c r="E1219" t="n">
        <v>0.2867695405</v>
      </c>
      <c r="F1219" t="n">
        <v>0.2776159362</v>
      </c>
      <c r="G1219" t="n">
        <v>0.1285697978</v>
      </c>
      <c r="H1219" t="n">
        <v>0.1276567618</v>
      </c>
    </row>
    <row r="1220">
      <c r="A1220" t="inlineStr">
        <is>
          <t>LVA|mit.inv.trn.2</t>
        </is>
      </c>
      <c r="B1220" t="inlineStr">
        <is>
          <t>LVA</t>
        </is>
      </c>
      <c r="C1220" t="inlineStr">
        <is>
          <t>mit.inv.trn.2</t>
        </is>
      </c>
      <c r="D1220" t="n">
        <v>0</v>
      </c>
      <c r="E1220" t="n">
        <v>0.165761166</v>
      </c>
      <c r="F1220" t="n">
        <v>0.1616455846</v>
      </c>
      <c r="G1220" t="n">
        <v>0.07367371923</v>
      </c>
      <c r="H1220" t="n">
        <v>0.07311920607</v>
      </c>
    </row>
    <row r="1221">
      <c r="A1221" t="inlineStr">
        <is>
          <t>MAC|mit.inv.trn.2</t>
        </is>
      </c>
      <c r="B1221" t="inlineStr">
        <is>
          <t>MAC</t>
        </is>
      </c>
      <c r="C1221" t="inlineStr">
        <is>
          <t>mit.inv.trn.2</t>
        </is>
      </c>
      <c r="D1221" t="n">
        <v>0</v>
      </c>
      <c r="E1221" t="n">
        <v>0.02586848632</v>
      </c>
      <c r="F1221" t="n">
        <v>0.02277107715</v>
      </c>
      <c r="G1221" t="n">
        <v>0.01009942209</v>
      </c>
      <c r="H1221" t="n">
        <v>0.01010097102</v>
      </c>
    </row>
    <row r="1222">
      <c r="A1222" t="inlineStr">
        <is>
          <t>MAR|mit.inv.trn.2</t>
        </is>
      </c>
      <c r="B1222" t="inlineStr">
        <is>
          <t>MAR</t>
        </is>
      </c>
      <c r="C1222" t="inlineStr">
        <is>
          <t>mit.inv.trn.2</t>
        </is>
      </c>
      <c r="D1222" t="n">
        <v>0</v>
      </c>
      <c r="E1222" t="n">
        <v>0.3583458173</v>
      </c>
      <c r="F1222" t="n">
        <v>0.6036304856</v>
      </c>
      <c r="G1222" t="n">
        <v>0.4946425882</v>
      </c>
      <c r="H1222" t="n">
        <v>0.5699078967</v>
      </c>
    </row>
    <row r="1223">
      <c r="A1223" t="inlineStr">
        <is>
          <t>MDA|mit.inv.trn.2</t>
        </is>
      </c>
      <c r="B1223" t="inlineStr">
        <is>
          <t>MDA</t>
        </is>
      </c>
      <c r="C1223" t="inlineStr">
        <is>
          <t>mit.inv.trn.2</t>
        </is>
      </c>
      <c r="D1223" t="n">
        <v>0</v>
      </c>
      <c r="E1223" t="n">
        <v>0.0383994997</v>
      </c>
      <c r="F1223" t="n">
        <v>0.06136960294</v>
      </c>
      <c r="G1223" t="n">
        <v>0.0545520638</v>
      </c>
      <c r="H1223" t="n">
        <v>0.06322256662</v>
      </c>
    </row>
    <row r="1224">
      <c r="A1224" t="inlineStr">
        <is>
          <t>MDG|mit.inv.trn.2</t>
        </is>
      </c>
      <c r="B1224" t="inlineStr">
        <is>
          <t>MDG</t>
        </is>
      </c>
      <c r="C1224" t="inlineStr">
        <is>
          <t>mit.inv.trn.2</t>
        </is>
      </c>
      <c r="D1224" t="n">
        <v>0</v>
      </c>
      <c r="E1224" t="n">
        <v>0.02619639363</v>
      </c>
      <c r="F1224" t="n">
        <v>0.0466992819</v>
      </c>
      <c r="G1224" t="n">
        <v>0.04132517949</v>
      </c>
      <c r="H1224" t="n">
        <v>0.04940770243</v>
      </c>
    </row>
    <row r="1225">
      <c r="A1225" t="inlineStr">
        <is>
          <t>MDV|mit.inv.trn.2</t>
        </is>
      </c>
      <c r="B1225" t="inlineStr">
        <is>
          <t>MDV</t>
        </is>
      </c>
      <c r="C1225" t="inlineStr">
        <is>
          <t>mit.inv.trn.2</t>
        </is>
      </c>
      <c r="D1225" t="n">
        <v>0</v>
      </c>
      <c r="E1225" t="n">
        <v>0.02576071144</v>
      </c>
      <c r="F1225" t="n">
        <v>0.03713443305</v>
      </c>
      <c r="G1225" t="n">
        <v>0.02929404729</v>
      </c>
      <c r="H1225" t="n">
        <v>0.03187087815</v>
      </c>
    </row>
    <row r="1226">
      <c r="A1226" t="inlineStr">
        <is>
          <t>MEX|mit.inv.trn.2</t>
        </is>
      </c>
      <c r="B1226" t="inlineStr">
        <is>
          <t>MEX</t>
        </is>
      </c>
      <c r="C1226" t="inlineStr">
        <is>
          <t>mit.inv.trn.2</t>
        </is>
      </c>
      <c r="D1226" t="n">
        <v>0</v>
      </c>
      <c r="E1226" t="n">
        <v>2.254921595</v>
      </c>
      <c r="F1226" t="n">
        <v>3.717033866</v>
      </c>
      <c r="G1226" t="n">
        <v>3.113825084</v>
      </c>
      <c r="H1226" t="n">
        <v>3.447439495</v>
      </c>
    </row>
    <row r="1227">
      <c r="A1227" t="inlineStr">
        <is>
          <t>MKD|mit.inv.trn.2</t>
        </is>
      </c>
      <c r="B1227" t="inlineStr">
        <is>
          <t>MKD</t>
        </is>
      </c>
      <c r="C1227" t="inlineStr">
        <is>
          <t>mit.inv.trn.2</t>
        </is>
      </c>
      <c r="D1227" t="n">
        <v>0</v>
      </c>
      <c r="E1227" t="n">
        <v>0.04791342937</v>
      </c>
      <c r="F1227" t="n">
        <v>0.07602866162999999</v>
      </c>
      <c r="G1227" t="n">
        <v>0.05971633136</v>
      </c>
      <c r="H1227" t="n">
        <v>0.06481986494</v>
      </c>
    </row>
    <row r="1228">
      <c r="A1228" t="inlineStr">
        <is>
          <t>MLI|mit.inv.trn.2</t>
        </is>
      </c>
      <c r="B1228" t="inlineStr">
        <is>
          <t>MLI</t>
        </is>
      </c>
      <c r="C1228" t="inlineStr">
        <is>
          <t>mit.inv.trn.2</t>
        </is>
      </c>
      <c r="D1228" t="n">
        <v>0</v>
      </c>
      <c r="E1228" t="n">
        <v>0.08958118096000001</v>
      </c>
      <c r="F1228" t="n">
        <v>0.1600770068</v>
      </c>
      <c r="G1228" t="n">
        <v>0.1366385098</v>
      </c>
      <c r="H1228" t="n">
        <v>0.1643246277</v>
      </c>
    </row>
    <row r="1229">
      <c r="A1229" t="inlineStr">
        <is>
          <t>MLT|mit.inv.trn.2</t>
        </is>
      </c>
      <c r="B1229" t="inlineStr">
        <is>
          <t>MLT</t>
        </is>
      </c>
      <c r="C1229" t="inlineStr">
        <is>
          <t>mit.inv.trn.2</t>
        </is>
      </c>
      <c r="D1229" t="n">
        <v>0</v>
      </c>
      <c r="E1229" t="n">
        <v>0.04578058958</v>
      </c>
      <c r="F1229" t="n">
        <v>0.04436433145</v>
      </c>
      <c r="G1229" t="n">
        <v>0.0193327398</v>
      </c>
      <c r="H1229" t="n">
        <v>0.01925143483</v>
      </c>
    </row>
    <row r="1230">
      <c r="A1230" t="inlineStr">
        <is>
          <t>MMR|mit.inv.trn.2</t>
        </is>
      </c>
      <c r="B1230" t="inlineStr">
        <is>
          <t>MMR</t>
        </is>
      </c>
      <c r="C1230" t="inlineStr">
        <is>
          <t>mit.inv.trn.2</t>
        </is>
      </c>
      <c r="D1230" t="n">
        <v>0</v>
      </c>
      <c r="E1230" t="n">
        <v>0.06505587757</v>
      </c>
      <c r="F1230" t="n">
        <v>0.1217955808</v>
      </c>
      <c r="G1230" t="n">
        <v>0.1067165461</v>
      </c>
      <c r="H1230" t="n">
        <v>0.1255811433</v>
      </c>
    </row>
    <row r="1231">
      <c r="A1231" t="inlineStr">
        <is>
          <t>MNE|mit.inv.trn.2</t>
        </is>
      </c>
      <c r="B1231" t="inlineStr">
        <is>
          <t>MNE</t>
        </is>
      </c>
      <c r="C1231" t="inlineStr">
        <is>
          <t>mit.inv.trn.2</t>
        </is>
      </c>
      <c r="D1231" t="n">
        <v>0</v>
      </c>
      <c r="E1231" t="n">
        <v>0.01655349781</v>
      </c>
      <c r="F1231" t="n">
        <v>0.02704186449</v>
      </c>
      <c r="G1231" t="n">
        <v>0.02142091722</v>
      </c>
      <c r="H1231" t="n">
        <v>0.02326001482</v>
      </c>
    </row>
    <row r="1232">
      <c r="A1232" t="inlineStr">
        <is>
          <t>MNG|mit.inv.trn.2</t>
        </is>
      </c>
      <c r="B1232" t="inlineStr">
        <is>
          <t>MNG</t>
        </is>
      </c>
      <c r="C1232" t="inlineStr">
        <is>
          <t>mit.inv.trn.2</t>
        </is>
      </c>
      <c r="D1232" t="n">
        <v>0</v>
      </c>
      <c r="E1232" t="n">
        <v>0.06658415257</v>
      </c>
      <c r="F1232" t="n">
        <v>0.1047589269</v>
      </c>
      <c r="G1232" t="n">
        <v>0.08692384844999999</v>
      </c>
      <c r="H1232" t="n">
        <v>0.1023838241</v>
      </c>
    </row>
    <row r="1233">
      <c r="A1233" t="inlineStr">
        <is>
          <t>MOZ|mit.inv.trn.2</t>
        </is>
      </c>
      <c r="B1233" t="inlineStr">
        <is>
          <t>MOZ</t>
        </is>
      </c>
      <c r="C1233" t="inlineStr">
        <is>
          <t>mit.inv.trn.2</t>
        </is>
      </c>
      <c r="D1233" t="n">
        <v>0</v>
      </c>
      <c r="E1233" t="n">
        <v>0.07522408746000001</v>
      </c>
      <c r="F1233" t="n">
        <v>0.116034826</v>
      </c>
      <c r="G1233" t="n">
        <v>0.1121985935</v>
      </c>
      <c r="H1233" t="n">
        <v>0.1341180261</v>
      </c>
    </row>
    <row r="1234">
      <c r="A1234" t="inlineStr">
        <is>
          <t>MRT|mit.inv.trn.2</t>
        </is>
      </c>
      <c r="B1234" t="inlineStr">
        <is>
          <t>MRT</t>
        </is>
      </c>
      <c r="C1234" t="inlineStr">
        <is>
          <t>mit.inv.trn.2</t>
        </is>
      </c>
      <c r="D1234" t="n">
        <v>0</v>
      </c>
      <c r="E1234" t="n">
        <v>0.03684305048</v>
      </c>
      <c r="F1234" t="n">
        <v>0.06260232624000001</v>
      </c>
      <c r="G1234" t="n">
        <v>0.05178675228</v>
      </c>
      <c r="H1234" t="n">
        <v>0.0596230612</v>
      </c>
    </row>
    <row r="1235">
      <c r="A1235" t="inlineStr">
        <is>
          <t>MUS|mit.inv.trn.2</t>
        </is>
      </c>
      <c r="B1235" t="inlineStr">
        <is>
          <t>MUS</t>
        </is>
      </c>
      <c r="C1235" t="inlineStr">
        <is>
          <t>mit.inv.trn.2</t>
        </is>
      </c>
      <c r="D1235" t="n">
        <v>0</v>
      </c>
      <c r="E1235" t="n">
        <v>0.02003069364</v>
      </c>
      <c r="F1235" t="n">
        <v>0.03351406276</v>
      </c>
      <c r="G1235" t="n">
        <v>0.0264251211</v>
      </c>
      <c r="H1235" t="n">
        <v>0.02903777741</v>
      </c>
    </row>
    <row r="1236">
      <c r="A1236" t="inlineStr">
        <is>
          <t>MWI|mit.inv.trn.2</t>
        </is>
      </c>
      <c r="B1236" t="inlineStr">
        <is>
          <t>MWI</t>
        </is>
      </c>
      <c r="C1236" t="inlineStr">
        <is>
          <t>mit.inv.trn.2</t>
        </is>
      </c>
      <c r="D1236" t="n">
        <v>0</v>
      </c>
      <c r="E1236" t="n">
        <v>0.01913701837</v>
      </c>
      <c r="F1236" t="n">
        <v>0.03264926597</v>
      </c>
      <c r="G1236" t="n">
        <v>0.03041201824</v>
      </c>
      <c r="H1236" t="n">
        <v>0.03683812321</v>
      </c>
    </row>
    <row r="1237">
      <c r="A1237" t="inlineStr">
        <is>
          <t>MYS|mit.inv.trn.2</t>
        </is>
      </c>
      <c r="B1237" t="inlineStr">
        <is>
          <t>MYS</t>
        </is>
      </c>
      <c r="C1237" t="inlineStr">
        <is>
          <t>mit.inv.trn.2</t>
        </is>
      </c>
      <c r="D1237" t="n">
        <v>0</v>
      </c>
      <c r="E1237" t="n">
        <v>1.050251386</v>
      </c>
      <c r="F1237" t="n">
        <v>1.702065214</v>
      </c>
      <c r="G1237" t="n">
        <v>1.303263594</v>
      </c>
      <c r="H1237" t="n">
        <v>1.437833529</v>
      </c>
    </row>
    <row r="1238">
      <c r="A1238" t="inlineStr">
        <is>
          <t>NAM|mit.inv.trn.2</t>
        </is>
      </c>
      <c r="B1238" t="inlineStr">
        <is>
          <t>NAM</t>
        </is>
      </c>
      <c r="C1238" t="inlineStr">
        <is>
          <t>mit.inv.trn.2</t>
        </is>
      </c>
      <c r="D1238" t="n">
        <v>0</v>
      </c>
      <c r="E1238" t="n">
        <v>0.03740981953</v>
      </c>
      <c r="F1238" t="n">
        <v>0.06063776126</v>
      </c>
      <c r="G1238" t="n">
        <v>0.04906996186</v>
      </c>
      <c r="H1238" t="n">
        <v>0.05379561326</v>
      </c>
    </row>
    <row r="1239">
      <c r="A1239" t="inlineStr">
        <is>
          <t>NER|mit.inv.trn.2</t>
        </is>
      </c>
      <c r="B1239" t="inlineStr">
        <is>
          <t>NER</t>
        </is>
      </c>
      <c r="C1239" t="inlineStr">
        <is>
          <t>mit.inv.trn.2</t>
        </is>
      </c>
      <c r="D1239" t="n">
        <v>0</v>
      </c>
      <c r="E1239" t="n">
        <v>0.0297876924</v>
      </c>
      <c r="F1239" t="n">
        <v>0.0521043043</v>
      </c>
      <c r="G1239" t="n">
        <v>0.04384976591</v>
      </c>
      <c r="H1239" t="n">
        <v>0.05327338125</v>
      </c>
    </row>
    <row r="1240">
      <c r="A1240" t="inlineStr">
        <is>
          <t>NGA|mit.inv.trn.2</t>
        </is>
      </c>
      <c r="B1240" t="inlineStr">
        <is>
          <t>NGA</t>
        </is>
      </c>
      <c r="C1240" t="inlineStr">
        <is>
          <t>mit.inv.trn.2</t>
        </is>
      </c>
      <c r="D1240" t="n">
        <v>0</v>
      </c>
      <c r="E1240" t="n">
        <v>0.6802125811</v>
      </c>
      <c r="F1240" t="n">
        <v>1.157642733</v>
      </c>
      <c r="G1240" t="n">
        <v>0.9920287456</v>
      </c>
      <c r="H1240" t="n">
        <v>1.173514583</v>
      </c>
    </row>
    <row r="1241">
      <c r="A1241" t="inlineStr">
        <is>
          <t>NIC|mit.inv.trn.2</t>
        </is>
      </c>
      <c r="B1241" t="inlineStr">
        <is>
          <t>NIC</t>
        </is>
      </c>
      <c r="C1241" t="inlineStr">
        <is>
          <t>mit.inv.trn.2</t>
        </is>
      </c>
      <c r="D1241" t="n">
        <v>0</v>
      </c>
      <c r="E1241" t="n">
        <v>0.0496762598</v>
      </c>
      <c r="F1241" t="n">
        <v>0.07828174015</v>
      </c>
      <c r="G1241" t="n">
        <v>0.06653295522</v>
      </c>
      <c r="H1241" t="n">
        <v>0.07765450384</v>
      </c>
    </row>
    <row r="1242">
      <c r="A1242" t="inlineStr">
        <is>
          <t>NLD|mit.inv.trn.2</t>
        </is>
      </c>
      <c r="B1242" t="inlineStr">
        <is>
          <t>NLD</t>
        </is>
      </c>
      <c r="C1242" t="inlineStr">
        <is>
          <t>mit.inv.trn.2</t>
        </is>
      </c>
      <c r="D1242" t="n">
        <v>0</v>
      </c>
      <c r="E1242" t="n">
        <v>1.622783718</v>
      </c>
      <c r="F1242" t="n">
        <v>1.523873742</v>
      </c>
      <c r="G1242" t="n">
        <v>0.7032384347</v>
      </c>
      <c r="H1242" t="n">
        <v>0.7008564349</v>
      </c>
    </row>
    <row r="1243">
      <c r="A1243" t="inlineStr">
        <is>
          <t>NOR|mit.inv.trn.2</t>
        </is>
      </c>
      <c r="B1243" t="inlineStr">
        <is>
          <t>NOR</t>
        </is>
      </c>
      <c r="C1243" t="inlineStr">
        <is>
          <t>mit.inv.trn.2</t>
        </is>
      </c>
      <c r="D1243" t="n">
        <v>0</v>
      </c>
      <c r="E1243" t="n">
        <v>0.7429573034</v>
      </c>
      <c r="F1243" t="n">
        <v>0.7168476554</v>
      </c>
      <c r="G1243" t="n">
        <v>0.3310414368</v>
      </c>
      <c r="H1243" t="n">
        <v>0.3285051732</v>
      </c>
    </row>
    <row r="1244">
      <c r="A1244" t="inlineStr">
        <is>
          <t>NPL|mit.inv.trn.2</t>
        </is>
      </c>
      <c r="B1244" t="inlineStr">
        <is>
          <t>NPL</t>
        </is>
      </c>
      <c r="C1244" t="inlineStr">
        <is>
          <t>mit.inv.trn.2</t>
        </is>
      </c>
      <c r="D1244" t="n">
        <v>0</v>
      </c>
      <c r="E1244" t="n">
        <v>0.08054934807</v>
      </c>
      <c r="F1244" t="n">
        <v>0.1226134082</v>
      </c>
      <c r="G1244" t="n">
        <v>0.1106659998</v>
      </c>
      <c r="H1244" t="n">
        <v>0.1326354247</v>
      </c>
    </row>
    <row r="1245">
      <c r="A1245" t="inlineStr">
        <is>
          <t>NRU|mit.inv.trn.2</t>
        </is>
      </c>
      <c r="B1245" t="inlineStr">
        <is>
          <t>NRU</t>
        </is>
      </c>
      <c r="C1245" t="inlineStr">
        <is>
          <t>mit.inv.trn.2</t>
        </is>
      </c>
      <c r="D1245" t="n">
        <v>0</v>
      </c>
      <c r="E1245" t="n">
        <v>0.001023858014</v>
      </c>
      <c r="F1245" t="n">
        <v>0.001649693962</v>
      </c>
      <c r="G1245" t="n">
        <v>0.001340259966</v>
      </c>
      <c r="H1245" t="n">
        <v>0.001463867863</v>
      </c>
    </row>
    <row r="1246">
      <c r="A1246" t="inlineStr">
        <is>
          <t>NZL|mit.inv.trn.2</t>
        </is>
      </c>
      <c r="B1246" t="inlineStr">
        <is>
          <t>NZL</t>
        </is>
      </c>
      <c r="C1246" t="inlineStr">
        <is>
          <t>mit.inv.trn.2</t>
        </is>
      </c>
      <c r="D1246" t="n">
        <v>0</v>
      </c>
      <c r="E1246" t="n">
        <v>0.9582280989</v>
      </c>
      <c r="F1246" t="n">
        <v>0.973136406</v>
      </c>
      <c r="G1246" t="n">
        <v>0.4439112559</v>
      </c>
      <c r="H1246" t="n">
        <v>0.4427491074</v>
      </c>
    </row>
    <row r="1247">
      <c r="A1247" t="inlineStr">
        <is>
          <t>OMN|mit.inv.trn.2</t>
        </is>
      </c>
      <c r="B1247" t="inlineStr">
        <is>
          <t>OMN</t>
        </is>
      </c>
      <c r="C1247" t="inlineStr">
        <is>
          <t>mit.inv.trn.2</t>
        </is>
      </c>
      <c r="D1247" t="n">
        <v>0</v>
      </c>
      <c r="E1247" t="n">
        <v>0.237095537</v>
      </c>
      <c r="F1247" t="n">
        <v>0.4051716265</v>
      </c>
      <c r="G1247" t="n">
        <v>0.2764321919</v>
      </c>
      <c r="H1247" t="n">
        <v>0.2767211111</v>
      </c>
    </row>
    <row r="1248">
      <c r="A1248" t="inlineStr">
        <is>
          <t>PAK|mit.inv.trn.2</t>
        </is>
      </c>
      <c r="B1248" t="inlineStr">
        <is>
          <t>PAK</t>
        </is>
      </c>
      <c r="C1248" t="inlineStr">
        <is>
          <t>mit.inv.trn.2</t>
        </is>
      </c>
      <c r="D1248" t="n">
        <v>0</v>
      </c>
      <c r="E1248" t="n">
        <v>0.8212473296</v>
      </c>
      <c r="F1248" t="n">
        <v>1.428083888</v>
      </c>
      <c r="G1248" t="n">
        <v>1.225093888</v>
      </c>
      <c r="H1248" t="n">
        <v>1.434624388</v>
      </c>
    </row>
    <row r="1249">
      <c r="A1249" t="inlineStr">
        <is>
          <t>PAN|mit.inv.trn.2</t>
        </is>
      </c>
      <c r="B1249" t="inlineStr">
        <is>
          <t>PAN</t>
        </is>
      </c>
      <c r="C1249" t="inlineStr">
        <is>
          <t>mit.inv.trn.2</t>
        </is>
      </c>
      <c r="D1249" t="n">
        <v>0</v>
      </c>
      <c r="E1249" t="n">
        <v>0.1313467869</v>
      </c>
      <c r="F1249" t="n">
        <v>0.2024343973</v>
      </c>
      <c r="G1249" t="n">
        <v>0.1366988758</v>
      </c>
      <c r="H1249" t="n">
        <v>0.1364814583</v>
      </c>
    </row>
    <row r="1250">
      <c r="A1250" t="inlineStr">
        <is>
          <t>PER|mit.inv.trn.2</t>
        </is>
      </c>
      <c r="B1250" t="inlineStr">
        <is>
          <t>PER</t>
        </is>
      </c>
      <c r="C1250" t="inlineStr">
        <is>
          <t>mit.inv.trn.2</t>
        </is>
      </c>
      <c r="D1250" t="n">
        <v>0</v>
      </c>
      <c r="E1250" t="n">
        <v>0.5257034008</v>
      </c>
      <c r="F1250" t="n">
        <v>0.8214774271</v>
      </c>
      <c r="G1250" t="n">
        <v>0.6537624859</v>
      </c>
      <c r="H1250" t="n">
        <v>0.7135954084</v>
      </c>
    </row>
    <row r="1251">
      <c r="A1251" t="inlineStr">
        <is>
          <t>PHL|mit.inv.trn.2</t>
        </is>
      </c>
      <c r="B1251" t="inlineStr">
        <is>
          <t>PHL</t>
        </is>
      </c>
      <c r="C1251" t="inlineStr">
        <is>
          <t>mit.inv.trn.2</t>
        </is>
      </c>
      <c r="D1251" t="n">
        <v>0</v>
      </c>
      <c r="E1251" t="n">
        <v>0.7231912997</v>
      </c>
      <c r="F1251" t="n">
        <v>1.194590471</v>
      </c>
      <c r="G1251" t="n">
        <v>1.010533864</v>
      </c>
      <c r="H1251" t="n">
        <v>1.18041186</v>
      </c>
    </row>
    <row r="1252">
      <c r="A1252" t="inlineStr">
        <is>
          <t>PLW|mit.inv.trn.2</t>
        </is>
      </c>
      <c r="B1252" t="inlineStr">
        <is>
          <t>PLW</t>
        </is>
      </c>
      <c r="C1252" t="inlineStr">
        <is>
          <t>mit.inv.trn.2</t>
        </is>
      </c>
      <c r="D1252" t="n">
        <v>0</v>
      </c>
      <c r="E1252" t="n">
        <v>0.004452677764</v>
      </c>
      <c r="F1252" t="n">
        <v>0.005897153031</v>
      </c>
      <c r="G1252" t="n">
        <v>0.004050697333</v>
      </c>
      <c r="H1252" t="n">
        <v>0.00403212744</v>
      </c>
    </row>
    <row r="1253">
      <c r="A1253" t="inlineStr">
        <is>
          <t>PNG|mit.inv.trn.2</t>
        </is>
      </c>
      <c r="B1253" t="inlineStr">
        <is>
          <t>PNG</t>
        </is>
      </c>
      <c r="C1253" t="inlineStr">
        <is>
          <t>mit.inv.trn.2</t>
        </is>
      </c>
      <c r="D1253" t="n">
        <v>0</v>
      </c>
      <c r="E1253" t="n">
        <v>0.04239343887</v>
      </c>
      <c r="F1253" t="n">
        <v>0.06367973656000001</v>
      </c>
      <c r="G1253" t="n">
        <v>0.05377896415</v>
      </c>
      <c r="H1253" t="n">
        <v>0.06223653549</v>
      </c>
    </row>
    <row r="1254">
      <c r="A1254" t="inlineStr">
        <is>
          <t>POL|mit.inv.trn.2</t>
        </is>
      </c>
      <c r="B1254" t="inlineStr">
        <is>
          <t>POL</t>
        </is>
      </c>
      <c r="C1254" t="inlineStr">
        <is>
          <t>mit.inv.trn.2</t>
        </is>
      </c>
      <c r="D1254" t="n">
        <v>0</v>
      </c>
      <c r="E1254" t="n">
        <v>1.380663616</v>
      </c>
      <c r="F1254" t="n">
        <v>2.142500872</v>
      </c>
      <c r="G1254" t="n">
        <v>1.472279316</v>
      </c>
      <c r="H1254" t="n">
        <v>1.462979754</v>
      </c>
    </row>
    <row r="1255">
      <c r="A1255" t="inlineStr">
        <is>
          <t>PRI|mit.inv.trn.2</t>
        </is>
      </c>
      <c r="B1255" t="inlineStr">
        <is>
          <t>PRI</t>
        </is>
      </c>
      <c r="C1255" t="inlineStr">
        <is>
          <t>mit.inv.trn.2</t>
        </is>
      </c>
      <c r="D1255" t="n">
        <v>0</v>
      </c>
      <c r="E1255" t="n">
        <v>0.4565801906</v>
      </c>
      <c r="F1255" t="n">
        <v>0.4228819055</v>
      </c>
      <c r="G1255" t="n">
        <v>0.1906840452</v>
      </c>
      <c r="H1255" t="n">
        <v>0.1908956461</v>
      </c>
    </row>
    <row r="1256">
      <c r="A1256" t="inlineStr">
        <is>
          <t>PRT|mit.inv.trn.2</t>
        </is>
      </c>
      <c r="B1256" t="inlineStr">
        <is>
          <t>PRT</t>
        </is>
      </c>
      <c r="C1256" t="inlineStr">
        <is>
          <t>mit.inv.trn.2</t>
        </is>
      </c>
      <c r="D1256" t="n">
        <v>0</v>
      </c>
      <c r="E1256" t="n">
        <v>0.9316045254999999</v>
      </c>
      <c r="F1256" t="n">
        <v>0.9062658575</v>
      </c>
      <c r="G1256" t="n">
        <v>0.4167100305</v>
      </c>
      <c r="H1256" t="n">
        <v>0.4138145258</v>
      </c>
    </row>
    <row r="1257">
      <c r="A1257" t="inlineStr">
        <is>
          <t>PRY|mit.inv.trn.2</t>
        </is>
      </c>
      <c r="B1257" t="inlineStr">
        <is>
          <t>PRY</t>
        </is>
      </c>
      <c r="C1257" t="inlineStr">
        <is>
          <t>mit.inv.trn.2</t>
        </is>
      </c>
      <c r="D1257" t="n">
        <v>0</v>
      </c>
      <c r="E1257" t="n">
        <v>0.1553030335</v>
      </c>
      <c r="F1257" t="n">
        <v>0.2311893394</v>
      </c>
      <c r="G1257" t="n">
        <v>0.1778223208</v>
      </c>
      <c r="H1257" t="n">
        <v>0.1945230804</v>
      </c>
    </row>
    <row r="1258">
      <c r="A1258" t="inlineStr">
        <is>
          <t>QAT|mit.inv.trn.2</t>
        </is>
      </c>
      <c r="B1258" t="inlineStr">
        <is>
          <t>QAT</t>
        </is>
      </c>
      <c r="C1258" t="inlineStr">
        <is>
          <t>mit.inv.trn.2</t>
        </is>
      </c>
      <c r="D1258" t="n">
        <v>0</v>
      </c>
      <c r="E1258" t="n">
        <v>0.2843119188</v>
      </c>
      <c r="F1258" t="n">
        <v>0.3024504508</v>
      </c>
      <c r="G1258" t="n">
        <v>0.1768348561</v>
      </c>
      <c r="H1258" t="n">
        <v>0.1762814845</v>
      </c>
    </row>
    <row r="1259">
      <c r="A1259" t="inlineStr">
        <is>
          <t>ROU|mit.inv.trn.2</t>
        </is>
      </c>
      <c r="B1259" t="inlineStr">
        <is>
          <t>ROU</t>
        </is>
      </c>
      <c r="C1259" t="inlineStr">
        <is>
          <t>mit.inv.trn.2</t>
        </is>
      </c>
      <c r="D1259" t="n">
        <v>0</v>
      </c>
      <c r="E1259" t="n">
        <v>0.3874640783</v>
      </c>
      <c r="F1259" t="n">
        <v>0.5934671047</v>
      </c>
      <c r="G1259" t="n">
        <v>0.4930022415</v>
      </c>
      <c r="H1259" t="n">
        <v>0.5364930087999999</v>
      </c>
    </row>
    <row r="1260">
      <c r="A1260" t="inlineStr">
        <is>
          <t>RUS|mit.inv.trn.2</t>
        </is>
      </c>
      <c r="B1260" t="inlineStr">
        <is>
          <t>RUS</t>
        </is>
      </c>
      <c r="C1260" t="inlineStr">
        <is>
          <t>mit.inv.trn.2</t>
        </is>
      </c>
      <c r="D1260" t="n">
        <v>0</v>
      </c>
      <c r="E1260" t="n">
        <v>2.785574275</v>
      </c>
      <c r="F1260" t="n">
        <v>4.368576137</v>
      </c>
      <c r="G1260" t="n">
        <v>3.710012724</v>
      </c>
      <c r="H1260" t="n">
        <v>4.090801176</v>
      </c>
    </row>
    <row r="1261">
      <c r="A1261" t="inlineStr">
        <is>
          <t>RWA|mit.inv.trn.2</t>
        </is>
      </c>
      <c r="B1261" t="inlineStr">
        <is>
          <t>RWA</t>
        </is>
      </c>
      <c r="C1261" t="inlineStr">
        <is>
          <t>mit.inv.trn.2</t>
        </is>
      </c>
      <c r="D1261" t="n">
        <v>0</v>
      </c>
      <c r="E1261" t="n">
        <v>0.01425080493</v>
      </c>
      <c r="F1261" t="n">
        <v>0.02557821848</v>
      </c>
      <c r="G1261" t="n">
        <v>0.02124401459</v>
      </c>
      <c r="H1261" t="n">
        <v>0.02569805715</v>
      </c>
    </row>
    <row r="1262">
      <c r="A1262" t="inlineStr">
        <is>
          <t>SAU|mit.inv.trn.2</t>
        </is>
      </c>
      <c r="B1262" t="inlineStr">
        <is>
          <t>SAU</t>
        </is>
      </c>
      <c r="C1262" t="inlineStr">
        <is>
          <t>mit.inv.trn.2</t>
        </is>
      </c>
      <c r="D1262" t="n">
        <v>0</v>
      </c>
      <c r="E1262" t="n">
        <v>3.09864625</v>
      </c>
      <c r="F1262" t="n">
        <v>4.477153365</v>
      </c>
      <c r="G1262" t="n">
        <v>3.085957987</v>
      </c>
      <c r="H1262" t="n">
        <v>3.081350883</v>
      </c>
    </row>
    <row r="1263">
      <c r="A1263" t="inlineStr">
        <is>
          <t>SDN|mit.inv.trn.2</t>
        </is>
      </c>
      <c r="B1263" t="inlineStr">
        <is>
          <t>SDN</t>
        </is>
      </c>
      <c r="C1263" t="inlineStr">
        <is>
          <t>mit.inv.trn.2</t>
        </is>
      </c>
      <c r="D1263" t="n">
        <v>0</v>
      </c>
      <c r="E1263" t="n">
        <v>0.1887080681</v>
      </c>
      <c r="F1263" t="n">
        <v>0.2605654914</v>
      </c>
      <c r="G1263" t="n">
        <v>0.2410451724</v>
      </c>
      <c r="H1263" t="n">
        <v>0.280026811</v>
      </c>
    </row>
    <row r="1264">
      <c r="A1264" t="inlineStr">
        <is>
          <t>SEN|mit.inv.trn.2</t>
        </is>
      </c>
      <c r="B1264" t="inlineStr">
        <is>
          <t>SEN</t>
        </is>
      </c>
      <c r="C1264" t="inlineStr">
        <is>
          <t>mit.inv.trn.2</t>
        </is>
      </c>
      <c r="D1264" t="n">
        <v>0</v>
      </c>
      <c r="E1264" t="n">
        <v>0.1104070555</v>
      </c>
      <c r="F1264" t="n">
        <v>0.1337770476</v>
      </c>
      <c r="G1264" t="n">
        <v>0.12308081</v>
      </c>
      <c r="H1264" t="n">
        <v>0.1472291055</v>
      </c>
    </row>
    <row r="1265">
      <c r="A1265" t="inlineStr">
        <is>
          <t>SGP|mit.inv.trn.2</t>
        </is>
      </c>
      <c r="B1265" t="inlineStr">
        <is>
          <t>SGP</t>
        </is>
      </c>
      <c r="C1265" t="inlineStr">
        <is>
          <t>mit.inv.trn.2</t>
        </is>
      </c>
      <c r="D1265" t="n">
        <v>0</v>
      </c>
      <c r="E1265" t="n">
        <v>0.4514868494</v>
      </c>
      <c r="F1265" t="n">
        <v>0.405016982</v>
      </c>
      <c r="G1265" t="n">
        <v>0.1773861341</v>
      </c>
      <c r="H1265" t="n">
        <v>0.1767145565</v>
      </c>
    </row>
    <row r="1266">
      <c r="A1266" t="inlineStr">
        <is>
          <t>SLB|mit.inv.trn.2</t>
        </is>
      </c>
      <c r="B1266" t="inlineStr">
        <is>
          <t>SLB</t>
        </is>
      </c>
      <c r="C1266" t="inlineStr">
        <is>
          <t>mit.inv.trn.2</t>
        </is>
      </c>
      <c r="D1266" t="n">
        <v>0</v>
      </c>
      <c r="E1266" t="n">
        <v>0.005287119316</v>
      </c>
      <c r="F1266" t="n">
        <v>0.008877574062</v>
      </c>
      <c r="G1266" t="n">
        <v>0.00773128472</v>
      </c>
      <c r="H1266" t="n">
        <v>0.008997550105</v>
      </c>
    </row>
    <row r="1267">
      <c r="A1267" t="inlineStr">
        <is>
          <t>SLE|mit.inv.trn.2</t>
        </is>
      </c>
      <c r="B1267" t="inlineStr">
        <is>
          <t>SLE</t>
        </is>
      </c>
      <c r="C1267" t="inlineStr">
        <is>
          <t>mit.inv.trn.2</t>
        </is>
      </c>
      <c r="D1267" t="n">
        <v>0</v>
      </c>
      <c r="E1267" t="n">
        <v>0.01197314851</v>
      </c>
      <c r="F1267" t="n">
        <v>0.02082136001</v>
      </c>
      <c r="G1267" t="n">
        <v>0.01835392536</v>
      </c>
      <c r="H1267" t="n">
        <v>0.02233109511</v>
      </c>
    </row>
    <row r="1268">
      <c r="A1268" t="inlineStr">
        <is>
          <t>SLV|mit.inv.trn.2</t>
        </is>
      </c>
      <c r="B1268" t="inlineStr">
        <is>
          <t>SLV</t>
        </is>
      </c>
      <c r="C1268" t="inlineStr">
        <is>
          <t>mit.inv.trn.2</t>
        </is>
      </c>
      <c r="D1268" t="n">
        <v>0</v>
      </c>
      <c r="E1268" t="n">
        <v>0.09315999472</v>
      </c>
      <c r="F1268" t="n">
        <v>0.1524812532</v>
      </c>
      <c r="G1268" t="n">
        <v>0.1323533976</v>
      </c>
      <c r="H1268" t="n">
        <v>0.1555734179</v>
      </c>
    </row>
    <row r="1269">
      <c r="A1269" t="inlineStr">
        <is>
          <t>SOM|mit.inv.trn.2</t>
        </is>
      </c>
      <c r="B1269" t="inlineStr">
        <is>
          <t>SOM</t>
        </is>
      </c>
      <c r="C1269" t="inlineStr">
        <is>
          <t>mit.inv.trn.2</t>
        </is>
      </c>
      <c r="D1269" t="n">
        <v>0</v>
      </c>
      <c r="E1269" t="n">
        <v>0.01026176895</v>
      </c>
      <c r="F1269" t="n">
        <v>0.01687086949</v>
      </c>
      <c r="G1269" t="n">
        <v>0.01551931686</v>
      </c>
      <c r="H1269" t="n">
        <v>0.018764603</v>
      </c>
    </row>
    <row r="1270">
      <c r="A1270" t="inlineStr">
        <is>
          <t>SRB|mit.inv.trn.2</t>
        </is>
      </c>
      <c r="B1270" t="inlineStr">
        <is>
          <t>SRB</t>
        </is>
      </c>
      <c r="C1270" t="inlineStr">
        <is>
          <t>mit.inv.trn.2</t>
        </is>
      </c>
      <c r="D1270" t="n">
        <v>0</v>
      </c>
      <c r="E1270" t="n">
        <v>0.1559116083</v>
      </c>
      <c r="F1270" t="n">
        <v>0.2675959396</v>
      </c>
      <c r="G1270" t="n">
        <v>0.2121414743</v>
      </c>
      <c r="H1270" t="n">
        <v>0.2307611757</v>
      </c>
    </row>
    <row r="1271">
      <c r="A1271" t="inlineStr">
        <is>
          <t>STP|mit.inv.trn.2</t>
        </is>
      </c>
      <c r="B1271" t="inlineStr">
        <is>
          <t>STP</t>
        </is>
      </c>
      <c r="C1271" t="inlineStr">
        <is>
          <t>mit.inv.trn.2</t>
        </is>
      </c>
      <c r="D1271" t="n">
        <v>0</v>
      </c>
      <c r="E1271" t="n">
        <v>0.0007354413818</v>
      </c>
      <c r="F1271" t="n">
        <v>0.001353168029</v>
      </c>
      <c r="G1271" t="n">
        <v>0.001169377258</v>
      </c>
      <c r="H1271" t="n">
        <v>0.001372183296</v>
      </c>
    </row>
    <row r="1272">
      <c r="A1272" t="inlineStr">
        <is>
          <t>SUR|mit.inv.trn.2</t>
        </is>
      </c>
      <c r="B1272" t="inlineStr">
        <is>
          <t>SUR</t>
        </is>
      </c>
      <c r="C1272" t="inlineStr">
        <is>
          <t>mit.inv.trn.2</t>
        </is>
      </c>
      <c r="D1272" t="n">
        <v>0</v>
      </c>
      <c r="E1272" t="n">
        <v>0.007986875778</v>
      </c>
      <c r="F1272" t="n">
        <v>0.01584694453</v>
      </c>
      <c r="G1272" t="n">
        <v>0.01247654082</v>
      </c>
      <c r="H1272" t="n">
        <v>0.01389124039</v>
      </c>
    </row>
    <row r="1273">
      <c r="A1273" t="inlineStr">
        <is>
          <t>SVK|mit.inv.trn.2</t>
        </is>
      </c>
      <c r="B1273" t="inlineStr">
        <is>
          <t>SVK</t>
        </is>
      </c>
      <c r="C1273" t="inlineStr">
        <is>
          <t>mit.inv.trn.2</t>
        </is>
      </c>
      <c r="D1273" t="n">
        <v>0</v>
      </c>
      <c r="E1273" t="n">
        <v>0.4100798042</v>
      </c>
      <c r="F1273" t="n">
        <v>0.3868286567</v>
      </c>
      <c r="G1273" t="n">
        <v>0.1757489825</v>
      </c>
      <c r="H1273" t="n">
        <v>0.1745743318</v>
      </c>
    </row>
    <row r="1274">
      <c r="A1274" t="inlineStr">
        <is>
          <t>SVN|mit.inv.trn.2</t>
        </is>
      </c>
      <c r="B1274" t="inlineStr">
        <is>
          <t>SVN</t>
        </is>
      </c>
      <c r="C1274" t="inlineStr">
        <is>
          <t>mit.inv.trn.2</t>
        </is>
      </c>
      <c r="D1274" t="n">
        <v>0</v>
      </c>
      <c r="E1274" t="n">
        <v>0.3185447598</v>
      </c>
      <c r="F1274" t="n">
        <v>0.3174502356</v>
      </c>
      <c r="G1274" t="n">
        <v>0.1456264503</v>
      </c>
      <c r="H1274" t="n">
        <v>0.1446623177</v>
      </c>
    </row>
    <row r="1275">
      <c r="A1275" t="inlineStr">
        <is>
          <t>SWE|mit.inv.trn.2</t>
        </is>
      </c>
      <c r="B1275" t="inlineStr">
        <is>
          <t>SWE</t>
        </is>
      </c>
      <c r="C1275" t="inlineStr">
        <is>
          <t>mit.inv.trn.2</t>
        </is>
      </c>
      <c r="D1275" t="n">
        <v>0</v>
      </c>
      <c r="E1275" t="n">
        <v>1.061996323</v>
      </c>
      <c r="F1275" t="n">
        <v>1.059855244</v>
      </c>
      <c r="G1275" t="n">
        <v>0.48643135</v>
      </c>
      <c r="H1275" t="n">
        <v>0.4842275671</v>
      </c>
    </row>
    <row r="1276">
      <c r="A1276" t="inlineStr">
        <is>
          <t>SWZ|mit.inv.trn.2</t>
        </is>
      </c>
      <c r="B1276" t="inlineStr">
        <is>
          <t>SWZ</t>
        </is>
      </c>
      <c r="C1276" t="inlineStr">
        <is>
          <t>mit.inv.trn.2</t>
        </is>
      </c>
      <c r="D1276" t="n">
        <v>0</v>
      </c>
      <c r="E1276" t="n">
        <v>0.01505432274</v>
      </c>
      <c r="F1276" t="n">
        <v>0.02609203666</v>
      </c>
      <c r="G1276" t="n">
        <v>0.02212937895</v>
      </c>
      <c r="H1276" t="n">
        <v>0.02589862156</v>
      </c>
    </row>
    <row r="1277">
      <c r="A1277" t="inlineStr">
        <is>
          <t>SYC|mit.inv.trn.2</t>
        </is>
      </c>
      <c r="B1277" t="inlineStr">
        <is>
          <t>SYC</t>
        </is>
      </c>
      <c r="C1277" t="inlineStr">
        <is>
          <t>mit.inv.trn.2</t>
        </is>
      </c>
      <c r="D1277" t="n">
        <v>0</v>
      </c>
      <c r="E1277" t="n">
        <v>0.004428701806</v>
      </c>
      <c r="F1277" t="n">
        <v>0.005416687407</v>
      </c>
      <c r="G1277" t="n">
        <v>0.00393210865</v>
      </c>
      <c r="H1277" t="n">
        <v>0.003936835818</v>
      </c>
    </row>
    <row r="1278">
      <c r="A1278" t="inlineStr">
        <is>
          <t>SYR|mit.inv.trn.2</t>
        </is>
      </c>
      <c r="B1278" t="inlineStr">
        <is>
          <t>SYR</t>
        </is>
      </c>
      <c r="C1278" t="inlineStr">
        <is>
          <t>mit.inv.trn.2</t>
        </is>
      </c>
      <c r="D1278" t="n">
        <v>0</v>
      </c>
      <c r="E1278" t="n">
        <v>0.1699461463</v>
      </c>
      <c r="F1278" t="n">
        <v>0.2877212477</v>
      </c>
      <c r="G1278" t="n">
        <v>0.2614959435</v>
      </c>
      <c r="H1278" t="n">
        <v>0.3158113855</v>
      </c>
    </row>
    <row r="1279">
      <c r="A1279" t="inlineStr">
        <is>
          <t>TCD|mit.inv.trn.2</t>
        </is>
      </c>
      <c r="B1279" t="inlineStr">
        <is>
          <t>TCD</t>
        </is>
      </c>
      <c r="C1279" t="inlineStr">
        <is>
          <t>mit.inv.trn.2</t>
        </is>
      </c>
      <c r="D1279" t="n">
        <v>0</v>
      </c>
      <c r="E1279" t="n">
        <v>0.007794958595</v>
      </c>
      <c r="F1279" t="n">
        <v>0.01310498808</v>
      </c>
      <c r="G1279" t="n">
        <v>0.01117583831</v>
      </c>
      <c r="H1279" t="n">
        <v>0.0133494941</v>
      </c>
    </row>
    <row r="1280">
      <c r="A1280" t="inlineStr">
        <is>
          <t>TGO|mit.inv.trn.2</t>
        </is>
      </c>
      <c r="B1280" t="inlineStr">
        <is>
          <t>TGO</t>
        </is>
      </c>
      <c r="C1280" t="inlineStr">
        <is>
          <t>mit.inv.trn.2</t>
        </is>
      </c>
      <c r="D1280" t="n">
        <v>0</v>
      </c>
      <c r="E1280" t="n">
        <v>0.02877966439</v>
      </c>
      <c r="F1280" t="n">
        <v>0.04723366207</v>
      </c>
      <c r="G1280" t="n">
        <v>0.04108634083</v>
      </c>
      <c r="H1280" t="n">
        <v>0.04983019978</v>
      </c>
    </row>
    <row r="1281">
      <c r="A1281" t="inlineStr">
        <is>
          <t>THA|mit.inv.trn.2</t>
        </is>
      </c>
      <c r="B1281" t="inlineStr">
        <is>
          <t>THA</t>
        </is>
      </c>
      <c r="C1281" t="inlineStr">
        <is>
          <t>mit.inv.trn.2</t>
        </is>
      </c>
      <c r="D1281" t="n">
        <v>0</v>
      </c>
      <c r="E1281" t="n">
        <v>1.051454266</v>
      </c>
      <c r="F1281" t="n">
        <v>1.591037606</v>
      </c>
      <c r="G1281" t="n">
        <v>1.318175195</v>
      </c>
      <c r="H1281" t="n">
        <v>1.439883368</v>
      </c>
    </row>
    <row r="1282">
      <c r="A1282" t="inlineStr">
        <is>
          <t>TJK|mit.inv.trn.2</t>
        </is>
      </c>
      <c r="B1282" t="inlineStr">
        <is>
          <t>TJK</t>
        </is>
      </c>
      <c r="C1282" t="inlineStr">
        <is>
          <t>mit.inv.trn.2</t>
        </is>
      </c>
      <c r="D1282" t="n">
        <v>0</v>
      </c>
      <c r="E1282" t="n">
        <v>0.0385354946</v>
      </c>
      <c r="F1282" t="n">
        <v>0.05947990199</v>
      </c>
      <c r="G1282" t="n">
        <v>0.05026582808</v>
      </c>
      <c r="H1282" t="n">
        <v>0.06045414396</v>
      </c>
    </row>
    <row r="1283">
      <c r="A1283" t="inlineStr">
        <is>
          <t>TKM|mit.inv.trn.2</t>
        </is>
      </c>
      <c r="B1283" t="inlineStr">
        <is>
          <t>TKM</t>
        </is>
      </c>
      <c r="C1283" t="inlineStr">
        <is>
          <t>mit.inv.trn.2</t>
        </is>
      </c>
      <c r="D1283" t="n">
        <v>0</v>
      </c>
      <c r="E1283" t="n">
        <v>0.1651229366</v>
      </c>
      <c r="F1283" t="n">
        <v>0.2521111008</v>
      </c>
      <c r="G1283" t="n">
        <v>0.2037067309</v>
      </c>
      <c r="H1283" t="n">
        <v>0.2242822735</v>
      </c>
    </row>
    <row r="1284">
      <c r="A1284" t="inlineStr">
        <is>
          <t>TLS|mit.inv.trn.2</t>
        </is>
      </c>
      <c r="B1284" t="inlineStr">
        <is>
          <t>TLS</t>
        </is>
      </c>
      <c r="C1284" t="inlineStr">
        <is>
          <t>mit.inv.trn.2</t>
        </is>
      </c>
      <c r="D1284" t="n">
        <v>0</v>
      </c>
      <c r="E1284" t="n">
        <v>0.008374609781000001</v>
      </c>
      <c r="F1284" t="n">
        <v>0.01374421463</v>
      </c>
      <c r="G1284" t="n">
        <v>0.01153601617</v>
      </c>
      <c r="H1284" t="n">
        <v>0.01338017734</v>
      </c>
    </row>
    <row r="1285">
      <c r="A1285" t="inlineStr">
        <is>
          <t>TON|mit.inv.trn.2</t>
        </is>
      </c>
      <c r="B1285" t="inlineStr">
        <is>
          <t>TON</t>
        </is>
      </c>
      <c r="C1285" t="inlineStr">
        <is>
          <t>mit.inv.trn.2</t>
        </is>
      </c>
      <c r="D1285" t="n">
        <v>0</v>
      </c>
      <c r="E1285" t="n">
        <v>0.002879953732</v>
      </c>
      <c r="F1285" t="n">
        <v>0.004536112333</v>
      </c>
      <c r="G1285" t="n">
        <v>0.003701866753</v>
      </c>
      <c r="H1285" t="n">
        <v>0.004082225057</v>
      </c>
    </row>
    <row r="1286">
      <c r="A1286" t="inlineStr">
        <is>
          <t>TTO|mit.inv.trn.2</t>
        </is>
      </c>
      <c r="B1286" t="inlineStr">
        <is>
          <t>TTO</t>
        </is>
      </c>
      <c r="C1286" t="inlineStr">
        <is>
          <t>mit.inv.trn.2</t>
        </is>
      </c>
      <c r="D1286" t="n">
        <v>0</v>
      </c>
      <c r="E1286" t="n">
        <v>0.03994289139</v>
      </c>
      <c r="F1286" t="n">
        <v>0.0609973218</v>
      </c>
      <c r="G1286" t="n">
        <v>0.04353787656</v>
      </c>
      <c r="H1286" t="n">
        <v>0.04349280102</v>
      </c>
    </row>
    <row r="1287">
      <c r="A1287" t="inlineStr">
        <is>
          <t>TUN|mit.inv.trn.2</t>
        </is>
      </c>
      <c r="B1287" t="inlineStr">
        <is>
          <t>TUN</t>
        </is>
      </c>
      <c r="C1287" t="inlineStr">
        <is>
          <t>mit.inv.trn.2</t>
        </is>
      </c>
      <c r="D1287" t="n">
        <v>0</v>
      </c>
      <c r="E1287" t="n">
        <v>0.114683337</v>
      </c>
      <c r="F1287" t="n">
        <v>0.1853842527</v>
      </c>
      <c r="G1287" t="n">
        <v>0.1641670072</v>
      </c>
      <c r="H1287" t="n">
        <v>0.1906761669</v>
      </c>
    </row>
    <row r="1288">
      <c r="A1288" t="inlineStr">
        <is>
          <t>TUR|mit.inv.trn.2</t>
        </is>
      </c>
      <c r="B1288" t="inlineStr">
        <is>
          <t>TUR</t>
        </is>
      </c>
      <c r="C1288" t="inlineStr">
        <is>
          <t>mit.inv.trn.2</t>
        </is>
      </c>
      <c r="D1288" t="n">
        <v>0</v>
      </c>
      <c r="E1288" t="n">
        <v>1.697772745</v>
      </c>
      <c r="F1288" t="n">
        <v>2.724944104</v>
      </c>
      <c r="G1288" t="n">
        <v>2.124583218</v>
      </c>
      <c r="H1288" t="n">
        <v>2.305297965</v>
      </c>
    </row>
    <row r="1289">
      <c r="A1289" t="inlineStr">
        <is>
          <t>TZA|mit.inv.trn.2</t>
        </is>
      </c>
      <c r="B1289" t="inlineStr">
        <is>
          <t>TZA</t>
        </is>
      </c>
      <c r="C1289" t="inlineStr">
        <is>
          <t>mit.inv.trn.2</t>
        </is>
      </c>
      <c r="D1289" t="n">
        <v>0</v>
      </c>
      <c r="E1289" t="n">
        <v>0.1986946191</v>
      </c>
      <c r="F1289" t="n">
        <v>0.3460332519</v>
      </c>
      <c r="G1289" t="n">
        <v>0.292573576</v>
      </c>
      <c r="H1289" t="n">
        <v>0.3516224254</v>
      </c>
    </row>
    <row r="1290">
      <c r="A1290" t="inlineStr">
        <is>
          <t>UGA|mit.inv.trn.2</t>
        </is>
      </c>
      <c r="B1290" t="inlineStr">
        <is>
          <t>UGA</t>
        </is>
      </c>
      <c r="C1290" t="inlineStr">
        <is>
          <t>mit.inv.trn.2</t>
        </is>
      </c>
      <c r="D1290" t="n">
        <v>0</v>
      </c>
      <c r="E1290" t="n">
        <v>0.08758602771</v>
      </c>
      <c r="F1290" t="n">
        <v>0.1619857511</v>
      </c>
      <c r="G1290" t="n">
        <v>0.1338385815</v>
      </c>
      <c r="H1290" t="n">
        <v>0.161818697</v>
      </c>
    </row>
    <row r="1291">
      <c r="A1291" t="inlineStr">
        <is>
          <t>UKR|mit.inv.trn.2</t>
        </is>
      </c>
      <c r="B1291" t="inlineStr">
        <is>
          <t>UKR</t>
        </is>
      </c>
      <c r="C1291" t="inlineStr">
        <is>
          <t>mit.inv.trn.2</t>
        </is>
      </c>
      <c r="D1291" t="n">
        <v>0</v>
      </c>
      <c r="E1291" t="n">
        <v>0.2622273256</v>
      </c>
      <c r="F1291" t="n">
        <v>0.4416256858</v>
      </c>
      <c r="G1291" t="n">
        <v>0.3925641842</v>
      </c>
      <c r="H1291" t="n">
        <v>0.4561590218</v>
      </c>
    </row>
    <row r="1292">
      <c r="A1292" t="inlineStr">
        <is>
          <t>URY|mit.inv.trn.2</t>
        </is>
      </c>
      <c r="B1292" t="inlineStr">
        <is>
          <t>URY</t>
        </is>
      </c>
      <c r="C1292" t="inlineStr">
        <is>
          <t>mit.inv.trn.2</t>
        </is>
      </c>
      <c r="D1292" t="n">
        <v>0</v>
      </c>
      <c r="E1292" t="n">
        <v>0.08863887579</v>
      </c>
      <c r="F1292" t="n">
        <v>0.1384205441</v>
      </c>
      <c r="G1292" t="n">
        <v>0.09949824993</v>
      </c>
      <c r="H1292" t="n">
        <v>0.09917639111</v>
      </c>
    </row>
    <row r="1293">
      <c r="A1293" t="inlineStr">
        <is>
          <t>USA|mit.inv.trn.2</t>
        </is>
      </c>
      <c r="B1293" t="inlineStr">
        <is>
          <t>USA</t>
        </is>
      </c>
      <c r="C1293" t="inlineStr">
        <is>
          <t>mit.inv.trn.2</t>
        </is>
      </c>
      <c r="D1293" t="n">
        <v>0</v>
      </c>
      <c r="E1293" t="n">
        <v>124.6421657</v>
      </c>
      <c r="F1293" t="n">
        <v>123.4168862</v>
      </c>
      <c r="G1293" t="n">
        <v>55.90953794</v>
      </c>
      <c r="H1293" t="n">
        <v>55.93907954</v>
      </c>
    </row>
    <row r="1294">
      <c r="A1294" t="inlineStr">
        <is>
          <t>UZB|mit.inv.trn.2</t>
        </is>
      </c>
      <c r="B1294" t="inlineStr">
        <is>
          <t>UZB</t>
        </is>
      </c>
      <c r="C1294" t="inlineStr">
        <is>
          <t>mit.inv.trn.2</t>
        </is>
      </c>
      <c r="D1294" t="n">
        <v>0</v>
      </c>
      <c r="E1294" t="n">
        <v>0.1519592537</v>
      </c>
      <c r="F1294" t="n">
        <v>0.2481756644</v>
      </c>
      <c r="G1294" t="n">
        <v>0.2000189652</v>
      </c>
      <c r="H1294" t="n">
        <v>0.2345243562</v>
      </c>
    </row>
    <row r="1295">
      <c r="A1295" t="inlineStr">
        <is>
          <t>VCT|mit.inv.trn.2</t>
        </is>
      </c>
      <c r="B1295" t="inlineStr">
        <is>
          <t>VCT</t>
        </is>
      </c>
      <c r="C1295" t="inlineStr">
        <is>
          <t>mit.inv.trn.2</t>
        </is>
      </c>
      <c r="D1295" t="n">
        <v>0</v>
      </c>
      <c r="E1295" t="n">
        <v>0.002768326778</v>
      </c>
      <c r="F1295" t="n">
        <v>0.004432693548</v>
      </c>
      <c r="G1295" t="n">
        <v>0.003581178196</v>
      </c>
      <c r="H1295" t="n">
        <v>0.003987243573</v>
      </c>
    </row>
    <row r="1296">
      <c r="A1296" t="inlineStr">
        <is>
          <t>VEN|mit.inv.trn.2</t>
        </is>
      </c>
      <c r="B1296" t="inlineStr">
        <is>
          <t>VEN</t>
        </is>
      </c>
      <c r="C1296" t="inlineStr">
        <is>
          <t>mit.inv.trn.2</t>
        </is>
      </c>
      <c r="D1296" t="n">
        <v>0</v>
      </c>
      <c r="E1296" t="n">
        <v>0.233748493</v>
      </c>
      <c r="F1296" t="n">
        <v>0.4639118602</v>
      </c>
      <c r="G1296" t="n">
        <v>0.3624065943</v>
      </c>
      <c r="H1296" t="n">
        <v>0.4014671589</v>
      </c>
    </row>
    <row r="1297">
      <c r="A1297" t="inlineStr">
        <is>
          <t>VNM|mit.inv.trn.2</t>
        </is>
      </c>
      <c r="B1297" t="inlineStr">
        <is>
          <t>VNM</t>
        </is>
      </c>
      <c r="C1297" t="inlineStr">
        <is>
          <t>mit.inv.trn.2</t>
        </is>
      </c>
      <c r="D1297" t="n">
        <v>0</v>
      </c>
      <c r="E1297" t="n">
        <v>0.6293794993</v>
      </c>
      <c r="F1297" t="n">
        <v>1.054350611</v>
      </c>
      <c r="G1297" t="n">
        <v>0.8397835675</v>
      </c>
      <c r="H1297" t="n">
        <v>0.9844721462</v>
      </c>
    </row>
    <row r="1298">
      <c r="A1298" t="inlineStr">
        <is>
          <t>VUT|mit.inv.trn.2</t>
        </is>
      </c>
      <c r="B1298" t="inlineStr">
        <is>
          <t>VUT</t>
        </is>
      </c>
      <c r="C1298" t="inlineStr">
        <is>
          <t>mit.inv.trn.2</t>
        </is>
      </c>
      <c r="D1298" t="n">
        <v>0</v>
      </c>
      <c r="E1298" t="n">
        <v>0.005835232885</v>
      </c>
      <c r="F1298" t="n">
        <v>0.01004075657</v>
      </c>
      <c r="G1298" t="n">
        <v>0.00850945071</v>
      </c>
      <c r="H1298" t="n">
        <v>0.009827503657000001</v>
      </c>
    </row>
    <row r="1299">
      <c r="A1299" t="inlineStr">
        <is>
          <t>WSM|mit.inv.trn.2</t>
        </is>
      </c>
      <c r="B1299" t="inlineStr">
        <is>
          <t>WSM</t>
        </is>
      </c>
      <c r="C1299" t="inlineStr">
        <is>
          <t>mit.inv.trn.2</t>
        </is>
      </c>
      <c r="D1299" t="n">
        <v>0</v>
      </c>
      <c r="E1299" t="n">
        <v>0.004903094292</v>
      </c>
      <c r="F1299" t="n">
        <v>0.007541749073</v>
      </c>
      <c r="G1299" t="n">
        <v>0.006004661777</v>
      </c>
      <c r="H1299" t="n">
        <v>0.006628493682</v>
      </c>
    </row>
    <row r="1300">
      <c r="A1300" t="inlineStr">
        <is>
          <t>XKX|mit.inv.trn.2</t>
        </is>
      </c>
      <c r="B1300" t="inlineStr">
        <is>
          <t>XKX</t>
        </is>
      </c>
      <c r="C1300" t="inlineStr">
        <is>
          <t>mit.inv.trn.2</t>
        </is>
      </c>
      <c r="D1300" t="n">
        <v>0</v>
      </c>
      <c r="E1300" t="n">
        <v>0.02855157221</v>
      </c>
      <c r="F1300" t="n">
        <v>0.04667930296</v>
      </c>
      <c r="G1300" t="n">
        <v>0.03967703284</v>
      </c>
      <c r="H1300" t="n">
        <v>0.04569617597</v>
      </c>
    </row>
    <row r="1301">
      <c r="A1301" t="inlineStr">
        <is>
          <t>YEM|mit.inv.trn.2</t>
        </is>
      </c>
      <c r="B1301" t="inlineStr">
        <is>
          <t>YEM</t>
        </is>
      </c>
      <c r="C1301" t="inlineStr">
        <is>
          <t>mit.inv.trn.2</t>
        </is>
      </c>
      <c r="D1301" t="n">
        <v>0</v>
      </c>
      <c r="E1301" t="n">
        <v>0.03931560895</v>
      </c>
      <c r="F1301" t="n">
        <v>0.06134528848</v>
      </c>
      <c r="G1301" t="n">
        <v>0.06091494524</v>
      </c>
      <c r="H1301" t="n">
        <v>0.07437089787999999</v>
      </c>
    </row>
    <row r="1302">
      <c r="A1302" t="inlineStr">
        <is>
          <t>ZAF|mit.inv.trn.2</t>
        </is>
      </c>
      <c r="B1302" t="inlineStr">
        <is>
          <t>ZAF</t>
        </is>
      </c>
      <c r="C1302" t="inlineStr">
        <is>
          <t>mit.inv.trn.2</t>
        </is>
      </c>
      <c r="D1302" t="n">
        <v>0</v>
      </c>
      <c r="E1302" t="n">
        <v>0.7942956128999999</v>
      </c>
      <c r="F1302" t="n">
        <v>1.234323513</v>
      </c>
      <c r="G1302" t="n">
        <v>1.041492343</v>
      </c>
      <c r="H1302" t="n">
        <v>1.14098633</v>
      </c>
    </row>
    <row r="1303">
      <c r="A1303" t="inlineStr">
        <is>
          <t>ZMB|mit.inv.trn.2</t>
        </is>
      </c>
      <c r="B1303" t="inlineStr">
        <is>
          <t>ZMB</t>
        </is>
      </c>
      <c r="C1303" t="inlineStr">
        <is>
          <t>mit.inv.trn.2</t>
        </is>
      </c>
      <c r="D1303" t="n">
        <v>0</v>
      </c>
      <c r="E1303" t="n">
        <v>0.0467629275</v>
      </c>
      <c r="F1303" t="n">
        <v>0.08161328599000001</v>
      </c>
      <c r="G1303" t="n">
        <v>0.06863144342999999</v>
      </c>
      <c r="H1303" t="n">
        <v>0.08011760623</v>
      </c>
    </row>
    <row r="1304">
      <c r="A1304" t="inlineStr">
        <is>
          <t>ZWE|mit.inv.trn.2</t>
        </is>
      </c>
      <c r="B1304" t="inlineStr">
        <is>
          <t>ZWE</t>
        </is>
      </c>
      <c r="C1304" t="inlineStr">
        <is>
          <t>mit.inv.trn.2</t>
        </is>
      </c>
      <c r="D1304" t="n">
        <v>0</v>
      </c>
      <c r="E1304" t="n">
        <v>0.03718874466</v>
      </c>
      <c r="F1304" t="n">
        <v>0.05582200435</v>
      </c>
      <c r="G1304" t="n">
        <v>0.04821155689</v>
      </c>
      <c r="H1304" t="n">
        <v>0.05801541752</v>
      </c>
    </row>
    <row r="1305">
      <c r="A1305" t="inlineStr">
        <is>
          <t>ABW|mit.inv.bld.2</t>
        </is>
      </c>
      <c r="B1305" t="inlineStr">
        <is>
          <t>ABW</t>
        </is>
      </c>
      <c r="C1305" t="inlineStr">
        <is>
          <t>mit.inv.bld.2</t>
        </is>
      </c>
      <c r="D1305" t="n">
        <v>0</v>
      </c>
      <c r="E1305" t="n">
        <v>0.002646416409</v>
      </c>
      <c r="F1305" t="n">
        <v>0.002790822255</v>
      </c>
      <c r="G1305" t="n">
        <v>0.002926601652</v>
      </c>
      <c r="H1305" t="n">
        <v>0.003070376723</v>
      </c>
    </row>
    <row r="1306">
      <c r="A1306" t="inlineStr">
        <is>
          <t>AFG|mit.inv.bld.2</t>
        </is>
      </c>
      <c r="B1306" t="inlineStr">
        <is>
          <t>AFG</t>
        </is>
      </c>
      <c r="C1306" t="inlineStr">
        <is>
          <t>mit.inv.bld.2</t>
        </is>
      </c>
      <c r="D1306" t="n">
        <v>0</v>
      </c>
      <c r="E1306" t="n">
        <v>0.1041825404</v>
      </c>
      <c r="F1306" t="n">
        <v>0.1164674386</v>
      </c>
      <c r="G1306" t="n">
        <v>0.1596564504</v>
      </c>
      <c r="H1306" t="n">
        <v>0.2147725984</v>
      </c>
    </row>
    <row r="1307">
      <c r="A1307" t="inlineStr">
        <is>
          <t>AGO|mit.inv.bld.2</t>
        </is>
      </c>
      <c r="B1307" t="inlineStr">
        <is>
          <t>AGO</t>
        </is>
      </c>
      <c r="C1307" t="inlineStr">
        <is>
          <t>mit.inv.bld.2</t>
        </is>
      </c>
      <c r="D1307" t="n">
        <v>0</v>
      </c>
      <c r="E1307" t="n">
        <v>0.3569521016</v>
      </c>
      <c r="F1307" t="n">
        <v>0.3867785571</v>
      </c>
      <c r="G1307" t="n">
        <v>0.5088126715</v>
      </c>
      <c r="H1307" t="n">
        <v>0.6591352205</v>
      </c>
    </row>
    <row r="1308">
      <c r="A1308" t="inlineStr">
        <is>
          <t>ALB|mit.inv.bld.2</t>
        </is>
      </c>
      <c r="B1308" t="inlineStr">
        <is>
          <t>ALB</t>
        </is>
      </c>
      <c r="C1308" t="inlineStr">
        <is>
          <t>mit.inv.bld.2</t>
        </is>
      </c>
      <c r="D1308" t="n">
        <v>0</v>
      </c>
      <c r="E1308" t="n">
        <v>0.03077569076</v>
      </c>
      <c r="F1308" t="n">
        <v>0.03418602769</v>
      </c>
      <c r="G1308" t="n">
        <v>0.04076491541</v>
      </c>
      <c r="H1308" t="n">
        <v>0.04836894451</v>
      </c>
    </row>
    <row r="1309">
      <c r="A1309" t="inlineStr">
        <is>
          <t>ARE|mit.inv.bld.2</t>
        </is>
      </c>
      <c r="B1309" t="inlineStr">
        <is>
          <t>ARE</t>
        </is>
      </c>
      <c r="C1309" t="inlineStr">
        <is>
          <t>mit.inv.bld.2</t>
        </is>
      </c>
      <c r="D1309" t="n">
        <v>0</v>
      </c>
      <c r="E1309" t="n">
        <v>0.06224322786</v>
      </c>
      <c r="F1309" t="n">
        <v>0.067885471</v>
      </c>
      <c r="G1309" t="n">
        <v>0.0711230752</v>
      </c>
      <c r="H1309" t="n">
        <v>0.07461713635</v>
      </c>
    </row>
    <row r="1310">
      <c r="A1310" t="inlineStr">
        <is>
          <t>ARG|mit.inv.bld.2</t>
        </is>
      </c>
      <c r="B1310" t="inlineStr">
        <is>
          <t>ARG</t>
        </is>
      </c>
      <c r="C1310" t="inlineStr">
        <is>
          <t>mit.inv.bld.2</t>
        </is>
      </c>
      <c r="D1310" t="n">
        <v>0</v>
      </c>
      <c r="E1310" t="n">
        <v>2.506628417</v>
      </c>
      <c r="F1310" t="n">
        <v>2.520799643</v>
      </c>
      <c r="G1310" t="n">
        <v>2.300517436</v>
      </c>
      <c r="H1310" t="n">
        <v>2.105576496</v>
      </c>
    </row>
    <row r="1311">
      <c r="A1311" t="inlineStr">
        <is>
          <t>ARM|mit.inv.bld.2</t>
        </is>
      </c>
      <c r="B1311" t="inlineStr">
        <is>
          <t>ARM</t>
        </is>
      </c>
      <c r="C1311" t="inlineStr">
        <is>
          <t>mit.inv.bld.2</t>
        </is>
      </c>
      <c r="D1311" t="n">
        <v>0</v>
      </c>
      <c r="E1311" t="n">
        <v>0.14840039</v>
      </c>
      <c r="F1311" t="n">
        <v>0.1547545201</v>
      </c>
      <c r="G1311" t="n">
        <v>0.1513506183</v>
      </c>
      <c r="H1311" t="n">
        <v>0.1483408948</v>
      </c>
    </row>
    <row r="1312">
      <c r="A1312" t="inlineStr">
        <is>
          <t>ATG|mit.inv.bld.2</t>
        </is>
      </c>
      <c r="B1312" t="inlineStr">
        <is>
          <t>ATG</t>
        </is>
      </c>
      <c r="C1312" t="inlineStr">
        <is>
          <t>mit.inv.bld.2</t>
        </is>
      </c>
      <c r="D1312" t="n">
        <v>0</v>
      </c>
      <c r="E1312" t="n">
        <v>0.0009410014072</v>
      </c>
      <c r="F1312" t="n">
        <v>0.00100531518</v>
      </c>
      <c r="G1312" t="n">
        <v>0.001053816535</v>
      </c>
      <c r="H1312" t="n">
        <v>0.001105587348</v>
      </c>
    </row>
    <row r="1313">
      <c r="A1313" t="inlineStr">
        <is>
          <t>AUS|mit.inv.bld.2</t>
        </is>
      </c>
      <c r="B1313" t="inlineStr">
        <is>
          <t>AUS</t>
        </is>
      </c>
      <c r="C1313" t="inlineStr">
        <is>
          <t>mit.inv.bld.2</t>
        </is>
      </c>
      <c r="D1313" t="n">
        <v>0</v>
      </c>
      <c r="E1313" t="n">
        <v>2.661498689</v>
      </c>
      <c r="F1313" t="n">
        <v>2.566442546</v>
      </c>
      <c r="G1313" t="n">
        <v>2.324157559</v>
      </c>
      <c r="H1313" t="n">
        <v>0</v>
      </c>
    </row>
    <row r="1314">
      <c r="A1314" t="inlineStr">
        <is>
          <t>AUT|mit.inv.bld.2</t>
        </is>
      </c>
      <c r="B1314" t="inlineStr">
        <is>
          <t>AUT</t>
        </is>
      </c>
      <c r="C1314" t="inlineStr">
        <is>
          <t>mit.inv.bld.2</t>
        </is>
      </c>
      <c r="D1314" t="n">
        <v>0</v>
      </c>
      <c r="E1314" t="n">
        <v>0.954936321</v>
      </c>
      <c r="F1314" t="n">
        <v>0.8872564513</v>
      </c>
      <c r="G1314" t="n">
        <v>0.7958141688</v>
      </c>
      <c r="H1314" t="n">
        <v>0</v>
      </c>
    </row>
    <row r="1315">
      <c r="A1315" t="inlineStr">
        <is>
          <t>AZE|mit.inv.bld.2</t>
        </is>
      </c>
      <c r="B1315" t="inlineStr">
        <is>
          <t>AZE</t>
        </is>
      </c>
      <c r="C1315" t="inlineStr">
        <is>
          <t>mit.inv.bld.2</t>
        </is>
      </c>
      <c r="D1315" t="n">
        <v>0</v>
      </c>
      <c r="E1315" t="n">
        <v>0.6612204879</v>
      </c>
      <c r="F1315" t="n">
        <v>0.6425619578</v>
      </c>
      <c r="G1315" t="n">
        <v>0.6297547931</v>
      </c>
      <c r="H1315" t="n">
        <v>0.6166448822</v>
      </c>
    </row>
    <row r="1316">
      <c r="A1316" t="inlineStr">
        <is>
          <t>BDI|mit.inv.bld.2</t>
        </is>
      </c>
      <c r="B1316" t="inlineStr">
        <is>
          <t>BDI</t>
        </is>
      </c>
      <c r="C1316" t="inlineStr">
        <is>
          <t>mit.inv.bld.2</t>
        </is>
      </c>
      <c r="D1316" t="n">
        <v>0</v>
      </c>
      <c r="E1316" t="n">
        <v>0.0006042893385</v>
      </c>
      <c r="F1316" t="n">
        <v>0.0006456504596</v>
      </c>
      <c r="G1316" t="n">
        <v>0.0007565580755</v>
      </c>
      <c r="H1316" t="n">
        <v>0.0008814678341</v>
      </c>
    </row>
    <row r="1317">
      <c r="A1317" t="inlineStr">
        <is>
          <t>BEL|mit.inv.bld.2</t>
        </is>
      </c>
      <c r="B1317" t="inlineStr">
        <is>
          <t>BEL</t>
        </is>
      </c>
      <c r="C1317" t="inlineStr">
        <is>
          <t>mit.inv.bld.2</t>
        </is>
      </c>
      <c r="D1317" t="n">
        <v>0</v>
      </c>
      <c r="E1317" t="n">
        <v>2.82679687</v>
      </c>
      <c r="F1317" t="n">
        <v>2.627029446</v>
      </c>
      <c r="G1317" t="n">
        <v>2.360754697</v>
      </c>
      <c r="H1317" t="n">
        <v>0</v>
      </c>
    </row>
    <row r="1318">
      <c r="A1318" t="inlineStr">
        <is>
          <t>BEN|mit.inv.bld.2</t>
        </is>
      </c>
      <c r="B1318" t="inlineStr">
        <is>
          <t>BEN</t>
        </is>
      </c>
      <c r="C1318" t="inlineStr">
        <is>
          <t>mit.inv.bld.2</t>
        </is>
      </c>
      <c r="D1318" t="n">
        <v>0</v>
      </c>
      <c r="E1318" t="n">
        <v>0.009218327086000001</v>
      </c>
      <c r="F1318" t="n">
        <v>0.01187695921</v>
      </c>
      <c r="G1318" t="n">
        <v>0.01628338803</v>
      </c>
      <c r="H1318" t="n">
        <v>0.0219045386</v>
      </c>
    </row>
    <row r="1319">
      <c r="A1319" t="inlineStr">
        <is>
          <t>BFA|mit.inv.bld.2</t>
        </is>
      </c>
      <c r="B1319" t="inlineStr">
        <is>
          <t>BFA</t>
        </is>
      </c>
      <c r="C1319" t="inlineStr">
        <is>
          <t>mit.inv.bld.2</t>
        </is>
      </c>
      <c r="D1319" t="n">
        <v>0</v>
      </c>
      <c r="E1319" t="n">
        <v>0.02019252234</v>
      </c>
      <c r="F1319" t="n">
        <v>0.02414990117</v>
      </c>
      <c r="G1319" t="n">
        <v>0.03308633439</v>
      </c>
      <c r="H1319" t="n">
        <v>0.04450830512</v>
      </c>
    </row>
    <row r="1320">
      <c r="A1320" t="inlineStr">
        <is>
          <t>BGD|mit.inv.bld.2</t>
        </is>
      </c>
      <c r="B1320" t="inlineStr">
        <is>
          <t>BGD</t>
        </is>
      </c>
      <c r="C1320" t="inlineStr">
        <is>
          <t>mit.inv.bld.2</t>
        </is>
      </c>
      <c r="D1320" t="n">
        <v>0</v>
      </c>
      <c r="E1320" t="n">
        <v>0.6768649807</v>
      </c>
      <c r="F1320" t="n">
        <v>0.7043738537000001</v>
      </c>
      <c r="G1320" t="n">
        <v>0.7393002218</v>
      </c>
      <c r="H1320" t="n">
        <v>0.7778573046</v>
      </c>
    </row>
    <row r="1321">
      <c r="A1321" t="inlineStr">
        <is>
          <t>BGR|mit.inv.bld.2</t>
        </is>
      </c>
      <c r="B1321" t="inlineStr">
        <is>
          <t>BGR</t>
        </is>
      </c>
      <c r="C1321" t="inlineStr">
        <is>
          <t>mit.inv.bld.2</t>
        </is>
      </c>
      <c r="D1321" t="n">
        <v>0</v>
      </c>
      <c r="E1321" t="n">
        <v>0.1601020858</v>
      </c>
      <c r="F1321" t="n">
        <v>0.1600128352</v>
      </c>
      <c r="G1321" t="n">
        <v>0.1618456869</v>
      </c>
      <c r="H1321" t="n">
        <v>0.1640395606</v>
      </c>
    </row>
    <row r="1322">
      <c r="A1322" t="inlineStr">
        <is>
          <t>BHR|mit.inv.bld.2</t>
        </is>
      </c>
      <c r="B1322" t="inlineStr">
        <is>
          <t>BHR</t>
        </is>
      </c>
      <c r="C1322" t="inlineStr">
        <is>
          <t>mit.inv.bld.2</t>
        </is>
      </c>
      <c r="D1322" t="n">
        <v>0</v>
      </c>
      <c r="E1322" t="n">
        <v>0.01927300806</v>
      </c>
      <c r="F1322" t="n">
        <v>0.01825300478</v>
      </c>
      <c r="G1322" t="n">
        <v>0.0191986983</v>
      </c>
      <c r="H1322" t="n">
        <v>0.02010943179</v>
      </c>
    </row>
    <row r="1323">
      <c r="A1323" t="inlineStr">
        <is>
          <t>BHS|mit.inv.bld.2</t>
        </is>
      </c>
      <c r="B1323" t="inlineStr">
        <is>
          <t>BHS</t>
        </is>
      </c>
      <c r="C1323" t="inlineStr">
        <is>
          <t>mit.inv.bld.2</t>
        </is>
      </c>
      <c r="D1323" t="n">
        <v>0</v>
      </c>
      <c r="E1323" t="n">
        <v>0.0113352044</v>
      </c>
      <c r="F1323" t="n">
        <v>0.01188577308</v>
      </c>
      <c r="G1323" t="n">
        <v>0.01246634033</v>
      </c>
      <c r="H1323" t="n">
        <v>0.01307877385</v>
      </c>
    </row>
    <row r="1324">
      <c r="A1324" t="inlineStr">
        <is>
          <t>BIH|mit.inv.bld.2</t>
        </is>
      </c>
      <c r="B1324" t="inlineStr">
        <is>
          <t>BIH</t>
        </is>
      </c>
      <c r="C1324" t="inlineStr">
        <is>
          <t>mit.inv.bld.2</t>
        </is>
      </c>
      <c r="D1324" t="n">
        <v>0</v>
      </c>
      <c r="E1324" t="n">
        <v>0.04346030634</v>
      </c>
      <c r="F1324" t="n">
        <v>0.043476095</v>
      </c>
      <c r="G1324" t="n">
        <v>0.04527588948</v>
      </c>
      <c r="H1324" t="n">
        <v>0.04720860008</v>
      </c>
    </row>
    <row r="1325">
      <c r="A1325" t="inlineStr">
        <is>
          <t>BLR|mit.inv.bld.2</t>
        </is>
      </c>
      <c r="B1325" t="inlineStr">
        <is>
          <t>BLR</t>
        </is>
      </c>
      <c r="C1325" t="inlineStr">
        <is>
          <t>mit.inv.bld.2</t>
        </is>
      </c>
      <c r="D1325" t="n">
        <v>0</v>
      </c>
      <c r="E1325" t="n">
        <v>0.337568638</v>
      </c>
      <c r="F1325" t="n">
        <v>0.3221486889</v>
      </c>
      <c r="G1325" t="n">
        <v>0.3200580484</v>
      </c>
      <c r="H1325" t="n">
        <v>0.3177317606</v>
      </c>
    </row>
    <row r="1326">
      <c r="A1326" t="inlineStr">
        <is>
          <t>BLZ|mit.inv.bld.2</t>
        </is>
      </c>
      <c r="B1326" t="inlineStr">
        <is>
          <t>BLZ</t>
        </is>
      </c>
      <c r="C1326" t="inlineStr">
        <is>
          <t>mit.inv.bld.2</t>
        </is>
      </c>
      <c r="D1326" t="n">
        <v>0</v>
      </c>
      <c r="E1326" t="n">
        <v>0.0132249101</v>
      </c>
      <c r="F1326" t="n">
        <v>0.01413130315</v>
      </c>
      <c r="G1326" t="n">
        <v>0.01704574845</v>
      </c>
      <c r="H1326" t="n">
        <v>0.02039751571</v>
      </c>
    </row>
    <row r="1327">
      <c r="A1327" t="inlineStr">
        <is>
          <t>BOL|mit.inv.bld.2</t>
        </is>
      </c>
      <c r="B1327" t="inlineStr">
        <is>
          <t>BOL</t>
        </is>
      </c>
      <c r="C1327" t="inlineStr">
        <is>
          <t>mit.inv.bld.2</t>
        </is>
      </c>
      <c r="D1327" t="n">
        <v>0</v>
      </c>
      <c r="E1327" t="n">
        <v>0.1467641296</v>
      </c>
      <c r="F1327" t="n">
        <v>0.127130674</v>
      </c>
      <c r="G1327" t="n">
        <v>0.1584894229</v>
      </c>
      <c r="H1327" t="n">
        <v>0.1950085815</v>
      </c>
    </row>
    <row r="1328">
      <c r="A1328" t="inlineStr">
        <is>
          <t>BRA|mit.inv.bld.2</t>
        </is>
      </c>
      <c r="B1328" t="inlineStr">
        <is>
          <t>BRA</t>
        </is>
      </c>
      <c r="C1328" t="inlineStr">
        <is>
          <t>mit.inv.bld.2</t>
        </is>
      </c>
      <c r="D1328" t="n">
        <v>0</v>
      </c>
      <c r="E1328" t="n">
        <v>2.114520142</v>
      </c>
      <c r="F1328" t="n">
        <v>2.203414481</v>
      </c>
      <c r="G1328" t="n">
        <v>2.582538179</v>
      </c>
      <c r="H1328" t="n">
        <v>3.01851941</v>
      </c>
    </row>
    <row r="1329">
      <c r="A1329" t="inlineStr">
        <is>
          <t>BRB|mit.inv.bld.2</t>
        </is>
      </c>
      <c r="B1329" t="inlineStr">
        <is>
          <t>BRB</t>
        </is>
      </c>
      <c r="C1329" t="inlineStr">
        <is>
          <t>mit.inv.bld.2</t>
        </is>
      </c>
      <c r="D1329" t="n">
        <v>0</v>
      </c>
      <c r="E1329" t="n">
        <v>0.005819530982</v>
      </c>
      <c r="F1329" t="n">
        <v>0.005917171343</v>
      </c>
      <c r="G1329" t="n">
        <v>0.005774675394</v>
      </c>
      <c r="H1329" t="n">
        <v>0.005669017315</v>
      </c>
    </row>
    <row r="1330">
      <c r="A1330" t="inlineStr">
        <is>
          <t>BRN|mit.inv.bld.2</t>
        </is>
      </c>
      <c r="B1330" t="inlineStr">
        <is>
          <t>BRN</t>
        </is>
      </c>
      <c r="C1330" t="inlineStr">
        <is>
          <t>mit.inv.bld.2</t>
        </is>
      </c>
      <c r="D1330" t="n">
        <v>0</v>
      </c>
      <c r="E1330" t="n">
        <v>0.007756588576</v>
      </c>
      <c r="F1330" t="n">
        <v>0.007922344495000001</v>
      </c>
      <c r="G1330" t="n">
        <v>0.00773500906</v>
      </c>
      <c r="H1330" t="n">
        <v>0.007598023476</v>
      </c>
    </row>
    <row r="1331">
      <c r="A1331" t="inlineStr">
        <is>
          <t>BTN|mit.inv.bld.2</t>
        </is>
      </c>
      <c r="B1331" t="inlineStr">
        <is>
          <t>BTN</t>
        </is>
      </c>
      <c r="C1331" t="inlineStr">
        <is>
          <t>mit.inv.bld.2</t>
        </is>
      </c>
      <c r="D1331" t="n">
        <v>0</v>
      </c>
      <c r="E1331" t="n">
        <v>0.001870690608</v>
      </c>
      <c r="F1331" t="n">
        <v>0.002441551916</v>
      </c>
      <c r="G1331" t="n">
        <v>0.003211175416</v>
      </c>
      <c r="H1331" t="n">
        <v>0.004159878349</v>
      </c>
    </row>
    <row r="1332">
      <c r="A1332" t="inlineStr">
        <is>
          <t>BWA|mit.inv.bld.2</t>
        </is>
      </c>
      <c r="B1332" t="inlineStr">
        <is>
          <t>BWA</t>
        </is>
      </c>
      <c r="C1332" t="inlineStr">
        <is>
          <t>mit.inv.bld.2</t>
        </is>
      </c>
      <c r="D1332" t="n">
        <v>0</v>
      </c>
      <c r="E1332" t="n">
        <v>0.005035824519</v>
      </c>
      <c r="F1332" t="n">
        <v>0.005828187265</v>
      </c>
      <c r="G1332" t="n">
        <v>0.006894702462</v>
      </c>
      <c r="H1332" t="n">
        <v>0.008124070089000001</v>
      </c>
    </row>
    <row r="1333">
      <c r="A1333" t="inlineStr">
        <is>
          <t>CAF|mit.inv.bld.2</t>
        </is>
      </c>
      <c r="B1333" t="inlineStr">
        <is>
          <t>CAF</t>
        </is>
      </c>
      <c r="C1333" t="inlineStr">
        <is>
          <t>mit.inv.bld.2</t>
        </is>
      </c>
      <c r="D1333" t="n">
        <v>0</v>
      </c>
      <c r="E1333" t="n">
        <v>0.002981158192</v>
      </c>
      <c r="F1333" t="n">
        <v>0.003285315851</v>
      </c>
      <c r="G1333" t="n">
        <v>0.004504814433</v>
      </c>
      <c r="H1333" t="n">
        <v>0.006059953724</v>
      </c>
    </row>
    <row r="1334">
      <c r="A1334" t="inlineStr">
        <is>
          <t>CAN|mit.inv.bld.2</t>
        </is>
      </c>
      <c r="B1334" t="inlineStr">
        <is>
          <t>CAN</t>
        </is>
      </c>
      <c r="C1334" t="inlineStr">
        <is>
          <t>mit.inv.bld.2</t>
        </is>
      </c>
      <c r="D1334" t="n">
        <v>0</v>
      </c>
      <c r="E1334" t="n">
        <v>12.41376365</v>
      </c>
      <c r="F1334" t="n">
        <v>11.76527456</v>
      </c>
      <c r="G1334" t="n">
        <v>10.54718915</v>
      </c>
      <c r="H1334" t="n">
        <v>0</v>
      </c>
    </row>
    <row r="1335">
      <c r="A1335" t="inlineStr">
        <is>
          <t>CHE|mit.inv.bld.2</t>
        </is>
      </c>
      <c r="B1335" t="inlineStr">
        <is>
          <t>CHE</t>
        </is>
      </c>
      <c r="C1335" t="inlineStr">
        <is>
          <t>mit.inv.bld.2</t>
        </is>
      </c>
      <c r="D1335" t="n">
        <v>0</v>
      </c>
      <c r="E1335" t="n">
        <v>0.9519395807</v>
      </c>
      <c r="F1335" t="n">
        <v>0.8974358182</v>
      </c>
      <c r="G1335" t="n">
        <v>0.8018128429</v>
      </c>
      <c r="H1335" t="n">
        <v>0</v>
      </c>
    </row>
    <row r="1336">
      <c r="A1336" t="inlineStr">
        <is>
          <t>CHL|mit.inv.bld.2</t>
        </is>
      </c>
      <c r="B1336" t="inlineStr">
        <is>
          <t>CHL</t>
        </is>
      </c>
      <c r="C1336" t="inlineStr">
        <is>
          <t>mit.inv.bld.2</t>
        </is>
      </c>
      <c r="D1336" t="n">
        <v>0</v>
      </c>
      <c r="E1336" t="n">
        <v>0.510772543</v>
      </c>
      <c r="F1336" t="n">
        <v>0.526697919</v>
      </c>
      <c r="G1336" t="n">
        <v>0.5283634992</v>
      </c>
      <c r="H1336" t="n">
        <v>0.5326031172</v>
      </c>
    </row>
    <row r="1337">
      <c r="A1337" t="inlineStr">
        <is>
          <t>CHN|mit.inv.bld.2</t>
        </is>
      </c>
      <c r="B1337" t="inlineStr">
        <is>
          <t>CHN</t>
        </is>
      </c>
      <c r="C1337" t="inlineStr">
        <is>
          <t>mit.inv.bld.2</t>
        </is>
      </c>
      <c r="D1337" t="n">
        <v>0</v>
      </c>
      <c r="E1337" t="n">
        <v>41.29275648</v>
      </c>
      <c r="F1337" t="n">
        <v>44.19408324</v>
      </c>
      <c r="G1337" t="n">
        <v>47.16631402</v>
      </c>
      <c r="H1337" t="n">
        <v>50.60354858</v>
      </c>
    </row>
    <row r="1338">
      <c r="A1338" t="inlineStr">
        <is>
          <t>CIV|mit.inv.bld.2</t>
        </is>
      </c>
      <c r="B1338" t="inlineStr">
        <is>
          <t>CIV</t>
        </is>
      </c>
      <c r="C1338" t="inlineStr">
        <is>
          <t>mit.inv.bld.2</t>
        </is>
      </c>
      <c r="D1338" t="n">
        <v>0</v>
      </c>
      <c r="E1338" t="n">
        <v>0.1353698688</v>
      </c>
      <c r="F1338" t="n">
        <v>0.1634045445</v>
      </c>
      <c r="G1338" t="n">
        <v>0.2054306213</v>
      </c>
      <c r="H1338" t="n">
        <v>0.2571733087</v>
      </c>
    </row>
    <row r="1339">
      <c r="A1339" t="inlineStr">
        <is>
          <t>CMR|mit.inv.bld.2</t>
        </is>
      </c>
      <c r="B1339" t="inlineStr">
        <is>
          <t>CMR</t>
        </is>
      </c>
      <c r="C1339" t="inlineStr">
        <is>
          <t>mit.inv.bld.2</t>
        </is>
      </c>
      <c r="D1339" t="n">
        <v>0</v>
      </c>
      <c r="E1339" t="n">
        <v>0.03601620429</v>
      </c>
      <c r="F1339" t="n">
        <v>0.04057531283</v>
      </c>
      <c r="G1339" t="n">
        <v>0.05333578661</v>
      </c>
      <c r="H1339" t="n">
        <v>0.06909319959</v>
      </c>
    </row>
    <row r="1340">
      <c r="A1340" t="inlineStr">
        <is>
          <t>COD|mit.inv.bld.2</t>
        </is>
      </c>
      <c r="B1340" t="inlineStr">
        <is>
          <t>COD</t>
        </is>
      </c>
      <c r="C1340" t="inlineStr">
        <is>
          <t>mit.inv.bld.2</t>
        </is>
      </c>
      <c r="D1340" t="n">
        <v>0</v>
      </c>
      <c r="E1340" t="n">
        <v>0.004963404603</v>
      </c>
      <c r="F1340" t="n">
        <v>0.00616009836</v>
      </c>
      <c r="G1340" t="n">
        <v>0.008441096359</v>
      </c>
      <c r="H1340" t="n">
        <v>0.01135510776</v>
      </c>
    </row>
    <row r="1341">
      <c r="A1341" t="inlineStr">
        <is>
          <t>COG|mit.inv.bld.2</t>
        </is>
      </c>
      <c r="B1341" t="inlineStr">
        <is>
          <t>COG</t>
        </is>
      </c>
      <c r="C1341" t="inlineStr">
        <is>
          <t>mit.inv.bld.2</t>
        </is>
      </c>
      <c r="D1341" t="n">
        <v>0</v>
      </c>
      <c r="E1341" t="n">
        <v>0.005734051727</v>
      </c>
      <c r="F1341" t="n">
        <v>0.006340100523</v>
      </c>
      <c r="G1341" t="n">
        <v>0.008336709079</v>
      </c>
      <c r="H1341" t="n">
        <v>0.01079968893</v>
      </c>
    </row>
    <row r="1342">
      <c r="A1342" t="inlineStr">
        <is>
          <t>COL|mit.inv.bld.2</t>
        </is>
      </c>
      <c r="B1342" t="inlineStr">
        <is>
          <t>COL</t>
        </is>
      </c>
      <c r="C1342" t="inlineStr">
        <is>
          <t>mit.inv.bld.2</t>
        </is>
      </c>
      <c r="D1342" t="n">
        <v>0</v>
      </c>
      <c r="E1342" t="n">
        <v>0.5978194086</v>
      </c>
      <c r="F1342" t="n">
        <v>0.5998699776</v>
      </c>
      <c r="G1342" t="n">
        <v>0.6271806065</v>
      </c>
      <c r="H1342" t="n">
        <v>0.6583915581999999</v>
      </c>
    </row>
    <row r="1343">
      <c r="A1343" t="inlineStr">
        <is>
          <t>COM|mit.inv.bld.2</t>
        </is>
      </c>
      <c r="B1343" t="inlineStr">
        <is>
          <t>COM</t>
        </is>
      </c>
      <c r="C1343" t="inlineStr">
        <is>
          <t>mit.inv.bld.2</t>
        </is>
      </c>
      <c r="D1343" t="n">
        <v>0</v>
      </c>
      <c r="E1343" t="n">
        <v>0.003059178017</v>
      </c>
      <c r="F1343" t="n">
        <v>0.003558012531</v>
      </c>
      <c r="G1343" t="n">
        <v>0.004875086008</v>
      </c>
      <c r="H1343" t="n">
        <v>0.006558049405</v>
      </c>
    </row>
    <row r="1344">
      <c r="A1344" t="inlineStr">
        <is>
          <t>CPV|mit.inv.bld.2</t>
        </is>
      </c>
      <c r="B1344" t="inlineStr">
        <is>
          <t>CPV</t>
        </is>
      </c>
      <c r="C1344" t="inlineStr">
        <is>
          <t>mit.inv.bld.2</t>
        </is>
      </c>
      <c r="D1344" t="n">
        <v>0</v>
      </c>
      <c r="E1344" t="n">
        <v>0.002936082987</v>
      </c>
      <c r="F1344" t="n">
        <v>0.003485849389</v>
      </c>
      <c r="G1344" t="n">
        <v>0.004580114622</v>
      </c>
      <c r="H1344" t="n">
        <v>0.005933254085</v>
      </c>
    </row>
    <row r="1345">
      <c r="A1345" t="inlineStr">
        <is>
          <t>CRI|mit.inv.bld.2</t>
        </is>
      </c>
      <c r="B1345" t="inlineStr">
        <is>
          <t>CRI</t>
        </is>
      </c>
      <c r="C1345" t="inlineStr">
        <is>
          <t>mit.inv.bld.2</t>
        </is>
      </c>
      <c r="D1345" t="n">
        <v>0</v>
      </c>
      <c r="E1345" t="n">
        <v>0.02561675081</v>
      </c>
      <c r="F1345" t="n">
        <v>0.0288035573</v>
      </c>
      <c r="G1345" t="n">
        <v>0.03470531202</v>
      </c>
      <c r="H1345" t="n">
        <v>0.04152954324</v>
      </c>
    </row>
    <row r="1346">
      <c r="A1346" t="inlineStr">
        <is>
          <t>CYP|mit.inv.bld.2</t>
        </is>
      </c>
      <c r="B1346" t="inlineStr">
        <is>
          <t>CYP</t>
        </is>
      </c>
      <c r="C1346" t="inlineStr">
        <is>
          <t>mit.inv.bld.2</t>
        </is>
      </c>
      <c r="D1346" t="n">
        <v>0</v>
      </c>
      <c r="E1346" t="n">
        <v>0.0182305806</v>
      </c>
      <c r="F1346" t="n">
        <v>0.01974217029</v>
      </c>
      <c r="G1346" t="n">
        <v>0.02068721505</v>
      </c>
      <c r="H1346" t="n">
        <v>0.001053715854</v>
      </c>
    </row>
    <row r="1347">
      <c r="A1347" t="inlineStr">
        <is>
          <t>CZE|mit.inv.bld.2</t>
        </is>
      </c>
      <c r="B1347" t="inlineStr">
        <is>
          <t>CZE</t>
        </is>
      </c>
      <c r="C1347" t="inlineStr">
        <is>
          <t>mit.inv.bld.2</t>
        </is>
      </c>
      <c r="D1347" t="n">
        <v>0</v>
      </c>
      <c r="E1347" t="n">
        <v>1.595003829</v>
      </c>
      <c r="F1347" t="n">
        <v>1.549527885</v>
      </c>
      <c r="G1347" t="n">
        <v>1.410308055</v>
      </c>
      <c r="H1347" t="n">
        <v>0</v>
      </c>
    </row>
    <row r="1348">
      <c r="A1348" t="inlineStr">
        <is>
          <t>DEU|mit.inv.bld.2</t>
        </is>
      </c>
      <c r="B1348" t="inlineStr">
        <is>
          <t>DEU</t>
        </is>
      </c>
      <c r="C1348" t="inlineStr">
        <is>
          <t>mit.inv.bld.2</t>
        </is>
      </c>
      <c r="D1348" t="n">
        <v>0</v>
      </c>
      <c r="E1348" t="n">
        <v>16.71286137</v>
      </c>
      <c r="F1348" t="n">
        <v>15.58876721</v>
      </c>
      <c r="G1348" t="n">
        <v>14.02392476</v>
      </c>
      <c r="H1348" t="n">
        <v>0</v>
      </c>
    </row>
    <row r="1349">
      <c r="A1349" t="inlineStr">
        <is>
          <t>DJI|mit.inv.bld.2</t>
        </is>
      </c>
      <c r="B1349" t="inlineStr">
        <is>
          <t>DJI</t>
        </is>
      </c>
      <c r="C1349" t="inlineStr">
        <is>
          <t>mit.inv.bld.2</t>
        </is>
      </c>
      <c r="D1349" t="n">
        <v>0</v>
      </c>
      <c r="E1349" t="n">
        <v>0.003984618356</v>
      </c>
      <c r="F1349" t="n">
        <v>0.004939409175</v>
      </c>
      <c r="G1349" t="n">
        <v>0.00649106706</v>
      </c>
      <c r="H1349" t="n">
        <v>0.008408774305</v>
      </c>
    </row>
    <row r="1350">
      <c r="A1350" t="inlineStr">
        <is>
          <t>DMA|mit.inv.bld.2</t>
        </is>
      </c>
      <c r="B1350" t="inlineStr">
        <is>
          <t>DMA</t>
        </is>
      </c>
      <c r="C1350" t="inlineStr">
        <is>
          <t>mit.inv.bld.2</t>
        </is>
      </c>
      <c r="D1350" t="n">
        <v>0</v>
      </c>
      <c r="E1350" t="n">
        <v>0.0006932976193</v>
      </c>
      <c r="F1350" t="n">
        <v>0.0007674525256</v>
      </c>
      <c r="G1350" t="n">
        <v>0.0009249512685</v>
      </c>
      <c r="H1350" t="n">
        <v>0.001106827787</v>
      </c>
    </row>
    <row r="1351">
      <c r="A1351" t="inlineStr">
        <is>
          <t>DNK|mit.inv.bld.2</t>
        </is>
      </c>
      <c r="B1351" t="inlineStr">
        <is>
          <t>DNK</t>
        </is>
      </c>
      <c r="C1351" t="inlineStr">
        <is>
          <t>mit.inv.bld.2</t>
        </is>
      </c>
      <c r="D1351" t="n">
        <v>0</v>
      </c>
      <c r="E1351" t="n">
        <v>0.5758462128</v>
      </c>
      <c r="F1351" t="n">
        <v>0.5530790703</v>
      </c>
      <c r="G1351" t="n">
        <v>0.4970260508</v>
      </c>
      <c r="H1351" t="n">
        <v>0</v>
      </c>
    </row>
    <row r="1352">
      <c r="A1352" t="inlineStr">
        <is>
          <t>DOM|mit.inv.bld.2</t>
        </is>
      </c>
      <c r="B1352" t="inlineStr">
        <is>
          <t>DOM</t>
        </is>
      </c>
      <c r="C1352" t="inlineStr">
        <is>
          <t>mit.inv.bld.2</t>
        </is>
      </c>
      <c r="D1352" t="n">
        <v>0</v>
      </c>
      <c r="E1352" t="n">
        <v>0.1374380037</v>
      </c>
      <c r="F1352" t="n">
        <v>0.1544208994</v>
      </c>
      <c r="G1352" t="n">
        <v>0.1841838289</v>
      </c>
      <c r="H1352" t="n">
        <v>0.2186173717</v>
      </c>
    </row>
    <row r="1353">
      <c r="A1353" t="inlineStr">
        <is>
          <t>DZA|mit.inv.bld.2</t>
        </is>
      </c>
      <c r="B1353" t="inlineStr">
        <is>
          <t>DZA</t>
        </is>
      </c>
      <c r="C1353" t="inlineStr">
        <is>
          <t>mit.inv.bld.2</t>
        </is>
      </c>
      <c r="D1353" t="n">
        <v>0</v>
      </c>
      <c r="E1353" t="n">
        <v>2.076112495</v>
      </c>
      <c r="F1353" t="n">
        <v>2.124320091</v>
      </c>
      <c r="G1353" t="n">
        <v>2.145726928</v>
      </c>
      <c r="H1353" t="n">
        <v>2.178990117</v>
      </c>
    </row>
    <row r="1354">
      <c r="A1354" t="inlineStr">
        <is>
          <t>ECU|mit.inv.bld.2</t>
        </is>
      </c>
      <c r="B1354" t="inlineStr">
        <is>
          <t>ECU</t>
        </is>
      </c>
      <c r="C1354" t="inlineStr">
        <is>
          <t>mit.inv.bld.2</t>
        </is>
      </c>
      <c r="D1354" t="n">
        <v>0</v>
      </c>
      <c r="E1354" t="n">
        <v>0.2286396501</v>
      </c>
      <c r="F1354" t="n">
        <v>0.2472353976</v>
      </c>
      <c r="G1354" t="n">
        <v>0.2981047538</v>
      </c>
      <c r="H1354" t="n">
        <v>0.3566989348</v>
      </c>
    </row>
    <row r="1355">
      <c r="A1355" t="inlineStr">
        <is>
          <t>EGY|mit.inv.bld.2</t>
        </is>
      </c>
      <c r="B1355" t="inlineStr">
        <is>
          <t>EGY</t>
        </is>
      </c>
      <c r="C1355" t="inlineStr">
        <is>
          <t>mit.inv.bld.2</t>
        </is>
      </c>
      <c r="D1355" t="n">
        <v>0</v>
      </c>
      <c r="E1355" t="n">
        <v>0.9244998075999999</v>
      </c>
      <c r="F1355" t="n">
        <v>1.029013974</v>
      </c>
      <c r="G1355" t="n">
        <v>1.256613641</v>
      </c>
      <c r="H1355" t="n">
        <v>1.535445198</v>
      </c>
    </row>
    <row r="1356">
      <c r="A1356" t="inlineStr">
        <is>
          <t>ESP|mit.inv.bld.2</t>
        </is>
      </c>
      <c r="B1356" t="inlineStr">
        <is>
          <t>ESP</t>
        </is>
      </c>
      <c r="C1356" t="inlineStr">
        <is>
          <t>mit.inv.bld.2</t>
        </is>
      </c>
      <c r="D1356" t="n">
        <v>0</v>
      </c>
      <c r="E1356" t="n">
        <v>3.540664694</v>
      </c>
      <c r="F1356" t="n">
        <v>3.438690062</v>
      </c>
      <c r="G1356" t="n">
        <v>3.145995432</v>
      </c>
      <c r="H1356" t="n">
        <v>0</v>
      </c>
    </row>
    <row r="1357">
      <c r="A1357" t="inlineStr">
        <is>
          <t>EST|mit.inv.bld.2</t>
        </is>
      </c>
      <c r="B1357" t="inlineStr">
        <is>
          <t>EST</t>
        </is>
      </c>
      <c r="C1357" t="inlineStr">
        <is>
          <t>mit.inv.bld.2</t>
        </is>
      </c>
      <c r="D1357" t="n">
        <v>0</v>
      </c>
      <c r="E1357" t="n">
        <v>0.07346143549</v>
      </c>
      <c r="F1357" t="n">
        <v>0.06952133374</v>
      </c>
      <c r="G1357" t="n">
        <v>0.06235873468</v>
      </c>
      <c r="H1357" t="n">
        <v>0</v>
      </c>
    </row>
    <row r="1358">
      <c r="A1358" t="inlineStr">
        <is>
          <t>ETH|mit.inv.bld.2</t>
        </is>
      </c>
      <c r="B1358" t="inlineStr">
        <is>
          <t>ETH</t>
        </is>
      </c>
      <c r="C1358" t="inlineStr">
        <is>
          <t>mit.inv.bld.2</t>
        </is>
      </c>
      <c r="D1358" t="n">
        <v>0</v>
      </c>
      <c r="E1358" t="n">
        <v>0.01025171965</v>
      </c>
      <c r="F1358" t="n">
        <v>0.01425246864</v>
      </c>
      <c r="G1358" t="n">
        <v>0.01958299626</v>
      </c>
      <c r="H1358" t="n">
        <v>0.02634338282</v>
      </c>
    </row>
    <row r="1359">
      <c r="A1359" t="inlineStr">
        <is>
          <t>FIN|mit.inv.bld.2</t>
        </is>
      </c>
      <c r="B1359" t="inlineStr">
        <is>
          <t>FIN</t>
        </is>
      </c>
      <c r="C1359" t="inlineStr">
        <is>
          <t>mit.inv.bld.2</t>
        </is>
      </c>
      <c r="D1359" t="n">
        <v>0</v>
      </c>
      <c r="E1359" t="n">
        <v>0.06021961155</v>
      </c>
      <c r="F1359" t="n">
        <v>0.05746374558</v>
      </c>
      <c r="G1359" t="n">
        <v>0.05354676195</v>
      </c>
      <c r="H1359" t="n">
        <v>0</v>
      </c>
    </row>
    <row r="1360">
      <c r="A1360" t="inlineStr">
        <is>
          <t>FJI|mit.inv.bld.2</t>
        </is>
      </c>
      <c r="B1360" t="inlineStr">
        <is>
          <t>FJI</t>
        </is>
      </c>
      <c r="C1360" t="inlineStr">
        <is>
          <t>mit.inv.bld.2</t>
        </is>
      </c>
      <c r="D1360" t="n">
        <v>0</v>
      </c>
      <c r="E1360" t="n">
        <v>0.009063170415</v>
      </c>
      <c r="F1360" t="n">
        <v>0.009771391333</v>
      </c>
      <c r="G1360" t="n">
        <v>0.01178376705</v>
      </c>
      <c r="H1360" t="n">
        <v>0.01410085186</v>
      </c>
    </row>
    <row r="1361">
      <c r="A1361" t="inlineStr">
        <is>
          <t>FRA|mit.inv.bld.2</t>
        </is>
      </c>
      <c r="B1361" t="inlineStr">
        <is>
          <t>FRA</t>
        </is>
      </c>
      <c r="C1361" t="inlineStr">
        <is>
          <t>mit.inv.bld.2</t>
        </is>
      </c>
      <c r="D1361" t="n">
        <v>0</v>
      </c>
      <c r="E1361" t="n">
        <v>8.234405443</v>
      </c>
      <c r="F1361" t="n">
        <v>7.734769442</v>
      </c>
      <c r="G1361" t="n">
        <v>7.053691059</v>
      </c>
      <c r="H1361" t="n">
        <v>0</v>
      </c>
    </row>
    <row r="1362">
      <c r="A1362" t="inlineStr">
        <is>
          <t>GAB|mit.inv.bld.2</t>
        </is>
      </c>
      <c r="B1362" t="inlineStr">
        <is>
          <t>GAB</t>
        </is>
      </c>
      <c r="C1362" t="inlineStr">
        <is>
          <t>mit.inv.bld.2</t>
        </is>
      </c>
      <c r="D1362" t="n">
        <v>0</v>
      </c>
      <c r="E1362" t="n">
        <v>0.006372752767</v>
      </c>
      <c r="F1362" t="n">
        <v>0.006879765199</v>
      </c>
      <c r="G1362" t="n">
        <v>0.008186212343</v>
      </c>
      <c r="H1362" t="n">
        <v>0.009693619452999999</v>
      </c>
    </row>
    <row r="1363">
      <c r="A1363" t="inlineStr">
        <is>
          <t>GBR|mit.inv.bld.2</t>
        </is>
      </c>
      <c r="B1363" t="inlineStr">
        <is>
          <t>GBR</t>
        </is>
      </c>
      <c r="C1363" t="inlineStr">
        <is>
          <t>mit.inv.bld.2</t>
        </is>
      </c>
      <c r="D1363" t="n">
        <v>0</v>
      </c>
      <c r="E1363" t="n">
        <v>14.55877853</v>
      </c>
      <c r="F1363" t="n">
        <v>13.61834567</v>
      </c>
      <c r="G1363" t="n">
        <v>12.33679856</v>
      </c>
      <c r="H1363" t="n">
        <v>0</v>
      </c>
    </row>
    <row r="1364">
      <c r="A1364" t="inlineStr">
        <is>
          <t>GEO|mit.inv.bld.2</t>
        </is>
      </c>
      <c r="B1364" t="inlineStr">
        <is>
          <t>GEO</t>
        </is>
      </c>
      <c r="C1364" t="inlineStr">
        <is>
          <t>mit.inv.bld.2</t>
        </is>
      </c>
      <c r="D1364" t="n">
        <v>0</v>
      </c>
      <c r="E1364" t="n">
        <v>0.2606181066</v>
      </c>
      <c r="F1364" t="n">
        <v>0.2735377416</v>
      </c>
      <c r="G1364" t="n">
        <v>0.28386856</v>
      </c>
      <c r="H1364" t="n">
        <v>0.2949202145</v>
      </c>
    </row>
    <row r="1365">
      <c r="A1365" t="inlineStr">
        <is>
          <t>GHA|mit.inv.bld.2</t>
        </is>
      </c>
      <c r="B1365" t="inlineStr">
        <is>
          <t>GHA</t>
        </is>
      </c>
      <c r="C1365" t="inlineStr">
        <is>
          <t>mit.inv.bld.2</t>
        </is>
      </c>
      <c r="D1365" t="n">
        <v>0</v>
      </c>
      <c r="E1365" t="n">
        <v>0.05073223929</v>
      </c>
      <c r="F1365" t="n">
        <v>0.0601515522</v>
      </c>
      <c r="G1365" t="n">
        <v>0.07903429517</v>
      </c>
      <c r="H1365" t="n">
        <v>0.1023840217</v>
      </c>
    </row>
    <row r="1366">
      <c r="A1366" t="inlineStr">
        <is>
          <t>GIN|mit.inv.bld.2</t>
        </is>
      </c>
      <c r="B1366" t="inlineStr">
        <is>
          <t>GIN</t>
        </is>
      </c>
      <c r="C1366" t="inlineStr">
        <is>
          <t>mit.inv.bld.2</t>
        </is>
      </c>
      <c r="D1366" t="n">
        <v>0</v>
      </c>
      <c r="E1366" t="n">
        <v>0.001035762157</v>
      </c>
      <c r="F1366" t="n">
        <v>0.001414655181</v>
      </c>
      <c r="G1366" t="n">
        <v>0.00194250703</v>
      </c>
      <c r="H1366" t="n">
        <v>0.00261309381</v>
      </c>
    </row>
    <row r="1367">
      <c r="A1367" t="inlineStr">
        <is>
          <t>GMB|mit.inv.bld.2</t>
        </is>
      </c>
      <c r="B1367" t="inlineStr">
        <is>
          <t>GMB</t>
        </is>
      </c>
      <c r="C1367" t="inlineStr">
        <is>
          <t>mit.inv.bld.2</t>
        </is>
      </c>
      <c r="D1367" t="n">
        <v>0</v>
      </c>
      <c r="E1367" t="n">
        <v>0</v>
      </c>
      <c r="F1367" t="n">
        <v>0</v>
      </c>
      <c r="G1367" t="n">
        <v>0</v>
      </c>
      <c r="H1367" t="n">
        <v>0</v>
      </c>
    </row>
    <row r="1368">
      <c r="A1368" t="inlineStr">
        <is>
          <t>GNB|mit.inv.bld.2</t>
        </is>
      </c>
      <c r="B1368" t="inlineStr">
        <is>
          <t>GNB</t>
        </is>
      </c>
      <c r="C1368" t="inlineStr">
        <is>
          <t>mit.inv.bld.2</t>
        </is>
      </c>
      <c r="D1368" t="n">
        <v>0</v>
      </c>
      <c r="E1368" t="n">
        <v>2.110367344e-05</v>
      </c>
      <c r="F1368" t="n">
        <v>2.527758362e-05</v>
      </c>
      <c r="G1368" t="n">
        <v>3.463132154e-05</v>
      </c>
      <c r="H1368" t="n">
        <v>4.658664837e-05</v>
      </c>
    </row>
    <row r="1369">
      <c r="A1369" t="inlineStr">
        <is>
          <t>GNQ|mit.inv.bld.2</t>
        </is>
      </c>
      <c r="B1369" t="inlineStr">
        <is>
          <t>GNQ</t>
        </is>
      </c>
      <c r="C1369" t="inlineStr">
        <is>
          <t>mit.inv.bld.2</t>
        </is>
      </c>
      <c r="D1369" t="n">
        <v>0</v>
      </c>
      <c r="E1369" t="n">
        <v>0.004244744779</v>
      </c>
      <c r="F1369" t="n">
        <v>0.003743934107</v>
      </c>
      <c r="G1369" t="n">
        <v>0.004562639016</v>
      </c>
      <c r="H1369" t="n">
        <v>0.005459807254</v>
      </c>
    </row>
    <row r="1370">
      <c r="A1370" t="inlineStr">
        <is>
          <t>GRC|mit.inv.bld.2</t>
        </is>
      </c>
      <c r="B1370" t="inlineStr">
        <is>
          <t>GRC</t>
        </is>
      </c>
      <c r="C1370" t="inlineStr">
        <is>
          <t>mit.inv.bld.2</t>
        </is>
      </c>
      <c r="D1370" t="n">
        <v>0</v>
      </c>
      <c r="E1370" t="n">
        <v>0.4382473684</v>
      </c>
      <c r="F1370" t="n">
        <v>0.4261742993</v>
      </c>
      <c r="G1370" t="n">
        <v>0.3970200652</v>
      </c>
      <c r="H1370" t="n">
        <v>0</v>
      </c>
    </row>
    <row r="1371">
      <c r="A1371" t="inlineStr">
        <is>
          <t>GRD|mit.inv.bld.2</t>
        </is>
      </c>
      <c r="B1371" t="inlineStr">
        <is>
          <t>GRD</t>
        </is>
      </c>
      <c r="C1371" t="inlineStr">
        <is>
          <t>mit.inv.bld.2</t>
        </is>
      </c>
      <c r="D1371" t="n">
        <v>0</v>
      </c>
      <c r="E1371" t="n">
        <v>0.001087693421</v>
      </c>
      <c r="F1371" t="n">
        <v>0.001202916601</v>
      </c>
      <c r="G1371" t="n">
        <v>0.001449808637</v>
      </c>
      <c r="H1371" t="n">
        <v>0.001734889761</v>
      </c>
    </row>
    <row r="1372">
      <c r="A1372" t="inlineStr">
        <is>
          <t>GTM|mit.inv.bld.2</t>
        </is>
      </c>
      <c r="B1372" t="inlineStr">
        <is>
          <t>GTM</t>
        </is>
      </c>
      <c r="C1372" t="inlineStr">
        <is>
          <t>mit.inv.bld.2</t>
        </is>
      </c>
      <c r="D1372" t="n">
        <v>0</v>
      </c>
      <c r="E1372" t="n">
        <v>0.1055474208</v>
      </c>
      <c r="F1372" t="n">
        <v>0.1203455029</v>
      </c>
      <c r="G1372" t="n">
        <v>0.1449766107</v>
      </c>
      <c r="H1372" t="n">
        <v>0.1734838868</v>
      </c>
    </row>
    <row r="1373">
      <c r="A1373" t="inlineStr">
        <is>
          <t>GUY|mit.inv.bld.2</t>
        </is>
      </c>
      <c r="B1373" t="inlineStr">
        <is>
          <t>GUY</t>
        </is>
      </c>
      <c r="C1373" t="inlineStr">
        <is>
          <t>mit.inv.bld.2</t>
        </is>
      </c>
      <c r="D1373" t="n">
        <v>0</v>
      </c>
      <c r="E1373" t="n">
        <v>0.007808097922</v>
      </c>
      <c r="F1373" t="n">
        <v>0.01340108112</v>
      </c>
      <c r="G1373" t="n">
        <v>0.01641199029</v>
      </c>
      <c r="H1373" t="n">
        <v>0.01963913939</v>
      </c>
    </row>
    <row r="1374">
      <c r="A1374" t="inlineStr">
        <is>
          <t>HKG|mit.inv.bld.2</t>
        </is>
      </c>
      <c r="B1374" t="inlineStr">
        <is>
          <t>HKG</t>
        </is>
      </c>
      <c r="C1374" t="inlineStr">
        <is>
          <t>mit.inv.bld.2</t>
        </is>
      </c>
      <c r="D1374" t="n">
        <v>0</v>
      </c>
      <c r="E1374" t="n">
        <v>0.2316990376</v>
      </c>
      <c r="F1374" t="n">
        <v>0.2263489813</v>
      </c>
      <c r="G1374" t="n">
        <v>0.2060109985</v>
      </c>
      <c r="H1374" t="n">
        <v>0</v>
      </c>
    </row>
    <row r="1375">
      <c r="A1375" t="inlineStr">
        <is>
          <t>HND|mit.inv.bld.2</t>
        </is>
      </c>
      <c r="B1375" t="inlineStr">
        <is>
          <t>HND</t>
        </is>
      </c>
      <c r="C1375" t="inlineStr">
        <is>
          <t>mit.inv.bld.2</t>
        </is>
      </c>
      <c r="D1375" t="n">
        <v>0</v>
      </c>
      <c r="E1375" t="n">
        <v>0.02374507048</v>
      </c>
      <c r="F1375" t="n">
        <v>0.02670758082</v>
      </c>
      <c r="G1375" t="n">
        <v>0.0351076762</v>
      </c>
      <c r="H1375" t="n">
        <v>0.04547981446</v>
      </c>
    </row>
    <row r="1376">
      <c r="A1376" t="inlineStr">
        <is>
          <t>HRV|mit.inv.bld.2</t>
        </is>
      </c>
      <c r="B1376" t="inlineStr">
        <is>
          <t>HRV</t>
        </is>
      </c>
      <c r="C1376" t="inlineStr">
        <is>
          <t>mit.inv.bld.2</t>
        </is>
      </c>
      <c r="D1376" t="n">
        <v>0</v>
      </c>
      <c r="E1376" t="n">
        <v>0.3269743824</v>
      </c>
      <c r="F1376" t="n">
        <v>0.3193748976</v>
      </c>
      <c r="G1376" t="n">
        <v>0.2876207301</v>
      </c>
      <c r="H1376" t="n">
        <v>0</v>
      </c>
    </row>
    <row r="1377">
      <c r="A1377" t="inlineStr">
        <is>
          <t>HTI|mit.inv.bld.2</t>
        </is>
      </c>
      <c r="B1377" t="inlineStr">
        <is>
          <t>HTI</t>
        </is>
      </c>
      <c r="C1377" t="inlineStr">
        <is>
          <t>mit.inv.bld.2</t>
        </is>
      </c>
      <c r="D1377" t="n">
        <v>0</v>
      </c>
      <c r="E1377" t="n">
        <v>0.02312382282</v>
      </c>
      <c r="F1377" t="n">
        <v>0.02158406965</v>
      </c>
      <c r="G1377" t="n">
        <v>0.0298041949</v>
      </c>
      <c r="H1377" t="n">
        <v>0.04009311473</v>
      </c>
    </row>
    <row r="1378">
      <c r="A1378" t="inlineStr">
        <is>
          <t>HUN|mit.inv.bld.2</t>
        </is>
      </c>
      <c r="B1378" t="inlineStr">
        <is>
          <t>HUN</t>
        </is>
      </c>
      <c r="C1378" t="inlineStr">
        <is>
          <t>mit.inv.bld.2</t>
        </is>
      </c>
      <c r="D1378" t="n">
        <v>0</v>
      </c>
      <c r="E1378" t="n">
        <v>1.336052484</v>
      </c>
      <c r="F1378" t="n">
        <v>1.270856803</v>
      </c>
      <c r="G1378" t="n">
        <v>1.138422461</v>
      </c>
      <c r="H1378" t="n">
        <v>1.016946871</v>
      </c>
    </row>
    <row r="1379">
      <c r="A1379" t="inlineStr">
        <is>
          <t>IDN|mit.inv.bld.2</t>
        </is>
      </c>
      <c r="B1379" t="inlineStr">
        <is>
          <t>IDN</t>
        </is>
      </c>
      <c r="C1379" t="inlineStr">
        <is>
          <t>mit.inv.bld.2</t>
        </is>
      </c>
      <c r="D1379" t="n">
        <v>0</v>
      </c>
      <c r="E1379" t="n">
        <v>2.25881565</v>
      </c>
      <c r="F1379" t="n">
        <v>2.692872322</v>
      </c>
      <c r="G1379" t="n">
        <v>3.52950344</v>
      </c>
      <c r="H1379" t="n">
        <v>4.56386761</v>
      </c>
    </row>
    <row r="1380">
      <c r="A1380" t="inlineStr">
        <is>
          <t>IND|mit.inv.bld.2</t>
        </is>
      </c>
      <c r="B1380" t="inlineStr">
        <is>
          <t>IND</t>
        </is>
      </c>
      <c r="C1380" t="inlineStr">
        <is>
          <t>mit.inv.bld.2</t>
        </is>
      </c>
      <c r="D1380" t="n">
        <v>0</v>
      </c>
      <c r="E1380" t="n">
        <v>9.929821958</v>
      </c>
      <c r="F1380" t="n">
        <v>12.12944704</v>
      </c>
      <c r="G1380" t="n">
        <v>15.33711972</v>
      </c>
      <c r="H1380" t="n">
        <v>19.26235728</v>
      </c>
    </row>
    <row r="1381">
      <c r="A1381" t="inlineStr">
        <is>
          <t>IRL|mit.inv.bld.2</t>
        </is>
      </c>
      <c r="B1381" t="inlineStr">
        <is>
          <t>IRL</t>
        </is>
      </c>
      <c r="C1381" t="inlineStr">
        <is>
          <t>mit.inv.bld.2</t>
        </is>
      </c>
      <c r="D1381" t="n">
        <v>0</v>
      </c>
      <c r="E1381" t="n">
        <v>1.204594241</v>
      </c>
      <c r="F1381" t="n">
        <v>1.215445679</v>
      </c>
      <c r="G1381" t="n">
        <v>1.169585672</v>
      </c>
      <c r="H1381" t="n">
        <v>0</v>
      </c>
    </row>
    <row r="1382">
      <c r="A1382" t="inlineStr">
        <is>
          <t>IRN|mit.inv.bld.2</t>
        </is>
      </c>
      <c r="B1382" t="inlineStr">
        <is>
          <t>IRN</t>
        </is>
      </c>
      <c r="C1382" t="inlineStr">
        <is>
          <t>mit.inv.bld.2</t>
        </is>
      </c>
      <c r="D1382" t="n">
        <v>0</v>
      </c>
      <c r="E1382" t="n">
        <v>10.74314148</v>
      </c>
      <c r="F1382" t="n">
        <v>8.492219374999999</v>
      </c>
      <c r="G1382" t="n">
        <v>8.578283416</v>
      </c>
      <c r="H1382" t="n">
        <v>8.528595882999999</v>
      </c>
    </row>
    <row r="1383">
      <c r="A1383" t="inlineStr">
        <is>
          <t>IRQ|mit.inv.bld.2</t>
        </is>
      </c>
      <c r="B1383" t="inlineStr">
        <is>
          <t>IRQ</t>
        </is>
      </c>
      <c r="C1383" t="inlineStr">
        <is>
          <t>mit.inv.bld.2</t>
        </is>
      </c>
      <c r="D1383" t="n">
        <v>0</v>
      </c>
      <c r="E1383" t="n">
        <v>0.8657989186</v>
      </c>
      <c r="F1383" t="n">
        <v>0.6412456026</v>
      </c>
      <c r="G1383" t="n">
        <v>0.7954834731</v>
      </c>
      <c r="H1383" t="n">
        <v>0.9519022700999999</v>
      </c>
    </row>
    <row r="1384">
      <c r="A1384" t="inlineStr">
        <is>
          <t>ISL|mit.inv.bld.2</t>
        </is>
      </c>
      <c r="B1384" t="inlineStr">
        <is>
          <t>ISL</t>
        </is>
      </c>
      <c r="C1384" t="inlineStr">
        <is>
          <t>mit.inv.bld.2</t>
        </is>
      </c>
      <c r="D1384" t="n">
        <v>0</v>
      </c>
      <c r="E1384" t="n">
        <v>0.0005806689447</v>
      </c>
      <c r="F1384" t="n">
        <v>0.0006042946532</v>
      </c>
      <c r="G1384" t="n">
        <v>0.000633974846</v>
      </c>
      <c r="H1384" t="n">
        <v>3.229189354e-05</v>
      </c>
    </row>
    <row r="1385">
      <c r="A1385" t="inlineStr">
        <is>
          <t>ISR|mit.inv.bld.2</t>
        </is>
      </c>
      <c r="B1385" t="inlineStr">
        <is>
          <t>ISR</t>
        </is>
      </c>
      <c r="C1385" t="inlineStr">
        <is>
          <t>mit.inv.bld.2</t>
        </is>
      </c>
      <c r="D1385" t="n">
        <v>0</v>
      </c>
      <c r="E1385" t="n">
        <v>0.08666393696999999</v>
      </c>
      <c r="F1385" t="n">
        <v>0.09589313551</v>
      </c>
      <c r="G1385" t="n">
        <v>0.1004361112</v>
      </c>
      <c r="H1385" t="n">
        <v>0.00511577428</v>
      </c>
    </row>
    <row r="1386">
      <c r="A1386" t="inlineStr">
        <is>
          <t>ITA|mit.inv.bld.2</t>
        </is>
      </c>
      <c r="B1386" t="inlineStr">
        <is>
          <t>ITA</t>
        </is>
      </c>
      <c r="C1386" t="inlineStr">
        <is>
          <t>mit.inv.bld.2</t>
        </is>
      </c>
      <c r="D1386" t="n">
        <v>0</v>
      </c>
      <c r="E1386" t="n">
        <v>9.655765905000001</v>
      </c>
      <c r="F1386" t="n">
        <v>8.957402537</v>
      </c>
      <c r="G1386" t="n">
        <v>8.089048483999999</v>
      </c>
      <c r="H1386" t="n">
        <v>0</v>
      </c>
    </row>
    <row r="1387">
      <c r="A1387" t="inlineStr">
        <is>
          <t>JAM|mit.inv.bld.2</t>
        </is>
      </c>
      <c r="B1387" t="inlineStr">
        <is>
          <t>JAM</t>
        </is>
      </c>
      <c r="C1387" t="inlineStr">
        <is>
          <t>mit.inv.bld.2</t>
        </is>
      </c>
      <c r="D1387" t="n">
        <v>0</v>
      </c>
      <c r="E1387" t="n">
        <v>0.01749557362</v>
      </c>
      <c r="F1387" t="n">
        <v>0.01642069526</v>
      </c>
      <c r="G1387" t="n">
        <v>0.01992410385</v>
      </c>
      <c r="H1387" t="n">
        <v>0.02384185257</v>
      </c>
    </row>
    <row r="1388">
      <c r="A1388" t="inlineStr">
        <is>
          <t>JOR|mit.inv.bld.2</t>
        </is>
      </c>
      <c r="B1388" t="inlineStr">
        <is>
          <t>JOR</t>
        </is>
      </c>
      <c r="C1388" t="inlineStr">
        <is>
          <t>mit.inv.bld.2</t>
        </is>
      </c>
      <c r="D1388" t="n">
        <v>0</v>
      </c>
      <c r="E1388" t="n">
        <v>0.1051383372</v>
      </c>
      <c r="F1388" t="n">
        <v>0.1147113954</v>
      </c>
      <c r="G1388" t="n">
        <v>0.1382952053</v>
      </c>
      <c r="H1388" t="n">
        <v>0.1654886925</v>
      </c>
    </row>
    <row r="1389">
      <c r="A1389" t="inlineStr">
        <is>
          <t>JPN|mit.inv.bld.2</t>
        </is>
      </c>
      <c r="B1389" t="inlineStr">
        <is>
          <t>JPN</t>
        </is>
      </c>
      <c r="C1389" t="inlineStr">
        <is>
          <t>mit.inv.bld.2</t>
        </is>
      </c>
      <c r="D1389" t="n">
        <v>0</v>
      </c>
      <c r="E1389" t="n">
        <v>10.97501336</v>
      </c>
      <c r="F1389" t="n">
        <v>10.47142248</v>
      </c>
      <c r="G1389" t="n">
        <v>10.02345394</v>
      </c>
      <c r="H1389" t="n">
        <v>0</v>
      </c>
    </row>
    <row r="1390">
      <c r="A1390" t="inlineStr">
        <is>
          <t>KAZ|mit.inv.bld.2</t>
        </is>
      </c>
      <c r="B1390" t="inlineStr">
        <is>
          <t>KAZ</t>
        </is>
      </c>
      <c r="C1390" t="inlineStr">
        <is>
          <t>mit.inv.bld.2</t>
        </is>
      </c>
      <c r="D1390" t="n">
        <v>0</v>
      </c>
      <c r="E1390" t="n">
        <v>2.051184533</v>
      </c>
      <c r="F1390" t="n">
        <v>2.174484785</v>
      </c>
      <c r="G1390" t="n">
        <v>2.266611551</v>
      </c>
      <c r="H1390" t="n">
        <v>2.372334596</v>
      </c>
    </row>
    <row r="1391">
      <c r="A1391" t="inlineStr">
        <is>
          <t>KEN|mit.inv.bld.2</t>
        </is>
      </c>
      <c r="B1391" t="inlineStr">
        <is>
          <t>KEN</t>
        </is>
      </c>
      <c r="C1391" t="inlineStr">
        <is>
          <t>mit.inv.bld.2</t>
        </is>
      </c>
      <c r="D1391" t="n">
        <v>0</v>
      </c>
      <c r="E1391" t="n">
        <v>0.07552960246</v>
      </c>
      <c r="F1391" t="n">
        <v>0.08866691287</v>
      </c>
      <c r="G1391" t="n">
        <v>0.1165048932</v>
      </c>
      <c r="H1391" t="n">
        <v>0.1509248546</v>
      </c>
    </row>
    <row r="1392">
      <c r="A1392" t="inlineStr">
        <is>
          <t>KGZ|mit.inv.bld.2</t>
        </is>
      </c>
      <c r="B1392" t="inlineStr">
        <is>
          <t>KGZ</t>
        </is>
      </c>
      <c r="C1392" t="inlineStr">
        <is>
          <t>mit.inv.bld.2</t>
        </is>
      </c>
      <c r="D1392" t="n">
        <v>0</v>
      </c>
      <c r="E1392" t="n">
        <v>0.1247264213</v>
      </c>
      <c r="F1392" t="n">
        <v>0.1400722601</v>
      </c>
      <c r="G1392" t="n">
        <v>0.1597145464</v>
      </c>
      <c r="H1392" t="n">
        <v>0.182452943</v>
      </c>
    </row>
    <row r="1393">
      <c r="A1393" t="inlineStr">
        <is>
          <t>KHM|mit.inv.bld.2</t>
        </is>
      </c>
      <c r="B1393" t="inlineStr">
        <is>
          <t>KHM</t>
        </is>
      </c>
      <c r="C1393" t="inlineStr">
        <is>
          <t>mit.inv.bld.2</t>
        </is>
      </c>
      <c r="D1393" t="n">
        <v>0</v>
      </c>
      <c r="E1393" t="n">
        <v>0.04586295866</v>
      </c>
      <c r="F1393" t="n">
        <v>0.05296551371</v>
      </c>
      <c r="G1393" t="n">
        <v>0.06960212472000001</v>
      </c>
      <c r="H1393" t="n">
        <v>0.09016523053</v>
      </c>
    </row>
    <row r="1394">
      <c r="A1394" t="inlineStr">
        <is>
          <t>KNA|mit.inv.bld.2</t>
        </is>
      </c>
      <c r="B1394" t="inlineStr">
        <is>
          <t>KNA</t>
        </is>
      </c>
      <c r="C1394" t="inlineStr">
        <is>
          <t>mit.inv.bld.2</t>
        </is>
      </c>
      <c r="D1394" t="n">
        <v>0</v>
      </c>
      <c r="E1394" t="n">
        <v>0.0005933110176</v>
      </c>
      <c r="F1394" t="n">
        <v>0.0006206857959</v>
      </c>
      <c r="G1394" t="n">
        <v>0.0006510540495</v>
      </c>
      <c r="H1394" t="n">
        <v>0.000683038362</v>
      </c>
    </row>
    <row r="1395">
      <c r="A1395" t="inlineStr">
        <is>
          <t>KOR|mit.inv.bld.2</t>
        </is>
      </c>
      <c r="B1395" t="inlineStr">
        <is>
          <t>KOR</t>
        </is>
      </c>
      <c r="C1395" t="inlineStr">
        <is>
          <t>mit.inv.bld.2</t>
        </is>
      </c>
      <c r="D1395" t="n">
        <v>0</v>
      </c>
      <c r="E1395" t="n">
        <v>6.660879113</v>
      </c>
      <c r="F1395" t="n">
        <v>6.475523419</v>
      </c>
      <c r="G1395" t="n">
        <v>6.009058288</v>
      </c>
      <c r="H1395" t="n">
        <v>0</v>
      </c>
    </row>
    <row r="1396">
      <c r="A1396" t="inlineStr">
        <is>
          <t>KWT|mit.inv.bld.2</t>
        </is>
      </c>
      <c r="B1396" t="inlineStr">
        <is>
          <t>KWT</t>
        </is>
      </c>
      <c r="C1396" t="inlineStr">
        <is>
          <t>mit.inv.bld.2</t>
        </is>
      </c>
      <c r="D1396" t="n">
        <v>0</v>
      </c>
      <c r="E1396" t="n">
        <v>0.1067804777</v>
      </c>
      <c r="F1396" t="n">
        <v>0.1009432441</v>
      </c>
      <c r="G1396" t="n">
        <v>0.1063873693</v>
      </c>
      <c r="H1396" t="n">
        <v>0.1116138584</v>
      </c>
    </row>
    <row r="1397">
      <c r="A1397" t="inlineStr">
        <is>
          <t>LAO|mit.inv.bld.2</t>
        </is>
      </c>
      <c r="B1397" t="inlineStr">
        <is>
          <t>LAO</t>
        </is>
      </c>
      <c r="C1397" t="inlineStr">
        <is>
          <t>mit.inv.bld.2</t>
        </is>
      </c>
      <c r="D1397" t="n">
        <v>0</v>
      </c>
      <c r="E1397" t="n">
        <v>0.001525040877</v>
      </c>
      <c r="F1397" t="n">
        <v>0.001760639525</v>
      </c>
      <c r="G1397" t="n">
        <v>0.002313667753</v>
      </c>
      <c r="H1397" t="n">
        <v>0.002997212903</v>
      </c>
    </row>
    <row r="1398">
      <c r="A1398" t="inlineStr">
        <is>
          <t>LBN|mit.inv.bld.2</t>
        </is>
      </c>
      <c r="B1398" t="inlineStr">
        <is>
          <t>LBN</t>
        </is>
      </c>
      <c r="C1398" t="inlineStr">
        <is>
          <t>mit.inv.bld.2</t>
        </is>
      </c>
      <c r="D1398" t="n">
        <v>0</v>
      </c>
      <c r="E1398" t="n">
        <v>0.06250760659</v>
      </c>
      <c r="F1398" t="n">
        <v>0.06884229338</v>
      </c>
      <c r="G1398" t="n">
        <v>0.08297873423</v>
      </c>
      <c r="H1398" t="n">
        <v>0.09929514334</v>
      </c>
    </row>
    <row r="1399">
      <c r="A1399" t="inlineStr">
        <is>
          <t>LBR|mit.inv.bld.2</t>
        </is>
      </c>
      <c r="B1399" t="inlineStr">
        <is>
          <t>LBR</t>
        </is>
      </c>
      <c r="C1399" t="inlineStr">
        <is>
          <t>mit.inv.bld.2</t>
        </is>
      </c>
      <c r="D1399" t="n">
        <v>0</v>
      </c>
      <c r="E1399" t="n">
        <v>0</v>
      </c>
      <c r="F1399" t="n">
        <v>0</v>
      </c>
      <c r="G1399" t="n">
        <v>0</v>
      </c>
      <c r="H1399" t="n">
        <v>0</v>
      </c>
    </row>
    <row r="1400">
      <c r="A1400" t="inlineStr">
        <is>
          <t>LBY|mit.inv.bld.2</t>
        </is>
      </c>
      <c r="B1400" t="inlineStr">
        <is>
          <t>LBY</t>
        </is>
      </c>
      <c r="C1400" t="inlineStr">
        <is>
          <t>mit.inv.bld.2</t>
        </is>
      </c>
      <c r="D1400" t="n">
        <v>0</v>
      </c>
      <c r="E1400" t="n">
        <v>0.09327980875</v>
      </c>
      <c r="F1400" t="n">
        <v>0.1174913793</v>
      </c>
      <c r="G1400" t="n">
        <v>0.1415536496</v>
      </c>
      <c r="H1400" t="n">
        <v>0.1693878565</v>
      </c>
    </row>
    <row r="1401">
      <c r="A1401" t="inlineStr">
        <is>
          <t>LCA|mit.inv.bld.2</t>
        </is>
      </c>
      <c r="B1401" t="inlineStr">
        <is>
          <t>LCA</t>
        </is>
      </c>
      <c r="C1401" t="inlineStr">
        <is>
          <t>mit.inv.bld.2</t>
        </is>
      </c>
      <c r="D1401" t="n">
        <v>0</v>
      </c>
      <c r="E1401" t="n">
        <v>0.002343450553</v>
      </c>
      <c r="F1401" t="n">
        <v>0.002482508735</v>
      </c>
      <c r="G1401" t="n">
        <v>0.002995268187</v>
      </c>
      <c r="H1401" t="n">
        <v>0.003584238621</v>
      </c>
    </row>
    <row r="1402">
      <c r="A1402" t="inlineStr">
        <is>
          <t>LKA|mit.inv.bld.2</t>
        </is>
      </c>
      <c r="B1402" t="inlineStr">
        <is>
          <t>LKA</t>
        </is>
      </c>
      <c r="C1402" t="inlineStr">
        <is>
          <t>mit.inv.bld.2</t>
        </is>
      </c>
      <c r="D1402" t="n">
        <v>0</v>
      </c>
      <c r="E1402" t="n">
        <v>0.05937585359</v>
      </c>
      <c r="F1402" t="n">
        <v>0.06604886406</v>
      </c>
      <c r="G1402" t="n">
        <v>0.08683881881</v>
      </c>
      <c r="H1402" t="n">
        <v>0.1124942974</v>
      </c>
    </row>
    <row r="1403">
      <c r="A1403" t="inlineStr">
        <is>
          <t>LSO|mit.inv.bld.2</t>
        </is>
      </c>
      <c r="B1403" t="inlineStr">
        <is>
          <t>LSO</t>
        </is>
      </c>
      <c r="C1403" t="inlineStr">
        <is>
          <t>mit.inv.bld.2</t>
        </is>
      </c>
      <c r="D1403" t="n">
        <v>0</v>
      </c>
      <c r="E1403" t="n">
        <v>0.007950394138</v>
      </c>
      <c r="F1403" t="n">
        <v>0.008238158672</v>
      </c>
      <c r="G1403" t="n">
        <v>0.01085234611</v>
      </c>
      <c r="H1403" t="n">
        <v>0.01405854049</v>
      </c>
    </row>
    <row r="1404">
      <c r="A1404" t="inlineStr">
        <is>
          <t>LTU|mit.inv.bld.2</t>
        </is>
      </c>
      <c r="B1404" t="inlineStr">
        <is>
          <t>LTU</t>
        </is>
      </c>
      <c r="C1404" t="inlineStr">
        <is>
          <t>mit.inv.bld.2</t>
        </is>
      </c>
      <c r="D1404" t="n">
        <v>0</v>
      </c>
      <c r="E1404" t="n">
        <v>0.2270316453</v>
      </c>
      <c r="F1404" t="n">
        <v>0.2240149729</v>
      </c>
      <c r="G1404" t="n">
        <v>0.2034031256</v>
      </c>
      <c r="H1404" t="n">
        <v>0</v>
      </c>
    </row>
    <row r="1405">
      <c r="A1405" t="inlineStr">
        <is>
          <t>LUX|mit.inv.bld.2</t>
        </is>
      </c>
      <c r="B1405" t="inlineStr">
        <is>
          <t>LUX</t>
        </is>
      </c>
      <c r="C1405" t="inlineStr">
        <is>
          <t>mit.inv.bld.2</t>
        </is>
      </c>
      <c r="D1405" t="n">
        <v>0</v>
      </c>
      <c r="E1405" t="n">
        <v>0.1411959185</v>
      </c>
      <c r="F1405" t="n">
        <v>0.1339261791</v>
      </c>
      <c r="G1405" t="n">
        <v>0.1196682678</v>
      </c>
      <c r="H1405" t="n">
        <v>0</v>
      </c>
    </row>
    <row r="1406">
      <c r="A1406" t="inlineStr">
        <is>
          <t>LVA|mit.inv.bld.2</t>
        </is>
      </c>
      <c r="B1406" t="inlineStr">
        <is>
          <t>LVA</t>
        </is>
      </c>
      <c r="C1406" t="inlineStr">
        <is>
          <t>mit.inv.bld.2</t>
        </is>
      </c>
      <c r="D1406" t="n">
        <v>0</v>
      </c>
      <c r="E1406" t="n">
        <v>0.09928936149000001</v>
      </c>
      <c r="F1406" t="n">
        <v>0.09608711219</v>
      </c>
      <c r="G1406" t="n">
        <v>0.08672935482999999</v>
      </c>
      <c r="H1406" t="n">
        <v>0</v>
      </c>
    </row>
    <row r="1407">
      <c r="A1407" t="inlineStr">
        <is>
          <t>MAC|mit.inv.bld.2</t>
        </is>
      </c>
      <c r="B1407" t="inlineStr">
        <is>
          <t>MAC</t>
        </is>
      </c>
      <c r="C1407" t="inlineStr">
        <is>
          <t>mit.inv.bld.2</t>
        </is>
      </c>
      <c r="D1407" t="n">
        <v>0</v>
      </c>
      <c r="E1407" t="n">
        <v>0.009427791122</v>
      </c>
      <c r="F1407" t="n">
        <v>0.009817890417</v>
      </c>
      <c r="G1407" t="n">
        <v>0.009692290558</v>
      </c>
      <c r="H1407" t="n">
        <v>0</v>
      </c>
    </row>
    <row r="1408">
      <c r="A1408" t="inlineStr">
        <is>
          <t>MAR|mit.inv.bld.2</t>
        </is>
      </c>
      <c r="B1408" t="inlineStr">
        <is>
          <t>MAR</t>
        </is>
      </c>
      <c r="C1408" t="inlineStr">
        <is>
          <t>mit.inv.bld.2</t>
        </is>
      </c>
      <c r="D1408" t="n">
        <v>0</v>
      </c>
      <c r="E1408" t="n">
        <v>0.5566281327</v>
      </c>
      <c r="F1408" t="n">
        <v>0.6624159434</v>
      </c>
      <c r="G1408" t="n">
        <v>0.8694902529</v>
      </c>
      <c r="H1408" t="n">
        <v>1.12548947</v>
      </c>
    </row>
    <row r="1409">
      <c r="A1409" t="inlineStr">
        <is>
          <t>MDA|mit.inv.bld.2</t>
        </is>
      </c>
      <c r="B1409" t="inlineStr">
        <is>
          <t>MDA</t>
        </is>
      </c>
      <c r="C1409" t="inlineStr">
        <is>
          <t>mit.inv.bld.2</t>
        </is>
      </c>
      <c r="D1409" t="n">
        <v>0</v>
      </c>
      <c r="E1409" t="n">
        <v>0.1610157164</v>
      </c>
      <c r="F1409" t="n">
        <v>0.1580127941</v>
      </c>
      <c r="G1409" t="n">
        <v>0.1688780995</v>
      </c>
      <c r="H1409" t="n">
        <v>0.1806198648</v>
      </c>
    </row>
    <row r="1410">
      <c r="A1410" t="inlineStr">
        <is>
          <t>MDG|mit.inv.bld.2</t>
        </is>
      </c>
      <c r="B1410" t="inlineStr">
        <is>
          <t>MDG</t>
        </is>
      </c>
      <c r="C1410" t="inlineStr">
        <is>
          <t>mit.inv.bld.2</t>
        </is>
      </c>
      <c r="D1410" t="n">
        <v>0</v>
      </c>
      <c r="E1410" t="n">
        <v>0.01077564867</v>
      </c>
      <c r="F1410" t="n">
        <v>0.0123306554</v>
      </c>
      <c r="G1410" t="n">
        <v>0.01689759716</v>
      </c>
      <c r="H1410" t="n">
        <v>0.02273093784</v>
      </c>
    </row>
    <row r="1411">
      <c r="A1411" t="inlineStr">
        <is>
          <t>MDV|mit.inv.bld.2</t>
        </is>
      </c>
      <c r="B1411" t="inlineStr">
        <is>
          <t>MDV</t>
        </is>
      </c>
      <c r="C1411" t="inlineStr">
        <is>
          <t>mit.inv.bld.2</t>
        </is>
      </c>
      <c r="D1411" t="n">
        <v>0</v>
      </c>
      <c r="E1411" t="n">
        <v>0.004499811254</v>
      </c>
      <c r="F1411" t="n">
        <v>0.004959888118</v>
      </c>
      <c r="G1411" t="n">
        <v>0.005978277424</v>
      </c>
      <c r="H1411" t="n">
        <v>0.007153807771</v>
      </c>
    </row>
    <row r="1412">
      <c r="A1412" t="inlineStr">
        <is>
          <t>MEX|mit.inv.bld.2</t>
        </is>
      </c>
      <c r="B1412" t="inlineStr">
        <is>
          <t>MEX</t>
        </is>
      </c>
      <c r="C1412" t="inlineStr">
        <is>
          <t>mit.inv.bld.2</t>
        </is>
      </c>
      <c r="D1412" t="n">
        <v>0</v>
      </c>
      <c r="E1412" t="n">
        <v>2.091866698</v>
      </c>
      <c r="F1412" t="n">
        <v>2.149357873</v>
      </c>
      <c r="G1412" t="n">
        <v>2.496390159</v>
      </c>
      <c r="H1412" t="n">
        <v>2.894928417</v>
      </c>
    </row>
    <row r="1413">
      <c r="A1413" t="inlineStr">
        <is>
          <t>MKD|mit.inv.bld.2</t>
        </is>
      </c>
      <c r="B1413" t="inlineStr">
        <is>
          <t>MKD</t>
        </is>
      </c>
      <c r="C1413" t="inlineStr">
        <is>
          <t>mit.inv.bld.2</t>
        </is>
      </c>
      <c r="D1413" t="n">
        <v>0</v>
      </c>
      <c r="E1413" t="n">
        <v>0.005725820887</v>
      </c>
      <c r="F1413" t="n">
        <v>0.005828642105</v>
      </c>
      <c r="G1413" t="n">
        <v>0.006034153508</v>
      </c>
      <c r="H1413" t="n">
        <v>0.006284686528</v>
      </c>
    </row>
    <row r="1414">
      <c r="A1414" t="inlineStr">
        <is>
          <t>MLI|mit.inv.bld.2</t>
        </is>
      </c>
      <c r="B1414" t="inlineStr">
        <is>
          <t>MLI</t>
        </is>
      </c>
      <c r="C1414" t="inlineStr">
        <is>
          <t>mit.inv.bld.2</t>
        </is>
      </c>
      <c r="D1414" t="n">
        <v>0</v>
      </c>
      <c r="E1414" t="n">
        <v>0.003557653783</v>
      </c>
      <c r="F1414" t="n">
        <v>0.004353303969</v>
      </c>
      <c r="G1414" t="n">
        <v>0.005964616347</v>
      </c>
      <c r="H1414" t="n">
        <v>0.008023704325</v>
      </c>
    </row>
    <row r="1415">
      <c r="A1415" t="inlineStr">
        <is>
          <t>MLT|mit.inv.bld.2</t>
        </is>
      </c>
      <c r="B1415" t="inlineStr">
        <is>
          <t>MLT</t>
        </is>
      </c>
      <c r="C1415" t="inlineStr">
        <is>
          <t>mit.inv.bld.2</t>
        </is>
      </c>
      <c r="D1415" t="n">
        <v>0</v>
      </c>
      <c r="E1415" t="n">
        <v>0.004724146012</v>
      </c>
      <c r="F1415" t="n">
        <v>0.005260312505</v>
      </c>
      <c r="G1415" t="n">
        <v>0.005508887163</v>
      </c>
      <c r="H1415" t="n">
        <v>0.000280598511</v>
      </c>
    </row>
    <row r="1416">
      <c r="A1416" t="inlineStr">
        <is>
          <t>MMR|mit.inv.bld.2</t>
        </is>
      </c>
      <c r="B1416" t="inlineStr">
        <is>
          <t>MMR</t>
        </is>
      </c>
      <c r="C1416" t="inlineStr">
        <is>
          <t>mit.inv.bld.2</t>
        </is>
      </c>
      <c r="D1416" t="n">
        <v>0</v>
      </c>
      <c r="E1416" t="n">
        <v>0.001653070479</v>
      </c>
      <c r="F1416" t="n">
        <v>0.001667833202</v>
      </c>
      <c r="G1416" t="n">
        <v>0.00179006844</v>
      </c>
      <c r="H1416" t="n">
        <v>0.001928101575</v>
      </c>
    </row>
    <row r="1417">
      <c r="A1417" t="inlineStr">
        <is>
          <t>MNE|mit.inv.bld.2</t>
        </is>
      </c>
      <c r="B1417" t="inlineStr">
        <is>
          <t>MNE</t>
        </is>
      </c>
      <c r="C1417" t="inlineStr">
        <is>
          <t>mit.inv.bld.2</t>
        </is>
      </c>
      <c r="D1417" t="n">
        <v>0</v>
      </c>
      <c r="E1417" t="n">
        <v>0.001475411965</v>
      </c>
      <c r="F1417" t="n">
        <v>0.001551581859</v>
      </c>
      <c r="G1417" t="n">
        <v>0.001733666563</v>
      </c>
      <c r="H1417" t="n">
        <v>0.001935411593</v>
      </c>
    </row>
    <row r="1418">
      <c r="A1418" t="inlineStr">
        <is>
          <t>MNG|mit.inv.bld.2</t>
        </is>
      </c>
      <c r="B1418" t="inlineStr">
        <is>
          <t>MNG</t>
        </is>
      </c>
      <c r="C1418" t="inlineStr">
        <is>
          <t>mit.inv.bld.2</t>
        </is>
      </c>
      <c r="D1418" t="n">
        <v>0</v>
      </c>
      <c r="E1418" t="n">
        <v>0.069914658</v>
      </c>
      <c r="F1418" t="n">
        <v>0.07687899467000001</v>
      </c>
      <c r="G1418" t="n">
        <v>0.0875882956</v>
      </c>
      <c r="H1418" t="n">
        <v>0.09948109912</v>
      </c>
    </row>
    <row r="1419">
      <c r="A1419" t="inlineStr">
        <is>
          <t>MOZ|mit.inv.bld.2</t>
        </is>
      </c>
      <c r="B1419" t="inlineStr">
        <is>
          <t>MOZ</t>
        </is>
      </c>
      <c r="C1419" t="inlineStr">
        <is>
          <t>mit.inv.bld.2</t>
        </is>
      </c>
      <c r="D1419" t="n">
        <v>0</v>
      </c>
      <c r="E1419" t="n">
        <v>0.01137275111</v>
      </c>
      <c r="F1419" t="n">
        <v>0.01146050544</v>
      </c>
      <c r="G1419" t="n">
        <v>0.01530014419</v>
      </c>
      <c r="H1419" t="n">
        <v>0.02013434709</v>
      </c>
    </row>
    <row r="1420">
      <c r="A1420" t="inlineStr">
        <is>
          <t>MRT|mit.inv.bld.2</t>
        </is>
      </c>
      <c r="B1420" t="inlineStr">
        <is>
          <t>MRT</t>
        </is>
      </c>
      <c r="C1420" t="inlineStr">
        <is>
          <t>mit.inv.bld.2</t>
        </is>
      </c>
      <c r="D1420" t="n">
        <v>0</v>
      </c>
      <c r="E1420" t="n">
        <v>0.01479789991</v>
      </c>
      <c r="F1420" t="n">
        <v>0.01733605472</v>
      </c>
      <c r="G1420" t="n">
        <v>0.02277912741</v>
      </c>
      <c r="H1420" t="n">
        <v>0.02950894505</v>
      </c>
    </row>
    <row r="1421">
      <c r="A1421" t="inlineStr">
        <is>
          <t>MUS|mit.inv.bld.2</t>
        </is>
      </c>
      <c r="B1421" t="inlineStr">
        <is>
          <t>MUS</t>
        </is>
      </c>
      <c r="C1421" t="inlineStr">
        <is>
          <t>mit.inv.bld.2</t>
        </is>
      </c>
      <c r="D1421" t="n">
        <v>0</v>
      </c>
      <c r="E1421" t="n">
        <v>0.01310430769</v>
      </c>
      <c r="F1421" t="n">
        <v>0.01464782941</v>
      </c>
      <c r="G1421" t="n">
        <v>0.01765079341</v>
      </c>
      <c r="H1421" t="n">
        <v>0.02112153286</v>
      </c>
    </row>
    <row r="1422">
      <c r="A1422" t="inlineStr">
        <is>
          <t>MWI|mit.inv.bld.2</t>
        </is>
      </c>
      <c r="B1422" t="inlineStr">
        <is>
          <t>MWI</t>
        </is>
      </c>
      <c r="C1422" t="inlineStr">
        <is>
          <t>mit.inv.bld.2</t>
        </is>
      </c>
      <c r="D1422" t="n">
        <v>0</v>
      </c>
      <c r="E1422" t="n">
        <v>0.001442627884</v>
      </c>
      <c r="F1422" t="n">
        <v>0.001517732387</v>
      </c>
      <c r="G1422" t="n">
        <v>0.001899672636</v>
      </c>
      <c r="H1422" t="n">
        <v>0.002361558729</v>
      </c>
    </row>
    <row r="1423">
      <c r="A1423" t="inlineStr">
        <is>
          <t>MYS|mit.inv.bld.2</t>
        </is>
      </c>
      <c r="B1423" t="inlineStr">
        <is>
          <t>MYS</t>
        </is>
      </c>
      <c r="C1423" t="inlineStr">
        <is>
          <t>mit.inv.bld.2</t>
        </is>
      </c>
      <c r="D1423" t="n">
        <v>0</v>
      </c>
      <c r="E1423" t="n">
        <v>0.2038692852</v>
      </c>
      <c r="F1423" t="n">
        <v>0.2386070743</v>
      </c>
      <c r="G1423" t="n">
        <v>0.2867887003</v>
      </c>
      <c r="H1423" t="n">
        <v>0.3426286681</v>
      </c>
    </row>
    <row r="1424">
      <c r="A1424" t="inlineStr">
        <is>
          <t>NAM|mit.inv.bld.2</t>
        </is>
      </c>
      <c r="B1424" t="inlineStr">
        <is>
          <t>NAM</t>
        </is>
      </c>
      <c r="C1424" t="inlineStr">
        <is>
          <t>mit.inv.bld.2</t>
        </is>
      </c>
      <c r="D1424" t="n">
        <v>0</v>
      </c>
      <c r="E1424" t="n">
        <v>0.002511266583</v>
      </c>
      <c r="F1424" t="n">
        <v>0.00270405034</v>
      </c>
      <c r="G1424" t="n">
        <v>0.003261047297</v>
      </c>
      <c r="H1424" t="n">
        <v>0.00390227884</v>
      </c>
    </row>
    <row r="1425">
      <c r="A1425" t="inlineStr">
        <is>
          <t>NER|mit.inv.bld.2</t>
        </is>
      </c>
      <c r="B1425" t="inlineStr">
        <is>
          <t>NER</t>
        </is>
      </c>
      <c r="C1425" t="inlineStr">
        <is>
          <t>mit.inv.bld.2</t>
        </is>
      </c>
      <c r="D1425" t="n">
        <v>0</v>
      </c>
      <c r="E1425" t="n">
        <v>0.01145683659</v>
      </c>
      <c r="F1425" t="n">
        <v>0.01462228382</v>
      </c>
      <c r="G1425" t="n">
        <v>0.02002071044</v>
      </c>
      <c r="H1425" t="n">
        <v>0.02690732294</v>
      </c>
    </row>
    <row r="1426">
      <c r="A1426" t="inlineStr">
        <is>
          <t>NGA|mit.inv.bld.2</t>
        </is>
      </c>
      <c r="B1426" t="inlineStr">
        <is>
          <t>NGA</t>
        </is>
      </c>
      <c r="C1426" t="inlineStr">
        <is>
          <t>mit.inv.bld.2</t>
        </is>
      </c>
      <c r="D1426" t="n">
        <v>0</v>
      </c>
      <c r="E1426" t="n">
        <v>0.1612131969</v>
      </c>
      <c r="F1426" t="n">
        <v>0.1864218614</v>
      </c>
      <c r="G1426" t="n">
        <v>0.244971817</v>
      </c>
      <c r="H1426" t="n">
        <v>0.3173429409</v>
      </c>
    </row>
    <row r="1427">
      <c r="A1427" t="inlineStr">
        <is>
          <t>NIC|mit.inv.bld.2</t>
        </is>
      </c>
      <c r="B1427" t="inlineStr">
        <is>
          <t>NIC</t>
        </is>
      </c>
      <c r="C1427" t="inlineStr">
        <is>
          <t>mit.inv.bld.2</t>
        </is>
      </c>
      <c r="D1427" t="n">
        <v>0</v>
      </c>
      <c r="E1427" t="n">
        <v>0.01368218858</v>
      </c>
      <c r="F1427" t="n">
        <v>0.0156966848</v>
      </c>
      <c r="G1427" t="n">
        <v>0.02062835691</v>
      </c>
      <c r="H1427" t="n">
        <v>0.02672275543</v>
      </c>
    </row>
    <row r="1428">
      <c r="A1428" t="inlineStr">
        <is>
          <t>NLD|mit.inv.bld.2</t>
        </is>
      </c>
      <c r="B1428" t="inlineStr">
        <is>
          <t>NLD</t>
        </is>
      </c>
      <c r="C1428" t="inlineStr">
        <is>
          <t>mit.inv.bld.2</t>
        </is>
      </c>
      <c r="D1428" t="n">
        <v>0</v>
      </c>
      <c r="E1428" t="n">
        <v>5.140145001</v>
      </c>
      <c r="F1428" t="n">
        <v>4.834391286</v>
      </c>
      <c r="G1428" t="n">
        <v>4.322154204</v>
      </c>
      <c r="H1428" t="n">
        <v>0</v>
      </c>
    </row>
    <row r="1429">
      <c r="A1429" t="inlineStr">
        <is>
          <t>NOR|mit.inv.bld.2</t>
        </is>
      </c>
      <c r="B1429" t="inlineStr">
        <is>
          <t>NOR</t>
        </is>
      </c>
      <c r="C1429" t="inlineStr">
        <is>
          <t>mit.inv.bld.2</t>
        </is>
      </c>
      <c r="D1429" t="n">
        <v>0</v>
      </c>
      <c r="E1429" t="n">
        <v>0.03512982158</v>
      </c>
      <c r="F1429" t="n">
        <v>0.0333658285</v>
      </c>
      <c r="G1429" t="n">
        <v>0.03009882971</v>
      </c>
      <c r="H1429" t="n">
        <v>0</v>
      </c>
    </row>
    <row r="1430">
      <c r="A1430" t="inlineStr">
        <is>
          <t>NPL|mit.inv.bld.2</t>
        </is>
      </c>
      <c r="B1430" t="inlineStr">
        <is>
          <t>NPL</t>
        </is>
      </c>
      <c r="C1430" t="inlineStr">
        <is>
          <t>mit.inv.bld.2</t>
        </is>
      </c>
      <c r="D1430" t="n">
        <v>0</v>
      </c>
      <c r="E1430" t="n">
        <v>0.08088447146</v>
      </c>
      <c r="F1430" t="n">
        <v>0.09009000487</v>
      </c>
      <c r="G1430" t="n">
        <v>0.1229350918</v>
      </c>
      <c r="H1430" t="n">
        <v>0.1647718658</v>
      </c>
    </row>
    <row r="1431">
      <c r="A1431" t="inlineStr">
        <is>
          <t>NRU|mit.inv.bld.2</t>
        </is>
      </c>
      <c r="B1431" t="inlineStr">
        <is>
          <t>NRU</t>
        </is>
      </c>
      <c r="C1431" t="inlineStr">
        <is>
          <t>mit.inv.bld.2</t>
        </is>
      </c>
      <c r="D1431" t="n">
        <v>0</v>
      </c>
      <c r="E1431" t="n">
        <v>5.42598832e-06</v>
      </c>
      <c r="F1431" t="n">
        <v>5.784332736e-06</v>
      </c>
      <c r="G1431" t="n">
        <v>6.977764815e-06</v>
      </c>
      <c r="H1431" t="n">
        <v>8.349827988e-06</v>
      </c>
    </row>
    <row r="1432">
      <c r="A1432" t="inlineStr">
        <is>
          <t>NZL|mit.inv.bld.2</t>
        </is>
      </c>
      <c r="B1432" t="inlineStr">
        <is>
          <t>NZL</t>
        </is>
      </c>
      <c r="C1432" t="inlineStr">
        <is>
          <t>mit.inv.bld.2</t>
        </is>
      </c>
      <c r="D1432" t="n">
        <v>0</v>
      </c>
      <c r="E1432" t="n">
        <v>0.4341206331</v>
      </c>
      <c r="F1432" t="n">
        <v>0.4271454667</v>
      </c>
      <c r="G1432" t="n">
        <v>0.4010808853</v>
      </c>
      <c r="H1432" t="n">
        <v>0</v>
      </c>
    </row>
    <row r="1433">
      <c r="A1433" t="inlineStr">
        <is>
          <t>OMN|mit.inv.bld.2</t>
        </is>
      </c>
      <c r="B1433" t="inlineStr">
        <is>
          <t>OMN</t>
        </is>
      </c>
      <c r="C1433" t="inlineStr">
        <is>
          <t>mit.inv.bld.2</t>
        </is>
      </c>
      <c r="D1433" t="n">
        <v>0</v>
      </c>
      <c r="E1433" t="n">
        <v>1.80124304</v>
      </c>
      <c r="F1433" t="n">
        <v>1.791367549</v>
      </c>
      <c r="G1433" t="n">
        <v>1.607963742</v>
      </c>
      <c r="H1433" t="n">
        <v>1.443676436</v>
      </c>
    </row>
    <row r="1434">
      <c r="A1434" t="inlineStr">
        <is>
          <t>PAK|mit.inv.bld.2</t>
        </is>
      </c>
      <c r="B1434" t="inlineStr">
        <is>
          <t>PAK</t>
        </is>
      </c>
      <c r="C1434" t="inlineStr">
        <is>
          <t>mit.inv.bld.2</t>
        </is>
      </c>
      <c r="D1434" t="n">
        <v>0</v>
      </c>
      <c r="E1434" t="n">
        <v>0.7290575297</v>
      </c>
      <c r="F1434" t="n">
        <v>0.7491426568</v>
      </c>
      <c r="G1434" t="n">
        <v>0.8098414086</v>
      </c>
      <c r="H1434" t="n">
        <v>0.8797295421</v>
      </c>
    </row>
    <row r="1435">
      <c r="A1435" t="inlineStr">
        <is>
          <t>PAN|mit.inv.bld.2</t>
        </is>
      </c>
      <c r="B1435" t="inlineStr">
        <is>
          <t>PAN</t>
        </is>
      </c>
      <c r="C1435" t="inlineStr">
        <is>
          <t>mit.inv.bld.2</t>
        </is>
      </c>
      <c r="D1435" t="n">
        <v>0</v>
      </c>
      <c r="E1435" t="n">
        <v>0.04753844216</v>
      </c>
      <c r="F1435" t="n">
        <v>0.05320876487</v>
      </c>
      <c r="G1435" t="n">
        <v>0.05571828802</v>
      </c>
      <c r="H1435" t="n">
        <v>0.05845555865</v>
      </c>
    </row>
    <row r="1436">
      <c r="A1436" t="inlineStr">
        <is>
          <t>PER|mit.inv.bld.2</t>
        </is>
      </c>
      <c r="B1436" t="inlineStr">
        <is>
          <t>PER</t>
        </is>
      </c>
      <c r="C1436" t="inlineStr">
        <is>
          <t>mit.inv.bld.2</t>
        </is>
      </c>
      <c r="D1436" t="n">
        <v>0</v>
      </c>
      <c r="E1436" t="n">
        <v>0.3303242126</v>
      </c>
      <c r="F1436" t="n">
        <v>0.350419034</v>
      </c>
      <c r="G1436" t="n">
        <v>0.3999526755</v>
      </c>
      <c r="H1436" t="n">
        <v>0.4574234957</v>
      </c>
    </row>
    <row r="1437">
      <c r="A1437" t="inlineStr">
        <is>
          <t>PHL|mit.inv.bld.2</t>
        </is>
      </c>
      <c r="B1437" t="inlineStr">
        <is>
          <t>PHL</t>
        </is>
      </c>
      <c r="C1437" t="inlineStr">
        <is>
          <t>mit.inv.bld.2</t>
        </is>
      </c>
      <c r="D1437" t="n">
        <v>0</v>
      </c>
      <c r="E1437" t="n">
        <v>0.3729138584</v>
      </c>
      <c r="F1437" t="n">
        <v>0.4276912449</v>
      </c>
      <c r="G1437" t="n">
        <v>0.5540564106</v>
      </c>
      <c r="H1437" t="n">
        <v>0.7094155416</v>
      </c>
    </row>
    <row r="1438">
      <c r="A1438" t="inlineStr">
        <is>
          <t>PLW|mit.inv.bld.2</t>
        </is>
      </c>
      <c r="B1438" t="inlineStr">
        <is>
          <t>PLW</t>
        </is>
      </c>
      <c r="C1438" t="inlineStr">
        <is>
          <t>mit.inv.bld.2</t>
        </is>
      </c>
      <c r="D1438" t="n">
        <v>0</v>
      </c>
      <c r="E1438" t="n">
        <v>0.0005181213191</v>
      </c>
      <c r="F1438" t="n">
        <v>0.0005684109131</v>
      </c>
      <c r="G1438" t="n">
        <v>0.0005954425779000001</v>
      </c>
      <c r="H1438" t="n">
        <v>0.0006246948672</v>
      </c>
    </row>
    <row r="1439">
      <c r="A1439" t="inlineStr">
        <is>
          <t>PNG|mit.inv.bld.2</t>
        </is>
      </c>
      <c r="B1439" t="inlineStr">
        <is>
          <t>PNG</t>
        </is>
      </c>
      <c r="C1439" t="inlineStr">
        <is>
          <t>mit.inv.bld.2</t>
        </is>
      </c>
      <c r="D1439" t="n">
        <v>0</v>
      </c>
      <c r="E1439" t="n">
        <v>0.02563955407</v>
      </c>
      <c r="F1439" t="n">
        <v>0.02932133535</v>
      </c>
      <c r="G1439" t="n">
        <v>0.03853499429</v>
      </c>
      <c r="H1439" t="n">
        <v>0.04991969222</v>
      </c>
    </row>
    <row r="1440">
      <c r="A1440" t="inlineStr">
        <is>
          <t>POL|mit.inv.bld.2</t>
        </is>
      </c>
      <c r="B1440" t="inlineStr">
        <is>
          <t>POL</t>
        </is>
      </c>
      <c r="C1440" t="inlineStr">
        <is>
          <t>mit.inv.bld.2</t>
        </is>
      </c>
      <c r="D1440" t="n">
        <v>0</v>
      </c>
      <c r="E1440" t="n">
        <v>3.563982482</v>
      </c>
      <c r="F1440" t="n">
        <v>3.615069155</v>
      </c>
      <c r="G1440" t="n">
        <v>3.40852197</v>
      </c>
      <c r="H1440" t="n">
        <v>3.224696953</v>
      </c>
    </row>
    <row r="1441">
      <c r="A1441" t="inlineStr">
        <is>
          <t>PRI|mit.inv.bld.2</t>
        </is>
      </c>
      <c r="B1441" t="inlineStr">
        <is>
          <t>PRI</t>
        </is>
      </c>
      <c r="C1441" t="inlineStr">
        <is>
          <t>mit.inv.bld.2</t>
        </is>
      </c>
      <c r="D1441" t="n">
        <v>0</v>
      </c>
      <c r="E1441" t="n">
        <v>0.05712309195</v>
      </c>
      <c r="F1441" t="n">
        <v>0.05499810586</v>
      </c>
      <c r="G1441" t="n">
        <v>0.05790289188</v>
      </c>
      <c r="H1441" t="n">
        <v>0.002949318939</v>
      </c>
    </row>
    <row r="1442">
      <c r="A1442" t="inlineStr">
        <is>
          <t>PRT|mit.inv.bld.2</t>
        </is>
      </c>
      <c r="B1442" t="inlineStr">
        <is>
          <t>PRT</t>
        </is>
      </c>
      <c r="C1442" t="inlineStr">
        <is>
          <t>mit.inv.bld.2</t>
        </is>
      </c>
      <c r="D1442" t="n">
        <v>0</v>
      </c>
      <c r="E1442" t="n">
        <v>0.4097193899</v>
      </c>
      <c r="F1442" t="n">
        <v>0.401541045</v>
      </c>
      <c r="G1442" t="n">
        <v>0.3772266294</v>
      </c>
      <c r="H1442" t="n">
        <v>0</v>
      </c>
    </row>
    <row r="1443">
      <c r="A1443" t="inlineStr">
        <is>
          <t>PRY|mit.inv.bld.2</t>
        </is>
      </c>
      <c r="B1443" t="inlineStr">
        <is>
          <t>PRY</t>
        </is>
      </c>
      <c r="C1443" t="inlineStr">
        <is>
          <t>mit.inv.bld.2</t>
        </is>
      </c>
      <c r="D1443" t="n">
        <v>0</v>
      </c>
      <c r="E1443" t="n">
        <v>0.01691498324</v>
      </c>
      <c r="F1443" t="n">
        <v>0.01947057545</v>
      </c>
      <c r="G1443" t="n">
        <v>0.02345328481</v>
      </c>
      <c r="H1443" t="n">
        <v>0.02806498916</v>
      </c>
    </row>
    <row r="1444">
      <c r="A1444" t="inlineStr">
        <is>
          <t>QAT|mit.inv.bld.2</t>
        </is>
      </c>
      <c r="B1444" t="inlineStr">
        <is>
          <t>QAT</t>
        </is>
      </c>
      <c r="C1444" t="inlineStr">
        <is>
          <t>mit.inv.bld.2</t>
        </is>
      </c>
      <c r="D1444" t="n">
        <v>0</v>
      </c>
      <c r="E1444" t="n">
        <v>0.03937987851</v>
      </c>
      <c r="F1444" t="n">
        <v>0.02625726146</v>
      </c>
      <c r="G1444" t="n">
        <v>0.02872447831</v>
      </c>
      <c r="H1444" t="n">
        <v>0.03013562488</v>
      </c>
    </row>
    <row r="1445">
      <c r="A1445" t="inlineStr">
        <is>
          <t>ROU|mit.inv.bld.2</t>
        </is>
      </c>
      <c r="B1445" t="inlineStr">
        <is>
          <t>ROU</t>
        </is>
      </c>
      <c r="C1445" t="inlineStr">
        <is>
          <t>mit.inv.bld.2</t>
        </is>
      </c>
      <c r="D1445" t="n">
        <v>0</v>
      </c>
      <c r="E1445" t="n">
        <v>1.258682232</v>
      </c>
      <c r="F1445" t="n">
        <v>1.18570603</v>
      </c>
      <c r="G1445" t="n">
        <v>1.181142932</v>
      </c>
      <c r="H1445" t="n">
        <v>1.175705629</v>
      </c>
    </row>
    <row r="1446">
      <c r="A1446" t="inlineStr">
        <is>
          <t>RUS|mit.inv.bld.2</t>
        </is>
      </c>
      <c r="B1446" t="inlineStr">
        <is>
          <t>RUS</t>
        </is>
      </c>
      <c r="C1446" t="inlineStr">
        <is>
          <t>mit.inv.bld.2</t>
        </is>
      </c>
      <c r="D1446" t="n">
        <v>0</v>
      </c>
      <c r="E1446" t="n">
        <v>16.98894197</v>
      </c>
      <c r="F1446" t="n">
        <v>16.30793979</v>
      </c>
      <c r="G1446" t="n">
        <v>16.65904261</v>
      </c>
      <c r="H1446" t="n">
        <v>17.06388772</v>
      </c>
    </row>
    <row r="1447">
      <c r="A1447" t="inlineStr">
        <is>
          <t>RWA|mit.inv.bld.2</t>
        </is>
      </c>
      <c r="B1447" t="inlineStr">
        <is>
          <t>RWA</t>
        </is>
      </c>
      <c r="C1447" t="inlineStr">
        <is>
          <t>mit.inv.bld.2</t>
        </is>
      </c>
      <c r="D1447" t="n">
        <v>0</v>
      </c>
      <c r="E1447" t="n">
        <v>0.004411313098</v>
      </c>
      <c r="F1447" t="n">
        <v>0.005735144108</v>
      </c>
      <c r="G1447" t="n">
        <v>0.007864422409</v>
      </c>
      <c r="H1447" t="n">
        <v>0.01057935606</v>
      </c>
    </row>
    <row r="1448">
      <c r="A1448" t="inlineStr">
        <is>
          <t>SAU|mit.inv.bld.2</t>
        </is>
      </c>
      <c r="B1448" t="inlineStr">
        <is>
          <t>SAU</t>
        </is>
      </c>
      <c r="C1448" t="inlineStr">
        <is>
          <t>mit.inv.bld.2</t>
        </is>
      </c>
      <c r="D1448" t="n">
        <v>0</v>
      </c>
      <c r="E1448" t="n">
        <v>0.6423416171</v>
      </c>
      <c r="F1448" t="n">
        <v>0.6998355301</v>
      </c>
      <c r="G1448" t="n">
        <v>0.7332298346</v>
      </c>
      <c r="H1448" t="n">
        <v>0.7692511943</v>
      </c>
    </row>
    <row r="1449">
      <c r="A1449" t="inlineStr">
        <is>
          <t>SDN|mit.inv.bld.2</t>
        </is>
      </c>
      <c r="B1449" t="inlineStr">
        <is>
          <t>SDN</t>
        </is>
      </c>
      <c r="C1449" t="inlineStr">
        <is>
          <t>mit.inv.bld.2</t>
        </is>
      </c>
      <c r="D1449" t="n">
        <v>0</v>
      </c>
      <c r="E1449" t="n">
        <v>0.03640048454</v>
      </c>
      <c r="F1449" t="n">
        <v>0.03714754858</v>
      </c>
      <c r="G1449" t="n">
        <v>0.04896421513</v>
      </c>
      <c r="H1449" t="n">
        <v>0.06343010021000001</v>
      </c>
    </row>
    <row r="1450">
      <c r="A1450" t="inlineStr">
        <is>
          <t>SEN|mit.inv.bld.2</t>
        </is>
      </c>
      <c r="B1450" t="inlineStr">
        <is>
          <t>SEN</t>
        </is>
      </c>
      <c r="C1450" t="inlineStr">
        <is>
          <t>mit.inv.bld.2</t>
        </is>
      </c>
      <c r="D1450" t="n">
        <v>0</v>
      </c>
      <c r="E1450" t="n">
        <v>0.04426842905</v>
      </c>
      <c r="F1450" t="n">
        <v>0.04799201796</v>
      </c>
      <c r="G1450" t="n">
        <v>0.06583119252</v>
      </c>
      <c r="H1450" t="n">
        <v>0.08855725051</v>
      </c>
    </row>
    <row r="1451">
      <c r="A1451" t="inlineStr">
        <is>
          <t>SGP|mit.inv.bld.2</t>
        </is>
      </c>
      <c r="B1451" t="inlineStr">
        <is>
          <t>SGP</t>
        </is>
      </c>
      <c r="C1451" t="inlineStr">
        <is>
          <t>mit.inv.bld.2</t>
        </is>
      </c>
      <c r="D1451" t="n">
        <v>0</v>
      </c>
      <c r="E1451" t="n">
        <v>0.05998538543</v>
      </c>
      <c r="F1451" t="n">
        <v>0.06051043706</v>
      </c>
      <c r="G1451" t="n">
        <v>0.05548449933</v>
      </c>
      <c r="H1451" t="n">
        <v>0</v>
      </c>
    </row>
    <row r="1452">
      <c r="A1452" t="inlineStr">
        <is>
          <t>SLB|mit.inv.bld.2</t>
        </is>
      </c>
      <c r="B1452" t="inlineStr">
        <is>
          <t>SLB</t>
        </is>
      </c>
      <c r="C1452" t="inlineStr">
        <is>
          <t>mit.inv.bld.2</t>
        </is>
      </c>
      <c r="D1452" t="n">
        <v>0</v>
      </c>
      <c r="E1452" t="n">
        <v>0.0001021389964</v>
      </c>
      <c r="F1452" t="n">
        <v>0.0001127167649</v>
      </c>
      <c r="G1452" t="n">
        <v>0.0001482189863</v>
      </c>
      <c r="H1452" t="n">
        <v>0.0001920084928</v>
      </c>
    </row>
    <row r="1453">
      <c r="A1453" t="inlineStr">
        <is>
          <t>SLE|mit.inv.bld.2</t>
        </is>
      </c>
      <c r="B1453" t="inlineStr">
        <is>
          <t>SLE</t>
        </is>
      </c>
      <c r="C1453" t="inlineStr">
        <is>
          <t>mit.inv.bld.2</t>
        </is>
      </c>
      <c r="D1453" t="n">
        <v>0</v>
      </c>
      <c r="E1453" t="n">
        <v>0.0009575333139</v>
      </c>
      <c r="F1453" t="n">
        <v>0.001132606169</v>
      </c>
      <c r="G1453" t="n">
        <v>0.00155173779</v>
      </c>
      <c r="H1453" t="n">
        <v>0.002087424319</v>
      </c>
    </row>
    <row r="1454">
      <c r="A1454" t="inlineStr">
        <is>
          <t>SLV|mit.inv.bld.2</t>
        </is>
      </c>
      <c r="B1454" t="inlineStr">
        <is>
          <t>SLV</t>
        </is>
      </c>
      <c r="C1454" t="inlineStr">
        <is>
          <t>mit.inv.bld.2</t>
        </is>
      </c>
      <c r="D1454" t="n">
        <v>0</v>
      </c>
      <c r="E1454" t="n">
        <v>0.05486111743</v>
      </c>
      <c r="F1454" t="n">
        <v>0.06170576453</v>
      </c>
      <c r="G1454" t="n">
        <v>0.0811135241</v>
      </c>
      <c r="H1454" t="n">
        <v>0.1050775336</v>
      </c>
    </row>
    <row r="1455">
      <c r="A1455" t="inlineStr">
        <is>
          <t>SOM|mit.inv.bld.2</t>
        </is>
      </c>
      <c r="B1455" t="inlineStr">
        <is>
          <t>SOM</t>
        </is>
      </c>
      <c r="C1455" t="inlineStr">
        <is>
          <t>mit.inv.bld.2</t>
        </is>
      </c>
      <c r="D1455" t="n">
        <v>0</v>
      </c>
      <c r="E1455" t="n">
        <v>0.01436767912</v>
      </c>
      <c r="F1455" t="n">
        <v>0.015825928</v>
      </c>
      <c r="G1455" t="n">
        <v>0.02170067942</v>
      </c>
      <c r="H1455" t="n">
        <v>0.02919212657</v>
      </c>
    </row>
    <row r="1456">
      <c r="A1456" t="inlineStr">
        <is>
          <t>SRB|mit.inv.bld.2</t>
        </is>
      </c>
      <c r="B1456" t="inlineStr">
        <is>
          <t>SRB</t>
        </is>
      </c>
      <c r="C1456" t="inlineStr">
        <is>
          <t>mit.inv.bld.2</t>
        </is>
      </c>
      <c r="D1456" t="n">
        <v>0</v>
      </c>
      <c r="E1456" t="n">
        <v>0.222190188</v>
      </c>
      <c r="F1456" t="n">
        <v>0.2220504172</v>
      </c>
      <c r="G1456" t="n">
        <v>0.2239101232</v>
      </c>
      <c r="H1456" t="n">
        <v>0.2262833071</v>
      </c>
    </row>
    <row r="1457">
      <c r="A1457" t="inlineStr">
        <is>
          <t>STP|mit.inv.bld.2</t>
        </is>
      </c>
      <c r="B1457" t="inlineStr">
        <is>
          <t>STP</t>
        </is>
      </c>
      <c r="C1457" t="inlineStr">
        <is>
          <t>mit.inv.bld.2</t>
        </is>
      </c>
      <c r="D1457" t="n">
        <v>0</v>
      </c>
      <c r="E1457" t="n">
        <v>0.001156771648</v>
      </c>
      <c r="F1457" t="n">
        <v>0.001305886335</v>
      </c>
      <c r="G1457" t="n">
        <v>0.001716520575</v>
      </c>
      <c r="H1457" t="n">
        <v>0.002223645815</v>
      </c>
    </row>
    <row r="1458">
      <c r="A1458" t="inlineStr">
        <is>
          <t>SUR|mit.inv.bld.2</t>
        </is>
      </c>
      <c r="B1458" t="inlineStr">
        <is>
          <t>SUR</t>
        </is>
      </c>
      <c r="C1458" t="inlineStr">
        <is>
          <t>mit.inv.bld.2</t>
        </is>
      </c>
      <c r="D1458" t="n">
        <v>0</v>
      </c>
      <c r="E1458" t="n">
        <v>0.004514664834</v>
      </c>
      <c r="F1458" t="n">
        <v>0.005145185664</v>
      </c>
      <c r="G1458" t="n">
        <v>0.006198285216</v>
      </c>
      <c r="H1458" t="n">
        <v>0.007417076491</v>
      </c>
    </row>
    <row r="1459">
      <c r="A1459" t="inlineStr">
        <is>
          <t>SVK|mit.inv.bld.2</t>
        </is>
      </c>
      <c r="B1459" t="inlineStr">
        <is>
          <t>SVK</t>
        </is>
      </c>
      <c r="C1459" t="inlineStr">
        <is>
          <t>mit.inv.bld.2</t>
        </is>
      </c>
      <c r="D1459" t="n">
        <v>0</v>
      </c>
      <c r="E1459" t="n">
        <v>0.7514327904</v>
      </c>
      <c r="F1459" t="n">
        <v>0.6984122064</v>
      </c>
      <c r="G1459" t="n">
        <v>0.629417429</v>
      </c>
      <c r="H1459" t="n">
        <v>0</v>
      </c>
    </row>
    <row r="1460">
      <c r="A1460" t="inlineStr">
        <is>
          <t>SVN|mit.inv.bld.2</t>
        </is>
      </c>
      <c r="B1460" t="inlineStr">
        <is>
          <t>SVN</t>
        </is>
      </c>
      <c r="C1460" t="inlineStr">
        <is>
          <t>mit.inv.bld.2</t>
        </is>
      </c>
      <c r="D1460" t="n">
        <v>0</v>
      </c>
      <c r="E1460" t="n">
        <v>0.07847437885</v>
      </c>
      <c r="F1460" t="n">
        <v>0.07605163562</v>
      </c>
      <c r="G1460" t="n">
        <v>0.06960329498999999</v>
      </c>
      <c r="H1460" t="n">
        <v>0</v>
      </c>
    </row>
    <row r="1461">
      <c r="A1461" t="inlineStr">
        <is>
          <t>SWE|mit.inv.bld.2</t>
        </is>
      </c>
      <c r="B1461" t="inlineStr">
        <is>
          <t>SWE</t>
        </is>
      </c>
      <c r="C1461" t="inlineStr">
        <is>
          <t>mit.inv.bld.2</t>
        </is>
      </c>
      <c r="D1461" t="n">
        <v>0</v>
      </c>
      <c r="E1461" t="n">
        <v>0.08411545409</v>
      </c>
      <c r="F1461" t="n">
        <v>0.08064289389</v>
      </c>
      <c r="G1461" t="n">
        <v>0.07232515719</v>
      </c>
      <c r="H1461" t="n">
        <v>0</v>
      </c>
    </row>
    <row r="1462">
      <c r="A1462" t="inlineStr">
        <is>
          <t>SWZ|mit.inv.bld.2</t>
        </is>
      </c>
      <c r="B1462" t="inlineStr">
        <is>
          <t>SWZ</t>
        </is>
      </c>
      <c r="C1462" t="inlineStr">
        <is>
          <t>mit.inv.bld.2</t>
        </is>
      </c>
      <c r="D1462" t="n">
        <v>0</v>
      </c>
      <c r="E1462" t="n">
        <v>0.008059576585</v>
      </c>
      <c r="F1462" t="n">
        <v>0.008760987802999999</v>
      </c>
      <c r="G1462" t="n">
        <v>0.0103062086</v>
      </c>
      <c r="H1462" t="n">
        <v>0.01208926998</v>
      </c>
    </row>
    <row r="1463">
      <c r="A1463" t="inlineStr">
        <is>
          <t>SYC|mit.inv.bld.2</t>
        </is>
      </c>
      <c r="B1463" t="inlineStr">
        <is>
          <t>SYC</t>
        </is>
      </c>
      <c r="C1463" t="inlineStr">
        <is>
          <t>mit.inv.bld.2</t>
        </is>
      </c>
      <c r="D1463" t="n">
        <v>0</v>
      </c>
      <c r="E1463" t="n">
        <v>0.00265025759</v>
      </c>
      <c r="F1463" t="n">
        <v>0.002718124298</v>
      </c>
      <c r="G1463" t="n">
        <v>0.002853165792</v>
      </c>
      <c r="H1463" t="n">
        <v>0.002993333181</v>
      </c>
    </row>
    <row r="1464">
      <c r="A1464" t="inlineStr">
        <is>
          <t>SYR|mit.inv.bld.2</t>
        </is>
      </c>
      <c r="B1464" t="inlineStr">
        <is>
          <t>SYR</t>
        </is>
      </c>
      <c r="C1464" t="inlineStr">
        <is>
          <t>mit.inv.bld.2</t>
        </is>
      </c>
      <c r="D1464" t="n">
        <v>0</v>
      </c>
      <c r="E1464" t="n">
        <v>0.1930069785</v>
      </c>
      <c r="F1464" t="n">
        <v>0.2157657929</v>
      </c>
      <c r="G1464" t="n">
        <v>0.2957770944</v>
      </c>
      <c r="H1464" t="n">
        <v>0.397884426</v>
      </c>
    </row>
    <row r="1465">
      <c r="A1465" t="inlineStr">
        <is>
          <t>TCD|mit.inv.bld.2</t>
        </is>
      </c>
      <c r="B1465" t="inlineStr">
        <is>
          <t>TCD</t>
        </is>
      </c>
      <c r="C1465" t="inlineStr">
        <is>
          <t>mit.inv.bld.2</t>
        </is>
      </c>
      <c r="D1465" t="n">
        <v>0</v>
      </c>
      <c r="E1465" t="n">
        <v>0.01481837367</v>
      </c>
      <c r="F1465" t="n">
        <v>0.01795938989</v>
      </c>
      <c r="G1465" t="n">
        <v>0.02460568118</v>
      </c>
      <c r="H1465" t="n">
        <v>0.03309998481</v>
      </c>
    </row>
    <row r="1466">
      <c r="A1466" t="inlineStr">
        <is>
          <t>TGO|mit.inv.bld.2</t>
        </is>
      </c>
      <c r="B1466" t="inlineStr">
        <is>
          <t>TGO</t>
        </is>
      </c>
      <c r="C1466" t="inlineStr">
        <is>
          <t>mit.inv.bld.2</t>
        </is>
      </c>
      <c r="D1466" t="n">
        <v>0</v>
      </c>
      <c r="E1466" t="n">
        <v>0.007981587928</v>
      </c>
      <c r="F1466" t="n">
        <v>0.009594429295</v>
      </c>
      <c r="G1466" t="n">
        <v>0.01314480548</v>
      </c>
      <c r="H1466" t="n">
        <v>0.01768261803</v>
      </c>
    </row>
    <row r="1467">
      <c r="A1467" t="inlineStr">
        <is>
          <t>THA|mit.inv.bld.2</t>
        </is>
      </c>
      <c r="B1467" t="inlineStr">
        <is>
          <t>THA</t>
        </is>
      </c>
      <c r="C1467" t="inlineStr">
        <is>
          <t>mit.inv.bld.2</t>
        </is>
      </c>
      <c r="D1467" t="n">
        <v>0</v>
      </c>
      <c r="E1467" t="n">
        <v>0.4299854605</v>
      </c>
      <c r="F1467" t="n">
        <v>0.4415827401</v>
      </c>
      <c r="G1467" t="n">
        <v>0.5152105625</v>
      </c>
      <c r="H1467" t="n">
        <v>0.5989246416</v>
      </c>
    </row>
    <row r="1468">
      <c r="A1468" t="inlineStr">
        <is>
          <t>TJK|mit.inv.bld.2</t>
        </is>
      </c>
      <c r="B1468" t="inlineStr">
        <is>
          <t>TJK</t>
        </is>
      </c>
      <c r="C1468" t="inlineStr">
        <is>
          <t>mit.inv.bld.2</t>
        </is>
      </c>
      <c r="D1468" t="n">
        <v>0</v>
      </c>
      <c r="E1468" t="n">
        <v>0.04101021374</v>
      </c>
      <c r="F1468" t="n">
        <v>0.04596159325</v>
      </c>
      <c r="G1468" t="n">
        <v>0.05378581459</v>
      </c>
      <c r="H1468" t="n">
        <v>0.06264861261</v>
      </c>
    </row>
    <row r="1469">
      <c r="A1469" t="inlineStr">
        <is>
          <t>TKM|mit.inv.bld.2</t>
        </is>
      </c>
      <c r="B1469" t="inlineStr">
        <is>
          <t>TKM</t>
        </is>
      </c>
      <c r="C1469" t="inlineStr">
        <is>
          <t>mit.inv.bld.2</t>
        </is>
      </c>
      <c r="D1469" t="n">
        <v>0</v>
      </c>
      <c r="E1469" t="n">
        <v>2.483775142</v>
      </c>
      <c r="F1469" t="n">
        <v>2.438711709</v>
      </c>
      <c r="G1469" t="n">
        <v>2.397217953</v>
      </c>
      <c r="H1469" t="n">
        <v>2.356840005</v>
      </c>
    </row>
    <row r="1470">
      <c r="A1470" t="inlineStr">
        <is>
          <t>TLS|mit.inv.bld.2</t>
        </is>
      </c>
      <c r="B1470" t="inlineStr">
        <is>
          <t>TLS</t>
        </is>
      </c>
      <c r="C1470" t="inlineStr">
        <is>
          <t>mit.inv.bld.2</t>
        </is>
      </c>
      <c r="D1470" t="n">
        <v>0</v>
      </c>
      <c r="E1470" t="n">
        <v>0.0001410355565</v>
      </c>
      <c r="F1470" t="n">
        <v>0.0001633393859</v>
      </c>
      <c r="G1470" t="n">
        <v>0.0002146396763</v>
      </c>
      <c r="H1470" t="n">
        <v>0.0002780523724</v>
      </c>
    </row>
    <row r="1471">
      <c r="A1471" t="inlineStr">
        <is>
          <t>TON|mit.inv.bld.2</t>
        </is>
      </c>
      <c r="B1471" t="inlineStr">
        <is>
          <t>TON</t>
        </is>
      </c>
      <c r="C1471" t="inlineStr">
        <is>
          <t>mit.inv.bld.2</t>
        </is>
      </c>
      <c r="D1471" t="n">
        <v>0</v>
      </c>
      <c r="E1471" t="n">
        <v>0.001179044589</v>
      </c>
      <c r="F1471" t="n">
        <v>0.001266079543</v>
      </c>
      <c r="G1471" t="n">
        <v>0.001526986776</v>
      </c>
      <c r="H1471" t="n">
        <v>0.001827243718</v>
      </c>
    </row>
    <row r="1472">
      <c r="A1472" t="inlineStr">
        <is>
          <t>TTO|mit.inv.bld.2</t>
        </is>
      </c>
      <c r="B1472" t="inlineStr">
        <is>
          <t>TTO</t>
        </is>
      </c>
      <c r="C1472" t="inlineStr">
        <is>
          <t>mit.inv.bld.2</t>
        </is>
      </c>
      <c r="D1472" t="n">
        <v>0</v>
      </c>
      <c r="E1472" t="n">
        <v>0.03930394405</v>
      </c>
      <c r="F1472" t="n">
        <v>0.03801093685</v>
      </c>
      <c r="G1472" t="n">
        <v>0.03743864449</v>
      </c>
      <c r="H1472" t="n">
        <v>0.03700015578</v>
      </c>
    </row>
    <row r="1473">
      <c r="A1473" t="inlineStr">
        <is>
          <t>TUN|mit.inv.bld.2</t>
        </is>
      </c>
      <c r="B1473" t="inlineStr">
        <is>
          <t>TUN</t>
        </is>
      </c>
      <c r="C1473" t="inlineStr">
        <is>
          <t>mit.inv.bld.2</t>
        </is>
      </c>
      <c r="D1473" t="n">
        <v>0</v>
      </c>
      <c r="E1473" t="n">
        <v>0.2078659196</v>
      </c>
      <c r="F1473" t="n">
        <v>0.2138818063</v>
      </c>
      <c r="G1473" t="n">
        <v>0.2550933695</v>
      </c>
      <c r="H1473" t="n">
        <v>0.3048835197</v>
      </c>
    </row>
    <row r="1474">
      <c r="A1474" t="inlineStr">
        <is>
          <t>TUR|mit.inv.bld.2</t>
        </is>
      </c>
      <c r="B1474" t="inlineStr">
        <is>
          <t>TUR</t>
        </is>
      </c>
      <c r="C1474" t="inlineStr">
        <is>
          <t>mit.inv.bld.2</t>
        </is>
      </c>
      <c r="D1474" t="n">
        <v>0</v>
      </c>
      <c r="E1474" t="n">
        <v>6.778433687</v>
      </c>
      <c r="F1474" t="n">
        <v>6.862520003</v>
      </c>
      <c r="G1474" t="n">
        <v>6.924435715</v>
      </c>
      <c r="H1474" t="n">
        <v>7.00831563</v>
      </c>
    </row>
    <row r="1475">
      <c r="A1475" t="inlineStr">
        <is>
          <t>TZA|mit.inv.bld.2</t>
        </is>
      </c>
      <c r="B1475" t="inlineStr">
        <is>
          <t>TZA</t>
        </is>
      </c>
      <c r="C1475" t="inlineStr">
        <is>
          <t>mit.inv.bld.2</t>
        </is>
      </c>
      <c r="D1475" t="n">
        <v>0</v>
      </c>
      <c r="E1475" t="n">
        <v>0.07089776295</v>
      </c>
      <c r="F1475" t="n">
        <v>0.08739646997</v>
      </c>
      <c r="G1475" t="n">
        <v>0.1184385459</v>
      </c>
      <c r="H1475" t="n">
        <v>0.1580344823</v>
      </c>
    </row>
    <row r="1476">
      <c r="A1476" t="inlineStr">
        <is>
          <t>UGA|mit.inv.bld.2</t>
        </is>
      </c>
      <c r="B1476" t="inlineStr">
        <is>
          <t>UGA</t>
        </is>
      </c>
      <c r="C1476" t="inlineStr">
        <is>
          <t>mit.inv.bld.2</t>
        </is>
      </c>
      <c r="D1476" t="n">
        <v>0</v>
      </c>
      <c r="E1476" t="n">
        <v>0.005364073118</v>
      </c>
      <c r="F1476" t="n">
        <v>0.007040196283</v>
      </c>
      <c r="G1476" t="n">
        <v>0.009656057573999999</v>
      </c>
      <c r="H1476" t="n">
        <v>0.01298949445</v>
      </c>
    </row>
    <row r="1477">
      <c r="A1477" t="inlineStr">
        <is>
          <t>UKR|mit.inv.bld.2</t>
        </is>
      </c>
      <c r="B1477" t="inlineStr">
        <is>
          <t>UKR</t>
        </is>
      </c>
      <c r="C1477" t="inlineStr">
        <is>
          <t>mit.inv.bld.2</t>
        </is>
      </c>
      <c r="D1477" t="n">
        <v>0</v>
      </c>
      <c r="E1477" t="n">
        <v>1.348389724</v>
      </c>
      <c r="F1477" t="n">
        <v>1.316809529</v>
      </c>
      <c r="G1477" t="n">
        <v>1.379370484</v>
      </c>
      <c r="H1477" t="n">
        <v>1.442203778</v>
      </c>
    </row>
    <row r="1478">
      <c r="A1478" t="inlineStr">
        <is>
          <t>URY|mit.inv.bld.2</t>
        </is>
      </c>
      <c r="B1478" t="inlineStr">
        <is>
          <t>URY</t>
        </is>
      </c>
      <c r="C1478" t="inlineStr">
        <is>
          <t>mit.inv.bld.2</t>
        </is>
      </c>
      <c r="D1478" t="n">
        <v>0</v>
      </c>
      <c r="E1478" t="n">
        <v>0.04234927617</v>
      </c>
      <c r="F1478" t="n">
        <v>0.04302668678</v>
      </c>
      <c r="G1478" t="n">
        <v>0.04358905715</v>
      </c>
      <c r="H1478" t="n">
        <v>0.04431630835</v>
      </c>
    </row>
    <row r="1479">
      <c r="A1479" t="inlineStr">
        <is>
          <t>USA|mit.inv.bld.2</t>
        </is>
      </c>
      <c r="B1479" t="inlineStr">
        <is>
          <t>USA</t>
        </is>
      </c>
      <c r="C1479" t="inlineStr">
        <is>
          <t>mit.inv.bld.2</t>
        </is>
      </c>
      <c r="D1479" t="n">
        <v>0</v>
      </c>
      <c r="E1479" t="n">
        <v>119.0199027</v>
      </c>
      <c r="F1479" t="n">
        <v>116.7248346</v>
      </c>
      <c r="G1479" t="n">
        <v>107.5509199</v>
      </c>
      <c r="H1479" t="n">
        <v>0</v>
      </c>
    </row>
    <row r="1480">
      <c r="A1480" t="inlineStr">
        <is>
          <t>UZB|mit.inv.bld.2</t>
        </is>
      </c>
      <c r="B1480" t="inlineStr">
        <is>
          <t>UZB</t>
        </is>
      </c>
      <c r="C1480" t="inlineStr">
        <is>
          <t>mit.inv.bld.2</t>
        </is>
      </c>
      <c r="D1480" t="n">
        <v>0</v>
      </c>
      <c r="E1480" t="n">
        <v>2.407905483</v>
      </c>
      <c r="F1480" t="n">
        <v>2.608355807</v>
      </c>
      <c r="G1480" t="n">
        <v>2.734559429</v>
      </c>
      <c r="H1480" t="n">
        <v>2.876114448</v>
      </c>
    </row>
    <row r="1481">
      <c r="A1481" t="inlineStr">
        <is>
          <t>VCT|mit.inv.bld.2</t>
        </is>
      </c>
      <c r="B1481" t="inlineStr">
        <is>
          <t>VCT</t>
        </is>
      </c>
      <c r="C1481" t="inlineStr">
        <is>
          <t>mit.inv.bld.2</t>
        </is>
      </c>
      <c r="D1481" t="n">
        <v>0</v>
      </c>
      <c r="E1481" t="n">
        <v>0.001106149746</v>
      </c>
      <c r="F1481" t="n">
        <v>0.001218249898</v>
      </c>
      <c r="G1481" t="n">
        <v>0.001468411779</v>
      </c>
      <c r="H1481" t="n">
        <v>0.001757150906</v>
      </c>
    </row>
    <row r="1482">
      <c r="A1482" t="inlineStr">
        <is>
          <t>VEN|mit.inv.bld.2</t>
        </is>
      </c>
      <c r="B1482" t="inlineStr">
        <is>
          <t>VEN</t>
        </is>
      </c>
      <c r="C1482" t="inlineStr">
        <is>
          <t>mit.inv.bld.2</t>
        </is>
      </c>
      <c r="D1482" t="n">
        <v>0</v>
      </c>
      <c r="E1482" t="n">
        <v>0.2727828876</v>
      </c>
      <c r="F1482" t="n">
        <v>0.2916528869</v>
      </c>
      <c r="G1482" t="n">
        <v>0.3153622949</v>
      </c>
      <c r="H1482" t="n">
        <v>0.3435961439</v>
      </c>
    </row>
    <row r="1483">
      <c r="A1483" t="inlineStr">
        <is>
          <t>VNM|mit.inv.bld.2</t>
        </is>
      </c>
      <c r="B1483" t="inlineStr">
        <is>
          <t>VNM</t>
        </is>
      </c>
      <c r="C1483" t="inlineStr">
        <is>
          <t>mit.inv.bld.2</t>
        </is>
      </c>
      <c r="D1483" t="n">
        <v>0</v>
      </c>
      <c r="E1483" t="n">
        <v>0.5376931534</v>
      </c>
      <c r="F1483" t="n">
        <v>0.6783415125</v>
      </c>
      <c r="G1483" t="n">
        <v>0.8717683382</v>
      </c>
      <c r="H1483" t="n">
        <v>1.108601644</v>
      </c>
    </row>
    <row r="1484">
      <c r="A1484" t="inlineStr">
        <is>
          <t>VUT|mit.inv.bld.2</t>
        </is>
      </c>
      <c r="B1484" t="inlineStr">
        <is>
          <t>VUT</t>
        </is>
      </c>
      <c r="C1484" t="inlineStr">
        <is>
          <t>mit.inv.bld.2</t>
        </is>
      </c>
      <c r="D1484" t="n">
        <v>0</v>
      </c>
      <c r="E1484" t="n">
        <v>0.0008093305097</v>
      </c>
      <c r="F1484" t="n">
        <v>0.0009179596495</v>
      </c>
      <c r="G1484" t="n">
        <v>0.00120653212</v>
      </c>
      <c r="H1484" t="n">
        <v>0.00156298744</v>
      </c>
    </row>
    <row r="1485">
      <c r="A1485" t="inlineStr">
        <is>
          <t>WSM|mit.inv.bld.2</t>
        </is>
      </c>
      <c r="B1485" t="inlineStr">
        <is>
          <t>WSM</t>
        </is>
      </c>
      <c r="C1485" t="inlineStr">
        <is>
          <t>mit.inv.bld.2</t>
        </is>
      </c>
      <c r="D1485" t="n">
        <v>0</v>
      </c>
      <c r="E1485" t="n">
        <v>0.0009592624644</v>
      </c>
      <c r="F1485" t="n">
        <v>0.001064663325</v>
      </c>
      <c r="G1485" t="n">
        <v>0.001283092387</v>
      </c>
      <c r="H1485" t="n">
        <v>0.001535391491</v>
      </c>
    </row>
    <row r="1486">
      <c r="A1486" t="inlineStr">
        <is>
          <t>XKX|mit.inv.bld.2</t>
        </is>
      </c>
      <c r="B1486" t="inlineStr">
        <is>
          <t>XKX</t>
        </is>
      </c>
      <c r="C1486" t="inlineStr">
        <is>
          <t>mit.inv.bld.2</t>
        </is>
      </c>
      <c r="D1486" t="n">
        <v>0</v>
      </c>
      <c r="E1486" t="n">
        <v>0.004305141697</v>
      </c>
      <c r="F1486" t="n">
        <v>0.004631855001</v>
      </c>
      <c r="G1486" t="n">
        <v>0.00555327988</v>
      </c>
      <c r="H1486" t="n">
        <v>0.006633302075</v>
      </c>
    </row>
    <row r="1487">
      <c r="A1487" t="inlineStr">
        <is>
          <t>YEM|mit.inv.bld.2</t>
        </is>
      </c>
      <c r="B1487" t="inlineStr">
        <is>
          <t>YEM</t>
        </is>
      </c>
      <c r="C1487" t="inlineStr">
        <is>
          <t>mit.inv.bld.2</t>
        </is>
      </c>
      <c r="D1487" t="n">
        <v>0</v>
      </c>
      <c r="E1487" t="n">
        <v>0.1263733479</v>
      </c>
      <c r="F1487" t="n">
        <v>0.1286427869</v>
      </c>
      <c r="G1487" t="n">
        <v>0.1768290046</v>
      </c>
      <c r="H1487" t="n">
        <v>0.2378734132</v>
      </c>
    </row>
    <row r="1488">
      <c r="A1488" t="inlineStr">
        <is>
          <t>ZAF|mit.inv.bld.2</t>
        </is>
      </c>
      <c r="B1488" t="inlineStr">
        <is>
          <t>ZAF</t>
        </is>
      </c>
      <c r="C1488" t="inlineStr">
        <is>
          <t>mit.inv.bld.2</t>
        </is>
      </c>
      <c r="D1488" t="n">
        <v>0</v>
      </c>
      <c r="E1488" t="n">
        <v>0.9283517176</v>
      </c>
      <c r="F1488" t="n">
        <v>0.9260893714</v>
      </c>
      <c r="G1488" t="n">
        <v>1.019184035</v>
      </c>
      <c r="H1488" t="n">
        <v>1.119014369</v>
      </c>
    </row>
    <row r="1489">
      <c r="A1489" t="inlineStr">
        <is>
          <t>ZMB|mit.inv.bld.2</t>
        </is>
      </c>
      <c r="B1489" t="inlineStr">
        <is>
          <t>ZMB</t>
        </is>
      </c>
      <c r="C1489" t="inlineStr">
        <is>
          <t>mit.inv.bld.2</t>
        </is>
      </c>
      <c r="D1489" t="n">
        <v>0</v>
      </c>
      <c r="E1489" t="n">
        <v>8.803551012e-05</v>
      </c>
      <c r="F1489" t="n">
        <v>0.0001026515747</v>
      </c>
      <c r="G1489" t="n">
        <v>0.0001348850673</v>
      </c>
      <c r="H1489" t="n">
        <v>0.0001747352288</v>
      </c>
    </row>
    <row r="1490">
      <c r="A1490" t="inlineStr">
        <is>
          <t>ZWE|mit.inv.bld.2</t>
        </is>
      </c>
      <c r="B1490" t="inlineStr">
        <is>
          <t>ZWE</t>
        </is>
      </c>
      <c r="C1490" t="inlineStr">
        <is>
          <t>mit.inv.bld.2</t>
        </is>
      </c>
      <c r="D1490" t="n">
        <v>0</v>
      </c>
      <c r="E1490" t="n">
        <v>0.05027076874</v>
      </c>
      <c r="F1490" t="n">
        <v>0.05777862103</v>
      </c>
      <c r="G1490" t="n">
        <v>0.07376938676</v>
      </c>
      <c r="H1490" t="n">
        <v>0.09352370806</v>
      </c>
    </row>
    <row r="1491">
      <c r="A1491" t="inlineStr">
        <is>
          <t>ABW|mit.inv.ind.2</t>
        </is>
      </c>
      <c r="B1491" t="inlineStr">
        <is>
          <t>ABW</t>
        </is>
      </c>
      <c r="C1491" t="inlineStr">
        <is>
          <t>mit.inv.ind.2</t>
        </is>
      </c>
      <c r="D1491" t="n">
        <v>0</v>
      </c>
      <c r="E1491" t="n">
        <v>0.04693158658</v>
      </c>
      <c r="F1491" t="n">
        <v>0.0525858456</v>
      </c>
      <c r="G1491" t="n">
        <v>0.06005391658</v>
      </c>
      <c r="H1491" t="n">
        <v>0.06838292636</v>
      </c>
    </row>
    <row r="1492">
      <c r="A1492" t="inlineStr">
        <is>
          <t>AFG|mit.inv.ind.2</t>
        </is>
      </c>
      <c r="B1492" t="inlineStr">
        <is>
          <t>AFG</t>
        </is>
      </c>
      <c r="C1492" t="inlineStr">
        <is>
          <t>mit.inv.ind.2</t>
        </is>
      </c>
      <c r="D1492" t="n">
        <v>0</v>
      </c>
      <c r="E1492" t="n">
        <v>0.08408213696</v>
      </c>
      <c r="F1492" t="n">
        <v>0.09508859331</v>
      </c>
      <c r="G1492" t="n">
        <v>0.1347945093</v>
      </c>
      <c r="H1492" t="n">
        <v>0.1881383724</v>
      </c>
    </row>
    <row r="1493">
      <c r="A1493" t="inlineStr">
        <is>
          <t>AGO|mit.inv.ind.2</t>
        </is>
      </c>
      <c r="B1493" t="inlineStr">
        <is>
          <t>AGO</t>
        </is>
      </c>
      <c r="C1493" t="inlineStr">
        <is>
          <t>mit.inv.ind.2</t>
        </is>
      </c>
      <c r="D1493" t="n">
        <v>0</v>
      </c>
      <c r="E1493" t="n">
        <v>0.1771490464</v>
      </c>
      <c r="F1493" t="n">
        <v>0.2072734683</v>
      </c>
      <c r="G1493" t="n">
        <v>0.3378287901</v>
      </c>
      <c r="H1493" t="n">
        <v>0.5308290554</v>
      </c>
    </row>
    <row r="1494">
      <c r="A1494" t="inlineStr">
        <is>
          <t>ALB|mit.inv.ind.2</t>
        </is>
      </c>
      <c r="B1494" t="inlineStr">
        <is>
          <t>ALB</t>
        </is>
      </c>
      <c r="C1494" t="inlineStr">
        <is>
          <t>mit.inv.ind.2</t>
        </is>
      </c>
      <c r="D1494" t="n">
        <v>0</v>
      </c>
      <c r="E1494" t="n">
        <v>0.07726063362</v>
      </c>
      <c r="F1494" t="n">
        <v>0.09151187445</v>
      </c>
      <c r="G1494" t="n">
        <v>0.1219136395</v>
      </c>
      <c r="H1494" t="n">
        <v>0.1606070231</v>
      </c>
    </row>
    <row r="1495">
      <c r="A1495" t="inlineStr">
        <is>
          <t>ARE|mit.inv.ind.2</t>
        </is>
      </c>
      <c r="B1495" t="inlineStr">
        <is>
          <t>ARE</t>
        </is>
      </c>
      <c r="C1495" t="inlineStr">
        <is>
          <t>mit.inv.ind.2</t>
        </is>
      </c>
      <c r="D1495" t="n">
        <v>0</v>
      </c>
      <c r="E1495" t="n">
        <v>5.4841454</v>
      </c>
      <c r="F1495" t="n">
        <v>6.488711414</v>
      </c>
      <c r="G1495" t="n">
        <v>7.100169883</v>
      </c>
      <c r="H1495" t="n">
        <v>7.791423963</v>
      </c>
    </row>
    <row r="1496">
      <c r="A1496" t="inlineStr">
        <is>
          <t>ARG|mit.inv.ind.2</t>
        </is>
      </c>
      <c r="B1496" t="inlineStr">
        <is>
          <t>ARG</t>
        </is>
      </c>
      <c r="C1496" t="inlineStr">
        <is>
          <t>mit.inv.ind.2</t>
        </is>
      </c>
      <c r="D1496" t="n">
        <v>0</v>
      </c>
      <c r="E1496" t="n">
        <v>2.418303229</v>
      </c>
      <c r="F1496" t="n">
        <v>2.930416789</v>
      </c>
      <c r="G1496" t="n">
        <v>3.256009031</v>
      </c>
      <c r="H1496" t="n">
        <v>3.617609077</v>
      </c>
    </row>
    <row r="1497">
      <c r="A1497" t="inlineStr">
        <is>
          <t>ARM|mit.inv.ind.2</t>
        </is>
      </c>
      <c r="B1497" t="inlineStr">
        <is>
          <t>ARM</t>
        </is>
      </c>
      <c r="C1497" t="inlineStr">
        <is>
          <t>mit.inv.ind.2</t>
        </is>
      </c>
      <c r="D1497" t="n">
        <v>0</v>
      </c>
      <c r="E1497" t="n">
        <v>0.09721287605999999</v>
      </c>
      <c r="F1497" t="n">
        <v>0.1376277386</v>
      </c>
      <c r="G1497" t="n">
        <v>0.1973214814</v>
      </c>
      <c r="H1497" t="n">
        <v>0.275638413</v>
      </c>
    </row>
    <row r="1498">
      <c r="A1498" t="inlineStr">
        <is>
          <t>ATG|mit.inv.ind.2</t>
        </is>
      </c>
      <c r="B1498" t="inlineStr">
        <is>
          <t>ATG</t>
        </is>
      </c>
      <c r="C1498" t="inlineStr">
        <is>
          <t>mit.inv.ind.2</t>
        </is>
      </c>
      <c r="D1498" t="n">
        <v>0</v>
      </c>
      <c r="E1498" t="n">
        <v>0.03425374465</v>
      </c>
      <c r="F1498" t="n">
        <v>0.03917300413</v>
      </c>
      <c r="G1498" t="n">
        <v>0.04472342352</v>
      </c>
      <c r="H1498" t="n">
        <v>0.05092621351</v>
      </c>
    </row>
    <row r="1499">
      <c r="A1499" t="inlineStr">
        <is>
          <t>AUS|mit.inv.ind.2</t>
        </is>
      </c>
      <c r="B1499" t="inlineStr">
        <is>
          <t>AUS</t>
        </is>
      </c>
      <c r="C1499" t="inlineStr">
        <is>
          <t>mit.inv.ind.2</t>
        </is>
      </c>
      <c r="D1499" t="n">
        <v>0</v>
      </c>
      <c r="E1499" t="n">
        <v>11.05833677</v>
      </c>
      <c r="F1499" t="n">
        <v>12.13225538</v>
      </c>
      <c r="G1499" t="n">
        <v>13.60181875</v>
      </c>
      <c r="H1499" t="n">
        <v>15.23326266</v>
      </c>
    </row>
    <row r="1500">
      <c r="A1500" t="inlineStr">
        <is>
          <t>AUT|mit.inv.ind.2</t>
        </is>
      </c>
      <c r="B1500" t="inlineStr">
        <is>
          <t>AUT</t>
        </is>
      </c>
      <c r="C1500" t="inlineStr">
        <is>
          <t>mit.inv.ind.2</t>
        </is>
      </c>
      <c r="D1500" t="n">
        <v>0</v>
      </c>
      <c r="E1500" t="n">
        <v>1.241116012</v>
      </c>
      <c r="F1500" t="n">
        <v>1.238319935</v>
      </c>
      <c r="G1500" t="n">
        <v>1.377234787</v>
      </c>
      <c r="H1500" t="n">
        <v>1.525514237</v>
      </c>
    </row>
    <row r="1501">
      <c r="A1501" t="inlineStr">
        <is>
          <t>AZE|mit.inv.ind.2</t>
        </is>
      </c>
      <c r="B1501" t="inlineStr">
        <is>
          <t>AZE</t>
        </is>
      </c>
      <c r="C1501" t="inlineStr">
        <is>
          <t>mit.inv.ind.2</t>
        </is>
      </c>
      <c r="D1501" t="n">
        <v>0</v>
      </c>
      <c r="E1501" t="n">
        <v>0.2046568789</v>
      </c>
      <c r="F1501" t="n">
        <v>0.2340872744</v>
      </c>
      <c r="G1501" t="n">
        <v>0.3329745898</v>
      </c>
      <c r="H1501" t="n">
        <v>0.4631840051</v>
      </c>
    </row>
    <row r="1502">
      <c r="A1502" t="inlineStr">
        <is>
          <t>BDI|mit.inv.ind.2</t>
        </is>
      </c>
      <c r="B1502" t="inlineStr">
        <is>
          <t>BDI</t>
        </is>
      </c>
      <c r="C1502" t="inlineStr">
        <is>
          <t>mit.inv.ind.2</t>
        </is>
      </c>
      <c r="D1502" t="n">
        <v>0</v>
      </c>
      <c r="E1502" t="n">
        <v>0.004657555659</v>
      </c>
      <c r="F1502" t="n">
        <v>0.005864124945</v>
      </c>
      <c r="G1502" t="n">
        <v>0.009622574875</v>
      </c>
      <c r="H1502" t="n">
        <v>0.01527426956</v>
      </c>
    </row>
    <row r="1503">
      <c r="A1503" t="inlineStr">
        <is>
          <t>BEL|mit.inv.ind.2</t>
        </is>
      </c>
      <c r="B1503" t="inlineStr">
        <is>
          <t>BEL</t>
        </is>
      </c>
      <c r="C1503" t="inlineStr">
        <is>
          <t>mit.inv.ind.2</t>
        </is>
      </c>
      <c r="D1503" t="n">
        <v>0</v>
      </c>
      <c r="E1503" t="n">
        <v>2.022301792</v>
      </c>
      <c r="F1503" t="n">
        <v>2.027416447</v>
      </c>
      <c r="G1503" t="n">
        <v>2.277284622</v>
      </c>
      <c r="H1503" t="n">
        <v>2.546346033</v>
      </c>
    </row>
    <row r="1504">
      <c r="A1504" t="inlineStr">
        <is>
          <t>BEN|mit.inv.ind.2</t>
        </is>
      </c>
      <c r="B1504" t="inlineStr">
        <is>
          <t>BEN</t>
        </is>
      </c>
      <c r="C1504" t="inlineStr">
        <is>
          <t>mit.inv.ind.2</t>
        </is>
      </c>
      <c r="D1504" t="n">
        <v>0</v>
      </c>
      <c r="E1504" t="n">
        <v>0.02058267891</v>
      </c>
      <c r="F1504" t="n">
        <v>0.02905589051</v>
      </c>
      <c r="G1504" t="n">
        <v>0.04534885361</v>
      </c>
      <c r="H1504" t="n">
        <v>0.06889727849000001</v>
      </c>
    </row>
    <row r="1505">
      <c r="A1505" t="inlineStr">
        <is>
          <t>BFA|mit.inv.ind.2</t>
        </is>
      </c>
      <c r="B1505" t="inlineStr">
        <is>
          <t>BFA</t>
        </is>
      </c>
      <c r="C1505" t="inlineStr">
        <is>
          <t>mit.inv.ind.2</t>
        </is>
      </c>
      <c r="D1505" t="n">
        <v>0</v>
      </c>
      <c r="E1505" t="n">
        <v>0.06959991572</v>
      </c>
      <c r="F1505" t="n">
        <v>0.09488003143</v>
      </c>
      <c r="G1505" t="n">
        <v>0.1617260258</v>
      </c>
      <c r="H1505" t="n">
        <v>0.2638343408</v>
      </c>
    </row>
    <row r="1506">
      <c r="A1506" t="inlineStr">
        <is>
          <t>BGD|mit.inv.ind.2</t>
        </is>
      </c>
      <c r="B1506" t="inlineStr">
        <is>
          <t>BGD</t>
        </is>
      </c>
      <c r="C1506" t="inlineStr">
        <is>
          <t>mit.inv.ind.2</t>
        </is>
      </c>
      <c r="D1506" t="n">
        <v>0</v>
      </c>
      <c r="E1506" t="n">
        <v>1.132583022</v>
      </c>
      <c r="F1506" t="n">
        <v>1.513504003</v>
      </c>
      <c r="G1506" t="n">
        <v>2.415420532</v>
      </c>
      <c r="H1506" t="n">
        <v>3.739300074</v>
      </c>
    </row>
    <row r="1507">
      <c r="A1507" t="inlineStr">
        <is>
          <t>BGR|mit.inv.ind.2</t>
        </is>
      </c>
      <c r="B1507" t="inlineStr">
        <is>
          <t>BGR</t>
        </is>
      </c>
      <c r="C1507" t="inlineStr">
        <is>
          <t>mit.inv.ind.2</t>
        </is>
      </c>
      <c r="D1507" t="n">
        <v>0</v>
      </c>
      <c r="E1507" t="n">
        <v>0.4881718461</v>
      </c>
      <c r="F1507" t="n">
        <v>0.5753611592</v>
      </c>
      <c r="G1507" t="n">
        <v>0.8073920765</v>
      </c>
      <c r="H1507" t="n">
        <v>1.111285436</v>
      </c>
    </row>
    <row r="1508">
      <c r="A1508" t="inlineStr">
        <is>
          <t>BHR|mit.inv.ind.2</t>
        </is>
      </c>
      <c r="B1508" t="inlineStr">
        <is>
          <t>BHR</t>
        </is>
      </c>
      <c r="C1508" t="inlineStr">
        <is>
          <t>mit.inv.ind.2</t>
        </is>
      </c>
      <c r="D1508" t="n">
        <v>0</v>
      </c>
      <c r="E1508" t="n">
        <v>0.3813477387</v>
      </c>
      <c r="F1508" t="n">
        <v>0.3613199592</v>
      </c>
      <c r="G1508" t="n">
        <v>0.3887668309</v>
      </c>
      <c r="H1508" t="n">
        <v>0.4230015003</v>
      </c>
    </row>
    <row r="1509">
      <c r="A1509" t="inlineStr">
        <is>
          <t>BHS|mit.inv.ind.2</t>
        </is>
      </c>
      <c r="B1509" t="inlineStr">
        <is>
          <t>BHS</t>
        </is>
      </c>
      <c r="C1509" t="inlineStr">
        <is>
          <t>mit.inv.ind.2</t>
        </is>
      </c>
      <c r="D1509" t="n">
        <v>0</v>
      </c>
      <c r="E1509" t="n">
        <v>0.08686524418</v>
      </c>
      <c r="F1509" t="n">
        <v>0.09644285943</v>
      </c>
      <c r="G1509" t="n">
        <v>0.110129623</v>
      </c>
      <c r="H1509" t="n">
        <v>0.1253763687</v>
      </c>
    </row>
    <row r="1510">
      <c r="A1510" t="inlineStr">
        <is>
          <t>BIH|mit.inv.ind.2</t>
        </is>
      </c>
      <c r="B1510" t="inlineStr">
        <is>
          <t>BIH</t>
        </is>
      </c>
      <c r="C1510" t="inlineStr">
        <is>
          <t>mit.inv.ind.2</t>
        </is>
      </c>
      <c r="D1510" t="n">
        <v>0</v>
      </c>
      <c r="E1510" t="n">
        <v>0.1296480335</v>
      </c>
      <c r="F1510" t="n">
        <v>0.1439690292</v>
      </c>
      <c r="G1510" t="n">
        <v>0.1907901691</v>
      </c>
      <c r="H1510" t="n">
        <v>0.2501482201</v>
      </c>
    </row>
    <row r="1511">
      <c r="A1511" t="inlineStr">
        <is>
          <t>BLR|mit.inv.ind.2</t>
        </is>
      </c>
      <c r="B1511" t="inlineStr">
        <is>
          <t>BLR</t>
        </is>
      </c>
      <c r="C1511" t="inlineStr">
        <is>
          <t>mit.inv.ind.2</t>
        </is>
      </c>
      <c r="D1511" t="n">
        <v>0</v>
      </c>
      <c r="E1511" t="n">
        <v>0.5933482702</v>
      </c>
      <c r="F1511" t="n">
        <v>0.6313450966</v>
      </c>
      <c r="G1511" t="n">
        <v>0.8859961711</v>
      </c>
      <c r="H1511" t="n">
        <v>1.218237327</v>
      </c>
    </row>
    <row r="1512">
      <c r="A1512" t="inlineStr">
        <is>
          <t>BLZ|mit.inv.ind.2</t>
        </is>
      </c>
      <c r="B1512" t="inlineStr">
        <is>
          <t>BLZ</t>
        </is>
      </c>
      <c r="C1512" t="inlineStr">
        <is>
          <t>mit.inv.ind.2</t>
        </is>
      </c>
      <c r="D1512" t="n">
        <v>0</v>
      </c>
      <c r="E1512" t="n">
        <v>0.009093447189000001</v>
      </c>
      <c r="F1512" t="n">
        <v>0.01040017858</v>
      </c>
      <c r="G1512" t="n">
        <v>0.01465815756</v>
      </c>
      <c r="H1512" t="n">
        <v>0.02022181443</v>
      </c>
    </row>
    <row r="1513">
      <c r="A1513" t="inlineStr">
        <is>
          <t>BOL|mit.inv.ind.2</t>
        </is>
      </c>
      <c r="B1513" t="inlineStr">
        <is>
          <t>BOL</t>
        </is>
      </c>
      <c r="C1513" t="inlineStr">
        <is>
          <t>mit.inv.ind.2</t>
        </is>
      </c>
      <c r="D1513" t="n">
        <v>0</v>
      </c>
      <c r="E1513" t="n">
        <v>0.2725568145</v>
      </c>
      <c r="F1513" t="n">
        <v>0.2101673268</v>
      </c>
      <c r="G1513" t="n">
        <v>0.3562943498</v>
      </c>
      <c r="H1513" t="n">
        <v>0.5678987294</v>
      </c>
    </row>
    <row r="1514">
      <c r="A1514" t="inlineStr">
        <is>
          <t>BRA|mit.inv.ind.2</t>
        </is>
      </c>
      <c r="B1514" t="inlineStr">
        <is>
          <t>BRA</t>
        </is>
      </c>
      <c r="C1514" t="inlineStr">
        <is>
          <t>mit.inv.ind.2</t>
        </is>
      </c>
      <c r="D1514" t="n">
        <v>0</v>
      </c>
      <c r="E1514" t="n">
        <v>7.414088111</v>
      </c>
      <c r="F1514" t="n">
        <v>8.312568152000001</v>
      </c>
      <c r="G1514" t="n">
        <v>11.16279401</v>
      </c>
      <c r="H1514" t="n">
        <v>14.95449859</v>
      </c>
    </row>
    <row r="1515">
      <c r="A1515" t="inlineStr">
        <is>
          <t>BRB|mit.inv.ind.2</t>
        </is>
      </c>
      <c r="B1515" t="inlineStr">
        <is>
          <t>BRB</t>
        </is>
      </c>
      <c r="C1515" t="inlineStr">
        <is>
          <t>mit.inv.ind.2</t>
        </is>
      </c>
      <c r="D1515" t="n">
        <v>0</v>
      </c>
      <c r="E1515" t="n">
        <v>0.04159040528</v>
      </c>
      <c r="F1515" t="n">
        <v>0.0471991062</v>
      </c>
      <c r="G1515" t="n">
        <v>0.05385892686</v>
      </c>
      <c r="H1515" t="n">
        <v>0.06129485631</v>
      </c>
    </row>
    <row r="1516">
      <c r="A1516" t="inlineStr">
        <is>
          <t>BRN|mit.inv.ind.2</t>
        </is>
      </c>
      <c r="B1516" t="inlineStr">
        <is>
          <t>BRN</t>
        </is>
      </c>
      <c r="C1516" t="inlineStr">
        <is>
          <t>mit.inv.ind.2</t>
        </is>
      </c>
      <c r="D1516" t="n">
        <v>0</v>
      </c>
      <c r="E1516" t="n">
        <v>0.1652733865</v>
      </c>
      <c r="F1516" t="n">
        <v>0.187215425</v>
      </c>
      <c r="G1516" t="n">
        <v>0.2071590944</v>
      </c>
      <c r="H1516" t="n">
        <v>0.2291706846</v>
      </c>
    </row>
    <row r="1517">
      <c r="A1517" t="inlineStr">
        <is>
          <t>BTN|mit.inv.ind.2</t>
        </is>
      </c>
      <c r="B1517" t="inlineStr">
        <is>
          <t>BTN</t>
        </is>
      </c>
      <c r="C1517" t="inlineStr">
        <is>
          <t>mit.inv.ind.2</t>
        </is>
      </c>
      <c r="D1517" t="n">
        <v>0</v>
      </c>
      <c r="E1517" t="n">
        <v>0.03388913769</v>
      </c>
      <c r="F1517" t="n">
        <v>0.04736683502</v>
      </c>
      <c r="G1517" t="n">
        <v>0.06803854781</v>
      </c>
      <c r="H1517" t="n">
        <v>0.09589179113</v>
      </c>
    </row>
    <row r="1518">
      <c r="A1518" t="inlineStr">
        <is>
          <t>BWA|mit.inv.ind.2</t>
        </is>
      </c>
      <c r="B1518" t="inlineStr">
        <is>
          <t>BWA</t>
        </is>
      </c>
      <c r="C1518" t="inlineStr">
        <is>
          <t>mit.inv.ind.2</t>
        </is>
      </c>
      <c r="D1518" t="n">
        <v>0</v>
      </c>
      <c r="E1518" t="n">
        <v>0.03022248841</v>
      </c>
      <c r="F1518" t="n">
        <v>0.0391375656</v>
      </c>
      <c r="G1518" t="n">
        <v>0.05374380501</v>
      </c>
      <c r="H1518" t="n">
        <v>0.07256935757000001</v>
      </c>
    </row>
    <row r="1519">
      <c r="A1519" t="inlineStr">
        <is>
          <t>CAF|mit.inv.ind.2</t>
        </is>
      </c>
      <c r="B1519" t="inlineStr">
        <is>
          <t>CAF</t>
        </is>
      </c>
      <c r="C1519" t="inlineStr">
        <is>
          <t>mit.inv.ind.2</t>
        </is>
      </c>
      <c r="D1519" t="n">
        <v>0</v>
      </c>
      <c r="E1519" t="n">
        <v>0.002082262088</v>
      </c>
      <c r="F1519" t="n">
        <v>0.002498965536</v>
      </c>
      <c r="G1519" t="n">
        <v>0.0042505064</v>
      </c>
      <c r="H1519" t="n">
        <v>0.006934131649</v>
      </c>
    </row>
    <row r="1520">
      <c r="A1520" t="inlineStr">
        <is>
          <t>CAN|mit.inv.ind.2</t>
        </is>
      </c>
      <c r="B1520" t="inlineStr">
        <is>
          <t>CAN</t>
        </is>
      </c>
      <c r="C1520" t="inlineStr">
        <is>
          <t>mit.inv.ind.2</t>
        </is>
      </c>
      <c r="D1520" t="n">
        <v>0</v>
      </c>
      <c r="E1520" t="n">
        <v>18.84308349</v>
      </c>
      <c r="F1520" t="n">
        <v>19.92807843</v>
      </c>
      <c r="G1520" t="n">
        <v>22.17560962</v>
      </c>
      <c r="H1520" t="n">
        <v>24.6373515</v>
      </c>
    </row>
    <row r="1521">
      <c r="A1521" t="inlineStr">
        <is>
          <t>CHE|mit.inv.ind.2</t>
        </is>
      </c>
      <c r="B1521" t="inlineStr">
        <is>
          <t>CHE</t>
        </is>
      </c>
      <c r="C1521" t="inlineStr">
        <is>
          <t>mit.inv.ind.2</t>
        </is>
      </c>
      <c r="D1521" t="n">
        <v>0</v>
      </c>
      <c r="E1521" t="n">
        <v>0.9097391891</v>
      </c>
      <c r="F1521" t="n">
        <v>0.958952476</v>
      </c>
      <c r="G1521" t="n">
        <v>1.084902388</v>
      </c>
      <c r="H1521" t="n">
        <v>1.223254605</v>
      </c>
    </row>
    <row r="1522">
      <c r="A1522" t="inlineStr">
        <is>
          <t>CHL|mit.inv.ind.2</t>
        </is>
      </c>
      <c r="B1522" t="inlineStr">
        <is>
          <t>CHL</t>
        </is>
      </c>
      <c r="C1522" t="inlineStr">
        <is>
          <t>mit.inv.ind.2</t>
        </is>
      </c>
      <c r="D1522" t="n">
        <v>0</v>
      </c>
      <c r="E1522" t="n">
        <v>1.197386716</v>
      </c>
      <c r="F1522" t="n">
        <v>1.349838816</v>
      </c>
      <c r="G1522" t="n">
        <v>1.529491353</v>
      </c>
      <c r="H1522" t="n">
        <v>1.729625512</v>
      </c>
    </row>
    <row r="1523">
      <c r="A1523" t="inlineStr">
        <is>
          <t>CHN|mit.inv.ind.2</t>
        </is>
      </c>
      <c r="B1523" t="inlineStr">
        <is>
          <t>CHN</t>
        </is>
      </c>
      <c r="C1523" t="inlineStr">
        <is>
          <t>mit.inv.ind.2</t>
        </is>
      </c>
      <c r="D1523" t="n">
        <v>0</v>
      </c>
      <c r="E1523" t="n">
        <v>169.5272069</v>
      </c>
      <c r="F1523" t="n">
        <v>212.5417343</v>
      </c>
      <c r="G1523" t="n">
        <v>267.6809738</v>
      </c>
      <c r="H1523" t="n">
        <v>342.0381105</v>
      </c>
    </row>
    <row r="1524">
      <c r="A1524" t="inlineStr">
        <is>
          <t>CIV|mit.inv.ind.2</t>
        </is>
      </c>
      <c r="B1524" t="inlineStr">
        <is>
          <t>CIV</t>
        </is>
      </c>
      <c r="C1524" t="inlineStr">
        <is>
          <t>mit.inv.ind.2</t>
        </is>
      </c>
      <c r="D1524" t="n">
        <v>0</v>
      </c>
      <c r="E1524" t="n">
        <v>0.09518247220000001</v>
      </c>
      <c r="F1524" t="n">
        <v>0.1413055726</v>
      </c>
      <c r="G1524" t="n">
        <v>0.2311716519</v>
      </c>
      <c r="H1524" t="n">
        <v>0.362587948</v>
      </c>
    </row>
    <row r="1525">
      <c r="A1525" t="inlineStr">
        <is>
          <t>CMR|mit.inv.ind.2</t>
        </is>
      </c>
      <c r="B1525" t="inlineStr">
        <is>
          <t>CMR</t>
        </is>
      </c>
      <c r="C1525" t="inlineStr">
        <is>
          <t>mit.inv.ind.2</t>
        </is>
      </c>
      <c r="D1525" t="n">
        <v>0</v>
      </c>
      <c r="E1525" t="n">
        <v>0.01618024477</v>
      </c>
      <c r="F1525" t="n">
        <v>0.02010052077</v>
      </c>
      <c r="G1525" t="n">
        <v>0.03218417297</v>
      </c>
      <c r="H1525" t="n">
        <v>0.04975086548</v>
      </c>
    </row>
    <row r="1526">
      <c r="A1526" t="inlineStr">
        <is>
          <t>COD|mit.inv.ind.2</t>
        </is>
      </c>
      <c r="B1526" t="inlineStr">
        <is>
          <t>COD</t>
        </is>
      </c>
      <c r="C1526" t="inlineStr">
        <is>
          <t>mit.inv.ind.2</t>
        </is>
      </c>
      <c r="D1526" t="n">
        <v>0</v>
      </c>
      <c r="E1526" t="n">
        <v>0.0001703839226</v>
      </c>
      <c r="F1526" t="n">
        <v>0.000245975188</v>
      </c>
      <c r="G1526" t="n">
        <v>0.0004202014697</v>
      </c>
      <c r="H1526" t="n">
        <v>0.0006855023931</v>
      </c>
    </row>
    <row r="1527">
      <c r="A1527" t="inlineStr">
        <is>
          <t>COG|mit.inv.ind.2</t>
        </is>
      </c>
      <c r="B1527" t="inlineStr">
        <is>
          <t>COG</t>
        </is>
      </c>
      <c r="C1527" t="inlineStr">
        <is>
          <t>mit.inv.ind.2</t>
        </is>
      </c>
      <c r="D1527" t="n">
        <v>0</v>
      </c>
      <c r="E1527" t="n">
        <v>0.008050324802999999</v>
      </c>
      <c r="F1527" t="n">
        <v>0.009712530461999999</v>
      </c>
      <c r="G1527" t="n">
        <v>0.01554856495</v>
      </c>
      <c r="H1527" t="n">
        <v>0.0240352475</v>
      </c>
    </row>
    <row r="1528">
      <c r="A1528" t="inlineStr">
        <is>
          <t>COL|mit.inv.ind.2</t>
        </is>
      </c>
      <c r="B1528" t="inlineStr">
        <is>
          <t>COL</t>
        </is>
      </c>
      <c r="C1528" t="inlineStr">
        <is>
          <t>mit.inv.ind.2</t>
        </is>
      </c>
      <c r="D1528" t="n">
        <v>0</v>
      </c>
      <c r="E1528" t="n">
        <v>0.8800344886</v>
      </c>
      <c r="F1528" t="n">
        <v>1.001103105</v>
      </c>
      <c r="G1528" t="n">
        <v>1.380561812</v>
      </c>
      <c r="H1528" t="n">
        <v>1.873275492</v>
      </c>
    </row>
    <row r="1529">
      <c r="A1529" t="inlineStr">
        <is>
          <t>COM|mit.inv.ind.2</t>
        </is>
      </c>
      <c r="B1529" t="inlineStr">
        <is>
          <t>COM</t>
        </is>
      </c>
      <c r="C1529" t="inlineStr">
        <is>
          <t>mit.inv.ind.2</t>
        </is>
      </c>
      <c r="D1529" t="n">
        <v>0</v>
      </c>
      <c r="E1529" t="n">
        <v>0.007108683073</v>
      </c>
      <c r="F1529" t="n">
        <v>0.009279606988999999</v>
      </c>
      <c r="G1529" t="n">
        <v>0.01579906816</v>
      </c>
      <c r="H1529" t="n">
        <v>0.02577406272</v>
      </c>
    </row>
    <row r="1530">
      <c r="A1530" t="inlineStr">
        <is>
          <t>CPV|mit.inv.ind.2</t>
        </is>
      </c>
      <c r="B1530" t="inlineStr">
        <is>
          <t>CPV</t>
        </is>
      </c>
      <c r="C1530" t="inlineStr">
        <is>
          <t>mit.inv.ind.2</t>
        </is>
      </c>
      <c r="D1530" t="n">
        <v>0</v>
      </c>
      <c r="E1530" t="n">
        <v>0.01578834191</v>
      </c>
      <c r="F1530" t="n">
        <v>0.02128197504</v>
      </c>
      <c r="G1530" t="n">
        <v>0.03412977303</v>
      </c>
      <c r="H1530" t="n">
        <v>0.05275840857</v>
      </c>
    </row>
    <row r="1531">
      <c r="A1531" t="inlineStr">
        <is>
          <t>CRI|mit.inv.ind.2</t>
        </is>
      </c>
      <c r="B1531" t="inlineStr">
        <is>
          <t>CRI</t>
        </is>
      </c>
      <c r="C1531" t="inlineStr">
        <is>
          <t>mit.inv.ind.2</t>
        </is>
      </c>
      <c r="D1531" t="n">
        <v>0</v>
      </c>
      <c r="E1531" t="n">
        <v>0.07387128087</v>
      </c>
      <c r="F1531" t="n">
        <v>0.09126648628</v>
      </c>
      <c r="G1531" t="n">
        <v>0.1281334843</v>
      </c>
      <c r="H1531" t="n">
        <v>0.1762422778</v>
      </c>
    </row>
    <row r="1532">
      <c r="A1532" t="inlineStr">
        <is>
          <t>CYP|mit.inv.ind.2</t>
        </is>
      </c>
      <c r="B1532" t="inlineStr">
        <is>
          <t>CYP</t>
        </is>
      </c>
      <c r="C1532" t="inlineStr">
        <is>
          <t>mit.inv.ind.2</t>
        </is>
      </c>
      <c r="D1532" t="n">
        <v>0</v>
      </c>
      <c r="E1532" t="n">
        <v>0.1884930887</v>
      </c>
      <c r="F1532" t="n">
        <v>0.2194569144</v>
      </c>
      <c r="G1532" t="n">
        <v>0.2496204494</v>
      </c>
      <c r="H1532" t="n">
        <v>0.2833544694</v>
      </c>
    </row>
    <row r="1533">
      <c r="A1533" t="inlineStr">
        <is>
          <t>CZE|mit.inv.ind.2</t>
        </is>
      </c>
      <c r="B1533" t="inlineStr">
        <is>
          <t>CZE</t>
        </is>
      </c>
      <c r="C1533" t="inlineStr">
        <is>
          <t>mit.inv.ind.2</t>
        </is>
      </c>
      <c r="D1533" t="n">
        <v>0</v>
      </c>
      <c r="E1533" t="n">
        <v>1.146621759</v>
      </c>
      <c r="F1533" t="n">
        <v>1.255607257</v>
      </c>
      <c r="G1533" t="n">
        <v>1.371381885</v>
      </c>
      <c r="H1533" t="n">
        <v>1.497884056</v>
      </c>
    </row>
    <row r="1534">
      <c r="A1534" t="inlineStr">
        <is>
          <t>DEU|mit.inv.ind.2</t>
        </is>
      </c>
      <c r="B1534" t="inlineStr">
        <is>
          <t>DEU</t>
        </is>
      </c>
      <c r="C1534" t="inlineStr">
        <is>
          <t>mit.inv.ind.2</t>
        </is>
      </c>
      <c r="D1534" t="n">
        <v>0</v>
      </c>
      <c r="E1534" t="n">
        <v>13.00056451</v>
      </c>
      <c r="F1534" t="n">
        <v>13.13282084</v>
      </c>
      <c r="G1534" t="n">
        <v>14.69476057</v>
      </c>
      <c r="H1534" t="n">
        <v>16.37884699</v>
      </c>
    </row>
    <row r="1535">
      <c r="A1535" t="inlineStr">
        <is>
          <t>DJI|mit.inv.ind.2</t>
        </is>
      </c>
      <c r="B1535" t="inlineStr">
        <is>
          <t>DJI</t>
        </is>
      </c>
      <c r="C1535" t="inlineStr">
        <is>
          <t>mit.inv.ind.2</t>
        </is>
      </c>
      <c r="D1535" t="n">
        <v>0</v>
      </c>
      <c r="E1535" t="n">
        <v>0.0082465907</v>
      </c>
      <c r="F1535" t="n">
        <v>0.01188474565</v>
      </c>
      <c r="G1535" t="n">
        <v>0.01910669048</v>
      </c>
      <c r="H1535" t="n">
        <v>0.02953546107</v>
      </c>
    </row>
    <row r="1536">
      <c r="A1536" t="inlineStr">
        <is>
          <t>DMA|mit.inv.ind.2</t>
        </is>
      </c>
      <c r="B1536" t="inlineStr">
        <is>
          <t>DMA</t>
        </is>
      </c>
      <c r="C1536" t="inlineStr">
        <is>
          <t>mit.inv.ind.2</t>
        </is>
      </c>
      <c r="D1536" t="n">
        <v>0</v>
      </c>
      <c r="E1536" t="n">
        <v>0.004798017713</v>
      </c>
      <c r="F1536" t="n">
        <v>0.005800073372</v>
      </c>
      <c r="G1536" t="n">
        <v>0.008172858099000001</v>
      </c>
      <c r="H1536" t="n">
        <v>0.01127495179</v>
      </c>
    </row>
    <row r="1537">
      <c r="A1537" t="inlineStr">
        <is>
          <t>DNK|mit.inv.ind.2</t>
        </is>
      </c>
      <c r="B1537" t="inlineStr">
        <is>
          <t>DNK</t>
        </is>
      </c>
      <c r="C1537" t="inlineStr">
        <is>
          <t>mit.inv.ind.2</t>
        </is>
      </c>
      <c r="D1537" t="n">
        <v>0</v>
      </c>
      <c r="E1537" t="n">
        <v>0.6251208555</v>
      </c>
      <c r="F1537" t="n">
        <v>0.6853855628</v>
      </c>
      <c r="G1537" t="n">
        <v>0.769214091</v>
      </c>
      <c r="H1537" t="n">
        <v>0.8617608418</v>
      </c>
    </row>
    <row r="1538">
      <c r="A1538" t="inlineStr">
        <is>
          <t>DOM|mit.inv.ind.2</t>
        </is>
      </c>
      <c r="B1538" t="inlineStr">
        <is>
          <t>DOM</t>
        </is>
      </c>
      <c r="C1538" t="inlineStr">
        <is>
          <t>mit.inv.ind.2</t>
        </is>
      </c>
      <c r="D1538" t="n">
        <v>0</v>
      </c>
      <c r="E1538" t="n">
        <v>0.4666069563</v>
      </c>
      <c r="F1538" t="n">
        <v>0.5824786239999999</v>
      </c>
      <c r="G1538" t="n">
        <v>0.8190991017</v>
      </c>
      <c r="H1538" t="n">
        <v>1.128040603</v>
      </c>
    </row>
    <row r="1539">
      <c r="A1539" t="inlineStr">
        <is>
          <t>DZA|mit.inv.ind.2</t>
        </is>
      </c>
      <c r="B1539" t="inlineStr">
        <is>
          <t>DZA</t>
        </is>
      </c>
      <c r="C1539" t="inlineStr">
        <is>
          <t>mit.inv.ind.2</t>
        </is>
      </c>
      <c r="D1539" t="n">
        <v>0</v>
      </c>
      <c r="E1539" t="n">
        <v>1.535106552</v>
      </c>
      <c r="F1539" t="n">
        <v>1.951432232</v>
      </c>
      <c r="G1539" t="n">
        <v>2.777292018</v>
      </c>
      <c r="H1539" t="n">
        <v>3.866369652</v>
      </c>
    </row>
    <row r="1540">
      <c r="A1540" t="inlineStr">
        <is>
          <t>ECU|mit.inv.ind.2</t>
        </is>
      </c>
      <c r="B1540" t="inlineStr">
        <is>
          <t>ECU</t>
        </is>
      </c>
      <c r="C1540" t="inlineStr">
        <is>
          <t>mit.inv.ind.2</t>
        </is>
      </c>
      <c r="D1540" t="n">
        <v>0</v>
      </c>
      <c r="E1540" t="n">
        <v>0.5604846707</v>
      </c>
      <c r="F1540" t="n">
        <v>0.6531805813</v>
      </c>
      <c r="G1540" t="n">
        <v>0.9205907102000001</v>
      </c>
      <c r="H1540" t="n">
        <v>1.270181819</v>
      </c>
    </row>
    <row r="1541">
      <c r="A1541" t="inlineStr">
        <is>
          <t>EGY|mit.inv.ind.2</t>
        </is>
      </c>
      <c r="B1541" t="inlineStr">
        <is>
          <t>EGY</t>
        </is>
      </c>
      <c r="C1541" t="inlineStr">
        <is>
          <t>mit.inv.ind.2</t>
        </is>
      </c>
      <c r="D1541" t="n">
        <v>0</v>
      </c>
      <c r="E1541" t="n">
        <v>2.705770169</v>
      </c>
      <c r="F1541" t="n">
        <v>3.560831797</v>
      </c>
      <c r="G1541" t="n">
        <v>5.501624073</v>
      </c>
      <c r="H1541" t="n">
        <v>8.424839134000001</v>
      </c>
    </row>
    <row r="1542">
      <c r="A1542" t="inlineStr">
        <is>
          <t>ESP|mit.inv.ind.2</t>
        </is>
      </c>
      <c r="B1542" t="inlineStr">
        <is>
          <t>ESP</t>
        </is>
      </c>
      <c r="C1542" t="inlineStr">
        <is>
          <t>mit.inv.ind.2</t>
        </is>
      </c>
      <c r="D1542" t="n">
        <v>0</v>
      </c>
      <c r="E1542" t="n">
        <v>6.097149752</v>
      </c>
      <c r="F1542" t="n">
        <v>6.722951317</v>
      </c>
      <c r="G1542" t="n">
        <v>7.531968973</v>
      </c>
      <c r="H1542" t="n">
        <v>8.425083155999999</v>
      </c>
    </row>
    <row r="1543">
      <c r="A1543" t="inlineStr">
        <is>
          <t>EST|mit.inv.ind.2</t>
        </is>
      </c>
      <c r="B1543" t="inlineStr">
        <is>
          <t>EST</t>
        </is>
      </c>
      <c r="C1543" t="inlineStr">
        <is>
          <t>mit.inv.ind.2</t>
        </is>
      </c>
      <c r="D1543" t="n">
        <v>0</v>
      </c>
      <c r="E1543" t="n">
        <v>0.07696440794999999</v>
      </c>
      <c r="F1543" t="n">
        <v>0.08089564666</v>
      </c>
      <c r="G1543" t="n">
        <v>0.09009721502</v>
      </c>
      <c r="H1543" t="n">
        <v>0.1001084722</v>
      </c>
    </row>
    <row r="1544">
      <c r="A1544" t="inlineStr">
        <is>
          <t>ETH|mit.inv.ind.2</t>
        </is>
      </c>
      <c r="B1544" t="inlineStr">
        <is>
          <t>ETH</t>
        </is>
      </c>
      <c r="C1544" t="inlineStr">
        <is>
          <t>mit.inv.ind.2</t>
        </is>
      </c>
      <c r="D1544" t="n">
        <v>0</v>
      </c>
      <c r="E1544" t="n">
        <v>0.3716770417</v>
      </c>
      <c r="F1544" t="n">
        <v>0.6128992963</v>
      </c>
      <c r="G1544" t="n">
        <v>1.020190308</v>
      </c>
      <c r="H1544" t="n">
        <v>1.621124516</v>
      </c>
    </row>
    <row r="1545">
      <c r="A1545" t="inlineStr">
        <is>
          <t>FIN|mit.inv.ind.2</t>
        </is>
      </c>
      <c r="B1545" t="inlineStr">
        <is>
          <t>FIN</t>
        </is>
      </c>
      <c r="C1545" t="inlineStr">
        <is>
          <t>mit.inv.ind.2</t>
        </is>
      </c>
      <c r="D1545" t="n">
        <v>0</v>
      </c>
      <c r="E1545" t="n">
        <v>1.135306299</v>
      </c>
      <c r="F1545" t="n">
        <v>1.167184039</v>
      </c>
      <c r="G1545" t="n">
        <v>1.302437798</v>
      </c>
      <c r="H1545" t="n">
        <v>1.449313192</v>
      </c>
    </row>
    <row r="1546">
      <c r="A1546" t="inlineStr">
        <is>
          <t>FJI|mit.inv.ind.2</t>
        </is>
      </c>
      <c r="B1546" t="inlineStr">
        <is>
          <t>FJI</t>
        </is>
      </c>
      <c r="C1546" t="inlineStr">
        <is>
          <t>mit.inv.ind.2</t>
        </is>
      </c>
      <c r="D1546" t="n">
        <v>0</v>
      </c>
      <c r="E1546" t="n">
        <v>0.02050630206</v>
      </c>
      <c r="F1546" t="n">
        <v>0.02378506443</v>
      </c>
      <c r="G1546" t="n">
        <v>0.0335187054</v>
      </c>
      <c r="H1546" t="n">
        <v>0.04624108028</v>
      </c>
    </row>
    <row r="1547">
      <c r="A1547" t="inlineStr">
        <is>
          <t>FRA|mit.inv.ind.2</t>
        </is>
      </c>
      <c r="B1547" t="inlineStr">
        <is>
          <t>FRA</t>
        </is>
      </c>
      <c r="C1547" t="inlineStr">
        <is>
          <t>mit.inv.ind.2</t>
        </is>
      </c>
      <c r="D1547" t="n">
        <v>0</v>
      </c>
      <c r="E1547" t="n">
        <v>5.174008246</v>
      </c>
      <c r="F1547" t="n">
        <v>5.244733844</v>
      </c>
      <c r="G1547" t="n">
        <v>5.850147407</v>
      </c>
      <c r="H1547" t="n">
        <v>6.502926016</v>
      </c>
    </row>
    <row r="1548">
      <c r="A1548" t="inlineStr">
        <is>
          <t>GAB|mit.inv.ind.2</t>
        </is>
      </c>
      <c r="B1548" t="inlineStr">
        <is>
          <t>GAB</t>
        </is>
      </c>
      <c r="C1548" t="inlineStr">
        <is>
          <t>mit.inv.ind.2</t>
        </is>
      </c>
      <c r="D1548" t="n">
        <v>0</v>
      </c>
      <c r="E1548" t="n">
        <v>0.05046408533</v>
      </c>
      <c r="F1548" t="n">
        <v>0.05941067744</v>
      </c>
      <c r="G1548" t="n">
        <v>0.08406976735</v>
      </c>
      <c r="H1548" t="n">
        <v>0.1164222804</v>
      </c>
    </row>
    <row r="1549">
      <c r="A1549" t="inlineStr">
        <is>
          <t>GBR|mit.inv.ind.2</t>
        </is>
      </c>
      <c r="B1549" t="inlineStr">
        <is>
          <t>GBR</t>
        </is>
      </c>
      <c r="C1549" t="inlineStr">
        <is>
          <t>mit.inv.ind.2</t>
        </is>
      </c>
      <c r="D1549" t="n">
        <v>0</v>
      </c>
      <c r="E1549" t="n">
        <v>6.539079119</v>
      </c>
      <c r="F1549" t="n">
        <v>6.577709232</v>
      </c>
      <c r="G1549" t="n">
        <v>7.335599347</v>
      </c>
      <c r="H1549" t="n">
        <v>8.148325792</v>
      </c>
    </row>
    <row r="1550">
      <c r="A1550" t="inlineStr">
        <is>
          <t>GEO|mit.inv.ind.2</t>
        </is>
      </c>
      <c r="B1550" t="inlineStr">
        <is>
          <t>GEO</t>
        </is>
      </c>
      <c r="C1550" t="inlineStr">
        <is>
          <t>mit.inv.ind.2</t>
        </is>
      </c>
      <c r="D1550" t="n">
        <v>0</v>
      </c>
      <c r="E1550" t="n">
        <v>0.1086642352</v>
      </c>
      <c r="F1550" t="n">
        <v>0.1496971905</v>
      </c>
      <c r="G1550" t="n">
        <v>0.2375144519</v>
      </c>
      <c r="H1550" t="n">
        <v>0.3657652556</v>
      </c>
    </row>
    <row r="1551">
      <c r="A1551" t="inlineStr">
        <is>
          <t>GHA|mit.inv.ind.2</t>
        </is>
      </c>
      <c r="B1551" t="inlineStr">
        <is>
          <t>GHA</t>
        </is>
      </c>
      <c r="C1551" t="inlineStr">
        <is>
          <t>mit.inv.ind.2</t>
        </is>
      </c>
      <c r="D1551" t="n">
        <v>0</v>
      </c>
      <c r="E1551" t="n">
        <v>0.1174473447</v>
      </c>
      <c r="F1551" t="n">
        <v>0.1588420137</v>
      </c>
      <c r="G1551" t="n">
        <v>0.2565364106</v>
      </c>
      <c r="H1551" t="n">
        <v>0.3990986813</v>
      </c>
    </row>
    <row r="1552">
      <c r="A1552" t="inlineStr">
        <is>
          <t>GIN|mit.inv.ind.2</t>
        </is>
      </c>
      <c r="B1552" t="inlineStr">
        <is>
          <t>GIN</t>
        </is>
      </c>
      <c r="C1552" t="inlineStr">
        <is>
          <t>mit.inv.ind.2</t>
        </is>
      </c>
      <c r="D1552" t="n">
        <v>0</v>
      </c>
      <c r="E1552" t="n">
        <v>0.07342097333</v>
      </c>
      <c r="F1552" t="n">
        <v>0.1228182267</v>
      </c>
      <c r="G1552" t="n">
        <v>0.2117495527</v>
      </c>
      <c r="H1552" t="n">
        <v>0.345441022</v>
      </c>
    </row>
    <row r="1553">
      <c r="A1553" t="inlineStr">
        <is>
          <t>GMB|mit.inv.ind.2</t>
        </is>
      </c>
      <c r="B1553" t="inlineStr">
        <is>
          <t>GMB</t>
        </is>
      </c>
      <c r="C1553" t="inlineStr">
        <is>
          <t>mit.inv.ind.2</t>
        </is>
      </c>
      <c r="D1553" t="n">
        <v>0</v>
      </c>
      <c r="E1553" t="n">
        <v>0.0226677397</v>
      </c>
      <c r="F1553" t="n">
        <v>0.03133884436</v>
      </c>
      <c r="G1553" t="n">
        <v>0.05344324618</v>
      </c>
      <c r="H1553" t="n">
        <v>0.08718549506000001</v>
      </c>
    </row>
    <row r="1554">
      <c r="A1554" t="inlineStr">
        <is>
          <t>GNB|mit.inv.ind.2</t>
        </is>
      </c>
      <c r="B1554" t="inlineStr">
        <is>
          <t>GNB</t>
        </is>
      </c>
      <c r="C1554" t="inlineStr">
        <is>
          <t>mit.inv.ind.2</t>
        </is>
      </c>
      <c r="D1554" t="n">
        <v>0</v>
      </c>
      <c r="E1554" t="n">
        <v>0.01064214743</v>
      </c>
      <c r="F1554" t="n">
        <v>0.01454144384</v>
      </c>
      <c r="G1554" t="n">
        <v>0.02478820907</v>
      </c>
      <c r="H1554" t="n">
        <v>0.04043864162</v>
      </c>
    </row>
    <row r="1555">
      <c r="A1555" t="inlineStr">
        <is>
          <t>GNQ|mit.inv.ind.2</t>
        </is>
      </c>
      <c r="B1555" t="inlineStr">
        <is>
          <t>GNQ</t>
        </is>
      </c>
      <c r="C1555" t="inlineStr">
        <is>
          <t>mit.inv.ind.2</t>
        </is>
      </c>
      <c r="D1555" t="n">
        <v>0</v>
      </c>
      <c r="E1555" t="n">
        <v>0.07912073944</v>
      </c>
      <c r="F1555" t="n">
        <v>0.06171557339</v>
      </c>
      <c r="G1555" t="n">
        <v>0.09026834176</v>
      </c>
      <c r="H1555" t="n">
        <v>0.1262058635</v>
      </c>
    </row>
    <row r="1556">
      <c r="A1556" t="inlineStr">
        <is>
          <t>GRC|mit.inv.ind.2</t>
        </is>
      </c>
      <c r="B1556" t="inlineStr">
        <is>
          <t>GRC</t>
        </is>
      </c>
      <c r="C1556" t="inlineStr">
        <is>
          <t>mit.inv.ind.2</t>
        </is>
      </c>
      <c r="D1556" t="n">
        <v>0</v>
      </c>
      <c r="E1556" t="n">
        <v>1.083445941</v>
      </c>
      <c r="F1556" t="n">
        <v>1.176393401</v>
      </c>
      <c r="G1556" t="n">
        <v>1.33153823</v>
      </c>
      <c r="H1556" t="n">
        <v>1.503219576</v>
      </c>
    </row>
    <row r="1557">
      <c r="A1557" t="inlineStr">
        <is>
          <t>GRD|mit.inv.ind.2</t>
        </is>
      </c>
      <c r="B1557" t="inlineStr">
        <is>
          <t>GRD</t>
        </is>
      </c>
      <c r="C1557" t="inlineStr">
        <is>
          <t>mit.inv.ind.2</t>
        </is>
      </c>
      <c r="D1557" t="n">
        <v>0</v>
      </c>
      <c r="E1557" t="n">
        <v>0.009367846427</v>
      </c>
      <c r="F1557" t="n">
        <v>0.01130787585</v>
      </c>
      <c r="G1557" t="n">
        <v>0.01593382099</v>
      </c>
      <c r="H1557" t="n">
        <v>0.02198166925</v>
      </c>
    </row>
    <row r="1558">
      <c r="A1558" t="inlineStr">
        <is>
          <t>GTM|mit.inv.ind.2</t>
        </is>
      </c>
      <c r="B1558" t="inlineStr">
        <is>
          <t>GTM</t>
        </is>
      </c>
      <c r="C1558" t="inlineStr">
        <is>
          <t>mit.inv.ind.2</t>
        </is>
      </c>
      <c r="D1558" t="n">
        <v>0</v>
      </c>
      <c r="E1558" t="n">
        <v>0.1325945551</v>
      </c>
      <c r="F1558" t="n">
        <v>0.1678701037</v>
      </c>
      <c r="G1558" t="n">
        <v>0.2366353812</v>
      </c>
      <c r="H1558" t="n">
        <v>0.3264528129</v>
      </c>
    </row>
    <row r="1559">
      <c r="A1559" t="inlineStr">
        <is>
          <t>GUY|mit.inv.ind.2</t>
        </is>
      </c>
      <c r="B1559" t="inlineStr">
        <is>
          <t>GUY</t>
        </is>
      </c>
      <c r="C1559" t="inlineStr">
        <is>
          <t>mit.inv.ind.2</t>
        </is>
      </c>
      <c r="D1559" t="n">
        <v>0</v>
      </c>
      <c r="E1559" t="n">
        <v>0.08014001949000001</v>
      </c>
      <c r="F1559" t="n">
        <v>0.1898167174</v>
      </c>
      <c r="G1559" t="n">
        <v>0.282506553</v>
      </c>
      <c r="H1559" t="n">
        <v>0.3897348671</v>
      </c>
    </row>
    <row r="1560">
      <c r="A1560" t="inlineStr">
        <is>
          <t>HKG|mit.inv.ind.2</t>
        </is>
      </c>
      <c r="B1560" t="inlineStr">
        <is>
          <t>HKG</t>
        </is>
      </c>
      <c r="C1560" t="inlineStr">
        <is>
          <t>mit.inv.ind.2</t>
        </is>
      </c>
      <c r="D1560" t="n">
        <v>0</v>
      </c>
      <c r="E1560" t="n">
        <v>0.3015690128</v>
      </c>
      <c r="F1560" t="n">
        <v>0.341304343</v>
      </c>
      <c r="G1560" t="n">
        <v>0.3893734484</v>
      </c>
      <c r="H1560" t="n">
        <v>0.4430248599</v>
      </c>
    </row>
    <row r="1561">
      <c r="A1561" t="inlineStr">
        <is>
          <t>HND|mit.inv.ind.2</t>
        </is>
      </c>
      <c r="B1561" t="inlineStr">
        <is>
          <t>HND</t>
        </is>
      </c>
      <c r="C1561" t="inlineStr">
        <is>
          <t>mit.inv.ind.2</t>
        </is>
      </c>
      <c r="D1561" t="n">
        <v>0</v>
      </c>
      <c r="E1561" t="n">
        <v>0.1011405986</v>
      </c>
      <c r="F1561" t="n">
        <v>0.1253286919</v>
      </c>
      <c r="G1561" t="n">
        <v>0.200666723</v>
      </c>
      <c r="H1561" t="n">
        <v>0.31019418</v>
      </c>
    </row>
    <row r="1562">
      <c r="A1562" t="inlineStr">
        <is>
          <t>HRV|mit.inv.ind.2</t>
        </is>
      </c>
      <c r="B1562" t="inlineStr">
        <is>
          <t>HRV</t>
        </is>
      </c>
      <c r="C1562" t="inlineStr">
        <is>
          <t>mit.inv.ind.2</t>
        </is>
      </c>
      <c r="D1562" t="n">
        <v>0</v>
      </c>
      <c r="E1562" t="n">
        <v>0.260453047</v>
      </c>
      <c r="F1562" t="n">
        <v>0.2967661907</v>
      </c>
      <c r="G1562" t="n">
        <v>0.3313802093</v>
      </c>
      <c r="H1562" t="n">
        <v>0.3697555864</v>
      </c>
    </row>
    <row r="1563">
      <c r="A1563" t="inlineStr">
        <is>
          <t>HTI|mit.inv.ind.2</t>
        </is>
      </c>
      <c r="B1563" t="inlineStr">
        <is>
          <t>HTI</t>
        </is>
      </c>
      <c r="C1563" t="inlineStr">
        <is>
          <t>mit.inv.ind.2</t>
        </is>
      </c>
      <c r="D1563" t="n">
        <v>0</v>
      </c>
      <c r="E1563" t="n">
        <v>0.05570122735</v>
      </c>
      <c r="F1563" t="n">
        <v>0.05141351092</v>
      </c>
      <c r="G1563" t="n">
        <v>0.08815591386</v>
      </c>
      <c r="H1563" t="n">
        <v>0.1438145611</v>
      </c>
    </row>
    <row r="1564">
      <c r="A1564" t="inlineStr">
        <is>
          <t>HUN|mit.inv.ind.2</t>
        </is>
      </c>
      <c r="B1564" t="inlineStr">
        <is>
          <t>HUN</t>
        </is>
      </c>
      <c r="C1564" t="inlineStr">
        <is>
          <t>mit.inv.ind.2</t>
        </is>
      </c>
      <c r="D1564" t="n">
        <v>0</v>
      </c>
      <c r="E1564" t="n">
        <v>0.5817158027</v>
      </c>
      <c r="F1564" t="n">
        <v>0.6211083311</v>
      </c>
      <c r="G1564" t="n">
        <v>0.6911471009</v>
      </c>
      <c r="H1564" t="n">
        <v>0.7676668965</v>
      </c>
    </row>
    <row r="1565">
      <c r="A1565" t="inlineStr">
        <is>
          <t>IDN|mit.inv.ind.2</t>
        </is>
      </c>
      <c r="B1565" t="inlineStr">
        <is>
          <t>IDN</t>
        </is>
      </c>
      <c r="C1565" t="inlineStr">
        <is>
          <t>mit.inv.ind.2</t>
        </is>
      </c>
      <c r="D1565" t="n">
        <v>0</v>
      </c>
      <c r="E1565" t="n">
        <v>8.616206005</v>
      </c>
      <c r="F1565" t="n">
        <v>11.50289606</v>
      </c>
      <c r="G1565" t="n">
        <v>17.18071252</v>
      </c>
      <c r="H1565" t="n">
        <v>25.52590867</v>
      </c>
    </row>
    <row r="1566">
      <c r="A1566" t="inlineStr">
        <is>
          <t>IND|mit.inv.ind.2</t>
        </is>
      </c>
      <c r="B1566" t="inlineStr">
        <is>
          <t>IND</t>
        </is>
      </c>
      <c r="C1566" t="inlineStr">
        <is>
          <t>mit.inv.ind.2</t>
        </is>
      </c>
      <c r="D1566" t="n">
        <v>0</v>
      </c>
      <c r="E1566" t="n">
        <v>27.17772095</v>
      </c>
      <c r="F1566" t="n">
        <v>38.67715239</v>
      </c>
      <c r="G1566" t="n">
        <v>53.65870006</v>
      </c>
      <c r="H1566" t="n">
        <v>76.17106737</v>
      </c>
    </row>
    <row r="1567">
      <c r="A1567" t="inlineStr">
        <is>
          <t>IRL|mit.inv.ind.2</t>
        </is>
      </c>
      <c r="B1567" t="inlineStr">
        <is>
          <t>IRL</t>
        </is>
      </c>
      <c r="C1567" t="inlineStr">
        <is>
          <t>mit.inv.ind.2</t>
        </is>
      </c>
      <c r="D1567" t="n">
        <v>0</v>
      </c>
      <c r="E1567" t="n">
        <v>0.5851462232</v>
      </c>
      <c r="F1567" t="n">
        <v>0.6631339419</v>
      </c>
      <c r="G1567" t="n">
        <v>0.7447284458</v>
      </c>
      <c r="H1567" t="n">
        <v>0.8353166257</v>
      </c>
    </row>
    <row r="1568">
      <c r="A1568" t="inlineStr">
        <is>
          <t>IRN|mit.inv.ind.2</t>
        </is>
      </c>
      <c r="B1568" t="inlineStr">
        <is>
          <t>IRN</t>
        </is>
      </c>
      <c r="C1568" t="inlineStr">
        <is>
          <t>mit.inv.ind.2</t>
        </is>
      </c>
      <c r="D1568" t="n">
        <v>0</v>
      </c>
      <c r="E1568" t="n">
        <v>9.040230673</v>
      </c>
      <c r="F1568" t="n">
        <v>5.522539957</v>
      </c>
      <c r="G1568" t="n">
        <v>8.125670808000001</v>
      </c>
      <c r="H1568" t="n">
        <v>11.14505481</v>
      </c>
    </row>
    <row r="1569">
      <c r="A1569" t="inlineStr">
        <is>
          <t>IRQ|mit.inv.ind.2</t>
        </is>
      </c>
      <c r="B1569" t="inlineStr">
        <is>
          <t>IRQ</t>
        </is>
      </c>
      <c r="C1569" t="inlineStr">
        <is>
          <t>mit.inv.ind.2</t>
        </is>
      </c>
      <c r="D1569" t="n">
        <v>0</v>
      </c>
      <c r="E1569" t="n">
        <v>1.38116312</v>
      </c>
      <c r="F1569" t="n">
        <v>0.8420949234</v>
      </c>
      <c r="G1569" t="n">
        <v>1.260644194</v>
      </c>
      <c r="H1569" t="n">
        <v>1.744483022</v>
      </c>
    </row>
    <row r="1570">
      <c r="A1570" t="inlineStr">
        <is>
          <t>ISL|mit.inv.ind.2</t>
        </is>
      </c>
      <c r="B1570" t="inlineStr">
        <is>
          <t>ISL</t>
        </is>
      </c>
      <c r="C1570" t="inlineStr">
        <is>
          <t>mit.inv.ind.2</t>
        </is>
      </c>
      <c r="D1570" t="n">
        <v>0</v>
      </c>
      <c r="E1570" t="n">
        <v>0.05739737609</v>
      </c>
      <c r="F1570" t="n">
        <v>0.06298294451</v>
      </c>
      <c r="G1570" t="n">
        <v>0.07195631762</v>
      </c>
      <c r="H1570" t="n">
        <v>0.08193609758000001</v>
      </c>
    </row>
    <row r="1571">
      <c r="A1571" t="inlineStr">
        <is>
          <t>ISR|mit.inv.ind.2</t>
        </is>
      </c>
      <c r="B1571" t="inlineStr">
        <is>
          <t>ISR</t>
        </is>
      </c>
      <c r="C1571" t="inlineStr">
        <is>
          <t>mit.inv.ind.2</t>
        </is>
      </c>
      <c r="D1571" t="n">
        <v>0</v>
      </c>
      <c r="E1571" t="n">
        <v>0.7187344137</v>
      </c>
      <c r="F1571" t="n">
        <v>0.8718617228</v>
      </c>
      <c r="G1571" t="n">
        <v>0.9776834111</v>
      </c>
      <c r="H1571" t="n">
        <v>1.095398222</v>
      </c>
    </row>
    <row r="1572">
      <c r="A1572" t="inlineStr">
        <is>
          <t>ITA|mit.inv.ind.2</t>
        </is>
      </c>
      <c r="B1572" t="inlineStr">
        <is>
          <t>ITA</t>
        </is>
      </c>
      <c r="C1572" t="inlineStr">
        <is>
          <t>mit.inv.ind.2</t>
        </is>
      </c>
      <c r="D1572" t="n">
        <v>0</v>
      </c>
      <c r="E1572" t="n">
        <v>5.6570145</v>
      </c>
      <c r="F1572" t="n">
        <v>5.593157231</v>
      </c>
      <c r="G1572" t="n">
        <v>6.265937365</v>
      </c>
      <c r="H1572" t="n">
        <v>6.9841139</v>
      </c>
    </row>
    <row r="1573">
      <c r="A1573" t="inlineStr">
        <is>
          <t>JAM|mit.inv.ind.2</t>
        </is>
      </c>
      <c r="B1573" t="inlineStr">
        <is>
          <t>JAM</t>
        </is>
      </c>
      <c r="C1573" t="inlineStr">
        <is>
          <t>mit.inv.ind.2</t>
        </is>
      </c>
      <c r="D1573" t="n">
        <v>0</v>
      </c>
      <c r="E1573" t="n">
        <v>0.162933961</v>
      </c>
      <c r="F1573" t="n">
        <v>0.1512074808</v>
      </c>
      <c r="G1573" t="n">
        <v>0.2131020397</v>
      </c>
      <c r="H1573" t="n">
        <v>0.2922453983</v>
      </c>
    </row>
    <row r="1574">
      <c r="A1574" t="inlineStr">
        <is>
          <t>JOR|mit.inv.ind.2</t>
        </is>
      </c>
      <c r="B1574" t="inlineStr">
        <is>
          <t>JOR</t>
        </is>
      </c>
      <c r="C1574" t="inlineStr">
        <is>
          <t>mit.inv.ind.2</t>
        </is>
      </c>
      <c r="D1574" t="n">
        <v>0</v>
      </c>
      <c r="E1574" t="n">
        <v>0.1458748603</v>
      </c>
      <c r="F1574" t="n">
        <v>0.1701776978</v>
      </c>
      <c r="G1574" t="n">
        <v>0.2343869701</v>
      </c>
      <c r="H1574" t="n">
        <v>0.3174881042</v>
      </c>
    </row>
    <row r="1575">
      <c r="A1575" t="inlineStr">
        <is>
          <t>JPN|mit.inv.ind.2</t>
        </is>
      </c>
      <c r="B1575" t="inlineStr">
        <is>
          <t>JPN</t>
        </is>
      </c>
      <c r="C1575" t="inlineStr">
        <is>
          <t>mit.inv.ind.2</t>
        </is>
      </c>
      <c r="D1575" t="n">
        <v>0</v>
      </c>
      <c r="E1575" t="n">
        <v>22.01016781</v>
      </c>
      <c r="F1575" t="n">
        <v>22.31737027</v>
      </c>
      <c r="G1575" t="n">
        <v>25.01699404</v>
      </c>
      <c r="H1575" t="n">
        <v>27.96226345</v>
      </c>
    </row>
    <row r="1576">
      <c r="A1576" t="inlineStr">
        <is>
          <t>KAZ|mit.inv.ind.2</t>
        </is>
      </c>
      <c r="B1576" t="inlineStr">
        <is>
          <t>KAZ</t>
        </is>
      </c>
      <c r="C1576" t="inlineStr">
        <is>
          <t>mit.inv.ind.2</t>
        </is>
      </c>
      <c r="D1576" t="n">
        <v>0</v>
      </c>
      <c r="E1576" t="n">
        <v>2.97681621</v>
      </c>
      <c r="F1576" t="n">
        <v>3.732991561</v>
      </c>
      <c r="G1576" t="n">
        <v>4.944245979</v>
      </c>
      <c r="H1576" t="n">
        <v>6.48019417</v>
      </c>
    </row>
    <row r="1577">
      <c r="A1577" t="inlineStr">
        <is>
          <t>KEN|mit.inv.ind.2</t>
        </is>
      </c>
      <c r="B1577" t="inlineStr">
        <is>
          <t>KEN</t>
        </is>
      </c>
      <c r="C1577" t="inlineStr">
        <is>
          <t>mit.inv.ind.2</t>
        </is>
      </c>
      <c r="D1577" t="n">
        <v>0</v>
      </c>
      <c r="E1577" t="n">
        <v>0.2352675675</v>
      </c>
      <c r="F1577" t="n">
        <v>0.300843546</v>
      </c>
      <c r="G1577" t="n">
        <v>0.4579490624</v>
      </c>
      <c r="H1577" t="n">
        <v>0.680259353</v>
      </c>
    </row>
    <row r="1578">
      <c r="A1578" t="inlineStr">
        <is>
          <t>KGZ|mit.inv.ind.2</t>
        </is>
      </c>
      <c r="B1578" t="inlineStr">
        <is>
          <t>KGZ</t>
        </is>
      </c>
      <c r="C1578" t="inlineStr">
        <is>
          <t>mit.inv.ind.2</t>
        </is>
      </c>
      <c r="D1578" t="n">
        <v>0</v>
      </c>
      <c r="E1578" t="n">
        <v>0.1182238813</v>
      </c>
      <c r="F1578" t="n">
        <v>0.16954855</v>
      </c>
      <c r="G1578" t="n">
        <v>0.2696380105</v>
      </c>
      <c r="H1578" t="n">
        <v>0.4137882428</v>
      </c>
    </row>
    <row r="1579">
      <c r="A1579" t="inlineStr">
        <is>
          <t>KHM|mit.inv.ind.2</t>
        </is>
      </c>
      <c r="B1579" t="inlineStr">
        <is>
          <t>KHM</t>
        </is>
      </c>
      <c r="C1579" t="inlineStr">
        <is>
          <t>mit.inv.ind.2</t>
        </is>
      </c>
      <c r="D1579" t="n">
        <v>0</v>
      </c>
      <c r="E1579" t="n">
        <v>0.1488669695</v>
      </c>
      <c r="F1579" t="n">
        <v>0.1834723061</v>
      </c>
      <c r="G1579" t="n">
        <v>0.2725931507</v>
      </c>
      <c r="H1579" t="n">
        <v>0.3969975898</v>
      </c>
    </row>
    <row r="1580">
      <c r="A1580" t="inlineStr">
        <is>
          <t>KNA|mit.inv.ind.2</t>
        </is>
      </c>
      <c r="B1580" t="inlineStr">
        <is>
          <t>KNA</t>
        </is>
      </c>
      <c r="C1580" t="inlineStr">
        <is>
          <t>mit.inv.ind.2</t>
        </is>
      </c>
      <c r="D1580" t="n">
        <v>0</v>
      </c>
      <c r="E1580" t="n">
        <v>0.01438782544</v>
      </c>
      <c r="F1580" t="n">
        <v>0.01591864445</v>
      </c>
      <c r="G1580" t="n">
        <v>0.01818352081</v>
      </c>
      <c r="H1580" t="n">
        <v>0.02070543331</v>
      </c>
    </row>
    <row r="1581">
      <c r="A1581" t="inlineStr">
        <is>
          <t>KOR|mit.inv.ind.2</t>
        </is>
      </c>
      <c r="B1581" t="inlineStr">
        <is>
          <t>KOR</t>
        </is>
      </c>
      <c r="C1581" t="inlineStr">
        <is>
          <t>mit.inv.ind.2</t>
        </is>
      </c>
      <c r="D1581" t="n">
        <v>0</v>
      </c>
      <c r="E1581" t="n">
        <v>10.92617065</v>
      </c>
      <c r="F1581" t="n">
        <v>11.8868683</v>
      </c>
      <c r="G1581" t="n">
        <v>13.09304082</v>
      </c>
      <c r="H1581" t="n">
        <v>14.49765794</v>
      </c>
    </row>
    <row r="1582">
      <c r="A1582" t="inlineStr">
        <is>
          <t>KWT|mit.inv.ind.2</t>
        </is>
      </c>
      <c r="B1582" t="inlineStr">
        <is>
          <t>KWT</t>
        </is>
      </c>
      <c r="C1582" t="inlineStr">
        <is>
          <t>mit.inv.ind.2</t>
        </is>
      </c>
      <c r="D1582" t="n">
        <v>0</v>
      </c>
      <c r="E1582" t="n">
        <v>2.487570133</v>
      </c>
      <c r="F1582" t="n">
        <v>2.250458389</v>
      </c>
      <c r="G1582" t="n">
        <v>2.520888762</v>
      </c>
      <c r="H1582" t="n">
        <v>2.795254121</v>
      </c>
    </row>
    <row r="1583">
      <c r="A1583" t="inlineStr">
        <is>
          <t>LAO|mit.inv.ind.2</t>
        </is>
      </c>
      <c r="B1583" t="inlineStr">
        <is>
          <t>LAO</t>
        </is>
      </c>
      <c r="C1583" t="inlineStr">
        <is>
          <t>mit.inv.ind.2</t>
        </is>
      </c>
      <c r="D1583" t="n">
        <v>0</v>
      </c>
      <c r="E1583" t="n">
        <v>0.01902278691</v>
      </c>
      <c r="F1583" t="n">
        <v>0.02278442336</v>
      </c>
      <c r="G1583" t="n">
        <v>0.03218785715</v>
      </c>
      <c r="H1583" t="n">
        <v>0.04482735389</v>
      </c>
    </row>
    <row r="1584">
      <c r="A1584" t="inlineStr">
        <is>
          <t>LBN|mit.inv.ind.2</t>
        </is>
      </c>
      <c r="B1584" t="inlineStr">
        <is>
          <t>LBN</t>
        </is>
      </c>
      <c r="C1584" t="inlineStr">
        <is>
          <t>mit.inv.ind.2</t>
        </is>
      </c>
      <c r="D1584" t="n">
        <v>0</v>
      </c>
      <c r="E1584" t="n">
        <v>0.6839477819000001</v>
      </c>
      <c r="F1584" t="n">
        <v>0.8185389264</v>
      </c>
      <c r="G1584" t="n">
        <v>1.14950685</v>
      </c>
      <c r="H1584" t="n">
        <v>1.581618069</v>
      </c>
    </row>
    <row r="1585">
      <c r="A1585" t="inlineStr">
        <is>
          <t>LBR|mit.inv.ind.2</t>
        </is>
      </c>
      <c r="B1585" t="inlineStr">
        <is>
          <t>LBR</t>
        </is>
      </c>
      <c r="C1585" t="inlineStr">
        <is>
          <t>mit.inv.ind.2</t>
        </is>
      </c>
      <c r="D1585" t="n">
        <v>0</v>
      </c>
      <c r="E1585" t="n">
        <v>0.01280249028</v>
      </c>
      <c r="F1585" t="n">
        <v>0.01769885715</v>
      </c>
      <c r="G1585" t="n">
        <v>0.0301824321</v>
      </c>
      <c r="H1585" t="n">
        <v>0.04923859369</v>
      </c>
    </row>
    <row r="1586">
      <c r="A1586" t="inlineStr">
        <is>
          <t>LBY|mit.inv.ind.2</t>
        </is>
      </c>
      <c r="B1586" t="inlineStr">
        <is>
          <t>LBY</t>
        </is>
      </c>
      <c r="C1586" t="inlineStr">
        <is>
          <t>mit.inv.ind.2</t>
        </is>
      </c>
      <c r="D1586" t="n">
        <v>0</v>
      </c>
      <c r="E1586" t="n">
        <v>1.056254194</v>
      </c>
      <c r="F1586" t="n">
        <v>1.575500104</v>
      </c>
      <c r="G1586" t="n">
        <v>2.238668762</v>
      </c>
      <c r="H1586" t="n">
        <v>3.095583728</v>
      </c>
    </row>
    <row r="1587">
      <c r="A1587" t="inlineStr">
        <is>
          <t>LCA|mit.inv.ind.2</t>
        </is>
      </c>
      <c r="B1587" t="inlineStr">
        <is>
          <t>LCA</t>
        </is>
      </c>
      <c r="C1587" t="inlineStr">
        <is>
          <t>mit.inv.ind.2</t>
        </is>
      </c>
      <c r="D1587" t="n">
        <v>0</v>
      </c>
      <c r="E1587" t="n">
        <v>0.01107405908</v>
      </c>
      <c r="F1587" t="n">
        <v>0.01249441043</v>
      </c>
      <c r="G1587" t="n">
        <v>0.01761279132</v>
      </c>
      <c r="H1587" t="n">
        <v>0.02429791031</v>
      </c>
    </row>
    <row r="1588">
      <c r="A1588" t="inlineStr">
        <is>
          <t>LKA|mit.inv.ind.2</t>
        </is>
      </c>
      <c r="B1588" t="inlineStr">
        <is>
          <t>LKA</t>
        </is>
      </c>
      <c r="C1588" t="inlineStr">
        <is>
          <t>mit.inv.ind.2</t>
        </is>
      </c>
      <c r="D1588" t="n">
        <v>0</v>
      </c>
      <c r="E1588" t="n">
        <v>0.06956614208</v>
      </c>
      <c r="F1588" t="n">
        <v>0.08411470087</v>
      </c>
      <c r="G1588" t="n">
        <v>0.1328187626</v>
      </c>
      <c r="H1588" t="n">
        <v>0.2031932833</v>
      </c>
    </row>
    <row r="1589">
      <c r="A1589" t="inlineStr">
        <is>
          <t>LSO|mit.inv.ind.2</t>
        </is>
      </c>
      <c r="B1589" t="inlineStr">
        <is>
          <t>LSO</t>
        </is>
      </c>
      <c r="C1589" t="inlineStr">
        <is>
          <t>mit.inv.ind.2</t>
        </is>
      </c>
      <c r="D1589" t="n">
        <v>0</v>
      </c>
      <c r="E1589" t="n">
        <v>0.0955158549</v>
      </c>
      <c r="F1589" t="n">
        <v>0.09931346838000001</v>
      </c>
      <c r="G1589" t="n">
        <v>0.1328106065</v>
      </c>
      <c r="H1589" t="n">
        <v>0.1748371302</v>
      </c>
    </row>
    <row r="1590">
      <c r="A1590" t="inlineStr">
        <is>
          <t>LTU|mit.inv.ind.2</t>
        </is>
      </c>
      <c r="B1590" t="inlineStr">
        <is>
          <t>LTU</t>
        </is>
      </c>
      <c r="C1590" t="inlineStr">
        <is>
          <t>mit.inv.ind.2</t>
        </is>
      </c>
      <c r="D1590" t="n">
        <v>0</v>
      </c>
      <c r="E1590" t="n">
        <v>0.2258309662</v>
      </c>
      <c r="F1590" t="n">
        <v>0.2616653695</v>
      </c>
      <c r="G1590" t="n">
        <v>0.2924194197</v>
      </c>
      <c r="H1590" t="n">
        <v>0.3265859319</v>
      </c>
    </row>
    <row r="1591">
      <c r="A1591" t="inlineStr">
        <is>
          <t>LUX|mit.inv.ind.2</t>
        </is>
      </c>
      <c r="B1591" t="inlineStr">
        <is>
          <t>LUX</t>
        </is>
      </c>
      <c r="C1591" t="inlineStr">
        <is>
          <t>mit.inv.ind.2</t>
        </is>
      </c>
      <c r="D1591" t="n">
        <v>0</v>
      </c>
      <c r="E1591" t="n">
        <v>0.1239453348</v>
      </c>
      <c r="F1591" t="n">
        <v>0.1319196714</v>
      </c>
      <c r="G1591" t="n">
        <v>0.1473070941</v>
      </c>
      <c r="H1591" t="n">
        <v>0.1641417575</v>
      </c>
    </row>
    <row r="1592">
      <c r="A1592" t="inlineStr">
        <is>
          <t>LVA|mit.inv.ind.2</t>
        </is>
      </c>
      <c r="B1592" t="inlineStr">
        <is>
          <t>LVA</t>
        </is>
      </c>
      <c r="C1592" t="inlineStr">
        <is>
          <t>mit.inv.ind.2</t>
        </is>
      </c>
      <c r="D1592" t="n">
        <v>0</v>
      </c>
      <c r="E1592" t="n">
        <v>0.1122970995</v>
      </c>
      <c r="F1592" t="n">
        <v>0.1249240108</v>
      </c>
      <c r="G1592" t="n">
        <v>0.1399532837</v>
      </c>
      <c r="H1592" t="n">
        <v>0.1565663524</v>
      </c>
    </row>
    <row r="1593">
      <c r="A1593" t="inlineStr">
        <is>
          <t>MAC|mit.inv.ind.2</t>
        </is>
      </c>
      <c r="B1593" t="inlineStr">
        <is>
          <t>MAC</t>
        </is>
      </c>
      <c r="C1593" t="inlineStr">
        <is>
          <t>mit.inv.ind.2</t>
        </is>
      </c>
      <c r="D1593" t="n">
        <v>0</v>
      </c>
      <c r="E1593" t="n">
        <v>0.02080311064</v>
      </c>
      <c r="F1593" t="n">
        <v>0.02436319301</v>
      </c>
      <c r="G1593" t="n">
        <v>0.02776331537</v>
      </c>
      <c r="H1593" t="n">
        <v>0.03156636613</v>
      </c>
    </row>
    <row r="1594">
      <c r="A1594" t="inlineStr">
        <is>
          <t>MAR|mit.inv.ind.2</t>
        </is>
      </c>
      <c r="B1594" t="inlineStr">
        <is>
          <t>MAR</t>
        </is>
      </c>
      <c r="C1594" t="inlineStr">
        <is>
          <t>mit.inv.ind.2</t>
        </is>
      </c>
      <c r="D1594" t="n">
        <v>0</v>
      </c>
      <c r="E1594" t="n">
        <v>0.3740714592</v>
      </c>
      <c r="F1594" t="n">
        <v>0.507062321</v>
      </c>
      <c r="G1594" t="n">
        <v>0.813872003</v>
      </c>
      <c r="H1594" t="n">
        <v>1.259175931</v>
      </c>
    </row>
    <row r="1595">
      <c r="A1595" t="inlineStr">
        <is>
          <t>MDA|mit.inv.ind.2</t>
        </is>
      </c>
      <c r="B1595" t="inlineStr">
        <is>
          <t>MDA</t>
        </is>
      </c>
      <c r="C1595" t="inlineStr">
        <is>
          <t>mit.inv.ind.2</t>
        </is>
      </c>
      <c r="D1595" t="n">
        <v>0</v>
      </c>
      <c r="E1595" t="n">
        <v>0.105587531</v>
      </c>
      <c r="F1595" t="n">
        <v>0.1200946856</v>
      </c>
      <c r="G1595" t="n">
        <v>0.1968691111</v>
      </c>
      <c r="H1595" t="n">
        <v>0.3112766301</v>
      </c>
    </row>
    <row r="1596">
      <c r="A1596" t="inlineStr">
        <is>
          <t>MDG|mit.inv.ind.2</t>
        </is>
      </c>
      <c r="B1596" t="inlineStr">
        <is>
          <t>MDG</t>
        </is>
      </c>
      <c r="C1596" t="inlineStr">
        <is>
          <t>mit.inv.ind.2</t>
        </is>
      </c>
      <c r="D1596" t="n">
        <v>0</v>
      </c>
      <c r="E1596" t="n">
        <v>0.03609107606</v>
      </c>
      <c r="F1596" t="n">
        <v>0.04446269884</v>
      </c>
      <c r="G1596" t="n">
        <v>0.07131658682</v>
      </c>
      <c r="H1596" t="n">
        <v>0.111198238</v>
      </c>
    </row>
    <row r="1597">
      <c r="A1597" t="inlineStr">
        <is>
          <t>MDV|mit.inv.ind.2</t>
        </is>
      </c>
      <c r="B1597" t="inlineStr">
        <is>
          <t>MDV</t>
        </is>
      </c>
      <c r="C1597" t="inlineStr">
        <is>
          <t>mit.inv.ind.2</t>
        </is>
      </c>
      <c r="D1597" t="n">
        <v>0</v>
      </c>
      <c r="E1597" t="n">
        <v>0.05139188335</v>
      </c>
      <c r="F1597" t="n">
        <v>0.06171116601</v>
      </c>
      <c r="G1597" t="n">
        <v>0.08695585769</v>
      </c>
      <c r="H1597" t="n">
        <v>0.1199608621</v>
      </c>
    </row>
    <row r="1598">
      <c r="A1598" t="inlineStr">
        <is>
          <t>MEX|mit.inv.ind.2</t>
        </is>
      </c>
      <c r="B1598" t="inlineStr">
        <is>
          <t>MEX</t>
        </is>
      </c>
      <c r="C1598" t="inlineStr">
        <is>
          <t>mit.inv.ind.2</t>
        </is>
      </c>
      <c r="D1598" t="n">
        <v>0</v>
      </c>
      <c r="E1598" t="n">
        <v>7.746428807</v>
      </c>
      <c r="F1598" t="n">
        <v>8.593317142</v>
      </c>
      <c r="G1598" t="n">
        <v>11.88639068</v>
      </c>
      <c r="H1598" t="n">
        <v>16.30384431</v>
      </c>
    </row>
    <row r="1599">
      <c r="A1599" t="inlineStr">
        <is>
          <t>MKD|mit.inv.ind.2</t>
        </is>
      </c>
      <c r="B1599" t="inlineStr">
        <is>
          <t>MKD</t>
        </is>
      </c>
      <c r="C1599" t="inlineStr">
        <is>
          <t>mit.inv.ind.2</t>
        </is>
      </c>
      <c r="D1599" t="n">
        <v>0</v>
      </c>
      <c r="E1599" t="n">
        <v>0.07473759611</v>
      </c>
      <c r="F1599" t="n">
        <v>0.08896099524999999</v>
      </c>
      <c r="G1599" t="n">
        <v>0.1226227536</v>
      </c>
      <c r="H1599" t="n">
        <v>0.1662852684</v>
      </c>
    </row>
    <row r="1600">
      <c r="A1600" t="inlineStr">
        <is>
          <t>MLI|mit.inv.ind.2</t>
        </is>
      </c>
      <c r="B1600" t="inlineStr">
        <is>
          <t>MLI</t>
        </is>
      </c>
      <c r="C1600" t="inlineStr">
        <is>
          <t>mit.inv.ind.2</t>
        </is>
      </c>
      <c r="D1600" t="n">
        <v>0</v>
      </c>
      <c r="E1600" t="n">
        <v>0.09956789893</v>
      </c>
      <c r="F1600" t="n">
        <v>0.1392798387</v>
      </c>
      <c r="G1600" t="n">
        <v>0.2347705489</v>
      </c>
      <c r="H1600" t="n">
        <v>0.3795724993</v>
      </c>
    </row>
    <row r="1601">
      <c r="A1601" t="inlineStr">
        <is>
          <t>MLT|mit.inv.ind.2</t>
        </is>
      </c>
      <c r="B1601" t="inlineStr">
        <is>
          <t>MLT</t>
        </is>
      </c>
      <c r="C1601" t="inlineStr">
        <is>
          <t>mit.inv.ind.2</t>
        </is>
      </c>
      <c r="D1601" t="n">
        <v>0</v>
      </c>
      <c r="E1601" t="n">
        <v>0.01502039809</v>
      </c>
      <c r="F1601" t="n">
        <v>0.01833007344</v>
      </c>
      <c r="G1601" t="n">
        <v>0.02092250857</v>
      </c>
      <c r="H1601" t="n">
        <v>0.0238242973</v>
      </c>
    </row>
    <row r="1602">
      <c r="A1602" t="inlineStr">
        <is>
          <t>MMR|mit.inv.ind.2</t>
        </is>
      </c>
      <c r="B1602" t="inlineStr">
        <is>
          <t>MMR</t>
        </is>
      </c>
      <c r="C1602" t="inlineStr">
        <is>
          <t>mit.inv.ind.2</t>
        </is>
      </c>
      <c r="D1602" t="n">
        <v>0</v>
      </c>
      <c r="E1602" t="n">
        <v>0.5462633819</v>
      </c>
      <c r="F1602" t="n">
        <v>0.6641034005999999</v>
      </c>
      <c r="G1602" t="n">
        <v>1.063752581</v>
      </c>
      <c r="H1602" t="n">
        <v>1.647091996</v>
      </c>
    </row>
    <row r="1603">
      <c r="A1603" t="inlineStr">
        <is>
          <t>MNE|mit.inv.ind.2</t>
        </is>
      </c>
      <c r="B1603" t="inlineStr">
        <is>
          <t>MNE</t>
        </is>
      </c>
      <c r="C1603" t="inlineStr">
        <is>
          <t>mit.inv.ind.2</t>
        </is>
      </c>
      <c r="D1603" t="n">
        <v>0</v>
      </c>
      <c r="E1603" t="n">
        <v>0.01241992781</v>
      </c>
      <c r="F1603" t="n">
        <v>0.01467926246</v>
      </c>
      <c r="G1603" t="n">
        <v>0.02058130194</v>
      </c>
      <c r="H1603" t="n">
        <v>0.02828148482</v>
      </c>
    </row>
    <row r="1604">
      <c r="A1604" t="inlineStr">
        <is>
          <t>MNG|mit.inv.ind.2</t>
        </is>
      </c>
      <c r="B1604" t="inlineStr">
        <is>
          <t>MNG</t>
        </is>
      </c>
      <c r="C1604" t="inlineStr">
        <is>
          <t>mit.inv.ind.2</t>
        </is>
      </c>
      <c r="D1604" t="n">
        <v>0</v>
      </c>
      <c r="E1604" t="n">
        <v>0.1483712571</v>
      </c>
      <c r="F1604" t="n">
        <v>0.1944872335</v>
      </c>
      <c r="G1604" t="n">
        <v>0.2905450399</v>
      </c>
      <c r="H1604" t="n">
        <v>0.4247012499</v>
      </c>
    </row>
    <row r="1605">
      <c r="A1605" t="inlineStr">
        <is>
          <t>MOZ|mit.inv.ind.2</t>
        </is>
      </c>
      <c r="B1605" t="inlineStr">
        <is>
          <t>MOZ</t>
        </is>
      </c>
      <c r="C1605" t="inlineStr">
        <is>
          <t>mit.inv.ind.2</t>
        </is>
      </c>
      <c r="D1605" t="n">
        <v>0</v>
      </c>
      <c r="E1605" t="n">
        <v>0.06170101397</v>
      </c>
      <c r="F1605" t="n">
        <v>0.0646223568</v>
      </c>
      <c r="G1605" t="n">
        <v>0.1132707349</v>
      </c>
      <c r="H1605" t="n">
        <v>0.1896946933</v>
      </c>
    </row>
    <row r="1606">
      <c r="A1606" t="inlineStr">
        <is>
          <t>MRT|mit.inv.ind.2</t>
        </is>
      </c>
      <c r="B1606" t="inlineStr">
        <is>
          <t>MRT</t>
        </is>
      </c>
      <c r="C1606" t="inlineStr">
        <is>
          <t>mit.inv.ind.2</t>
        </is>
      </c>
      <c r="D1606" t="n">
        <v>0</v>
      </c>
      <c r="E1606" t="n">
        <v>0.08169573525</v>
      </c>
      <c r="F1606" t="n">
        <v>0.1078650253</v>
      </c>
      <c r="G1606" t="n">
        <v>0.1728871152</v>
      </c>
      <c r="H1606" t="n">
        <v>0.2672519695</v>
      </c>
    </row>
    <row r="1607">
      <c r="A1607" t="inlineStr">
        <is>
          <t>MUS|mit.inv.ind.2</t>
        </is>
      </c>
      <c r="B1607" t="inlineStr">
        <is>
          <t>MUS</t>
        </is>
      </c>
      <c r="C1607" t="inlineStr">
        <is>
          <t>mit.inv.ind.2</t>
        </is>
      </c>
      <c r="D1607" t="n">
        <v>0</v>
      </c>
      <c r="E1607" t="n">
        <v>0.02047785388</v>
      </c>
      <c r="F1607" t="n">
        <v>0.02476530818</v>
      </c>
      <c r="G1607" t="n">
        <v>0.03413060057</v>
      </c>
      <c r="H1607" t="n">
        <v>0.0462555925</v>
      </c>
    </row>
    <row r="1608">
      <c r="A1608" t="inlineStr">
        <is>
          <t>MWI|mit.inv.ind.2</t>
        </is>
      </c>
      <c r="B1608" t="inlineStr">
        <is>
          <t>MWI</t>
        </is>
      </c>
      <c r="C1608" t="inlineStr">
        <is>
          <t>mit.inv.ind.2</t>
        </is>
      </c>
      <c r="D1608" t="n">
        <v>0</v>
      </c>
      <c r="E1608" t="n">
        <v>0.01214399195</v>
      </c>
      <c r="F1608" t="n">
        <v>0.01398171861</v>
      </c>
      <c r="G1608" t="n">
        <v>0.02268064228</v>
      </c>
      <c r="H1608" t="n">
        <v>0.0356874409</v>
      </c>
    </row>
    <row r="1609">
      <c r="A1609" t="inlineStr">
        <is>
          <t>MYS|mit.inv.ind.2</t>
        </is>
      </c>
      <c r="B1609" t="inlineStr">
        <is>
          <t>MYS</t>
        </is>
      </c>
      <c r="C1609" t="inlineStr">
        <is>
          <t>mit.inv.ind.2</t>
        </is>
      </c>
      <c r="D1609" t="n">
        <v>0</v>
      </c>
      <c r="E1609" t="n">
        <v>3.07547874</v>
      </c>
      <c r="F1609" t="n">
        <v>4.155597617</v>
      </c>
      <c r="G1609" t="n">
        <v>5.897371647</v>
      </c>
      <c r="H1609" t="n">
        <v>8.191383146</v>
      </c>
    </row>
    <row r="1610">
      <c r="A1610" t="inlineStr">
        <is>
          <t>NAM|mit.inv.ind.2</t>
        </is>
      </c>
      <c r="B1610" t="inlineStr">
        <is>
          <t>NAM</t>
        </is>
      </c>
      <c r="C1610" t="inlineStr">
        <is>
          <t>mit.inv.ind.2</t>
        </is>
      </c>
      <c r="D1610" t="n">
        <v>0</v>
      </c>
      <c r="E1610" t="n">
        <v>0.05386876032</v>
      </c>
      <c r="F1610" t="n">
        <v>0.06235679021</v>
      </c>
      <c r="G1610" t="n">
        <v>0.08787661335999999</v>
      </c>
      <c r="H1610" t="n">
        <v>0.1212311002</v>
      </c>
    </row>
    <row r="1611">
      <c r="A1611" t="inlineStr">
        <is>
          <t>NER|mit.inv.ind.2</t>
        </is>
      </c>
      <c r="B1611" t="inlineStr">
        <is>
          <t>NER</t>
        </is>
      </c>
      <c r="C1611" t="inlineStr">
        <is>
          <t>mit.inv.ind.2</t>
        </is>
      </c>
      <c r="D1611" t="n">
        <v>0</v>
      </c>
      <c r="E1611" t="n">
        <v>0.02180313768</v>
      </c>
      <c r="F1611" t="n">
        <v>0.03297371401</v>
      </c>
      <c r="G1611" t="n">
        <v>0.0565640115</v>
      </c>
      <c r="H1611" t="n">
        <v>0.09243111803</v>
      </c>
    </row>
    <row r="1612">
      <c r="A1612" t="inlineStr">
        <is>
          <t>NGA|mit.inv.ind.2</t>
        </is>
      </c>
      <c r="B1612" t="inlineStr">
        <is>
          <t>NGA</t>
        </is>
      </c>
      <c r="C1612" t="inlineStr">
        <is>
          <t>mit.inv.ind.2</t>
        </is>
      </c>
      <c r="D1612" t="n">
        <v>0</v>
      </c>
      <c r="E1612" t="n">
        <v>0.5736342188</v>
      </c>
      <c r="F1612" t="n">
        <v>0.7508567486</v>
      </c>
      <c r="G1612" t="n">
        <v>1.230044365</v>
      </c>
      <c r="H1612" t="n">
        <v>1.945278809</v>
      </c>
    </row>
    <row r="1613">
      <c r="A1613" t="inlineStr">
        <is>
          <t>NIC|mit.inv.ind.2</t>
        </is>
      </c>
      <c r="B1613" t="inlineStr">
        <is>
          <t>NIC</t>
        </is>
      </c>
      <c r="C1613" t="inlineStr">
        <is>
          <t>mit.inv.ind.2</t>
        </is>
      </c>
      <c r="D1613" t="n">
        <v>0</v>
      </c>
      <c r="E1613" t="n">
        <v>0.08383065017999999</v>
      </c>
      <c r="F1613" t="n">
        <v>0.1071338016</v>
      </c>
      <c r="G1613" t="n">
        <v>0.1716016201</v>
      </c>
      <c r="H1613" t="n">
        <v>0.2652648283</v>
      </c>
    </row>
    <row r="1614">
      <c r="A1614" t="inlineStr">
        <is>
          <t>NLD|mit.inv.ind.2</t>
        </is>
      </c>
      <c r="B1614" t="inlineStr">
        <is>
          <t>NLD</t>
        </is>
      </c>
      <c r="C1614" t="inlineStr">
        <is>
          <t>mit.inv.ind.2</t>
        </is>
      </c>
      <c r="D1614" t="n">
        <v>0</v>
      </c>
      <c r="E1614" t="n">
        <v>2.782837355</v>
      </c>
      <c r="F1614" t="n">
        <v>2.895743942</v>
      </c>
      <c r="G1614" t="n">
        <v>3.244068604</v>
      </c>
      <c r="H1614" t="n">
        <v>3.623405495</v>
      </c>
    </row>
    <row r="1615">
      <c r="A1615" t="inlineStr">
        <is>
          <t>NOR|mit.inv.ind.2</t>
        </is>
      </c>
      <c r="B1615" t="inlineStr">
        <is>
          <t>NOR</t>
        </is>
      </c>
      <c r="C1615" t="inlineStr">
        <is>
          <t>mit.inv.ind.2</t>
        </is>
      </c>
      <c r="D1615" t="n">
        <v>0</v>
      </c>
      <c r="E1615" t="n">
        <v>1.629514408</v>
      </c>
      <c r="F1615" t="n">
        <v>1.717359955</v>
      </c>
      <c r="G1615" t="n">
        <v>1.910782275</v>
      </c>
      <c r="H1615" t="n">
        <v>2.121390701</v>
      </c>
    </row>
    <row r="1616">
      <c r="A1616" t="inlineStr">
        <is>
          <t>NPL|mit.inv.ind.2</t>
        </is>
      </c>
      <c r="B1616" t="inlineStr">
        <is>
          <t>NPL</t>
        </is>
      </c>
      <c r="C1616" t="inlineStr">
        <is>
          <t>mit.inv.ind.2</t>
        </is>
      </c>
      <c r="D1616" t="n">
        <v>0</v>
      </c>
      <c r="E1616" t="n">
        <v>0.2746988171</v>
      </c>
      <c r="F1616" t="n">
        <v>0.3201082216</v>
      </c>
      <c r="G1616" t="n">
        <v>0.4893748249</v>
      </c>
      <c r="H1616" t="n">
        <v>0.7328378872</v>
      </c>
    </row>
    <row r="1617">
      <c r="A1617" t="inlineStr">
        <is>
          <t>NRU|mit.inv.ind.2</t>
        </is>
      </c>
      <c r="B1617" t="inlineStr">
        <is>
          <t>NRU</t>
        </is>
      </c>
      <c r="C1617" t="inlineStr">
        <is>
          <t>mit.inv.ind.2</t>
        </is>
      </c>
      <c r="D1617" t="n">
        <v>0</v>
      </c>
      <c r="E1617" t="n">
        <v>0.00446487055</v>
      </c>
      <c r="F1617" t="n">
        <v>0.005087749349</v>
      </c>
      <c r="G1617" t="n">
        <v>0.007171042735</v>
      </c>
      <c r="H1617" t="n">
        <v>0.009892886938000001</v>
      </c>
    </row>
    <row r="1618">
      <c r="A1618" t="inlineStr">
        <is>
          <t>NZL|mit.inv.ind.2</t>
        </is>
      </c>
      <c r="B1618" t="inlineStr">
        <is>
          <t>NZL</t>
        </is>
      </c>
      <c r="C1618" t="inlineStr">
        <is>
          <t>mit.inv.ind.2</t>
        </is>
      </c>
      <c r="D1618" t="n">
        <v>0</v>
      </c>
      <c r="E1618" t="n">
        <v>0.5427404567</v>
      </c>
      <c r="F1618" t="n">
        <v>0.599951184</v>
      </c>
      <c r="G1618" t="n">
        <v>0.6750366846</v>
      </c>
      <c r="H1618" t="n">
        <v>0.7582157504</v>
      </c>
    </row>
    <row r="1619">
      <c r="A1619" t="inlineStr">
        <is>
          <t>OMN|mit.inv.ind.2</t>
        </is>
      </c>
      <c r="B1619" t="inlineStr">
        <is>
          <t>OMN</t>
        </is>
      </c>
      <c r="C1619" t="inlineStr">
        <is>
          <t>mit.inv.ind.2</t>
        </is>
      </c>
      <c r="D1619" t="n">
        <v>0</v>
      </c>
      <c r="E1619" t="n">
        <v>1.587607197</v>
      </c>
      <c r="F1619" t="n">
        <v>1.926793363</v>
      </c>
      <c r="G1619" t="n">
        <v>2.124773571</v>
      </c>
      <c r="H1619" t="n">
        <v>2.343561457</v>
      </c>
    </row>
    <row r="1620">
      <c r="A1620" t="inlineStr">
        <is>
          <t>PAK|mit.inv.ind.2</t>
        </is>
      </c>
      <c r="B1620" t="inlineStr">
        <is>
          <t>PAK</t>
        </is>
      </c>
      <c r="C1620" t="inlineStr">
        <is>
          <t>mit.inv.ind.2</t>
        </is>
      </c>
      <c r="D1620" t="n">
        <v>0</v>
      </c>
      <c r="E1620" t="n">
        <v>1.457609997</v>
      </c>
      <c r="F1620" t="n">
        <v>1.760495516</v>
      </c>
      <c r="G1620" t="n">
        <v>2.625416517</v>
      </c>
      <c r="H1620" t="n">
        <v>3.848575874</v>
      </c>
    </row>
    <row r="1621">
      <c r="A1621" t="inlineStr">
        <is>
          <t>PAN|mit.inv.ind.2</t>
        </is>
      </c>
      <c r="B1621" t="inlineStr">
        <is>
          <t>PAN</t>
        </is>
      </c>
      <c r="C1621" t="inlineStr">
        <is>
          <t>mit.inv.ind.2</t>
        </is>
      </c>
      <c r="D1621" t="n">
        <v>0</v>
      </c>
      <c r="E1621" t="n">
        <v>0.1384330357</v>
      </c>
      <c r="F1621" t="n">
        <v>0.1703110866</v>
      </c>
      <c r="G1621" t="n">
        <v>0.194406893</v>
      </c>
      <c r="H1621" t="n">
        <v>0.2213696126</v>
      </c>
    </row>
    <row r="1622">
      <c r="A1622" t="inlineStr">
        <is>
          <t>PER|mit.inv.ind.2</t>
        </is>
      </c>
      <c r="B1622" t="inlineStr">
        <is>
          <t>PER</t>
        </is>
      </c>
      <c r="C1622" t="inlineStr">
        <is>
          <t>mit.inv.ind.2</t>
        </is>
      </c>
      <c r="D1622" t="n">
        <v>0</v>
      </c>
      <c r="E1622" t="n">
        <v>0.9358111389</v>
      </c>
      <c r="F1622" t="n">
        <v>1.106420861</v>
      </c>
      <c r="G1622" t="n">
        <v>1.55308359</v>
      </c>
      <c r="H1622" t="n">
        <v>2.138187515</v>
      </c>
    </row>
    <row r="1623">
      <c r="A1623" t="inlineStr">
        <is>
          <t>PHL|mit.inv.ind.2</t>
        </is>
      </c>
      <c r="B1623" t="inlineStr">
        <is>
          <t>PHL</t>
        </is>
      </c>
      <c r="C1623" t="inlineStr">
        <is>
          <t>mit.inv.ind.2</t>
        </is>
      </c>
      <c r="D1623" t="n">
        <v>0</v>
      </c>
      <c r="E1623" t="n">
        <v>0.9558144628</v>
      </c>
      <c r="F1623" t="n">
        <v>1.203736178</v>
      </c>
      <c r="G1623" t="n">
        <v>1.847641731</v>
      </c>
      <c r="H1623" t="n">
        <v>2.764146315</v>
      </c>
    </row>
    <row r="1624">
      <c r="A1624" t="inlineStr">
        <is>
          <t>PLW|mit.inv.ind.2</t>
        </is>
      </c>
      <c r="B1624" t="inlineStr">
        <is>
          <t>PLW</t>
        </is>
      </c>
      <c r="C1624" t="inlineStr">
        <is>
          <t>mit.inv.ind.2</t>
        </is>
      </c>
      <c r="D1624" t="n">
        <v>0</v>
      </c>
      <c r="E1624" t="n">
        <v>0.005652206659</v>
      </c>
      <c r="F1624" t="n">
        <v>0.006738848517</v>
      </c>
      <c r="G1624" t="n">
        <v>0.007691639443</v>
      </c>
      <c r="H1624" t="n">
        <v>0.008758409835</v>
      </c>
    </row>
    <row r="1625">
      <c r="A1625" t="inlineStr">
        <is>
          <t>PNG|mit.inv.ind.2</t>
        </is>
      </c>
      <c r="B1625" t="inlineStr">
        <is>
          <t>PNG</t>
        </is>
      </c>
      <c r="C1625" t="inlineStr">
        <is>
          <t>mit.inv.ind.2</t>
        </is>
      </c>
      <c r="D1625" t="n">
        <v>0</v>
      </c>
      <c r="E1625" t="n">
        <v>0.2629538992</v>
      </c>
      <c r="F1625" t="n">
        <v>0.3377107407</v>
      </c>
      <c r="G1625" t="n">
        <v>0.5517681482</v>
      </c>
      <c r="H1625" t="n">
        <v>0.8683976739</v>
      </c>
    </row>
    <row r="1626">
      <c r="A1626" t="inlineStr">
        <is>
          <t>POL|mit.inv.ind.2</t>
        </is>
      </c>
      <c r="B1626" t="inlineStr">
        <is>
          <t>POL</t>
        </is>
      </c>
      <c r="C1626" t="inlineStr">
        <is>
          <t>mit.inv.ind.2</t>
        </is>
      </c>
      <c r="D1626" t="n">
        <v>0</v>
      </c>
      <c r="E1626" t="n">
        <v>3.094633565</v>
      </c>
      <c r="F1626" t="n">
        <v>3.606637799</v>
      </c>
      <c r="G1626" t="n">
        <v>3.963735707</v>
      </c>
      <c r="H1626" t="n">
        <v>4.359366962</v>
      </c>
    </row>
    <row r="1627">
      <c r="A1627" t="inlineStr">
        <is>
          <t>PRI|mit.inv.ind.2</t>
        </is>
      </c>
      <c r="B1627" t="inlineStr">
        <is>
          <t>PRI</t>
        </is>
      </c>
      <c r="C1627" t="inlineStr">
        <is>
          <t>mit.inv.ind.2</t>
        </is>
      </c>
      <c r="D1627" t="n">
        <v>0</v>
      </c>
      <c r="E1627" t="n">
        <v>0.07516160752000001</v>
      </c>
      <c r="F1627" t="n">
        <v>0.07290015823</v>
      </c>
      <c r="G1627" t="n">
        <v>0.08366910893</v>
      </c>
      <c r="H1627" t="n">
        <v>0.09527336168</v>
      </c>
    </row>
    <row r="1628">
      <c r="A1628" t="inlineStr">
        <is>
          <t>PRT|mit.inv.ind.2</t>
        </is>
      </c>
      <c r="B1628" t="inlineStr">
        <is>
          <t>PRT</t>
        </is>
      </c>
      <c r="C1628" t="inlineStr">
        <is>
          <t>mit.inv.ind.2</t>
        </is>
      </c>
      <c r="D1628" t="n">
        <v>0</v>
      </c>
      <c r="E1628" t="n">
        <v>0.6277267946</v>
      </c>
      <c r="F1628" t="n">
        <v>0.6858455095</v>
      </c>
      <c r="G1628" t="n">
        <v>0.7702140266</v>
      </c>
      <c r="H1628" t="n">
        <v>0.8632421001</v>
      </c>
    </row>
    <row r="1629">
      <c r="A1629" t="inlineStr">
        <is>
          <t>PRY|mit.inv.ind.2</t>
        </is>
      </c>
      <c r="B1629" t="inlineStr">
        <is>
          <t>PRY</t>
        </is>
      </c>
      <c r="C1629" t="inlineStr">
        <is>
          <t>mit.inv.ind.2</t>
        </is>
      </c>
      <c r="D1629" t="n">
        <v>0</v>
      </c>
      <c r="E1629" t="n">
        <v>0.2963237377</v>
      </c>
      <c r="F1629" t="n">
        <v>0.3807445785</v>
      </c>
      <c r="G1629" t="n">
        <v>0.5368179521000001</v>
      </c>
      <c r="H1629" t="n">
        <v>0.7405549228</v>
      </c>
    </row>
    <row r="1630">
      <c r="A1630" t="inlineStr">
        <is>
          <t>QAT|mit.inv.ind.2</t>
        </is>
      </c>
      <c r="B1630" t="inlineStr">
        <is>
          <t>QAT</t>
        </is>
      </c>
      <c r="C1630" t="inlineStr">
        <is>
          <t>mit.inv.ind.2</t>
        </is>
      </c>
      <c r="D1630" t="n">
        <v>0</v>
      </c>
      <c r="E1630" t="n">
        <v>3.108604016</v>
      </c>
      <c r="F1630" t="n">
        <v>1.32530124</v>
      </c>
      <c r="G1630" t="n">
        <v>1.673734894</v>
      </c>
      <c r="H1630" t="n">
        <v>1.843160495</v>
      </c>
    </row>
    <row r="1631">
      <c r="A1631" t="inlineStr">
        <is>
          <t>ROU|mit.inv.ind.2</t>
        </is>
      </c>
      <c r="B1631" t="inlineStr">
        <is>
          <t>ROU</t>
        </is>
      </c>
      <c r="C1631" t="inlineStr">
        <is>
          <t>mit.inv.ind.2</t>
        </is>
      </c>
      <c r="D1631" t="n">
        <v>0</v>
      </c>
      <c r="E1631" t="n">
        <v>1.250118533</v>
      </c>
      <c r="F1631" t="n">
        <v>1.289226829</v>
      </c>
      <c r="G1631" t="n">
        <v>1.809200907</v>
      </c>
      <c r="H1631" t="n">
        <v>2.484721793</v>
      </c>
    </row>
    <row r="1632">
      <c r="A1632" t="inlineStr">
        <is>
          <t>RUS|mit.inv.ind.2</t>
        </is>
      </c>
      <c r="B1632" t="inlineStr">
        <is>
          <t>RUS</t>
        </is>
      </c>
      <c r="C1632" t="inlineStr">
        <is>
          <t>mit.inv.ind.2</t>
        </is>
      </c>
      <c r="D1632" t="n">
        <v>0</v>
      </c>
      <c r="E1632" t="n">
        <v>25.52735325</v>
      </c>
      <c r="F1632" t="n">
        <v>26.8963954</v>
      </c>
      <c r="G1632" t="n">
        <v>36.67757504</v>
      </c>
      <c r="H1632" t="n">
        <v>49.45005425</v>
      </c>
    </row>
    <row r="1633">
      <c r="A1633" t="inlineStr">
        <is>
          <t>RWA|mit.inv.ind.2</t>
        </is>
      </c>
      <c r="B1633" t="inlineStr">
        <is>
          <t>RWA</t>
        </is>
      </c>
      <c r="C1633" t="inlineStr">
        <is>
          <t>mit.inv.ind.2</t>
        </is>
      </c>
      <c r="D1633" t="n">
        <v>0</v>
      </c>
      <c r="E1633" t="n">
        <v>0.0140111402</v>
      </c>
      <c r="F1633" t="n">
        <v>0.02124607599</v>
      </c>
      <c r="G1633" t="n">
        <v>0.03557457635</v>
      </c>
      <c r="H1633" t="n">
        <v>0.0570530604</v>
      </c>
    </row>
    <row r="1634">
      <c r="A1634" t="inlineStr">
        <is>
          <t>SAU|mit.inv.ind.2</t>
        </is>
      </c>
      <c r="B1634" t="inlineStr">
        <is>
          <t>SAU</t>
        </is>
      </c>
      <c r="C1634" t="inlineStr">
        <is>
          <t>mit.inv.ind.2</t>
        </is>
      </c>
      <c r="D1634" t="n">
        <v>0</v>
      </c>
      <c r="E1634" t="n">
        <v>7.347378795</v>
      </c>
      <c r="F1634" t="n">
        <v>8.753951832</v>
      </c>
      <c r="G1634" t="n">
        <v>9.644802871</v>
      </c>
      <c r="H1634" t="n">
        <v>10.71902423</v>
      </c>
    </row>
    <row r="1635">
      <c r="A1635" t="inlineStr">
        <is>
          <t>SDN|mit.inv.ind.2</t>
        </is>
      </c>
      <c r="B1635" t="inlineStr">
        <is>
          <t>SDN</t>
        </is>
      </c>
      <c r="C1635" t="inlineStr">
        <is>
          <t>mit.inv.ind.2</t>
        </is>
      </c>
      <c r="D1635" t="n">
        <v>0</v>
      </c>
      <c r="E1635" t="n">
        <v>0.1517842428</v>
      </c>
      <c r="F1635" t="n">
        <v>0.1614464158</v>
      </c>
      <c r="G1635" t="n">
        <v>0.2588721589</v>
      </c>
      <c r="H1635" t="n">
        <v>0.4001691753</v>
      </c>
    </row>
    <row r="1636">
      <c r="A1636" t="inlineStr">
        <is>
          <t>SEN|mit.inv.ind.2</t>
        </is>
      </c>
      <c r="B1636" t="inlineStr">
        <is>
          <t>SEN</t>
        </is>
      </c>
      <c r="C1636" t="inlineStr">
        <is>
          <t>mit.inv.ind.2</t>
        </is>
      </c>
      <c r="D1636" t="n">
        <v>0</v>
      </c>
      <c r="E1636" t="n">
        <v>0.07641711195000001</v>
      </c>
      <c r="F1636" t="n">
        <v>0.08550000189</v>
      </c>
      <c r="G1636" t="n">
        <v>0.129227871</v>
      </c>
      <c r="H1636" t="n">
        <v>0.1914993283</v>
      </c>
    </row>
    <row r="1637">
      <c r="A1637" t="inlineStr">
        <is>
          <t>SGP|mit.inv.ind.2</t>
        </is>
      </c>
      <c r="B1637" t="inlineStr">
        <is>
          <t>SGP</t>
        </is>
      </c>
      <c r="C1637" t="inlineStr">
        <is>
          <t>mit.inv.ind.2</t>
        </is>
      </c>
      <c r="D1637" t="n">
        <v>0</v>
      </c>
      <c r="E1637" t="n">
        <v>1.21357615</v>
      </c>
      <c r="F1637" t="n">
        <v>1.464434507</v>
      </c>
      <c r="G1637" t="n">
        <v>1.654687929</v>
      </c>
      <c r="H1637" t="n">
        <v>1.867013277</v>
      </c>
    </row>
    <row r="1638">
      <c r="A1638" t="inlineStr">
        <is>
          <t>SLB|mit.inv.ind.2</t>
        </is>
      </c>
      <c r="B1638" t="inlineStr">
        <is>
          <t>SLB</t>
        </is>
      </c>
      <c r="C1638" t="inlineStr">
        <is>
          <t>mit.inv.ind.2</t>
        </is>
      </c>
      <c r="D1638" t="n">
        <v>0</v>
      </c>
      <c r="E1638" t="n">
        <v>0.006107382865</v>
      </c>
      <c r="F1638" t="n">
        <v>0.007346216668</v>
      </c>
      <c r="G1638" t="n">
        <v>0.01176031068</v>
      </c>
      <c r="H1638" t="n">
        <v>0.01817929685</v>
      </c>
    </row>
    <row r="1639">
      <c r="A1639" t="inlineStr">
        <is>
          <t>SLE|mit.inv.ind.2</t>
        </is>
      </c>
      <c r="B1639" t="inlineStr">
        <is>
          <t>SLE</t>
        </is>
      </c>
      <c r="C1639" t="inlineStr">
        <is>
          <t>mit.inv.ind.2</t>
        </is>
      </c>
      <c r="D1639" t="n">
        <v>0</v>
      </c>
      <c r="E1639" t="n">
        <v>0.0214933454</v>
      </c>
      <c r="F1639" t="n">
        <v>0.02880198964</v>
      </c>
      <c r="G1639" t="n">
        <v>0.04906879547</v>
      </c>
      <c r="H1639" t="n">
        <v>0.08004916488</v>
      </c>
    </row>
    <row r="1640">
      <c r="A1640" t="inlineStr">
        <is>
          <t>SLV|mit.inv.ind.2</t>
        </is>
      </c>
      <c r="B1640" t="inlineStr">
        <is>
          <t>SLV</t>
        </is>
      </c>
      <c r="C1640" t="inlineStr">
        <is>
          <t>mit.inv.ind.2</t>
        </is>
      </c>
      <c r="D1640" t="n">
        <v>0</v>
      </c>
      <c r="E1640" t="n">
        <v>0.1417003026</v>
      </c>
      <c r="F1640" t="n">
        <v>0.1755825067</v>
      </c>
      <c r="G1640" t="n">
        <v>0.2811127475</v>
      </c>
      <c r="H1640" t="n">
        <v>0.4345300739</v>
      </c>
    </row>
    <row r="1641">
      <c r="A1641" t="inlineStr">
        <is>
          <t>SOM|mit.inv.ind.2</t>
        </is>
      </c>
      <c r="B1641" t="inlineStr">
        <is>
          <t>SOM</t>
        </is>
      </c>
      <c r="C1641" t="inlineStr">
        <is>
          <t>mit.inv.ind.2</t>
        </is>
      </c>
      <c r="D1641" t="n">
        <v>0</v>
      </c>
      <c r="E1641" t="n">
        <v>0.01928310395</v>
      </c>
      <c r="F1641" t="n">
        <v>0.02312458712</v>
      </c>
      <c r="G1641" t="n">
        <v>0.03933271715</v>
      </c>
      <c r="H1641" t="n">
        <v>0.06416605767</v>
      </c>
    </row>
    <row r="1642">
      <c r="A1642" t="inlineStr">
        <is>
          <t>SRB|mit.inv.ind.2</t>
        </is>
      </c>
      <c r="B1642" t="inlineStr">
        <is>
          <t>SRB</t>
        </is>
      </c>
      <c r="C1642" t="inlineStr">
        <is>
          <t>mit.inv.ind.2</t>
        </is>
      </c>
      <c r="D1642" t="n">
        <v>0</v>
      </c>
      <c r="E1642" t="n">
        <v>0.3664154063</v>
      </c>
      <c r="F1642" t="n">
        <v>0.431496692</v>
      </c>
      <c r="G1642" t="n">
        <v>0.6003363984</v>
      </c>
      <c r="H1642" t="n">
        <v>0.8207650605</v>
      </c>
    </row>
    <row r="1643">
      <c r="A1643" t="inlineStr">
        <is>
          <t>STP|mit.inv.ind.2</t>
        </is>
      </c>
      <c r="B1643" t="inlineStr">
        <is>
          <t>STP</t>
        </is>
      </c>
      <c r="C1643" t="inlineStr">
        <is>
          <t>mit.inv.ind.2</t>
        </is>
      </c>
      <c r="D1643" t="n">
        <v>0</v>
      </c>
      <c r="E1643" t="n">
        <v>0.004037280776</v>
      </c>
      <c r="F1643" t="n">
        <v>0.0050316015</v>
      </c>
      <c r="G1643" t="n">
        <v>0.008056663095</v>
      </c>
      <c r="H1643" t="n">
        <v>0.01245413273</v>
      </c>
    </row>
    <row r="1644">
      <c r="A1644" t="inlineStr">
        <is>
          <t>SUR|mit.inv.ind.2</t>
        </is>
      </c>
      <c r="B1644" t="inlineStr">
        <is>
          <t>SUR</t>
        </is>
      </c>
      <c r="C1644" t="inlineStr">
        <is>
          <t>mit.inv.ind.2</t>
        </is>
      </c>
      <c r="D1644" t="n">
        <v>0</v>
      </c>
      <c r="E1644" t="n">
        <v>0.08231754464</v>
      </c>
      <c r="F1644" t="n">
        <v>0.1041589812</v>
      </c>
      <c r="G1644" t="n">
        <v>0.1468447904</v>
      </c>
      <c r="H1644" t="n">
        <v>0.202606131</v>
      </c>
    </row>
    <row r="1645">
      <c r="A1645" t="inlineStr">
        <is>
          <t>SVK|mit.inv.ind.2</t>
        </is>
      </c>
      <c r="B1645" t="inlineStr">
        <is>
          <t>SVK</t>
        </is>
      </c>
      <c r="C1645" t="inlineStr">
        <is>
          <t>mit.inv.ind.2</t>
        </is>
      </c>
      <c r="D1645" t="n">
        <v>0</v>
      </c>
      <c r="E1645" t="n">
        <v>0.6721589867</v>
      </c>
      <c r="F1645" t="n">
        <v>0.6680527109</v>
      </c>
      <c r="G1645" t="n">
        <v>0.7362269395</v>
      </c>
      <c r="H1645" t="n">
        <v>0.8086646244</v>
      </c>
    </row>
    <row r="1646">
      <c r="A1646" t="inlineStr">
        <is>
          <t>SVN|mit.inv.ind.2</t>
        </is>
      </c>
      <c r="B1646" t="inlineStr">
        <is>
          <t>SVN</t>
        </is>
      </c>
      <c r="C1646" t="inlineStr">
        <is>
          <t>mit.inv.ind.2</t>
        </is>
      </c>
      <c r="D1646" t="n">
        <v>0</v>
      </c>
      <c r="E1646" t="n">
        <v>0.1954018753</v>
      </c>
      <c r="F1646" t="n">
        <v>0.2138589362</v>
      </c>
      <c r="G1646" t="n">
        <v>0.2383263673</v>
      </c>
      <c r="H1646" t="n">
        <v>0.2652125362</v>
      </c>
    </row>
    <row r="1647">
      <c r="A1647" t="inlineStr">
        <is>
          <t>SWE|mit.inv.ind.2</t>
        </is>
      </c>
      <c r="B1647" t="inlineStr">
        <is>
          <t>SWE</t>
        </is>
      </c>
      <c r="C1647" t="inlineStr">
        <is>
          <t>mit.inv.ind.2</t>
        </is>
      </c>
      <c r="D1647" t="n">
        <v>0</v>
      </c>
      <c r="E1647" t="n">
        <v>0.939687305</v>
      </c>
      <c r="F1647" t="n">
        <v>1.024229028</v>
      </c>
      <c r="G1647" t="n">
        <v>1.150156936</v>
      </c>
      <c r="H1647" t="n">
        <v>1.289524201</v>
      </c>
    </row>
    <row r="1648">
      <c r="A1648" t="inlineStr">
        <is>
          <t>SWZ|mit.inv.ind.2</t>
        </is>
      </c>
      <c r="B1648" t="inlineStr">
        <is>
          <t>SWZ</t>
        </is>
      </c>
      <c r="C1648" t="inlineStr">
        <is>
          <t>mit.inv.ind.2</t>
        </is>
      </c>
      <c r="D1648" t="n">
        <v>0</v>
      </c>
      <c r="E1648" t="n">
        <v>0.003670640232</v>
      </c>
      <c r="F1648" t="n">
        <v>0.004743702621</v>
      </c>
      <c r="G1648" t="n">
        <v>0.007599732579</v>
      </c>
      <c r="H1648" t="n">
        <v>0.01174780143</v>
      </c>
    </row>
    <row r="1649">
      <c r="A1649" t="inlineStr">
        <is>
          <t>SYC|mit.inv.ind.2</t>
        </is>
      </c>
      <c r="B1649" t="inlineStr">
        <is>
          <t>SYC</t>
        </is>
      </c>
      <c r="C1649" t="inlineStr">
        <is>
          <t>mit.inv.ind.2</t>
        </is>
      </c>
      <c r="D1649" t="n">
        <v>0</v>
      </c>
      <c r="E1649" t="n">
        <v>0.01968634063</v>
      </c>
      <c r="F1649" t="n">
        <v>0.02110972437</v>
      </c>
      <c r="G1649" t="n">
        <v>0.02413096432</v>
      </c>
      <c r="H1649" t="n">
        <v>0.02747774084</v>
      </c>
    </row>
    <row r="1650">
      <c r="A1650" t="inlineStr">
        <is>
          <t>SYR|mit.inv.ind.2</t>
        </is>
      </c>
      <c r="B1650" t="inlineStr">
        <is>
          <t>SYR</t>
        </is>
      </c>
      <c r="C1650" t="inlineStr">
        <is>
          <t>mit.inv.ind.2</t>
        </is>
      </c>
      <c r="D1650" t="n">
        <v>0</v>
      </c>
      <c r="E1650" t="n">
        <v>0.4776341872</v>
      </c>
      <c r="F1650" t="n">
        <v>0.5870372844</v>
      </c>
      <c r="G1650" t="n">
        <v>1.004633392</v>
      </c>
      <c r="H1650" t="n">
        <v>1.648178464</v>
      </c>
    </row>
    <row r="1651">
      <c r="A1651" t="inlineStr">
        <is>
          <t>TCD|mit.inv.ind.2</t>
        </is>
      </c>
      <c r="B1651" t="inlineStr">
        <is>
          <t>TCD</t>
        </is>
      </c>
      <c r="C1651" t="inlineStr">
        <is>
          <t>mit.inv.ind.2</t>
        </is>
      </c>
      <c r="D1651" t="n">
        <v>0</v>
      </c>
      <c r="E1651" t="n">
        <v>0.05096425977</v>
      </c>
      <c r="F1651" t="n">
        <v>0.07091992319</v>
      </c>
      <c r="G1651" t="n">
        <v>0.1209705764</v>
      </c>
      <c r="H1651" t="n">
        <v>0.1973472861</v>
      </c>
    </row>
    <row r="1652">
      <c r="A1652" t="inlineStr">
        <is>
          <t>TGO|mit.inv.ind.2</t>
        </is>
      </c>
      <c r="B1652" t="inlineStr">
        <is>
          <t>TGO</t>
        </is>
      </c>
      <c r="C1652" t="inlineStr">
        <is>
          <t>mit.inv.ind.2</t>
        </is>
      </c>
      <c r="D1652" t="n">
        <v>0</v>
      </c>
      <c r="E1652" t="n">
        <v>0.008616316723000001</v>
      </c>
      <c r="F1652" t="n">
        <v>0.011838768</v>
      </c>
      <c r="G1652" t="n">
        <v>0.02018476518</v>
      </c>
      <c r="H1652" t="n">
        <v>0.03292873975</v>
      </c>
    </row>
    <row r="1653">
      <c r="A1653" t="inlineStr">
        <is>
          <t>THA|mit.inv.ind.2</t>
        </is>
      </c>
      <c r="B1653" t="inlineStr">
        <is>
          <t>THA</t>
        </is>
      </c>
      <c r="C1653" t="inlineStr">
        <is>
          <t>mit.inv.ind.2</t>
        </is>
      </c>
      <c r="D1653" t="n">
        <v>0</v>
      </c>
      <c r="E1653" t="n">
        <v>3.223278172</v>
      </c>
      <c r="F1653" t="n">
        <v>3.469530646</v>
      </c>
      <c r="G1653" t="n">
        <v>4.742346761</v>
      </c>
      <c r="H1653" t="n">
        <v>6.383490836</v>
      </c>
    </row>
    <row r="1654">
      <c r="A1654" t="inlineStr">
        <is>
          <t>TJK|mit.inv.ind.2</t>
        </is>
      </c>
      <c r="B1654" t="inlineStr">
        <is>
          <t>TJK</t>
        </is>
      </c>
      <c r="C1654" t="inlineStr">
        <is>
          <t>mit.inv.ind.2</t>
        </is>
      </c>
      <c r="D1654" t="n">
        <v>0</v>
      </c>
      <c r="E1654" t="n">
        <v>0.0862166414</v>
      </c>
      <c r="F1654" t="n">
        <v>0.1201111633</v>
      </c>
      <c r="G1654" t="n">
        <v>0.1949520097</v>
      </c>
      <c r="H1654" t="n">
        <v>0.306696042</v>
      </c>
    </row>
    <row r="1655">
      <c r="A1655" t="inlineStr">
        <is>
          <t>TKM|mit.inv.ind.2</t>
        </is>
      </c>
      <c r="B1655" t="inlineStr">
        <is>
          <t>TKM</t>
        </is>
      </c>
      <c r="C1655" t="inlineStr">
        <is>
          <t>mit.inv.ind.2</t>
        </is>
      </c>
      <c r="D1655" t="n">
        <v>0</v>
      </c>
      <c r="E1655" t="n">
        <v>2.211390489</v>
      </c>
      <c r="F1655" t="n">
        <v>2.597063853</v>
      </c>
      <c r="G1655" t="n">
        <v>3.704870451</v>
      </c>
      <c r="H1655" t="n">
        <v>5.167868971</v>
      </c>
    </row>
    <row r="1656">
      <c r="A1656" t="inlineStr">
        <is>
          <t>TLS|mit.inv.ind.2</t>
        </is>
      </c>
      <c r="B1656" t="inlineStr">
        <is>
          <t>TLS</t>
        </is>
      </c>
      <c r="C1656" t="inlineStr">
        <is>
          <t>mit.inv.ind.2</t>
        </is>
      </c>
      <c r="D1656" t="n">
        <v>0</v>
      </c>
      <c r="E1656" t="n">
        <v>0.02561952275</v>
      </c>
      <c r="F1656" t="n">
        <v>0.033227242</v>
      </c>
      <c r="G1656" t="n">
        <v>0.05323598589</v>
      </c>
      <c r="H1656" t="n">
        <v>0.08229313132</v>
      </c>
    </row>
    <row r="1657">
      <c r="A1657" t="inlineStr">
        <is>
          <t>TON|mit.inv.ind.2</t>
        </is>
      </c>
      <c r="B1657" t="inlineStr">
        <is>
          <t>TON</t>
        </is>
      </c>
      <c r="C1657" t="inlineStr">
        <is>
          <t>mit.inv.ind.2</t>
        </is>
      </c>
      <c r="D1657" t="n">
        <v>0</v>
      </c>
      <c r="E1657" t="n">
        <v>0.002195141639</v>
      </c>
      <c r="F1657" t="n">
        <v>0.002530106467</v>
      </c>
      <c r="G1657" t="n">
        <v>0.00356569428</v>
      </c>
      <c r="H1657" t="n">
        <v>0.004919090802</v>
      </c>
    </row>
    <row r="1658">
      <c r="A1658" t="inlineStr">
        <is>
          <t>TTO|mit.inv.ind.2</t>
        </is>
      </c>
      <c r="B1658" t="inlineStr">
        <is>
          <t>TTO</t>
        </is>
      </c>
      <c r="C1658" t="inlineStr">
        <is>
          <t>mit.inv.ind.2</t>
        </is>
      </c>
      <c r="D1658" t="n">
        <v>0</v>
      </c>
      <c r="E1658" t="n">
        <v>0.3151431538</v>
      </c>
      <c r="F1658" t="n">
        <v>0.3134534689</v>
      </c>
      <c r="G1658" t="n">
        <v>0.346870681</v>
      </c>
      <c r="H1658" t="n">
        <v>0.3821850554</v>
      </c>
    </row>
    <row r="1659">
      <c r="A1659" t="inlineStr">
        <is>
          <t>TUN|mit.inv.ind.2</t>
        </is>
      </c>
      <c r="B1659" t="inlineStr">
        <is>
          <t>TUN</t>
        </is>
      </c>
      <c r="C1659" t="inlineStr">
        <is>
          <t>mit.inv.ind.2</t>
        </is>
      </c>
      <c r="D1659" t="n">
        <v>0</v>
      </c>
      <c r="E1659" t="n">
        <v>0.2780633579</v>
      </c>
      <c r="F1659" t="n">
        <v>0.3215834235</v>
      </c>
      <c r="G1659" t="n">
        <v>0.5249554138</v>
      </c>
      <c r="H1659" t="n">
        <v>0.8259900996</v>
      </c>
    </row>
    <row r="1660">
      <c r="A1660" t="inlineStr">
        <is>
          <t>TUR|mit.inv.ind.2</t>
        </is>
      </c>
      <c r="B1660" t="inlineStr">
        <is>
          <t>TUR</t>
        </is>
      </c>
      <c r="C1660" t="inlineStr">
        <is>
          <t>mit.inv.ind.2</t>
        </is>
      </c>
      <c r="D1660" t="n">
        <v>0</v>
      </c>
      <c r="E1660" t="n">
        <v>5.641401763</v>
      </c>
      <c r="F1660" t="n">
        <v>6.888215738</v>
      </c>
      <c r="G1660" t="n">
        <v>9.039160731999999</v>
      </c>
      <c r="H1660" t="n">
        <v>11.97307021</v>
      </c>
    </row>
    <row r="1661">
      <c r="A1661" t="inlineStr">
        <is>
          <t>TZA|mit.inv.ind.2</t>
        </is>
      </c>
      <c r="B1661" t="inlineStr">
        <is>
          <t>TZA</t>
        </is>
      </c>
      <c r="C1661" t="inlineStr">
        <is>
          <t>mit.inv.ind.2</t>
        </is>
      </c>
      <c r="D1661" t="n">
        <v>0</v>
      </c>
      <c r="E1661" t="n">
        <v>0.1062564111</v>
      </c>
      <c r="F1661" t="n">
        <v>0.1481817595</v>
      </c>
      <c r="G1661" t="n">
        <v>0.2417714214</v>
      </c>
      <c r="H1661" t="n">
        <v>0.3831444646</v>
      </c>
    </row>
    <row r="1662">
      <c r="A1662" t="inlineStr">
        <is>
          <t>UGA|mit.inv.ind.2</t>
        </is>
      </c>
      <c r="B1662" t="inlineStr">
        <is>
          <t>UGA</t>
        </is>
      </c>
      <c r="C1662" t="inlineStr">
        <is>
          <t>mit.inv.ind.2</t>
        </is>
      </c>
      <c r="D1662" t="n">
        <v>0</v>
      </c>
      <c r="E1662" t="n">
        <v>0.08800261130000001</v>
      </c>
      <c r="F1662" t="n">
        <v>0.1354695446</v>
      </c>
      <c r="G1662" t="n">
        <v>0.2273127927</v>
      </c>
      <c r="H1662" t="n">
        <v>0.3648933494</v>
      </c>
    </row>
    <row r="1663">
      <c r="A1663" t="inlineStr">
        <is>
          <t>UKR|mit.inv.ind.2</t>
        </is>
      </c>
      <c r="B1663" t="inlineStr">
        <is>
          <t>UKR</t>
        </is>
      </c>
      <c r="C1663" t="inlineStr">
        <is>
          <t>mit.inv.ind.2</t>
        </is>
      </c>
      <c r="D1663" t="n">
        <v>0</v>
      </c>
      <c r="E1663" t="n">
        <v>2.014511664</v>
      </c>
      <c r="F1663" t="n">
        <v>2.266040815</v>
      </c>
      <c r="G1663" t="n">
        <v>3.533733112</v>
      </c>
      <c r="H1663" t="n">
        <v>5.37850807</v>
      </c>
    </row>
    <row r="1664">
      <c r="A1664" t="inlineStr">
        <is>
          <t>URY|mit.inv.ind.2</t>
        </is>
      </c>
      <c r="B1664" t="inlineStr">
        <is>
          <t>URY</t>
        </is>
      </c>
      <c r="C1664" t="inlineStr">
        <is>
          <t>mit.inv.ind.2</t>
        </is>
      </c>
      <c r="D1664" t="n">
        <v>0</v>
      </c>
      <c r="E1664" t="n">
        <v>0.1530002475</v>
      </c>
      <c r="F1664" t="n">
        <v>0.1667933256</v>
      </c>
      <c r="G1664" t="n">
        <v>0.1903977458</v>
      </c>
      <c r="H1664" t="n">
        <v>0.2166118342</v>
      </c>
    </row>
    <row r="1665">
      <c r="A1665" t="inlineStr">
        <is>
          <t>USA|mit.inv.ind.2</t>
        </is>
      </c>
      <c r="B1665" t="inlineStr">
        <is>
          <t>USA</t>
        </is>
      </c>
      <c r="C1665" t="inlineStr">
        <is>
          <t>mit.inv.ind.2</t>
        </is>
      </c>
      <c r="D1665" t="n">
        <v>0</v>
      </c>
      <c r="E1665" t="n">
        <v>82.59626701000001</v>
      </c>
      <c r="F1665" t="n">
        <v>92.56351657</v>
      </c>
      <c r="G1665" t="n">
        <v>102.4200802</v>
      </c>
      <c r="H1665" t="n">
        <v>113.4846673</v>
      </c>
    </row>
    <row r="1666">
      <c r="A1666" t="inlineStr">
        <is>
          <t>UZB|mit.inv.ind.2</t>
        </is>
      </c>
      <c r="B1666" t="inlineStr">
        <is>
          <t>UZB</t>
        </is>
      </c>
      <c r="C1666" t="inlineStr">
        <is>
          <t>mit.inv.ind.2</t>
        </is>
      </c>
      <c r="D1666" t="n">
        <v>0</v>
      </c>
      <c r="E1666" t="n">
        <v>1.535895935</v>
      </c>
      <c r="F1666" t="n">
        <v>2.374739784</v>
      </c>
      <c r="G1666" t="n">
        <v>3.963169758</v>
      </c>
      <c r="H1666" t="n">
        <v>6.320693815</v>
      </c>
    </row>
    <row r="1667">
      <c r="A1667" t="inlineStr">
        <is>
          <t>VCT|mit.inv.ind.2</t>
        </is>
      </c>
      <c r="B1667" t="inlineStr">
        <is>
          <t>VCT</t>
        </is>
      </c>
      <c r="C1667" t="inlineStr">
        <is>
          <t>mit.inv.ind.2</t>
        </is>
      </c>
      <c r="D1667" t="n">
        <v>0</v>
      </c>
      <c r="E1667" t="n">
        <v>0.005002283133</v>
      </c>
      <c r="F1667" t="n">
        <v>0.005999035761</v>
      </c>
      <c r="G1667" t="n">
        <v>0.008453100816</v>
      </c>
      <c r="H1667" t="n">
        <v>0.01166156356</v>
      </c>
    </row>
    <row r="1668">
      <c r="A1668" t="inlineStr">
        <is>
          <t>VEN|mit.inv.ind.2</t>
        </is>
      </c>
      <c r="B1668" t="inlineStr">
        <is>
          <t>VEN</t>
        </is>
      </c>
      <c r="C1668" t="inlineStr">
        <is>
          <t>mit.inv.ind.2</t>
        </is>
      </c>
      <c r="D1668" t="n">
        <v>0</v>
      </c>
      <c r="E1668" t="n">
        <v>1.389385781</v>
      </c>
      <c r="F1668" t="n">
        <v>1.801247667</v>
      </c>
      <c r="G1668" t="n">
        <v>2.569622596</v>
      </c>
      <c r="H1668" t="n">
        <v>3.582690948</v>
      </c>
    </row>
    <row r="1669">
      <c r="A1669" t="inlineStr">
        <is>
          <t>VNM|mit.inv.ind.2</t>
        </is>
      </c>
      <c r="B1669" t="inlineStr">
        <is>
          <t>VNM</t>
        </is>
      </c>
      <c r="C1669" t="inlineStr">
        <is>
          <t>mit.inv.ind.2</t>
        </is>
      </c>
      <c r="D1669" t="n">
        <v>0</v>
      </c>
      <c r="E1669" t="n">
        <v>3.091655014</v>
      </c>
      <c r="F1669" t="n">
        <v>4.14473718</v>
      </c>
      <c r="G1669" t="n">
        <v>5.370413819</v>
      </c>
      <c r="H1669" t="n">
        <v>7.113709946</v>
      </c>
    </row>
    <row r="1670">
      <c r="A1670" t="inlineStr">
        <is>
          <t>VUT|mit.inv.ind.2</t>
        </is>
      </c>
      <c r="B1670" t="inlineStr">
        <is>
          <t>VUT</t>
        </is>
      </c>
      <c r="C1670" t="inlineStr">
        <is>
          <t>mit.inv.ind.2</t>
        </is>
      </c>
      <c r="D1670" t="n">
        <v>0</v>
      </c>
      <c r="E1670" t="n">
        <v>0.002244213366</v>
      </c>
      <c r="F1670" t="n">
        <v>0.002817501756</v>
      </c>
      <c r="G1670" t="n">
        <v>0.004511790761</v>
      </c>
      <c r="H1670" t="n">
        <v>0.00697440619</v>
      </c>
    </row>
    <row r="1671">
      <c r="A1671" t="inlineStr">
        <is>
          <t>WSM|mit.inv.ind.2</t>
        </is>
      </c>
      <c r="B1671" t="inlineStr">
        <is>
          <t>WSM</t>
        </is>
      </c>
      <c r="C1671" t="inlineStr">
        <is>
          <t>mit.inv.ind.2</t>
        </is>
      </c>
      <c r="D1671" t="n">
        <v>0</v>
      </c>
      <c r="E1671" t="n">
        <v>0.005595396195</v>
      </c>
      <c r="F1671" t="n">
        <v>0.00679189491</v>
      </c>
      <c r="G1671" t="n">
        <v>0.009570554234</v>
      </c>
      <c r="H1671" t="n">
        <v>0.0132031581</v>
      </c>
    </row>
    <row r="1672">
      <c r="A1672" t="inlineStr">
        <is>
          <t>XKX|mit.inv.ind.2</t>
        </is>
      </c>
      <c r="B1672" t="inlineStr">
        <is>
          <t>XKX</t>
        </is>
      </c>
      <c r="C1672" t="inlineStr">
        <is>
          <t>mit.inv.ind.2</t>
        </is>
      </c>
      <c r="D1672" t="n">
        <v>0</v>
      </c>
      <c r="E1672" t="n">
        <v>0.04198457116</v>
      </c>
      <c r="F1672" t="n">
        <v>0.05176166153</v>
      </c>
      <c r="G1672" t="n">
        <v>0.08213382349999999</v>
      </c>
      <c r="H1672" t="n">
        <v>0.1261106807</v>
      </c>
    </row>
    <row r="1673">
      <c r="A1673" t="inlineStr">
        <is>
          <t>YEM|mit.inv.ind.2</t>
        </is>
      </c>
      <c r="B1673" t="inlineStr">
        <is>
          <t>YEM</t>
        </is>
      </c>
      <c r="C1673" t="inlineStr">
        <is>
          <t>mit.inv.ind.2</t>
        </is>
      </c>
      <c r="D1673" t="n">
        <v>0</v>
      </c>
      <c r="E1673" t="n">
        <v>0.07980830748999999</v>
      </c>
      <c r="F1673" t="n">
        <v>0.08423904583</v>
      </c>
      <c r="G1673" t="n">
        <v>0.1410312073</v>
      </c>
      <c r="H1673" t="n">
        <v>0.2270911799</v>
      </c>
    </row>
    <row r="1674">
      <c r="A1674" t="inlineStr">
        <is>
          <t>ZAF|mit.inv.ind.2</t>
        </is>
      </c>
      <c r="B1674" t="inlineStr">
        <is>
          <t>ZAF</t>
        </is>
      </c>
      <c r="C1674" t="inlineStr">
        <is>
          <t>mit.inv.ind.2</t>
        </is>
      </c>
      <c r="D1674" t="n">
        <v>0</v>
      </c>
      <c r="E1674" t="n">
        <v>3.607314834</v>
      </c>
      <c r="F1674" t="n">
        <v>3.722977774</v>
      </c>
      <c r="G1674" t="n">
        <v>4.673984995</v>
      </c>
      <c r="H1674" t="n">
        <v>5.818617862</v>
      </c>
    </row>
    <row r="1675">
      <c r="A1675" t="inlineStr">
        <is>
          <t>ZMB|mit.inv.ind.2</t>
        </is>
      </c>
      <c r="B1675" t="inlineStr">
        <is>
          <t>ZMB</t>
        </is>
      </c>
      <c r="C1675" t="inlineStr">
        <is>
          <t>mit.inv.ind.2</t>
        </is>
      </c>
      <c r="D1675" t="n">
        <v>0</v>
      </c>
      <c r="E1675" t="n">
        <v>0.1275502231</v>
      </c>
      <c r="F1675" t="n">
        <v>0.1613518975</v>
      </c>
      <c r="G1675" t="n">
        <v>0.2450179639</v>
      </c>
      <c r="H1675" t="n">
        <v>0.3632973899</v>
      </c>
    </row>
    <row r="1676">
      <c r="A1676" t="inlineStr">
        <is>
          <t>ZWE|mit.inv.ind.2</t>
        </is>
      </c>
      <c r="B1676" t="inlineStr">
        <is>
          <t>ZWE</t>
        </is>
      </c>
      <c r="C1676" t="inlineStr">
        <is>
          <t>mit.inv.ind.2</t>
        </is>
      </c>
      <c r="D1676" t="n">
        <v>0</v>
      </c>
      <c r="E1676" t="n">
        <v>0.110141429</v>
      </c>
      <c r="F1676" t="n">
        <v>0.1456627348</v>
      </c>
      <c r="G1676" t="n">
        <v>0.2355541128</v>
      </c>
      <c r="H1676" t="n">
        <v>0.3693074196</v>
      </c>
    </row>
    <row r="1677">
      <c r="A1677" t="inlineStr">
        <is>
          <t>ABW|mit.inv.tot.1</t>
        </is>
      </c>
      <c r="B1677" t="inlineStr">
        <is>
          <t>ABW</t>
        </is>
      </c>
      <c r="C1677" t="inlineStr">
        <is>
          <t>mit.inv.tot.1</t>
        </is>
      </c>
      <c r="D1677" t="n">
        <v>0</v>
      </c>
      <c r="E1677" t="n">
        <v>0.06171629632</v>
      </c>
      <c r="F1677" t="n">
        <v>0.04932598828</v>
      </c>
      <c r="G1677" t="n">
        <v>0.05059355244</v>
      </c>
      <c r="H1677" t="n">
        <v>0.05497519163</v>
      </c>
    </row>
    <row r="1678">
      <c r="A1678" t="inlineStr">
        <is>
          <t>AFG|mit.inv.tot.1</t>
        </is>
      </c>
      <c r="B1678" t="inlineStr">
        <is>
          <t>AFG</t>
        </is>
      </c>
      <c r="C1678" t="inlineStr">
        <is>
          <t>mit.inv.tot.1</t>
        </is>
      </c>
      <c r="D1678" t="n">
        <v>0</v>
      </c>
      <c r="E1678" t="n">
        <v>0.1422213982</v>
      </c>
      <c r="F1678" t="n">
        <v>0.166903954</v>
      </c>
      <c r="G1678" t="n">
        <v>0.2327676252</v>
      </c>
      <c r="H1678" t="n">
        <v>0.3312624012</v>
      </c>
    </row>
    <row r="1679">
      <c r="A1679" t="inlineStr">
        <is>
          <t>AGO|mit.inv.tot.1</t>
        </is>
      </c>
      <c r="B1679" t="inlineStr">
        <is>
          <t>AGO</t>
        </is>
      </c>
      <c r="C1679" t="inlineStr">
        <is>
          <t>mit.inv.tot.1</t>
        </is>
      </c>
      <c r="D1679" t="n">
        <v>0</v>
      </c>
      <c r="E1679" t="n">
        <v>0.7926869224999999</v>
      </c>
      <c r="F1679" t="n">
        <v>0.8581983671</v>
      </c>
      <c r="G1679" t="n">
        <v>1.211152247</v>
      </c>
      <c r="H1679" t="n">
        <v>1.688640729</v>
      </c>
    </row>
    <row r="1680">
      <c r="A1680" t="inlineStr">
        <is>
          <t>ALB|mit.inv.tot.1</t>
        </is>
      </c>
      <c r="B1680" t="inlineStr">
        <is>
          <t>ALB</t>
        </is>
      </c>
      <c r="C1680" t="inlineStr">
        <is>
          <t>mit.inv.tot.1</t>
        </is>
      </c>
      <c r="D1680" t="n">
        <v>0</v>
      </c>
      <c r="E1680" t="n">
        <v>0.2178916</v>
      </c>
      <c r="F1680" t="n">
        <v>0.2379887174</v>
      </c>
      <c r="G1680" t="n">
        <v>0.2922778324</v>
      </c>
      <c r="H1680" t="n">
        <v>0.366175598</v>
      </c>
    </row>
    <row r="1681">
      <c r="A1681" t="inlineStr">
        <is>
          <t>ARE|mit.inv.tot.1</t>
        </is>
      </c>
      <c r="B1681" t="inlineStr">
        <is>
          <t>ARE</t>
        </is>
      </c>
      <c r="C1681" t="inlineStr">
        <is>
          <t>mit.inv.tot.1</t>
        </is>
      </c>
      <c r="D1681" t="n">
        <v>0</v>
      </c>
      <c r="E1681" t="n">
        <v>9.433799609999999</v>
      </c>
      <c r="F1681" t="n">
        <v>7.583007316</v>
      </c>
      <c r="G1681" t="n">
        <v>7.635123585</v>
      </c>
      <c r="H1681" t="n">
        <v>8.812686868</v>
      </c>
    </row>
    <row r="1682">
      <c r="A1682" t="inlineStr">
        <is>
          <t>ARG|mit.inv.tot.1</t>
        </is>
      </c>
      <c r="B1682" t="inlineStr">
        <is>
          <t>ARG</t>
        </is>
      </c>
      <c r="C1682" t="inlineStr">
        <is>
          <t>mit.inv.tot.1</t>
        </is>
      </c>
      <c r="D1682" t="n">
        <v>0</v>
      </c>
      <c r="E1682" t="n">
        <v>6.183192577</v>
      </c>
      <c r="F1682" t="n">
        <v>6.09569668</v>
      </c>
      <c r="G1682" t="n">
        <v>6.522906957</v>
      </c>
      <c r="H1682" t="n">
        <v>7.408457423</v>
      </c>
    </row>
    <row r="1683">
      <c r="A1683" t="inlineStr">
        <is>
          <t>ARM|mit.inv.tot.1</t>
        </is>
      </c>
      <c r="B1683" t="inlineStr">
        <is>
          <t>ARM</t>
        </is>
      </c>
      <c r="C1683" t="inlineStr">
        <is>
          <t>mit.inv.tot.1</t>
        </is>
      </c>
      <c r="D1683" t="n">
        <v>0</v>
      </c>
      <c r="E1683" t="n">
        <v>0.4880403019</v>
      </c>
      <c r="F1683" t="n">
        <v>0.465834537</v>
      </c>
      <c r="G1683" t="n">
        <v>0.5043129206</v>
      </c>
      <c r="H1683" t="n">
        <v>0.5979699402999999</v>
      </c>
    </row>
    <row r="1684">
      <c r="A1684" t="inlineStr">
        <is>
          <t>ATG|mit.inv.tot.1</t>
        </is>
      </c>
      <c r="B1684" t="inlineStr">
        <is>
          <t>ATG</t>
        </is>
      </c>
      <c r="C1684" t="inlineStr">
        <is>
          <t>mit.inv.tot.1</t>
        </is>
      </c>
      <c r="D1684" t="n">
        <v>0</v>
      </c>
      <c r="E1684" t="n">
        <v>0.02069404778</v>
      </c>
      <c r="F1684" t="n">
        <v>0.02118014809</v>
      </c>
      <c r="G1684" t="n">
        <v>0.02100712672</v>
      </c>
      <c r="H1684" t="n">
        <v>0.02248197056</v>
      </c>
    </row>
    <row r="1685">
      <c r="A1685" t="inlineStr">
        <is>
          <t>AUS|mit.inv.tot.1</t>
        </is>
      </c>
      <c r="B1685" t="inlineStr">
        <is>
          <t>AUS</t>
        </is>
      </c>
      <c r="C1685" t="inlineStr">
        <is>
          <t>mit.inv.tot.1</t>
        </is>
      </c>
      <c r="D1685" t="n">
        <v>0</v>
      </c>
      <c r="E1685" t="n">
        <v>32.66315519</v>
      </c>
      <c r="F1685" t="n">
        <v>33.36775163</v>
      </c>
      <c r="G1685" t="n">
        <v>35.0680404</v>
      </c>
      <c r="H1685" t="n">
        <v>38.71686862</v>
      </c>
    </row>
    <row r="1686">
      <c r="A1686" t="inlineStr">
        <is>
          <t>AUT|mit.inv.tot.1</t>
        </is>
      </c>
      <c r="B1686" t="inlineStr">
        <is>
          <t>AUT</t>
        </is>
      </c>
      <c r="C1686" t="inlineStr">
        <is>
          <t>mit.inv.tot.1</t>
        </is>
      </c>
      <c r="D1686" t="n">
        <v>0</v>
      </c>
      <c r="E1686" t="n">
        <v>7.923282328</v>
      </c>
      <c r="F1686" t="n">
        <v>8.273275089</v>
      </c>
      <c r="G1686" t="n">
        <v>7.583340771</v>
      </c>
      <c r="H1686" t="n">
        <v>8.122001263</v>
      </c>
    </row>
    <row r="1687">
      <c r="A1687" t="inlineStr">
        <is>
          <t>AZE|mit.inv.tot.1</t>
        </is>
      </c>
      <c r="B1687" t="inlineStr">
        <is>
          <t>AZE</t>
        </is>
      </c>
      <c r="C1687" t="inlineStr">
        <is>
          <t>mit.inv.tot.1</t>
        </is>
      </c>
      <c r="D1687" t="n">
        <v>0</v>
      </c>
      <c r="E1687" t="n">
        <v>0.773135311</v>
      </c>
      <c r="F1687" t="n">
        <v>0.9428220602</v>
      </c>
      <c r="G1687" t="n">
        <v>1.165687736</v>
      </c>
      <c r="H1687" t="n">
        <v>1.414952602</v>
      </c>
    </row>
    <row r="1688">
      <c r="A1688" t="inlineStr">
        <is>
          <t>BDI|mit.inv.tot.1</t>
        </is>
      </c>
      <c r="B1688" t="inlineStr">
        <is>
          <t>BDI</t>
        </is>
      </c>
      <c r="C1688" t="inlineStr">
        <is>
          <t>mit.inv.tot.1</t>
        </is>
      </c>
      <c r="D1688" t="n">
        <v>0</v>
      </c>
      <c r="E1688" t="n">
        <v>0.03413794993</v>
      </c>
      <c r="F1688" t="n">
        <v>0.0418514241</v>
      </c>
      <c r="G1688" t="n">
        <v>0.05537386141</v>
      </c>
      <c r="H1688" t="n">
        <v>0.07809366842</v>
      </c>
    </row>
    <row r="1689">
      <c r="A1689" t="inlineStr">
        <is>
          <t>BEL|mit.inv.tot.1</t>
        </is>
      </c>
      <c r="B1689" t="inlineStr">
        <is>
          <t>BEL</t>
        </is>
      </c>
      <c r="C1689" t="inlineStr">
        <is>
          <t>mit.inv.tot.1</t>
        </is>
      </c>
      <c r="D1689" t="n">
        <v>0</v>
      </c>
      <c r="E1689" t="n">
        <v>8.567592138</v>
      </c>
      <c r="F1689" t="n">
        <v>8.448819082</v>
      </c>
      <c r="G1689" t="n">
        <v>8.948828335</v>
      </c>
      <c r="H1689" t="n">
        <v>9.779177195000001</v>
      </c>
    </row>
    <row r="1690">
      <c r="A1690" t="inlineStr">
        <is>
          <t>BEN|mit.inv.tot.1</t>
        </is>
      </c>
      <c r="B1690" t="inlineStr">
        <is>
          <t>BEN</t>
        </is>
      </c>
      <c r="C1690" t="inlineStr">
        <is>
          <t>mit.inv.tot.1</t>
        </is>
      </c>
      <c r="D1690" t="n">
        <v>0</v>
      </c>
      <c r="E1690" t="n">
        <v>0.1939167862</v>
      </c>
      <c r="F1690" t="n">
        <v>0.2381477837</v>
      </c>
      <c r="G1690" t="n">
        <v>0.3144253271</v>
      </c>
      <c r="H1690" t="n">
        <v>0.4491462707</v>
      </c>
    </row>
    <row r="1691">
      <c r="A1691" t="inlineStr">
        <is>
          <t>BFA|mit.inv.tot.1</t>
        </is>
      </c>
      <c r="B1691" t="inlineStr">
        <is>
          <t>BFA</t>
        </is>
      </c>
      <c r="C1691" t="inlineStr">
        <is>
          <t>mit.inv.tot.1</t>
        </is>
      </c>
      <c r="D1691" t="n">
        <v>0</v>
      </c>
      <c r="E1691" t="n">
        <v>0.1978027984</v>
      </c>
      <c r="F1691" t="n">
        <v>0.2345408491</v>
      </c>
      <c r="G1691" t="n">
        <v>0.3167119457</v>
      </c>
      <c r="H1691" t="n">
        <v>0.4547205604</v>
      </c>
    </row>
    <row r="1692">
      <c r="A1692" t="inlineStr">
        <is>
          <t>BGD|mit.inv.tot.1</t>
        </is>
      </c>
      <c r="B1692" t="inlineStr">
        <is>
          <t>BGD</t>
        </is>
      </c>
      <c r="C1692" t="inlineStr">
        <is>
          <t>mit.inv.tot.1</t>
        </is>
      </c>
      <c r="D1692" t="n">
        <v>0</v>
      </c>
      <c r="E1692" t="n">
        <v>4.334598645</v>
      </c>
      <c r="F1692" t="n">
        <v>5.582720613</v>
      </c>
      <c r="G1692" t="n">
        <v>7.474559492</v>
      </c>
      <c r="H1692" t="n">
        <v>10.23827543</v>
      </c>
    </row>
    <row r="1693">
      <c r="A1693" t="inlineStr">
        <is>
          <t>BGR|mit.inv.tot.1</t>
        </is>
      </c>
      <c r="B1693" t="inlineStr">
        <is>
          <t>BGR</t>
        </is>
      </c>
      <c r="C1693" t="inlineStr">
        <is>
          <t>mit.inv.tot.1</t>
        </is>
      </c>
      <c r="D1693" t="n">
        <v>0</v>
      </c>
      <c r="E1693" t="n">
        <v>1.675070969</v>
      </c>
      <c r="F1693" t="n">
        <v>1.961420831</v>
      </c>
      <c r="G1693" t="n">
        <v>2.008251146</v>
      </c>
      <c r="H1693" t="n">
        <v>2.261778519</v>
      </c>
    </row>
    <row r="1694">
      <c r="A1694" t="inlineStr">
        <is>
          <t>BHR|mit.inv.tot.1</t>
        </is>
      </c>
      <c r="B1694" t="inlineStr">
        <is>
          <t>BHR</t>
        </is>
      </c>
      <c r="C1694" t="inlineStr">
        <is>
          <t>mit.inv.tot.1</t>
        </is>
      </c>
      <c r="D1694" t="n">
        <v>0</v>
      </c>
      <c r="E1694" t="n">
        <v>0.9132925098</v>
      </c>
      <c r="F1694" t="n">
        <v>0.588481943</v>
      </c>
      <c r="G1694" t="n">
        <v>0.7389709052</v>
      </c>
      <c r="H1694" t="n">
        <v>0.8033260494</v>
      </c>
    </row>
    <row r="1695">
      <c r="A1695" t="inlineStr">
        <is>
          <t>BHS|mit.inv.tot.1</t>
        </is>
      </c>
      <c r="B1695" t="inlineStr">
        <is>
          <t>BHS</t>
        </is>
      </c>
      <c r="C1695" t="inlineStr">
        <is>
          <t>mit.inv.tot.1</t>
        </is>
      </c>
      <c r="D1695" t="n">
        <v>0</v>
      </c>
      <c r="E1695" t="n">
        <v>0.1895943195</v>
      </c>
      <c r="F1695" t="n">
        <v>0.1888747106</v>
      </c>
      <c r="G1695" t="n">
        <v>0.1963847884</v>
      </c>
      <c r="H1695" t="n">
        <v>0.2124507635</v>
      </c>
    </row>
    <row r="1696">
      <c r="A1696" t="inlineStr">
        <is>
          <t>BIH|mit.inv.tot.1</t>
        </is>
      </c>
      <c r="B1696" t="inlineStr">
        <is>
          <t>BIH</t>
        </is>
      </c>
      <c r="C1696" t="inlineStr">
        <is>
          <t>mit.inv.tot.1</t>
        </is>
      </c>
      <c r="D1696" t="n">
        <v>0</v>
      </c>
      <c r="E1696" t="n">
        <v>0.503596474</v>
      </c>
      <c r="F1696" t="n">
        <v>0.581792453</v>
      </c>
      <c r="G1696" t="n">
        <v>0.8161709887</v>
      </c>
      <c r="H1696" t="n">
        <v>1.07562334</v>
      </c>
    </row>
    <row r="1697">
      <c r="A1697" t="inlineStr">
        <is>
          <t>BLR|mit.inv.tot.1</t>
        </is>
      </c>
      <c r="B1697" t="inlineStr">
        <is>
          <t>BLR</t>
        </is>
      </c>
      <c r="C1697" t="inlineStr">
        <is>
          <t>mit.inv.tot.1</t>
        </is>
      </c>
      <c r="D1697" t="n">
        <v>0</v>
      </c>
      <c r="E1697" t="n">
        <v>0.7952266732</v>
      </c>
      <c r="F1697" t="n">
        <v>0.9994809709</v>
      </c>
      <c r="G1697" t="n">
        <v>1.420173916</v>
      </c>
      <c r="H1697" t="n">
        <v>1.905767907</v>
      </c>
    </row>
    <row r="1698">
      <c r="A1698" t="inlineStr">
        <is>
          <t>BLZ|mit.inv.tot.1</t>
        </is>
      </c>
      <c r="B1698" t="inlineStr">
        <is>
          <t>BLZ</t>
        </is>
      </c>
      <c r="C1698" t="inlineStr">
        <is>
          <t>mit.inv.tot.1</t>
        </is>
      </c>
      <c r="D1698" t="n">
        <v>0</v>
      </c>
      <c r="E1698" t="n">
        <v>0.02692898903</v>
      </c>
      <c r="F1698" t="n">
        <v>0.02773905704</v>
      </c>
      <c r="G1698" t="n">
        <v>0.03281512193</v>
      </c>
      <c r="H1698" t="n">
        <v>0.04158789755</v>
      </c>
    </row>
    <row r="1699">
      <c r="A1699" t="inlineStr">
        <is>
          <t>BOL|mit.inv.tot.1</t>
        </is>
      </c>
      <c r="B1699" t="inlineStr">
        <is>
          <t>BOL</t>
        </is>
      </c>
      <c r="C1699" t="inlineStr">
        <is>
          <t>mit.inv.tot.1</t>
        </is>
      </c>
      <c r="D1699" t="n">
        <v>0</v>
      </c>
      <c r="E1699" t="n">
        <v>0.3436744176</v>
      </c>
      <c r="F1699" t="n">
        <v>0.3034577334</v>
      </c>
      <c r="G1699" t="n">
        <v>0.4868686297</v>
      </c>
      <c r="H1699" t="n">
        <v>0.6544236921</v>
      </c>
    </row>
    <row r="1700">
      <c r="A1700" t="inlineStr">
        <is>
          <t>BRA|mit.inv.tot.1</t>
        </is>
      </c>
      <c r="B1700" t="inlineStr">
        <is>
          <t>BRA</t>
        </is>
      </c>
      <c r="C1700" t="inlineStr">
        <is>
          <t>mit.inv.tot.1</t>
        </is>
      </c>
      <c r="D1700" t="n">
        <v>0</v>
      </c>
      <c r="E1700" t="n">
        <v>20.84340633</v>
      </c>
      <c r="F1700" t="n">
        <v>21.9828981</v>
      </c>
      <c r="G1700" t="n">
        <v>27.61583077</v>
      </c>
      <c r="H1700" t="n">
        <v>33.13890205</v>
      </c>
    </row>
    <row r="1701">
      <c r="A1701" t="inlineStr">
        <is>
          <t>BRB|mit.inv.tot.1</t>
        </is>
      </c>
      <c r="B1701" t="inlineStr">
        <is>
          <t>BRB</t>
        </is>
      </c>
      <c r="C1701" t="inlineStr">
        <is>
          <t>mit.inv.tot.1</t>
        </is>
      </c>
      <c r="D1701" t="n">
        <v>0</v>
      </c>
      <c r="E1701" t="n">
        <v>0.07403495568</v>
      </c>
      <c r="F1701" t="n">
        <v>0.0760759646</v>
      </c>
      <c r="G1701" t="n">
        <v>0.07730417811</v>
      </c>
      <c r="H1701" t="n">
        <v>0.08306169125</v>
      </c>
    </row>
    <row r="1702">
      <c r="A1702" t="inlineStr">
        <is>
          <t>BRN|mit.inv.tot.1</t>
        </is>
      </c>
      <c r="B1702" t="inlineStr">
        <is>
          <t>BRN</t>
        </is>
      </c>
      <c r="C1702" t="inlineStr">
        <is>
          <t>mit.inv.tot.1</t>
        </is>
      </c>
      <c r="D1702" t="n">
        <v>0</v>
      </c>
      <c r="E1702" t="n">
        <v>0.1275121779</v>
      </c>
      <c r="F1702" t="n">
        <v>0.1639970933</v>
      </c>
      <c r="G1702" t="n">
        <v>0.1693450389</v>
      </c>
      <c r="H1702" t="n">
        <v>0.1867464403</v>
      </c>
    </row>
    <row r="1703">
      <c r="A1703" t="inlineStr">
        <is>
          <t>BTN|mit.inv.tot.1</t>
        </is>
      </c>
      <c r="B1703" t="inlineStr">
        <is>
          <t>BTN</t>
        </is>
      </c>
      <c r="C1703" t="inlineStr">
        <is>
          <t>mit.inv.tot.1</t>
        </is>
      </c>
      <c r="D1703" t="n">
        <v>0</v>
      </c>
      <c r="E1703" t="n">
        <v>0.01363204817</v>
      </c>
      <c r="F1703" t="n">
        <v>0.01877971365</v>
      </c>
      <c r="G1703" t="n">
        <v>0.03007832494</v>
      </c>
      <c r="H1703" t="n">
        <v>0.07542711913</v>
      </c>
    </row>
    <row r="1704">
      <c r="A1704" t="inlineStr">
        <is>
          <t>BWA|mit.inv.tot.1</t>
        </is>
      </c>
      <c r="B1704" t="inlineStr">
        <is>
          <t>BWA</t>
        </is>
      </c>
      <c r="C1704" t="inlineStr">
        <is>
          <t>mit.inv.tot.1</t>
        </is>
      </c>
      <c r="D1704" t="n">
        <v>0</v>
      </c>
      <c r="E1704" t="n">
        <v>0.121143873</v>
      </c>
      <c r="F1704" t="n">
        <v>0.2032012459</v>
      </c>
      <c r="G1704" t="n">
        <v>0.2377242286</v>
      </c>
      <c r="H1704" t="n">
        <v>0.3011325746</v>
      </c>
    </row>
    <row r="1705">
      <c r="A1705" t="inlineStr">
        <is>
          <t>CAF|mit.inv.tot.1</t>
        </is>
      </c>
      <c r="B1705" t="inlineStr">
        <is>
          <t>CAF</t>
        </is>
      </c>
      <c r="C1705" t="inlineStr">
        <is>
          <t>mit.inv.tot.1</t>
        </is>
      </c>
      <c r="D1705" t="n">
        <v>0</v>
      </c>
      <c r="E1705" t="n">
        <v>0.01401215773</v>
      </c>
      <c r="F1705" t="n">
        <v>0.01726185114</v>
      </c>
      <c r="G1705" t="n">
        <v>0.02422243786</v>
      </c>
      <c r="H1705" t="n">
        <v>0.03595401862</v>
      </c>
    </row>
    <row r="1706">
      <c r="A1706" t="inlineStr">
        <is>
          <t>CAN|mit.inv.tot.1</t>
        </is>
      </c>
      <c r="B1706" t="inlineStr">
        <is>
          <t>CAN</t>
        </is>
      </c>
      <c r="C1706" t="inlineStr">
        <is>
          <t>mit.inv.tot.1</t>
        </is>
      </c>
      <c r="D1706" t="n">
        <v>0</v>
      </c>
      <c r="E1706" t="n">
        <v>35.40496728</v>
      </c>
      <c r="F1706" t="n">
        <v>34.52758862</v>
      </c>
      <c r="G1706" t="n">
        <v>35.05110021</v>
      </c>
      <c r="H1706" t="n">
        <v>38.52938711</v>
      </c>
    </row>
    <row r="1707">
      <c r="A1707" t="inlineStr">
        <is>
          <t>CHE|mit.inv.tot.1</t>
        </is>
      </c>
      <c r="B1707" t="inlineStr">
        <is>
          <t>CHE</t>
        </is>
      </c>
      <c r="C1707" t="inlineStr">
        <is>
          <t>mit.inv.tot.1</t>
        </is>
      </c>
      <c r="D1707" t="n">
        <v>0</v>
      </c>
      <c r="E1707" t="n">
        <v>10.40470474</v>
      </c>
      <c r="F1707" t="n">
        <v>10.97382935</v>
      </c>
      <c r="G1707" t="n">
        <v>12.10588166</v>
      </c>
      <c r="H1707" t="n">
        <v>13.59130962</v>
      </c>
    </row>
    <row r="1708">
      <c r="A1708" t="inlineStr">
        <is>
          <t>CHL|mit.inv.tot.1</t>
        </is>
      </c>
      <c r="B1708" t="inlineStr">
        <is>
          <t>CHL</t>
        </is>
      </c>
      <c r="C1708" t="inlineStr">
        <is>
          <t>mit.inv.tot.1</t>
        </is>
      </c>
      <c r="D1708" t="n">
        <v>0</v>
      </c>
      <c r="E1708" t="n">
        <v>3.871190777</v>
      </c>
      <c r="F1708" t="n">
        <v>4.323782835</v>
      </c>
      <c r="G1708" t="n">
        <v>4.742009449</v>
      </c>
      <c r="H1708" t="n">
        <v>3.785885444</v>
      </c>
    </row>
    <row r="1709">
      <c r="A1709" t="inlineStr">
        <is>
          <t>CHN|mit.inv.tot.1</t>
        </is>
      </c>
      <c r="B1709" t="inlineStr">
        <is>
          <t>CHN</t>
        </is>
      </c>
      <c r="C1709" t="inlineStr">
        <is>
          <t>mit.inv.tot.1</t>
        </is>
      </c>
      <c r="D1709" t="n">
        <v>0</v>
      </c>
      <c r="E1709" t="n">
        <v>679.4463464</v>
      </c>
      <c r="F1709" t="n">
        <v>704.6813839</v>
      </c>
      <c r="G1709" t="n">
        <v>826.1745217</v>
      </c>
      <c r="H1709" t="n">
        <v>1033.340997</v>
      </c>
    </row>
    <row r="1710">
      <c r="A1710" t="inlineStr">
        <is>
          <t>CIV|mit.inv.tot.1</t>
        </is>
      </c>
      <c r="B1710" t="inlineStr">
        <is>
          <t>CIV</t>
        </is>
      </c>
      <c r="C1710" t="inlineStr">
        <is>
          <t>mit.inv.tot.1</t>
        </is>
      </c>
      <c r="D1710" t="n">
        <v>0</v>
      </c>
      <c r="E1710" t="n">
        <v>0.6839566489</v>
      </c>
      <c r="F1710" t="n">
        <v>0.8379774922</v>
      </c>
      <c r="G1710" t="n">
        <v>1.136982145</v>
      </c>
      <c r="H1710" t="n">
        <v>1.567038376</v>
      </c>
    </row>
    <row r="1711">
      <c r="A1711" t="inlineStr">
        <is>
          <t>CMR|mit.inv.tot.1</t>
        </is>
      </c>
      <c r="B1711" t="inlineStr">
        <is>
          <t>CMR</t>
        </is>
      </c>
      <c r="C1711" t="inlineStr">
        <is>
          <t>mit.inv.tot.1</t>
        </is>
      </c>
      <c r="D1711" t="n">
        <v>0</v>
      </c>
      <c r="E1711" t="n">
        <v>0.3892924523</v>
      </c>
      <c r="F1711" t="n">
        <v>0.4825017422</v>
      </c>
      <c r="G1711" t="n">
        <v>0.619254345</v>
      </c>
      <c r="H1711" t="n">
        <v>0.8275513101</v>
      </c>
    </row>
    <row r="1712">
      <c r="A1712" t="inlineStr">
        <is>
          <t>COD|mit.inv.tot.1</t>
        </is>
      </c>
      <c r="B1712" t="inlineStr">
        <is>
          <t>COD</t>
        </is>
      </c>
      <c r="C1712" t="inlineStr">
        <is>
          <t>mit.inv.tot.1</t>
        </is>
      </c>
      <c r="D1712" t="n">
        <v>0</v>
      </c>
      <c r="E1712" t="n">
        <v>0.6836636044</v>
      </c>
      <c r="F1712" t="n">
        <v>0.875416232</v>
      </c>
      <c r="G1712" t="n">
        <v>1.206167609</v>
      </c>
      <c r="H1712" t="n">
        <v>1.683867078</v>
      </c>
    </row>
    <row r="1713">
      <c r="A1713" t="inlineStr">
        <is>
          <t>COG|mit.inv.tot.1</t>
        </is>
      </c>
      <c r="B1713" t="inlineStr">
        <is>
          <t>COG</t>
        </is>
      </c>
      <c r="C1713" t="inlineStr">
        <is>
          <t>mit.inv.tot.1</t>
        </is>
      </c>
      <c r="D1713" t="n">
        <v>0</v>
      </c>
      <c r="E1713" t="n">
        <v>0.08537824499</v>
      </c>
      <c r="F1713" t="n">
        <v>0.1007609925</v>
      </c>
      <c r="G1713" t="n">
        <v>0.1385958921</v>
      </c>
      <c r="H1713" t="n">
        <v>0.1980135909</v>
      </c>
    </row>
    <row r="1714">
      <c r="A1714" t="inlineStr">
        <is>
          <t>COL|mit.inv.tot.1</t>
        </is>
      </c>
      <c r="B1714" t="inlineStr">
        <is>
          <t>COL</t>
        </is>
      </c>
      <c r="C1714" t="inlineStr">
        <is>
          <t>mit.inv.tot.1</t>
        </is>
      </c>
      <c r="D1714" t="n">
        <v>0</v>
      </c>
      <c r="E1714" t="n">
        <v>2.670274821</v>
      </c>
      <c r="F1714" t="n">
        <v>2.86449219</v>
      </c>
      <c r="G1714" t="n">
        <v>3.721618272</v>
      </c>
      <c r="H1714" t="n">
        <v>4.842264277</v>
      </c>
    </row>
    <row r="1715">
      <c r="A1715" t="inlineStr">
        <is>
          <t>COM|mit.inv.tot.1</t>
        </is>
      </c>
      <c r="B1715" t="inlineStr">
        <is>
          <t>COM</t>
        </is>
      </c>
      <c r="C1715" t="inlineStr">
        <is>
          <t>mit.inv.tot.1</t>
        </is>
      </c>
      <c r="D1715" t="n">
        <v>0</v>
      </c>
      <c r="E1715" t="n">
        <v>0.01147935349</v>
      </c>
      <c r="F1715" t="n">
        <v>0.01365616865</v>
      </c>
      <c r="G1715" t="n">
        <v>0.01794092687</v>
      </c>
      <c r="H1715" t="n">
        <v>0.02577475082</v>
      </c>
    </row>
    <row r="1716">
      <c r="A1716" t="inlineStr">
        <is>
          <t>CPV|mit.inv.tot.1</t>
        </is>
      </c>
      <c r="B1716" t="inlineStr">
        <is>
          <t>CPV</t>
        </is>
      </c>
      <c r="C1716" t="inlineStr">
        <is>
          <t>mit.inv.tot.1</t>
        </is>
      </c>
      <c r="D1716" t="n">
        <v>0</v>
      </c>
      <c r="E1716" t="n">
        <v>0.03586819471</v>
      </c>
      <c r="F1716" t="n">
        <v>0.03889372588</v>
      </c>
      <c r="G1716" t="n">
        <v>0.0459068858</v>
      </c>
      <c r="H1716" t="n">
        <v>0.06108256117</v>
      </c>
    </row>
    <row r="1717">
      <c r="A1717" t="inlineStr">
        <is>
          <t>CRI|mit.inv.tot.1</t>
        </is>
      </c>
      <c r="B1717" t="inlineStr">
        <is>
          <t>CRI</t>
        </is>
      </c>
      <c r="C1717" t="inlineStr">
        <is>
          <t>mit.inv.tot.1</t>
        </is>
      </c>
      <c r="D1717" t="n">
        <v>0</v>
      </c>
      <c r="E1717" t="n">
        <v>0.7226921921</v>
      </c>
      <c r="F1717" t="n">
        <v>0.7662200364</v>
      </c>
      <c r="G1717" t="n">
        <v>0.9417608872</v>
      </c>
      <c r="H1717" t="n">
        <v>1.182412316</v>
      </c>
    </row>
    <row r="1718">
      <c r="A1718" t="inlineStr">
        <is>
          <t>CYP|mit.inv.tot.1</t>
        </is>
      </c>
      <c r="B1718" t="inlineStr">
        <is>
          <t>CYP</t>
        </is>
      </c>
      <c r="C1718" t="inlineStr">
        <is>
          <t>mit.inv.tot.1</t>
        </is>
      </c>
      <c r="D1718" t="n">
        <v>0</v>
      </c>
      <c r="E1718" t="n">
        <v>0.7351047449</v>
      </c>
      <c r="F1718" t="n">
        <v>0.7412091687</v>
      </c>
      <c r="G1718" t="n">
        <v>0.7553105205</v>
      </c>
      <c r="H1718" t="n">
        <v>0.8544392248</v>
      </c>
    </row>
    <row r="1719">
      <c r="A1719" t="inlineStr">
        <is>
          <t>CZE|mit.inv.tot.1</t>
        </is>
      </c>
      <c r="B1719" t="inlineStr">
        <is>
          <t>CZE</t>
        </is>
      </c>
      <c r="C1719" t="inlineStr">
        <is>
          <t>mit.inv.tot.1</t>
        </is>
      </c>
      <c r="D1719" t="n">
        <v>0</v>
      </c>
      <c r="E1719" t="n">
        <v>6.407962849</v>
      </c>
      <c r="F1719" t="n">
        <v>6.745856702</v>
      </c>
      <c r="G1719" t="n">
        <v>7.673167966</v>
      </c>
      <c r="H1719" t="n">
        <v>6.939923831</v>
      </c>
    </row>
    <row r="1720">
      <c r="A1720" t="inlineStr">
        <is>
          <t>DEU|mit.inv.tot.1</t>
        </is>
      </c>
      <c r="B1720" t="inlineStr">
        <is>
          <t>DEU</t>
        </is>
      </c>
      <c r="C1720" t="inlineStr">
        <is>
          <t>mit.inv.tot.1</t>
        </is>
      </c>
      <c r="D1720" t="n">
        <v>0</v>
      </c>
      <c r="E1720" t="n">
        <v>70.76779974999999</v>
      </c>
      <c r="F1720" t="n">
        <v>74.64434666</v>
      </c>
      <c r="G1720" t="n">
        <v>82.40516531999999</v>
      </c>
      <c r="H1720" t="n">
        <v>77.06315232999999</v>
      </c>
    </row>
    <row r="1721">
      <c r="A1721" t="inlineStr">
        <is>
          <t>DJI|mit.inv.tot.1</t>
        </is>
      </c>
      <c r="B1721" t="inlineStr">
        <is>
          <t>DJI</t>
        </is>
      </c>
      <c r="C1721" t="inlineStr">
        <is>
          <t>mit.inv.tot.1</t>
        </is>
      </c>
      <c r="D1721" t="n">
        <v>0</v>
      </c>
      <c r="E1721" t="n">
        <v>0.0517616494</v>
      </c>
      <c r="F1721" t="n">
        <v>0.06200646815</v>
      </c>
      <c r="G1721" t="n">
        <v>0.07905765841</v>
      </c>
      <c r="H1721" t="n">
        <v>0.106948397</v>
      </c>
    </row>
    <row r="1722">
      <c r="A1722" t="inlineStr">
        <is>
          <t>DMA|mit.inv.tot.1</t>
        </is>
      </c>
      <c r="B1722" t="inlineStr">
        <is>
          <t>DMA</t>
        </is>
      </c>
      <c r="C1722" t="inlineStr">
        <is>
          <t>mit.inv.tot.1</t>
        </is>
      </c>
      <c r="D1722" t="n">
        <v>0</v>
      </c>
      <c r="E1722" t="n">
        <v>0.006489521566</v>
      </c>
      <c r="F1722" t="n">
        <v>0.00659590813</v>
      </c>
      <c r="G1722" t="n">
        <v>0.008080457857</v>
      </c>
      <c r="H1722" t="n">
        <v>0.01024087809</v>
      </c>
    </row>
    <row r="1723">
      <c r="A1723" t="inlineStr">
        <is>
          <t>DNK|mit.inv.tot.1</t>
        </is>
      </c>
      <c r="B1723" t="inlineStr">
        <is>
          <t>DNK</t>
        </is>
      </c>
      <c r="C1723" t="inlineStr">
        <is>
          <t>mit.inv.tot.1</t>
        </is>
      </c>
      <c r="D1723" t="n">
        <v>0</v>
      </c>
      <c r="E1723" t="n">
        <v>7.186441262</v>
      </c>
      <c r="F1723" t="n">
        <v>6.275961942</v>
      </c>
      <c r="G1723" t="n">
        <v>6.448544343</v>
      </c>
      <c r="H1723" t="n">
        <v>6.941809568</v>
      </c>
    </row>
    <row r="1724">
      <c r="A1724" t="inlineStr">
        <is>
          <t>DOM|mit.inv.tot.1</t>
        </is>
      </c>
      <c r="B1724" t="inlineStr">
        <is>
          <t>DOM</t>
        </is>
      </c>
      <c r="C1724" t="inlineStr">
        <is>
          <t>mit.inv.tot.1</t>
        </is>
      </c>
      <c r="D1724" t="n">
        <v>0</v>
      </c>
      <c r="E1724" t="n">
        <v>1.071740514</v>
      </c>
      <c r="F1724" t="n">
        <v>1.357239859</v>
      </c>
      <c r="G1724" t="n">
        <v>1.597395134</v>
      </c>
      <c r="H1724" t="n">
        <v>1.930999034</v>
      </c>
    </row>
    <row r="1725">
      <c r="A1725" t="inlineStr">
        <is>
          <t>DZA|mit.inv.tot.1</t>
        </is>
      </c>
      <c r="B1725" t="inlineStr">
        <is>
          <t>DZA</t>
        </is>
      </c>
      <c r="C1725" t="inlineStr">
        <is>
          <t>mit.inv.tot.1</t>
        </is>
      </c>
      <c r="D1725" t="n">
        <v>0</v>
      </c>
      <c r="E1725" t="n">
        <v>3.23391417</v>
      </c>
      <c r="F1725" t="n">
        <v>3.636507573</v>
      </c>
      <c r="G1725" t="n">
        <v>4.296024306</v>
      </c>
      <c r="H1725" t="n">
        <v>5.34236606</v>
      </c>
    </row>
    <row r="1726">
      <c r="A1726" t="inlineStr">
        <is>
          <t>ECU|mit.inv.tot.1</t>
        </is>
      </c>
      <c r="B1726" t="inlineStr">
        <is>
          <t>ECU</t>
        </is>
      </c>
      <c r="C1726" t="inlineStr">
        <is>
          <t>mit.inv.tot.1</t>
        </is>
      </c>
      <c r="D1726" t="n">
        <v>0</v>
      </c>
      <c r="E1726" t="n">
        <v>1.543869795</v>
      </c>
      <c r="F1726" t="n">
        <v>1.540270622</v>
      </c>
      <c r="G1726" t="n">
        <v>2.051975339</v>
      </c>
      <c r="H1726" t="n">
        <v>2.132617582</v>
      </c>
    </row>
    <row r="1727">
      <c r="A1727" t="inlineStr">
        <is>
          <t>EGY|mit.inv.tot.1</t>
        </is>
      </c>
      <c r="B1727" t="inlineStr">
        <is>
          <t>EGY</t>
        </is>
      </c>
      <c r="C1727" t="inlineStr">
        <is>
          <t>mit.inv.tot.1</t>
        </is>
      </c>
      <c r="D1727" t="n">
        <v>0</v>
      </c>
      <c r="E1727" t="n">
        <v>5.295963788</v>
      </c>
      <c r="F1727" t="n">
        <v>6.011492912</v>
      </c>
      <c r="G1727" t="n">
        <v>7.663424133</v>
      </c>
      <c r="H1727" t="n">
        <v>10.09714886</v>
      </c>
    </row>
    <row r="1728">
      <c r="A1728" t="inlineStr">
        <is>
          <t>ESP|mit.inv.tot.1</t>
        </is>
      </c>
      <c r="B1728" t="inlineStr">
        <is>
          <t>ESP</t>
        </is>
      </c>
      <c r="C1728" t="inlineStr">
        <is>
          <t>mit.inv.tot.1</t>
        </is>
      </c>
      <c r="D1728" t="n">
        <v>0</v>
      </c>
      <c r="E1728" t="n">
        <v>32.64234058</v>
      </c>
      <c r="F1728" t="n">
        <v>33.62391849</v>
      </c>
      <c r="G1728" t="n">
        <v>30.6403107</v>
      </c>
      <c r="H1728" t="n">
        <v>32.05830236</v>
      </c>
    </row>
    <row r="1729">
      <c r="A1729" t="inlineStr">
        <is>
          <t>EST|mit.inv.tot.1</t>
        </is>
      </c>
      <c r="B1729" t="inlineStr">
        <is>
          <t>EST</t>
        </is>
      </c>
      <c r="C1729" t="inlineStr">
        <is>
          <t>mit.inv.tot.1</t>
        </is>
      </c>
      <c r="D1729" t="n">
        <v>0</v>
      </c>
      <c r="E1729" t="n">
        <v>0.6866286732</v>
      </c>
      <c r="F1729" t="n">
        <v>0.7397734744</v>
      </c>
      <c r="G1729" t="n">
        <v>0.8103631838000001</v>
      </c>
      <c r="H1729" t="n">
        <v>0.7584122725</v>
      </c>
    </row>
    <row r="1730">
      <c r="A1730" t="inlineStr">
        <is>
          <t>ETH|mit.inv.tot.1</t>
        </is>
      </c>
      <c r="B1730" t="inlineStr">
        <is>
          <t>ETH</t>
        </is>
      </c>
      <c r="C1730" t="inlineStr">
        <is>
          <t>mit.inv.tot.1</t>
        </is>
      </c>
      <c r="D1730" t="n">
        <v>0</v>
      </c>
      <c r="E1730" t="n">
        <v>0.7132693457</v>
      </c>
      <c r="F1730" t="n">
        <v>1.008665542</v>
      </c>
      <c r="G1730" t="n">
        <v>2.339922726</v>
      </c>
      <c r="H1730" t="n">
        <v>3.455366315</v>
      </c>
    </row>
    <row r="1731">
      <c r="A1731" t="inlineStr">
        <is>
          <t>FIN|mit.inv.tot.1</t>
        </is>
      </c>
      <c r="B1731" t="inlineStr">
        <is>
          <t>FIN</t>
        </is>
      </c>
      <c r="C1731" t="inlineStr">
        <is>
          <t>mit.inv.tot.1</t>
        </is>
      </c>
      <c r="D1731" t="n">
        <v>0</v>
      </c>
      <c r="E1731" t="n">
        <v>5.383610106</v>
      </c>
      <c r="F1731" t="n">
        <v>4.413421367</v>
      </c>
      <c r="G1731" t="n">
        <v>4.697369922</v>
      </c>
      <c r="H1731" t="n">
        <v>5.056535655</v>
      </c>
    </row>
    <row r="1732">
      <c r="A1732" t="inlineStr">
        <is>
          <t>FJI|mit.inv.tot.1</t>
        </is>
      </c>
      <c r="B1732" t="inlineStr">
        <is>
          <t>FJI</t>
        </is>
      </c>
      <c r="C1732" t="inlineStr">
        <is>
          <t>mit.inv.tot.1</t>
        </is>
      </c>
      <c r="D1732" t="n">
        <v>0</v>
      </c>
      <c r="E1732" t="n">
        <v>0.05223214156</v>
      </c>
      <c r="F1732" t="n">
        <v>0.05375663364</v>
      </c>
      <c r="G1732" t="n">
        <v>0.06517409205999999</v>
      </c>
      <c r="H1732" t="n">
        <v>0.07954070213</v>
      </c>
    </row>
    <row r="1733">
      <c r="A1733" t="inlineStr">
        <is>
          <t>FRA|mit.inv.tot.1</t>
        </is>
      </c>
      <c r="B1733" t="inlineStr">
        <is>
          <t>FRA</t>
        </is>
      </c>
      <c r="C1733" t="inlineStr">
        <is>
          <t>mit.inv.tot.1</t>
        </is>
      </c>
      <c r="D1733" t="n">
        <v>0</v>
      </c>
      <c r="E1733" t="n">
        <v>48.72327401</v>
      </c>
      <c r="F1733" t="n">
        <v>39.8223567</v>
      </c>
      <c r="G1733" t="n">
        <v>42.87347392</v>
      </c>
      <c r="H1733" t="n">
        <v>46.96864889</v>
      </c>
    </row>
    <row r="1734">
      <c r="A1734" t="inlineStr">
        <is>
          <t>GAB|mit.inv.tot.1</t>
        </is>
      </c>
      <c r="B1734" t="inlineStr">
        <is>
          <t>GAB</t>
        </is>
      </c>
      <c r="C1734" t="inlineStr">
        <is>
          <t>mit.inv.tot.1</t>
        </is>
      </c>
      <c r="D1734" t="n">
        <v>0</v>
      </c>
      <c r="E1734" t="n">
        <v>0.13253657</v>
      </c>
      <c r="F1734" t="n">
        <v>0.1516038637</v>
      </c>
      <c r="G1734" t="n">
        <v>0.1958850918</v>
      </c>
      <c r="H1734" t="n">
        <v>0.2522131127</v>
      </c>
    </row>
    <row r="1735">
      <c r="A1735" t="inlineStr">
        <is>
          <t>GBR|mit.inv.tot.1</t>
        </is>
      </c>
      <c r="B1735" t="inlineStr">
        <is>
          <t>GBR</t>
        </is>
      </c>
      <c r="C1735" t="inlineStr">
        <is>
          <t>mit.inv.tot.1</t>
        </is>
      </c>
      <c r="D1735" t="n">
        <v>0</v>
      </c>
      <c r="E1735" t="n">
        <v>49.50697006</v>
      </c>
      <c r="F1735" t="n">
        <v>50.40059053</v>
      </c>
      <c r="G1735" t="n">
        <v>56.08157245</v>
      </c>
      <c r="H1735" t="n">
        <v>54.68581837</v>
      </c>
    </row>
    <row r="1736">
      <c r="A1736" t="inlineStr">
        <is>
          <t>GEO|mit.inv.tot.1</t>
        </is>
      </c>
      <c r="B1736" t="inlineStr">
        <is>
          <t>GEO</t>
        </is>
      </c>
      <c r="C1736" t="inlineStr">
        <is>
          <t>mit.inv.tot.1</t>
        </is>
      </c>
      <c r="D1736" t="n">
        <v>0</v>
      </c>
      <c r="E1736" t="n">
        <v>0.6811499478</v>
      </c>
      <c r="F1736" t="n">
        <v>0.6517283153</v>
      </c>
      <c r="G1736" t="n">
        <v>0.917805234</v>
      </c>
      <c r="H1736" t="n">
        <v>1.027955307</v>
      </c>
    </row>
    <row r="1737">
      <c r="A1737" t="inlineStr">
        <is>
          <t>GHA|mit.inv.tot.1</t>
        </is>
      </c>
      <c r="B1737" t="inlineStr">
        <is>
          <t>GHA</t>
        </is>
      </c>
      <c r="C1737" t="inlineStr">
        <is>
          <t>mit.inv.tot.1</t>
        </is>
      </c>
      <c r="D1737" t="n">
        <v>0</v>
      </c>
      <c r="E1737" t="n">
        <v>0.7392981108</v>
      </c>
      <c r="F1737" t="n">
        <v>0.9337554442</v>
      </c>
      <c r="G1737" t="n">
        <v>1.217517162</v>
      </c>
      <c r="H1737" t="n">
        <v>1.650458151</v>
      </c>
    </row>
    <row r="1738">
      <c r="A1738" t="inlineStr">
        <is>
          <t>GIN|mit.inv.tot.1</t>
        </is>
      </c>
      <c r="B1738" t="inlineStr">
        <is>
          <t>GIN</t>
        </is>
      </c>
      <c r="C1738" t="inlineStr">
        <is>
          <t>mit.inv.tot.1</t>
        </is>
      </c>
      <c r="D1738" t="n">
        <v>0</v>
      </c>
      <c r="E1738" t="n">
        <v>0.2354642649</v>
      </c>
      <c r="F1738" t="n">
        <v>0.3196202319</v>
      </c>
      <c r="G1738" t="n">
        <v>0.4286046684</v>
      </c>
      <c r="H1738" t="n">
        <v>0.6080002771</v>
      </c>
    </row>
    <row r="1739">
      <c r="A1739" t="inlineStr">
        <is>
          <t>GMB|mit.inv.tot.1</t>
        </is>
      </c>
      <c r="B1739" t="inlineStr">
        <is>
          <t>GMB</t>
        </is>
      </c>
      <c r="C1739" t="inlineStr">
        <is>
          <t>mit.inv.tot.1</t>
        </is>
      </c>
      <c r="D1739" t="n">
        <v>0</v>
      </c>
      <c r="E1739" t="n">
        <v>0.02326185414</v>
      </c>
      <c r="F1739" t="n">
        <v>0.02687642526</v>
      </c>
      <c r="G1739" t="n">
        <v>0.03817566084</v>
      </c>
      <c r="H1739" t="n">
        <v>0.05540957433</v>
      </c>
    </row>
    <row r="1740">
      <c r="A1740" t="inlineStr">
        <is>
          <t>GNB|mit.inv.tot.1</t>
        </is>
      </c>
      <c r="B1740" t="inlineStr">
        <is>
          <t>GNB</t>
        </is>
      </c>
      <c r="C1740" t="inlineStr">
        <is>
          <t>mit.inv.tot.1</t>
        </is>
      </c>
      <c r="D1740" t="n">
        <v>0</v>
      </c>
      <c r="E1740" t="n">
        <v>0.01346279499</v>
      </c>
      <c r="F1740" t="n">
        <v>0.01617400201</v>
      </c>
      <c r="G1740" t="n">
        <v>0.02364592711</v>
      </c>
      <c r="H1740" t="n">
        <v>0.03536428605</v>
      </c>
    </row>
    <row r="1741">
      <c r="A1741" t="inlineStr">
        <is>
          <t>GNQ|mit.inv.tot.1</t>
        </is>
      </c>
      <c r="B1741" t="inlineStr">
        <is>
          <t>GNQ</t>
        </is>
      </c>
      <c r="C1741" t="inlineStr">
        <is>
          <t>mit.inv.tot.1</t>
        </is>
      </c>
      <c r="D1741" t="n">
        <v>0</v>
      </c>
      <c r="E1741" t="n">
        <v>0.04841645887</v>
      </c>
      <c r="F1741" t="n">
        <v>0.04360227428</v>
      </c>
      <c r="G1741" t="n">
        <v>0.06621261951</v>
      </c>
      <c r="H1741" t="n">
        <v>0.08592942751</v>
      </c>
    </row>
    <row r="1742">
      <c r="A1742" t="inlineStr">
        <is>
          <t>GRC|mit.inv.tot.1</t>
        </is>
      </c>
      <c r="B1742" t="inlineStr">
        <is>
          <t>GRC</t>
        </is>
      </c>
      <c r="C1742" t="inlineStr">
        <is>
          <t>mit.inv.tot.1</t>
        </is>
      </c>
      <c r="D1742" t="n">
        <v>0</v>
      </c>
      <c r="E1742" t="n">
        <v>5.246745048</v>
      </c>
      <c r="F1742" t="n">
        <v>5.209648741</v>
      </c>
      <c r="G1742" t="n">
        <v>5.25831397</v>
      </c>
      <c r="H1742" t="n">
        <v>5.724223599</v>
      </c>
    </row>
    <row r="1743">
      <c r="A1743" t="inlineStr">
        <is>
          <t>GRD|mit.inv.tot.1</t>
        </is>
      </c>
      <c r="B1743" t="inlineStr">
        <is>
          <t>GRD</t>
        </is>
      </c>
      <c r="C1743" t="inlineStr">
        <is>
          <t>mit.inv.tot.1</t>
        </is>
      </c>
      <c r="D1743" t="n">
        <v>0</v>
      </c>
      <c r="E1743" t="n">
        <v>0.0138151148</v>
      </c>
      <c r="F1743" t="n">
        <v>0.01419119386</v>
      </c>
      <c r="G1743" t="n">
        <v>0.01732149139</v>
      </c>
      <c r="H1743" t="n">
        <v>0.02184706536</v>
      </c>
    </row>
    <row r="1744">
      <c r="A1744" t="inlineStr">
        <is>
          <t>GTM|mit.inv.tot.1</t>
        </is>
      </c>
      <c r="B1744" t="inlineStr">
        <is>
          <t>GTM</t>
        </is>
      </c>
      <c r="C1744" t="inlineStr">
        <is>
          <t>mit.inv.tot.1</t>
        </is>
      </c>
      <c r="D1744" t="n">
        <v>0</v>
      </c>
      <c r="E1744" t="n">
        <v>0.7678686335</v>
      </c>
      <c r="F1744" t="n">
        <v>0.8702391215</v>
      </c>
      <c r="G1744" t="n">
        <v>1.053116543</v>
      </c>
      <c r="H1744" t="n">
        <v>1.3506142</v>
      </c>
    </row>
    <row r="1745">
      <c r="A1745" t="inlineStr">
        <is>
          <t>GUY|mit.inv.tot.1</t>
        </is>
      </c>
      <c r="B1745" t="inlineStr">
        <is>
          <t>GUY</t>
        </is>
      </c>
      <c r="C1745" t="inlineStr">
        <is>
          <t>mit.inv.tot.1</t>
        </is>
      </c>
      <c r="D1745" t="n">
        <v>0</v>
      </c>
      <c r="E1745" t="n">
        <v>0.2085304867</v>
      </c>
      <c r="F1745" t="n">
        <v>0.3348987828</v>
      </c>
      <c r="G1745" t="n">
        <v>0.5207206921</v>
      </c>
      <c r="H1745" t="n">
        <v>0.6853953551</v>
      </c>
    </row>
    <row r="1746">
      <c r="A1746" t="inlineStr">
        <is>
          <t>HKG|mit.inv.tot.1</t>
        </is>
      </c>
      <c r="B1746" t="inlineStr">
        <is>
          <t>HKG</t>
        </is>
      </c>
      <c r="C1746" t="inlineStr">
        <is>
          <t>mit.inv.tot.1</t>
        </is>
      </c>
      <c r="D1746" t="n">
        <v>0</v>
      </c>
      <c r="E1746" t="n">
        <v>5.210374381</v>
      </c>
      <c r="F1746" t="n">
        <v>5.368430988</v>
      </c>
      <c r="G1746" t="n">
        <v>5.963951406</v>
      </c>
      <c r="H1746" t="n">
        <v>6.763566908</v>
      </c>
    </row>
    <row r="1747">
      <c r="A1747" t="inlineStr">
        <is>
          <t>HND|mit.inv.tot.1</t>
        </is>
      </c>
      <c r="B1747" t="inlineStr">
        <is>
          <t>HND</t>
        </is>
      </c>
      <c r="C1747" t="inlineStr">
        <is>
          <t>mit.inv.tot.1</t>
        </is>
      </c>
      <c r="D1747" t="n">
        <v>0</v>
      </c>
      <c r="E1747" t="n">
        <v>0.381623597</v>
      </c>
      <c r="F1747" t="n">
        <v>0.4217929882</v>
      </c>
      <c r="G1747" t="n">
        <v>0.5514730235</v>
      </c>
      <c r="H1747" t="n">
        <v>0.7346793555</v>
      </c>
    </row>
    <row r="1748">
      <c r="A1748" t="inlineStr">
        <is>
          <t>HRV|mit.inv.tot.1</t>
        </is>
      </c>
      <c r="B1748" t="inlineStr">
        <is>
          <t>HRV</t>
        </is>
      </c>
      <c r="C1748" t="inlineStr">
        <is>
          <t>mit.inv.tot.1</t>
        </is>
      </c>
      <c r="D1748" t="n">
        <v>0</v>
      </c>
      <c r="E1748" t="n">
        <v>1.746562532</v>
      </c>
      <c r="F1748" t="n">
        <v>1.852190105</v>
      </c>
      <c r="G1748" t="n">
        <v>1.657661904</v>
      </c>
      <c r="H1748" t="n">
        <v>1.753015629</v>
      </c>
    </row>
    <row r="1749">
      <c r="A1749" t="inlineStr">
        <is>
          <t>HTI|mit.inv.tot.1</t>
        </is>
      </c>
      <c r="B1749" t="inlineStr">
        <is>
          <t>HTI</t>
        </is>
      </c>
      <c r="C1749" t="inlineStr">
        <is>
          <t>mit.inv.tot.1</t>
        </is>
      </c>
      <c r="D1749" t="n">
        <v>0</v>
      </c>
      <c r="E1749" t="n">
        <v>0.1155784239</v>
      </c>
      <c r="F1749" t="n">
        <v>0.1129802274</v>
      </c>
      <c r="G1749" t="n">
        <v>0.1597375027</v>
      </c>
      <c r="H1749" t="n">
        <v>0.2220157752</v>
      </c>
    </row>
    <row r="1750">
      <c r="A1750" t="inlineStr">
        <is>
          <t>HUN|mit.inv.tot.1</t>
        </is>
      </c>
      <c r="B1750" t="inlineStr">
        <is>
          <t>HUN</t>
        </is>
      </c>
      <c r="C1750" t="inlineStr">
        <is>
          <t>mit.inv.tot.1</t>
        </is>
      </c>
      <c r="D1750" t="n">
        <v>0</v>
      </c>
      <c r="E1750" t="n">
        <v>1.816747696</v>
      </c>
      <c r="F1750" t="n">
        <v>2.218550672</v>
      </c>
      <c r="G1750" t="n">
        <v>1.902604502</v>
      </c>
      <c r="H1750" t="n">
        <v>1.965191597</v>
      </c>
    </row>
    <row r="1751">
      <c r="A1751" t="inlineStr">
        <is>
          <t>IDN|mit.inv.tot.1</t>
        </is>
      </c>
      <c r="B1751" t="inlineStr">
        <is>
          <t>IDN</t>
        </is>
      </c>
      <c r="C1751" t="inlineStr">
        <is>
          <t>mit.inv.tot.1</t>
        </is>
      </c>
      <c r="D1751" t="n">
        <v>0</v>
      </c>
      <c r="E1751" t="n">
        <v>14.92360514</v>
      </c>
      <c r="F1751" t="n">
        <v>17.46128287</v>
      </c>
      <c r="G1751" t="n">
        <v>22.64638299</v>
      </c>
      <c r="H1751" t="n">
        <v>30.96394652</v>
      </c>
    </row>
    <row r="1752">
      <c r="A1752" t="inlineStr">
        <is>
          <t>IND|mit.inv.tot.1</t>
        </is>
      </c>
      <c r="B1752" t="inlineStr">
        <is>
          <t>IND</t>
        </is>
      </c>
      <c r="C1752" t="inlineStr">
        <is>
          <t>mit.inv.tot.1</t>
        </is>
      </c>
      <c r="D1752" t="n">
        <v>0</v>
      </c>
      <c r="E1752" t="n">
        <v>70.62040017</v>
      </c>
      <c r="F1752" t="n">
        <v>80.38981486</v>
      </c>
      <c r="G1752" t="n">
        <v>100.7796545</v>
      </c>
      <c r="H1752" t="n">
        <v>131.1729062</v>
      </c>
    </row>
    <row r="1753">
      <c r="A1753" t="inlineStr">
        <is>
          <t>IRL|mit.inv.tot.1</t>
        </is>
      </c>
      <c r="B1753" t="inlineStr">
        <is>
          <t>IRL</t>
        </is>
      </c>
      <c r="C1753" t="inlineStr">
        <is>
          <t>mit.inv.tot.1</t>
        </is>
      </c>
      <c r="D1753" t="n">
        <v>0</v>
      </c>
      <c r="E1753" t="n">
        <v>11.03138709</v>
      </c>
      <c r="F1753" t="n">
        <v>8.982700105999999</v>
      </c>
      <c r="G1753" t="n">
        <v>10.19131027</v>
      </c>
      <c r="H1753" t="n">
        <v>11.35079755</v>
      </c>
    </row>
    <row r="1754">
      <c r="A1754" t="inlineStr">
        <is>
          <t>IRN|mit.inv.tot.1</t>
        </is>
      </c>
      <c r="B1754" t="inlineStr">
        <is>
          <t>IRN</t>
        </is>
      </c>
      <c r="C1754" t="inlineStr">
        <is>
          <t>mit.inv.tot.1</t>
        </is>
      </c>
      <c r="D1754" t="n">
        <v>0</v>
      </c>
      <c r="E1754" t="n">
        <v>3.83443034</v>
      </c>
      <c r="F1754" t="n">
        <v>1.777787678</v>
      </c>
      <c r="G1754" t="n">
        <v>5.043414977</v>
      </c>
      <c r="H1754" t="n">
        <v>6.201886942</v>
      </c>
    </row>
    <row r="1755">
      <c r="A1755" t="inlineStr">
        <is>
          <t>IRQ|mit.inv.tot.1</t>
        </is>
      </c>
      <c r="B1755" t="inlineStr">
        <is>
          <t>IRQ</t>
        </is>
      </c>
      <c r="C1755" t="inlineStr">
        <is>
          <t>mit.inv.tot.1</t>
        </is>
      </c>
      <c r="D1755" t="n">
        <v>0</v>
      </c>
      <c r="E1755" t="n">
        <v>2.333760108</v>
      </c>
      <c r="F1755" t="n">
        <v>1.054199058</v>
      </c>
      <c r="G1755" t="n">
        <v>2.323458543</v>
      </c>
      <c r="H1755" t="n">
        <v>2.865153431</v>
      </c>
    </row>
    <row r="1756">
      <c r="A1756" t="inlineStr">
        <is>
          <t>ISL|mit.inv.tot.1</t>
        </is>
      </c>
      <c r="B1756" t="inlineStr">
        <is>
          <t>ISL</t>
        </is>
      </c>
      <c r="C1756" t="inlineStr">
        <is>
          <t>mit.inv.tot.1</t>
        </is>
      </c>
      <c r="D1756" t="n">
        <v>0</v>
      </c>
      <c r="E1756" t="n">
        <v>0.4187298129</v>
      </c>
      <c r="F1756" t="n">
        <v>0.5037606867</v>
      </c>
      <c r="G1756" t="n">
        <v>0.5212641515000001</v>
      </c>
      <c r="H1756" t="n">
        <v>0.5769013616999999</v>
      </c>
    </row>
    <row r="1757">
      <c r="A1757" t="inlineStr">
        <is>
          <t>ISR|mit.inv.tot.1</t>
        </is>
      </c>
      <c r="B1757" t="inlineStr">
        <is>
          <t>ISR</t>
        </is>
      </c>
      <c r="C1757" t="inlineStr">
        <is>
          <t>mit.inv.tot.1</t>
        </is>
      </c>
      <c r="D1757" t="n">
        <v>0</v>
      </c>
      <c r="E1757" t="n">
        <v>9.380468211</v>
      </c>
      <c r="F1757" t="n">
        <v>10.43543155</v>
      </c>
      <c r="G1757" t="n">
        <v>10.98708171</v>
      </c>
      <c r="H1757" t="n">
        <v>12.42169881</v>
      </c>
    </row>
    <row r="1758">
      <c r="A1758" t="inlineStr">
        <is>
          <t>ITA|mit.inv.tot.1</t>
        </is>
      </c>
      <c r="B1758" t="inlineStr">
        <is>
          <t>ITA</t>
        </is>
      </c>
      <c r="C1758" t="inlineStr">
        <is>
          <t>mit.inv.tot.1</t>
        </is>
      </c>
      <c r="D1758" t="n">
        <v>0</v>
      </c>
      <c r="E1758" t="n">
        <v>32.606331</v>
      </c>
      <c r="F1758" t="n">
        <v>33.08248487</v>
      </c>
      <c r="G1758" t="n">
        <v>36.56613476</v>
      </c>
      <c r="H1758" t="n">
        <v>39.63312897</v>
      </c>
    </row>
    <row r="1759">
      <c r="A1759" t="inlineStr">
        <is>
          <t>JAM|mit.inv.tot.1</t>
        </is>
      </c>
      <c r="B1759" t="inlineStr">
        <is>
          <t>JAM</t>
        </is>
      </c>
      <c r="C1759" t="inlineStr">
        <is>
          <t>mit.inv.tot.1</t>
        </is>
      </c>
      <c r="D1759" t="n">
        <v>0</v>
      </c>
      <c r="E1759" t="n">
        <v>0.181409575</v>
      </c>
      <c r="F1759" t="n">
        <v>0.175952223</v>
      </c>
      <c r="G1759" t="n">
        <v>0.2456976284</v>
      </c>
      <c r="H1759" t="n">
        <v>0.3019086668</v>
      </c>
    </row>
    <row r="1760">
      <c r="A1760" t="inlineStr">
        <is>
          <t>JOR|mit.inv.tot.1</t>
        </is>
      </c>
      <c r="B1760" t="inlineStr">
        <is>
          <t>JOR</t>
        </is>
      </c>
      <c r="C1760" t="inlineStr">
        <is>
          <t>mit.inv.tot.1</t>
        </is>
      </c>
      <c r="D1760" t="n">
        <v>0</v>
      </c>
      <c r="E1760" t="n">
        <v>0.7717302432000001</v>
      </c>
      <c r="F1760" t="n">
        <v>0.8402067232</v>
      </c>
      <c r="G1760" t="n">
        <v>0.9678444635</v>
      </c>
      <c r="H1760" t="n">
        <v>1.149015219</v>
      </c>
    </row>
    <row r="1761">
      <c r="A1761" t="inlineStr">
        <is>
          <t>JPN|mit.inv.tot.1</t>
        </is>
      </c>
      <c r="B1761" t="inlineStr">
        <is>
          <t>JPN</t>
        </is>
      </c>
      <c r="C1761" t="inlineStr">
        <is>
          <t>mit.inv.tot.1</t>
        </is>
      </c>
      <c r="D1761" t="n">
        <v>0</v>
      </c>
      <c r="E1761" t="n">
        <v>68.34391238000001</v>
      </c>
      <c r="F1761" t="n">
        <v>66.82303847999999</v>
      </c>
      <c r="G1761" t="n">
        <v>74.69653063</v>
      </c>
      <c r="H1761" t="n">
        <v>85.28667188999999</v>
      </c>
    </row>
    <row r="1762">
      <c r="A1762" t="inlineStr">
        <is>
          <t>KAZ|mit.inv.tot.1</t>
        </is>
      </c>
      <c r="B1762" t="inlineStr">
        <is>
          <t>KAZ</t>
        </is>
      </c>
      <c r="C1762" t="inlineStr">
        <is>
          <t>mit.inv.tot.1</t>
        </is>
      </c>
      <c r="D1762" t="n">
        <v>0</v>
      </c>
      <c r="E1762" t="n">
        <v>3.906922701</v>
      </c>
      <c r="F1762" t="n">
        <v>3.980824764</v>
      </c>
      <c r="G1762" t="n">
        <v>4.628799203</v>
      </c>
      <c r="H1762" t="n">
        <v>5.64015685</v>
      </c>
    </row>
    <row r="1763">
      <c r="A1763" t="inlineStr">
        <is>
          <t>KEN|mit.inv.tot.1</t>
        </is>
      </c>
      <c r="B1763" t="inlineStr">
        <is>
          <t>KEN</t>
        </is>
      </c>
      <c r="C1763" t="inlineStr">
        <is>
          <t>mit.inv.tot.1</t>
        </is>
      </c>
      <c r="D1763" t="n">
        <v>0</v>
      </c>
      <c r="E1763" t="n">
        <v>0.8578421374</v>
      </c>
      <c r="F1763" t="n">
        <v>1.031376849</v>
      </c>
      <c r="G1763" t="n">
        <v>1.342300554</v>
      </c>
      <c r="H1763" t="n">
        <v>1.821568601</v>
      </c>
    </row>
    <row r="1764">
      <c r="A1764" t="inlineStr">
        <is>
          <t>KGZ|mit.inv.tot.1</t>
        </is>
      </c>
      <c r="B1764" t="inlineStr">
        <is>
          <t>KGZ</t>
        </is>
      </c>
      <c r="C1764" t="inlineStr">
        <is>
          <t>mit.inv.tot.1</t>
        </is>
      </c>
      <c r="D1764" t="n">
        <v>0</v>
      </c>
      <c r="E1764" t="n">
        <v>0.6398852079</v>
      </c>
      <c r="F1764" t="n">
        <v>0.5390951177</v>
      </c>
      <c r="G1764" t="n">
        <v>0.5903126002</v>
      </c>
      <c r="H1764" t="n">
        <v>0.7384920976</v>
      </c>
    </row>
    <row r="1765">
      <c r="A1765" t="inlineStr">
        <is>
          <t>KHM|mit.inv.tot.1</t>
        </is>
      </c>
      <c r="B1765" t="inlineStr">
        <is>
          <t>KHM</t>
        </is>
      </c>
      <c r="C1765" t="inlineStr">
        <is>
          <t>mit.inv.tot.1</t>
        </is>
      </c>
      <c r="D1765" t="n">
        <v>0</v>
      </c>
      <c r="E1765" t="n">
        <v>0.598808565</v>
      </c>
      <c r="F1765" t="n">
        <v>0.6309578012</v>
      </c>
      <c r="G1765" t="n">
        <v>0.7992959397</v>
      </c>
      <c r="H1765" t="n">
        <v>1.058041398</v>
      </c>
    </row>
    <row r="1766">
      <c r="A1766" t="inlineStr">
        <is>
          <t>KNA|mit.inv.tot.1</t>
        </is>
      </c>
      <c r="B1766" t="inlineStr">
        <is>
          <t>KNA</t>
        </is>
      </c>
      <c r="C1766" t="inlineStr">
        <is>
          <t>mit.inv.tot.1</t>
        </is>
      </c>
      <c r="D1766" t="n">
        <v>0</v>
      </c>
      <c r="E1766" t="n">
        <v>0.01182157569</v>
      </c>
      <c r="F1766" t="n">
        <v>0.01290421677</v>
      </c>
      <c r="G1766" t="n">
        <v>0.01231345767</v>
      </c>
      <c r="H1766" t="n">
        <v>0.01233467732</v>
      </c>
    </row>
    <row r="1767">
      <c r="A1767" t="inlineStr">
        <is>
          <t>KOR|mit.inv.tot.1</t>
        </is>
      </c>
      <c r="B1767" t="inlineStr">
        <is>
          <t>KOR</t>
        </is>
      </c>
      <c r="C1767" t="inlineStr">
        <is>
          <t>mit.inv.tot.1</t>
        </is>
      </c>
      <c r="D1767" t="n">
        <v>0</v>
      </c>
      <c r="E1767" t="n">
        <v>31.4130977</v>
      </c>
      <c r="F1767" t="n">
        <v>34.50219827</v>
      </c>
      <c r="G1767" t="n">
        <v>35.49422282</v>
      </c>
      <c r="H1767" t="n">
        <v>38.3899808</v>
      </c>
    </row>
    <row r="1768">
      <c r="A1768" t="inlineStr">
        <is>
          <t>KWT|mit.inv.tot.1</t>
        </is>
      </c>
      <c r="B1768" t="inlineStr">
        <is>
          <t>KWT</t>
        </is>
      </c>
      <c r="C1768" t="inlineStr">
        <is>
          <t>mit.inv.tot.1</t>
        </is>
      </c>
      <c r="D1768" t="n">
        <v>0</v>
      </c>
      <c r="E1768" t="n">
        <v>2.753784809</v>
      </c>
      <c r="F1768" t="n">
        <v>1.77528495</v>
      </c>
      <c r="G1768" t="n">
        <v>2.144594676</v>
      </c>
      <c r="H1768" t="n">
        <v>2.327261221</v>
      </c>
    </row>
    <row r="1769">
      <c r="A1769" t="inlineStr">
        <is>
          <t>LAO|mit.inv.tot.1</t>
        </is>
      </c>
      <c r="B1769" t="inlineStr">
        <is>
          <t>LAO</t>
        </is>
      </c>
      <c r="C1769" t="inlineStr">
        <is>
          <t>mit.inv.tot.1</t>
        </is>
      </c>
      <c r="D1769" t="n">
        <v>0</v>
      </c>
      <c r="E1769" t="n">
        <v>0.07863287764</v>
      </c>
      <c r="F1769" t="n">
        <v>0.09021904909</v>
      </c>
      <c r="G1769" t="n">
        <v>0.1210477427</v>
      </c>
      <c r="H1769" t="n">
        <v>0.176520716</v>
      </c>
    </row>
    <row r="1770">
      <c r="A1770" t="inlineStr">
        <is>
          <t>LBN|mit.inv.tot.1</t>
        </is>
      </c>
      <c r="B1770" t="inlineStr">
        <is>
          <t>LBN</t>
        </is>
      </c>
      <c r="C1770" t="inlineStr">
        <is>
          <t>mit.inv.tot.1</t>
        </is>
      </c>
      <c r="D1770" t="n">
        <v>0</v>
      </c>
      <c r="E1770" t="n">
        <v>0.770275326</v>
      </c>
      <c r="F1770" t="n">
        <v>0.6795163239999999</v>
      </c>
      <c r="G1770" t="n">
        <v>0.7923307873</v>
      </c>
      <c r="H1770" t="n">
        <v>1.02838299</v>
      </c>
    </row>
    <row r="1771">
      <c r="A1771" t="inlineStr">
        <is>
          <t>LBR|mit.inv.tot.1</t>
        </is>
      </c>
      <c r="B1771" t="inlineStr">
        <is>
          <t>LBR</t>
        </is>
      </c>
      <c r="C1771" t="inlineStr">
        <is>
          <t>mit.inv.tot.1</t>
        </is>
      </c>
      <c r="D1771" t="n">
        <v>0</v>
      </c>
      <c r="E1771" t="n">
        <v>0.03794483099</v>
      </c>
      <c r="F1771" t="n">
        <v>0.04496230752</v>
      </c>
      <c r="G1771" t="n">
        <v>0.0669329563</v>
      </c>
      <c r="H1771" t="n">
        <v>0.08962905249</v>
      </c>
    </row>
    <row r="1772">
      <c r="A1772" t="inlineStr">
        <is>
          <t>LBY|mit.inv.tot.1</t>
        </is>
      </c>
      <c r="B1772" t="inlineStr">
        <is>
          <t>LBY</t>
        </is>
      </c>
      <c r="C1772" t="inlineStr">
        <is>
          <t>mit.inv.tot.1</t>
        </is>
      </c>
      <c r="D1772" t="n">
        <v>0</v>
      </c>
      <c r="E1772" t="n">
        <v>3.808257139</v>
      </c>
      <c r="F1772" t="n">
        <v>2.647301774</v>
      </c>
      <c r="G1772" t="n">
        <v>2.645202751</v>
      </c>
      <c r="H1772" t="n">
        <v>3.208709231</v>
      </c>
    </row>
    <row r="1773">
      <c r="A1773" t="inlineStr">
        <is>
          <t>LCA|mit.inv.tot.1</t>
        </is>
      </c>
      <c r="B1773" t="inlineStr">
        <is>
          <t>LCA</t>
        </is>
      </c>
      <c r="C1773" t="inlineStr">
        <is>
          <t>mit.inv.tot.1</t>
        </is>
      </c>
      <c r="D1773" t="n">
        <v>0</v>
      </c>
      <c r="E1773" t="n">
        <v>0.01801333772</v>
      </c>
      <c r="F1773" t="n">
        <v>0.02018279579</v>
      </c>
      <c r="G1773" t="n">
        <v>0.02492760555</v>
      </c>
      <c r="H1773" t="n">
        <v>0.03167110039</v>
      </c>
    </row>
    <row r="1774">
      <c r="A1774" t="inlineStr">
        <is>
          <t>LKA|mit.inv.tot.1</t>
        </is>
      </c>
      <c r="B1774" t="inlineStr">
        <is>
          <t>LKA</t>
        </is>
      </c>
      <c r="C1774" t="inlineStr">
        <is>
          <t>mit.inv.tot.1</t>
        </is>
      </c>
      <c r="D1774" t="n">
        <v>0</v>
      </c>
      <c r="E1774" t="n">
        <v>0.7271251088</v>
      </c>
      <c r="F1774" t="n">
        <v>0.8593209958</v>
      </c>
      <c r="G1774" t="n">
        <v>1.249314282</v>
      </c>
      <c r="H1774" t="n">
        <v>1.534277007</v>
      </c>
    </row>
    <row r="1775">
      <c r="A1775" t="inlineStr">
        <is>
          <t>LSO|mit.inv.tot.1</t>
        </is>
      </c>
      <c r="B1775" t="inlineStr">
        <is>
          <t>LSO</t>
        </is>
      </c>
      <c r="C1775" t="inlineStr">
        <is>
          <t>mit.inv.tot.1</t>
        </is>
      </c>
      <c r="D1775" t="n">
        <v>0</v>
      </c>
      <c r="E1775" t="n">
        <v>0.02196981738</v>
      </c>
      <c r="F1775" t="n">
        <v>0.024297107</v>
      </c>
      <c r="G1775" t="n">
        <v>0.03418443979</v>
      </c>
      <c r="H1775" t="n">
        <v>0.04619905925</v>
      </c>
    </row>
    <row r="1776">
      <c r="A1776" t="inlineStr">
        <is>
          <t>LTU|mit.inv.tot.1</t>
        </is>
      </c>
      <c r="B1776" t="inlineStr">
        <is>
          <t>LTU</t>
        </is>
      </c>
      <c r="C1776" t="inlineStr">
        <is>
          <t>mit.inv.tot.1</t>
        </is>
      </c>
      <c r="D1776" t="n">
        <v>0</v>
      </c>
      <c r="E1776" t="n">
        <v>1.573054392</v>
      </c>
      <c r="F1776" t="n">
        <v>1.637027538</v>
      </c>
      <c r="G1776" t="n">
        <v>1.668950259</v>
      </c>
      <c r="H1776" t="n">
        <v>1.672569829</v>
      </c>
    </row>
    <row r="1777">
      <c r="A1777" t="inlineStr">
        <is>
          <t>LUX|mit.inv.tot.1</t>
        </is>
      </c>
      <c r="B1777" t="inlineStr">
        <is>
          <t>LUX</t>
        </is>
      </c>
      <c r="C1777" t="inlineStr">
        <is>
          <t>mit.inv.tot.1</t>
        </is>
      </c>
      <c r="D1777" t="n">
        <v>0</v>
      </c>
      <c r="E1777" t="n">
        <v>1.217685187</v>
      </c>
      <c r="F1777" t="n">
        <v>1.202532156</v>
      </c>
      <c r="G1777" t="n">
        <v>1.246026313</v>
      </c>
      <c r="H1777" t="n">
        <v>1.367936241</v>
      </c>
    </row>
    <row r="1778">
      <c r="A1778" t="inlineStr">
        <is>
          <t>LVA|mit.inv.tot.1</t>
        </is>
      </c>
      <c r="B1778" t="inlineStr">
        <is>
          <t>LVA</t>
        </is>
      </c>
      <c r="C1778" t="inlineStr">
        <is>
          <t>mit.inv.tot.1</t>
        </is>
      </c>
      <c r="D1778" t="n">
        <v>0</v>
      </c>
      <c r="E1778" t="n">
        <v>0.7022347924</v>
      </c>
      <c r="F1778" t="n">
        <v>0.7272890273</v>
      </c>
      <c r="G1778" t="n">
        <v>0.7378600904</v>
      </c>
      <c r="H1778" t="n">
        <v>0.7984341971</v>
      </c>
    </row>
    <row r="1779">
      <c r="A1779" t="inlineStr">
        <is>
          <t>MAC|mit.inv.tot.1</t>
        </is>
      </c>
      <c r="B1779" t="inlineStr">
        <is>
          <t>MAC</t>
        </is>
      </c>
      <c r="C1779" t="inlineStr">
        <is>
          <t>mit.inv.tot.1</t>
        </is>
      </c>
      <c r="D1779" t="n">
        <v>0</v>
      </c>
      <c r="E1779" t="n">
        <v>0.746647141</v>
      </c>
      <c r="F1779" t="n">
        <v>0.7472672519</v>
      </c>
      <c r="G1779" t="n">
        <v>0.8269475547</v>
      </c>
      <c r="H1779" t="n">
        <v>0.9362749930000001</v>
      </c>
    </row>
    <row r="1780">
      <c r="A1780" t="inlineStr">
        <is>
          <t>MAR|mit.inv.tot.1</t>
        </is>
      </c>
      <c r="B1780" t="inlineStr">
        <is>
          <t>MAR</t>
        </is>
      </c>
      <c r="C1780" t="inlineStr">
        <is>
          <t>mit.inv.tot.1</t>
        </is>
      </c>
      <c r="D1780" t="n">
        <v>0</v>
      </c>
      <c r="E1780" t="n">
        <v>1.725257156</v>
      </c>
      <c r="F1780" t="n">
        <v>2.033080184</v>
      </c>
      <c r="G1780" t="n">
        <v>2.603689907</v>
      </c>
      <c r="H1780" t="n">
        <v>3.41709114</v>
      </c>
    </row>
    <row r="1781">
      <c r="A1781" t="inlineStr">
        <is>
          <t>MDA|mit.inv.tot.1</t>
        </is>
      </c>
      <c r="B1781" t="inlineStr">
        <is>
          <t>MDA</t>
        </is>
      </c>
      <c r="C1781" t="inlineStr">
        <is>
          <t>mit.inv.tot.1</t>
        </is>
      </c>
      <c r="D1781" t="n">
        <v>0</v>
      </c>
      <c r="E1781" t="n">
        <v>0.2423357325</v>
      </c>
      <c r="F1781" t="n">
        <v>0.2594641546</v>
      </c>
      <c r="G1781" t="n">
        <v>0.3585776975</v>
      </c>
      <c r="H1781" t="n">
        <v>0.4834205883</v>
      </c>
    </row>
    <row r="1782">
      <c r="A1782" t="inlineStr">
        <is>
          <t>MDG|mit.inv.tot.1</t>
        </is>
      </c>
      <c r="B1782" t="inlineStr">
        <is>
          <t>MDG</t>
        </is>
      </c>
      <c r="C1782" t="inlineStr">
        <is>
          <t>mit.inv.tot.1</t>
        </is>
      </c>
      <c r="D1782" t="n">
        <v>0</v>
      </c>
      <c r="E1782" t="n">
        <v>0.1244576291</v>
      </c>
      <c r="F1782" t="n">
        <v>0.1514864339</v>
      </c>
      <c r="G1782" t="n">
        <v>0.2095180019</v>
      </c>
      <c r="H1782" t="n">
        <v>0.3182962071</v>
      </c>
    </row>
    <row r="1783">
      <c r="A1783" t="inlineStr">
        <is>
          <t>MDV|mit.inv.tot.1</t>
        </is>
      </c>
      <c r="B1783" t="inlineStr">
        <is>
          <t>MDV</t>
        </is>
      </c>
      <c r="C1783" t="inlineStr">
        <is>
          <t>mit.inv.tot.1</t>
        </is>
      </c>
      <c r="D1783" t="n">
        <v>0</v>
      </c>
      <c r="E1783" t="n">
        <v>0.1297369463</v>
      </c>
      <c r="F1783" t="n">
        <v>0.1205432192</v>
      </c>
      <c r="G1783" t="n">
        <v>0.1403323978</v>
      </c>
      <c r="H1783" t="n">
        <v>0.1672569957</v>
      </c>
    </row>
    <row r="1784">
      <c r="A1784" t="inlineStr">
        <is>
          <t>MEX|mit.inv.tot.1</t>
        </is>
      </c>
      <c r="B1784" t="inlineStr">
        <is>
          <t>MEX</t>
        </is>
      </c>
      <c r="C1784" t="inlineStr">
        <is>
          <t>mit.inv.tot.1</t>
        </is>
      </c>
      <c r="D1784" t="n">
        <v>0</v>
      </c>
      <c r="E1784" t="n">
        <v>13.78913523</v>
      </c>
      <c r="F1784" t="n">
        <v>16.90360526</v>
      </c>
      <c r="G1784" t="n">
        <v>21.46717666</v>
      </c>
      <c r="H1784" t="n">
        <v>26.74737977</v>
      </c>
    </row>
    <row r="1785">
      <c r="A1785" t="inlineStr">
        <is>
          <t>MKD|mit.inv.tot.1</t>
        </is>
      </c>
      <c r="B1785" t="inlineStr">
        <is>
          <t>MKD</t>
        </is>
      </c>
      <c r="C1785" t="inlineStr">
        <is>
          <t>mit.inv.tot.1</t>
        </is>
      </c>
      <c r="D1785" t="n">
        <v>0</v>
      </c>
      <c r="E1785" t="n">
        <v>0.2347532828</v>
      </c>
      <c r="F1785" t="n">
        <v>0.2427383827</v>
      </c>
      <c r="G1785" t="n">
        <v>0.3067541532</v>
      </c>
      <c r="H1785" t="n">
        <v>0.3093136156</v>
      </c>
    </row>
    <row r="1786">
      <c r="A1786" t="inlineStr">
        <is>
          <t>MLI|mit.inv.tot.1</t>
        </is>
      </c>
      <c r="B1786" t="inlineStr">
        <is>
          <t>MLI</t>
        </is>
      </c>
      <c r="C1786" t="inlineStr">
        <is>
          <t>mit.inv.tot.1</t>
        </is>
      </c>
      <c r="D1786" t="n">
        <v>0</v>
      </c>
      <c r="E1786" t="n">
        <v>0.2245836904</v>
      </c>
      <c r="F1786" t="n">
        <v>0.2794300931</v>
      </c>
      <c r="G1786" t="n">
        <v>0.3718911286</v>
      </c>
      <c r="H1786" t="n">
        <v>0.5329303858</v>
      </c>
    </row>
    <row r="1787">
      <c r="A1787" t="inlineStr">
        <is>
          <t>MLT|mit.inv.tot.1</t>
        </is>
      </c>
      <c r="B1787" t="inlineStr">
        <is>
          <t>MLT</t>
        </is>
      </c>
      <c r="C1787" t="inlineStr">
        <is>
          <t>mit.inv.tot.1</t>
        </is>
      </c>
      <c r="D1787" t="n">
        <v>0</v>
      </c>
      <c r="E1787" t="n">
        <v>0.3518787686</v>
      </c>
      <c r="F1787" t="n">
        <v>0.3791886472</v>
      </c>
      <c r="G1787" t="n">
        <v>0.4105301487</v>
      </c>
      <c r="H1787" t="n">
        <v>0.4561007024</v>
      </c>
    </row>
    <row r="1788">
      <c r="A1788" t="inlineStr">
        <is>
          <t>MMR|mit.inv.tot.1</t>
        </is>
      </c>
      <c r="B1788" t="inlineStr">
        <is>
          <t>MMR</t>
        </is>
      </c>
      <c r="C1788" t="inlineStr">
        <is>
          <t>mit.inv.tot.1</t>
        </is>
      </c>
      <c r="D1788" t="n">
        <v>0</v>
      </c>
      <c r="E1788" t="n">
        <v>0.3414435782</v>
      </c>
      <c r="F1788" t="n">
        <v>0.6733660512</v>
      </c>
      <c r="G1788" t="n">
        <v>0.9407218809</v>
      </c>
      <c r="H1788" t="n">
        <v>1.282074061</v>
      </c>
    </row>
    <row r="1789">
      <c r="A1789" t="inlineStr">
        <is>
          <t>MNE|mit.inv.tot.1</t>
        </is>
      </c>
      <c r="B1789" t="inlineStr">
        <is>
          <t>MNE</t>
        </is>
      </c>
      <c r="C1789" t="inlineStr">
        <is>
          <t>mit.inv.tot.1</t>
        </is>
      </c>
      <c r="D1789" t="n">
        <v>0</v>
      </c>
      <c r="E1789" t="n">
        <v>0.1051405801</v>
      </c>
      <c r="F1789" t="n">
        <v>0.1278487624</v>
      </c>
      <c r="G1789" t="n">
        <v>0.1287283028</v>
      </c>
      <c r="H1789" t="n">
        <v>0.149584272</v>
      </c>
    </row>
    <row r="1790">
      <c r="A1790" t="inlineStr">
        <is>
          <t>MNG|mit.inv.tot.1</t>
        </is>
      </c>
      <c r="B1790" t="inlineStr">
        <is>
          <t>MNG</t>
        </is>
      </c>
      <c r="C1790" t="inlineStr">
        <is>
          <t>mit.inv.tot.1</t>
        </is>
      </c>
      <c r="D1790" t="n">
        <v>0</v>
      </c>
      <c r="E1790" t="n">
        <v>0.3016890103</v>
      </c>
      <c r="F1790" t="n">
        <v>0.3214971093</v>
      </c>
      <c r="G1790" t="n">
        <v>0.4082482097</v>
      </c>
      <c r="H1790" t="n">
        <v>0.5561572621</v>
      </c>
    </row>
    <row r="1791">
      <c r="A1791" t="inlineStr">
        <is>
          <t>MOZ|mit.inv.tot.1</t>
        </is>
      </c>
      <c r="B1791" t="inlineStr">
        <is>
          <t>MOZ</t>
        </is>
      </c>
      <c r="C1791" t="inlineStr">
        <is>
          <t>mit.inv.tot.1</t>
        </is>
      </c>
      <c r="D1791" t="n">
        <v>0</v>
      </c>
      <c r="E1791" t="n">
        <v>0.1230359273</v>
      </c>
      <c r="F1791" t="n">
        <v>0.1886582628</v>
      </c>
      <c r="G1791" t="n">
        <v>0.5266171553</v>
      </c>
      <c r="H1791" t="n">
        <v>0.7441344242</v>
      </c>
    </row>
    <row r="1792">
      <c r="A1792" t="inlineStr">
        <is>
          <t>MRT|mit.inv.tot.1</t>
        </is>
      </c>
      <c r="B1792" t="inlineStr">
        <is>
          <t>MRT</t>
        </is>
      </c>
      <c r="C1792" t="inlineStr">
        <is>
          <t>mit.inv.tot.1</t>
        </is>
      </c>
      <c r="D1792" t="n">
        <v>0</v>
      </c>
      <c r="E1792" t="n">
        <v>0.108013808</v>
      </c>
      <c r="F1792" t="n">
        <v>0.1267432797</v>
      </c>
      <c r="G1792" t="n">
        <v>0.1593616131</v>
      </c>
      <c r="H1792" t="n">
        <v>0.2137893372</v>
      </c>
    </row>
    <row r="1793">
      <c r="A1793" t="inlineStr">
        <is>
          <t>MUS|mit.inv.tot.1</t>
        </is>
      </c>
      <c r="B1793" t="inlineStr">
        <is>
          <t>MUS</t>
        </is>
      </c>
      <c r="C1793" t="inlineStr">
        <is>
          <t>mit.inv.tot.1</t>
        </is>
      </c>
      <c r="D1793" t="n">
        <v>0</v>
      </c>
      <c r="E1793" t="n">
        <v>0.1249532588</v>
      </c>
      <c r="F1793" t="n">
        <v>0.143242076</v>
      </c>
      <c r="G1793" t="n">
        <v>0.1733634519</v>
      </c>
      <c r="H1793" t="n">
        <v>0.2181586089</v>
      </c>
    </row>
    <row r="1794">
      <c r="A1794" t="inlineStr">
        <is>
          <t>MWI|mit.inv.tot.1</t>
        </is>
      </c>
      <c r="B1794" t="inlineStr">
        <is>
          <t>MWI</t>
        </is>
      </c>
      <c r="C1794" t="inlineStr">
        <is>
          <t>mit.inv.tot.1</t>
        </is>
      </c>
      <c r="D1794" t="n">
        <v>0</v>
      </c>
      <c r="E1794" t="n">
        <v>0.07109264126000001</v>
      </c>
      <c r="F1794" t="n">
        <v>0.08712880807999999</v>
      </c>
      <c r="G1794" t="n">
        <v>0.1316344753</v>
      </c>
      <c r="H1794" t="n">
        <v>0.1901570463</v>
      </c>
    </row>
    <row r="1795">
      <c r="A1795" t="inlineStr">
        <is>
          <t>MYS|mit.inv.tot.1</t>
        </is>
      </c>
      <c r="B1795" t="inlineStr">
        <is>
          <t>MYS</t>
        </is>
      </c>
      <c r="C1795" t="inlineStr">
        <is>
          <t>mit.inv.tot.1</t>
        </is>
      </c>
      <c r="D1795" t="n">
        <v>0</v>
      </c>
      <c r="E1795" t="n">
        <v>5.564020337</v>
      </c>
      <c r="F1795" t="n">
        <v>6.083174314</v>
      </c>
      <c r="G1795" t="n">
        <v>6.873316738</v>
      </c>
      <c r="H1795" t="n">
        <v>8.399420026</v>
      </c>
    </row>
    <row r="1796">
      <c r="A1796" t="inlineStr">
        <is>
          <t>NAM|mit.inv.tot.1</t>
        </is>
      </c>
      <c r="B1796" t="inlineStr">
        <is>
          <t>NAM</t>
        </is>
      </c>
      <c r="C1796" t="inlineStr">
        <is>
          <t>mit.inv.tot.1</t>
        </is>
      </c>
      <c r="D1796" t="n">
        <v>0</v>
      </c>
      <c r="E1796" t="n">
        <v>0.09817241811999999</v>
      </c>
      <c r="F1796" t="n">
        <v>0.1080780767</v>
      </c>
      <c r="G1796" t="n">
        <v>0.1302244431</v>
      </c>
      <c r="H1796" t="n">
        <v>0.162933223</v>
      </c>
    </row>
    <row r="1797">
      <c r="A1797" t="inlineStr">
        <is>
          <t>NER|mit.inv.tot.1</t>
        </is>
      </c>
      <c r="B1797" t="inlineStr">
        <is>
          <t>NER</t>
        </is>
      </c>
      <c r="C1797" t="inlineStr">
        <is>
          <t>mit.inv.tot.1</t>
        </is>
      </c>
      <c r="D1797" t="n">
        <v>0</v>
      </c>
      <c r="E1797" t="n">
        <v>0.1731423331</v>
      </c>
      <c r="F1797" t="n">
        <v>0.2173705876</v>
      </c>
      <c r="G1797" t="n">
        <v>0.305384358</v>
      </c>
      <c r="H1797" t="n">
        <v>0.4440071055</v>
      </c>
    </row>
    <row r="1798">
      <c r="A1798" t="inlineStr">
        <is>
          <t>NGA|mit.inv.tot.1</t>
        </is>
      </c>
      <c r="B1798" t="inlineStr">
        <is>
          <t>NGA</t>
        </is>
      </c>
      <c r="C1798" t="inlineStr">
        <is>
          <t>mit.inv.tot.1</t>
        </is>
      </c>
      <c r="D1798" t="n">
        <v>0</v>
      </c>
      <c r="E1798" t="n">
        <v>2.072214278</v>
      </c>
      <c r="F1798" t="n">
        <v>2.427258569</v>
      </c>
      <c r="G1798" t="n">
        <v>3.14449038</v>
      </c>
      <c r="H1798" t="n">
        <v>4.397858197</v>
      </c>
    </row>
    <row r="1799">
      <c r="A1799" t="inlineStr">
        <is>
          <t>NIC|mit.inv.tot.1</t>
        </is>
      </c>
      <c r="B1799" t="inlineStr">
        <is>
          <t>NIC</t>
        </is>
      </c>
      <c r="C1799" t="inlineStr">
        <is>
          <t>mit.inv.tot.1</t>
        </is>
      </c>
      <c r="D1799" t="n">
        <v>0</v>
      </c>
      <c r="E1799" t="n">
        <v>0.1847372918</v>
      </c>
      <c r="F1799" t="n">
        <v>0.19700408</v>
      </c>
      <c r="G1799" t="n">
        <v>0.2587461998</v>
      </c>
      <c r="H1799" t="n">
        <v>0.3505034213</v>
      </c>
    </row>
    <row r="1800">
      <c r="A1800" t="inlineStr">
        <is>
          <t>NLD|mit.inv.tot.1</t>
        </is>
      </c>
      <c r="B1800" t="inlineStr">
        <is>
          <t>NLD</t>
        </is>
      </c>
      <c r="C1800" t="inlineStr">
        <is>
          <t>mit.inv.tot.1</t>
        </is>
      </c>
      <c r="D1800" t="n">
        <v>0</v>
      </c>
      <c r="E1800" t="n">
        <v>17.28798305</v>
      </c>
      <c r="F1800" t="n">
        <v>17.69391661</v>
      </c>
      <c r="G1800" t="n">
        <v>19.48773614</v>
      </c>
      <c r="H1800" t="n">
        <v>19.23898782</v>
      </c>
    </row>
    <row r="1801">
      <c r="A1801" t="inlineStr">
        <is>
          <t>NOR|mit.inv.tot.1</t>
        </is>
      </c>
      <c r="B1801" t="inlineStr">
        <is>
          <t>NOR</t>
        </is>
      </c>
      <c r="C1801" t="inlineStr">
        <is>
          <t>mit.inv.tot.1</t>
        </is>
      </c>
      <c r="D1801" t="n">
        <v>0</v>
      </c>
      <c r="E1801" t="n">
        <v>6.119280362</v>
      </c>
      <c r="F1801" t="n">
        <v>6.897136092</v>
      </c>
      <c r="G1801" t="n">
        <v>7.301853602</v>
      </c>
      <c r="H1801" t="n">
        <v>8.067572459000001</v>
      </c>
    </row>
    <row r="1802">
      <c r="A1802" t="inlineStr">
        <is>
          <t>NPL|mit.inv.tot.1</t>
        </is>
      </c>
      <c r="B1802" t="inlineStr">
        <is>
          <t>NPL</t>
        </is>
      </c>
      <c r="C1802" t="inlineStr">
        <is>
          <t>mit.inv.tot.1</t>
        </is>
      </c>
      <c r="D1802" t="n">
        <v>0</v>
      </c>
      <c r="E1802" t="n">
        <v>0.4020649045</v>
      </c>
      <c r="F1802" t="n">
        <v>0.396831982</v>
      </c>
      <c r="G1802" t="n">
        <v>0.6014511616</v>
      </c>
      <c r="H1802" t="n">
        <v>0.852107931</v>
      </c>
    </row>
    <row r="1803">
      <c r="A1803" t="inlineStr">
        <is>
          <t>NRU|mit.inv.tot.1</t>
        </is>
      </c>
      <c r="B1803" t="inlineStr">
        <is>
          <t>NRU</t>
        </is>
      </c>
      <c r="C1803" t="inlineStr">
        <is>
          <t>mit.inv.tot.1</t>
        </is>
      </c>
      <c r="D1803" t="n">
        <v>0</v>
      </c>
      <c r="E1803" t="n">
        <v>0.002898116037</v>
      </c>
      <c r="F1803" t="n">
        <v>0.003150197969</v>
      </c>
      <c r="G1803" t="n">
        <v>0.003615255663</v>
      </c>
      <c r="H1803" t="n">
        <v>0.004262586663</v>
      </c>
    </row>
    <row r="1804">
      <c r="A1804" t="inlineStr">
        <is>
          <t>NZL|mit.inv.tot.1</t>
        </is>
      </c>
      <c r="B1804" t="inlineStr">
        <is>
          <t>NZL</t>
        </is>
      </c>
      <c r="C1804" t="inlineStr">
        <is>
          <t>mit.inv.tot.1</t>
        </is>
      </c>
      <c r="D1804" t="n">
        <v>0</v>
      </c>
      <c r="E1804" t="n">
        <v>3.291474671</v>
      </c>
      <c r="F1804" t="n">
        <v>3.997709248</v>
      </c>
      <c r="G1804" t="n">
        <v>4.152586021</v>
      </c>
      <c r="H1804" t="n">
        <v>4.340911196</v>
      </c>
    </row>
    <row r="1805">
      <c r="A1805" t="inlineStr">
        <is>
          <t>OMN|mit.inv.tot.1</t>
        </is>
      </c>
      <c r="B1805" t="inlineStr">
        <is>
          <t>OMN</t>
        </is>
      </c>
      <c r="C1805" t="inlineStr">
        <is>
          <t>mit.inv.tot.1</t>
        </is>
      </c>
      <c r="D1805" t="n">
        <v>0</v>
      </c>
      <c r="E1805" t="n">
        <v>1.555989507</v>
      </c>
      <c r="F1805" t="n">
        <v>1.822114359</v>
      </c>
      <c r="G1805" t="n">
        <v>1.744356408</v>
      </c>
      <c r="H1805" t="n">
        <v>1.890420675</v>
      </c>
    </row>
    <row r="1806">
      <c r="A1806" t="inlineStr">
        <is>
          <t>PAK|mit.inv.tot.1</t>
        </is>
      </c>
      <c r="B1806" t="inlineStr">
        <is>
          <t>PAK</t>
        </is>
      </c>
      <c r="C1806" t="inlineStr">
        <is>
          <t>mit.inv.tot.1</t>
        </is>
      </c>
      <c r="D1806" t="n">
        <v>0</v>
      </c>
      <c r="E1806" t="n">
        <v>4.059491679</v>
      </c>
      <c r="F1806" t="n">
        <v>5.180174545</v>
      </c>
      <c r="G1806" t="n">
        <v>7.645820065</v>
      </c>
      <c r="H1806" t="n">
        <v>8.376156181000001</v>
      </c>
    </row>
    <row r="1807">
      <c r="A1807" t="inlineStr">
        <is>
          <t>PAN|mit.inv.tot.1</t>
        </is>
      </c>
      <c r="B1807" t="inlineStr">
        <is>
          <t>PAN</t>
        </is>
      </c>
      <c r="C1807" t="inlineStr">
        <is>
          <t>mit.inv.tot.1</t>
        </is>
      </c>
      <c r="D1807" t="n">
        <v>0</v>
      </c>
      <c r="E1807" t="n">
        <v>0.8033504714</v>
      </c>
      <c r="F1807" t="n">
        <v>0.8370119535</v>
      </c>
      <c r="G1807" t="n">
        <v>0.8324268765</v>
      </c>
      <c r="H1807" t="n">
        <v>0.910419055</v>
      </c>
    </row>
    <row r="1808">
      <c r="A1808" t="inlineStr">
        <is>
          <t>PER|mit.inv.tot.1</t>
        </is>
      </c>
      <c r="B1808" t="inlineStr">
        <is>
          <t>PER</t>
        </is>
      </c>
      <c r="C1808" t="inlineStr">
        <is>
          <t>mit.inv.tot.1</t>
        </is>
      </c>
      <c r="D1808" t="n">
        <v>0</v>
      </c>
      <c r="E1808" t="n">
        <v>2.779445916</v>
      </c>
      <c r="F1808" t="n">
        <v>3.148432894</v>
      </c>
      <c r="G1808" t="n">
        <v>4.352121594</v>
      </c>
      <c r="H1808" t="n">
        <v>4.40146842</v>
      </c>
    </row>
    <row r="1809">
      <c r="A1809" t="inlineStr">
        <is>
          <t>PHL|mit.inv.tot.1</t>
        </is>
      </c>
      <c r="B1809" t="inlineStr">
        <is>
          <t>PHL</t>
        </is>
      </c>
      <c r="C1809" t="inlineStr">
        <is>
          <t>mit.inv.tot.1</t>
        </is>
      </c>
      <c r="D1809" t="n">
        <v>0</v>
      </c>
      <c r="E1809" t="n">
        <v>4.64144737</v>
      </c>
      <c r="F1809" t="n">
        <v>5.289360782</v>
      </c>
      <c r="G1809" t="n">
        <v>6.951405728</v>
      </c>
      <c r="H1809" t="n">
        <v>9.335657217</v>
      </c>
    </row>
    <row r="1810">
      <c r="A1810" t="inlineStr">
        <is>
          <t>PLW|mit.inv.tot.1</t>
        </is>
      </c>
      <c r="B1810" t="inlineStr">
        <is>
          <t>PLW</t>
        </is>
      </c>
      <c r="C1810" t="inlineStr">
        <is>
          <t>mit.inv.tot.1</t>
        </is>
      </c>
      <c r="D1810" t="n">
        <v>0</v>
      </c>
      <c r="E1810" t="n">
        <v>0.007246634681</v>
      </c>
      <c r="F1810" t="n">
        <v>0.005955745992</v>
      </c>
      <c r="G1810" t="n">
        <v>0.005225992085</v>
      </c>
      <c r="H1810" t="n">
        <v>0.005522803644</v>
      </c>
    </row>
    <row r="1811">
      <c r="A1811" t="inlineStr">
        <is>
          <t>PNG|mit.inv.tot.1</t>
        </is>
      </c>
      <c r="B1811" t="inlineStr">
        <is>
          <t>PNG</t>
        </is>
      </c>
      <c r="C1811" t="inlineStr">
        <is>
          <t>mit.inv.tot.1</t>
        </is>
      </c>
      <c r="D1811" t="n">
        <v>0</v>
      </c>
      <c r="E1811" t="n">
        <v>0.2658995927</v>
      </c>
      <c r="F1811" t="n">
        <v>0.2766456622</v>
      </c>
      <c r="G1811" t="n">
        <v>0.3756959428</v>
      </c>
      <c r="H1811" t="n">
        <v>0.5218028146</v>
      </c>
    </row>
    <row r="1812">
      <c r="A1812" t="inlineStr">
        <is>
          <t>POL|mit.inv.tot.1</t>
        </is>
      </c>
      <c r="B1812" t="inlineStr">
        <is>
          <t>POL</t>
        </is>
      </c>
      <c r="C1812" t="inlineStr">
        <is>
          <t>mit.inv.tot.1</t>
        </is>
      </c>
      <c r="D1812" t="n">
        <v>0</v>
      </c>
      <c r="E1812" t="n">
        <v>11.09810045</v>
      </c>
      <c r="F1812" t="n">
        <v>11.94003667</v>
      </c>
      <c r="G1812" t="n">
        <v>12.51498009</v>
      </c>
      <c r="H1812" t="n">
        <v>13.96256439</v>
      </c>
    </row>
    <row r="1813">
      <c r="A1813" t="inlineStr">
        <is>
          <t>PRI|mit.inv.tot.1</t>
        </is>
      </c>
      <c r="B1813" t="inlineStr">
        <is>
          <t>PRI</t>
        </is>
      </c>
      <c r="C1813" t="inlineStr">
        <is>
          <t>mit.inv.tot.1</t>
        </is>
      </c>
      <c r="D1813" t="n">
        <v>0</v>
      </c>
      <c r="E1813" t="n">
        <v>1.564557613</v>
      </c>
      <c r="F1813" t="n">
        <v>1.486575557</v>
      </c>
      <c r="G1813" t="n">
        <v>1.447478767</v>
      </c>
      <c r="H1813" t="n">
        <v>1.590914851</v>
      </c>
    </row>
    <row r="1814">
      <c r="A1814" t="inlineStr">
        <is>
          <t>PRT|mit.inv.tot.1</t>
        </is>
      </c>
      <c r="B1814" t="inlineStr">
        <is>
          <t>PRT</t>
        </is>
      </c>
      <c r="C1814" t="inlineStr">
        <is>
          <t>mit.inv.tot.1</t>
        </is>
      </c>
      <c r="D1814" t="n">
        <v>0</v>
      </c>
      <c r="E1814" t="n">
        <v>5.333244817</v>
      </c>
      <c r="F1814" t="n">
        <v>5.666558496</v>
      </c>
      <c r="G1814" t="n">
        <v>5.071298178</v>
      </c>
      <c r="H1814" t="n">
        <v>5.394665067</v>
      </c>
    </row>
    <row r="1815">
      <c r="A1815" t="inlineStr">
        <is>
          <t>PRY|mit.inv.tot.1</t>
        </is>
      </c>
      <c r="B1815" t="inlineStr">
        <is>
          <t>PRY</t>
        </is>
      </c>
      <c r="C1815" t="inlineStr">
        <is>
          <t>mit.inv.tot.1</t>
        </is>
      </c>
      <c r="D1815" t="n">
        <v>0</v>
      </c>
      <c r="E1815" t="n">
        <v>0.2512138647</v>
      </c>
      <c r="F1815" t="n">
        <v>0.276694076</v>
      </c>
      <c r="G1815" t="n">
        <v>0.334490881</v>
      </c>
      <c r="H1815" t="n">
        <v>0.7048726548000001</v>
      </c>
    </row>
    <row r="1816">
      <c r="A1816" t="inlineStr">
        <is>
          <t>QAT|mit.inv.tot.1</t>
        </is>
      </c>
      <c r="B1816" t="inlineStr">
        <is>
          <t>QAT</t>
        </is>
      </c>
      <c r="C1816" t="inlineStr">
        <is>
          <t>mit.inv.tot.1</t>
        </is>
      </c>
      <c r="D1816" t="n">
        <v>0</v>
      </c>
      <c r="E1816" t="n">
        <v>2.249081411</v>
      </c>
      <c r="F1816" t="n">
        <v>0.8541852837</v>
      </c>
      <c r="G1816" t="n">
        <v>0.7781534871</v>
      </c>
      <c r="H1816" t="n">
        <v>1.170297881</v>
      </c>
    </row>
    <row r="1817">
      <c r="A1817" t="inlineStr">
        <is>
          <t>ROU|mit.inv.tot.1</t>
        </is>
      </c>
      <c r="B1817" t="inlineStr">
        <is>
          <t>ROU</t>
        </is>
      </c>
      <c r="C1817" t="inlineStr">
        <is>
          <t>mit.inv.tot.1</t>
        </is>
      </c>
      <c r="D1817" t="n">
        <v>0</v>
      </c>
      <c r="E1817" t="n">
        <v>2.571909663</v>
      </c>
      <c r="F1817" t="n">
        <v>2.867962892</v>
      </c>
      <c r="G1817" t="n">
        <v>3.914888787</v>
      </c>
      <c r="H1817" t="n">
        <v>4.430424895</v>
      </c>
    </row>
    <row r="1818">
      <c r="A1818" t="inlineStr">
        <is>
          <t>RUS|mit.inv.tot.1</t>
        </is>
      </c>
      <c r="B1818" t="inlineStr">
        <is>
          <t>RUS</t>
        </is>
      </c>
      <c r="C1818" t="inlineStr">
        <is>
          <t>mit.inv.tot.1</t>
        </is>
      </c>
      <c r="D1818" t="n">
        <v>0</v>
      </c>
      <c r="E1818" t="n">
        <v>17.28497468</v>
      </c>
      <c r="F1818" t="n">
        <v>20.53562216</v>
      </c>
      <c r="G1818" t="n">
        <v>29.15636663</v>
      </c>
      <c r="H1818" t="n">
        <v>36.33877687</v>
      </c>
    </row>
    <row r="1819">
      <c r="A1819" t="inlineStr">
        <is>
          <t>RWA|mit.inv.tot.1</t>
        </is>
      </c>
      <c r="B1819" t="inlineStr">
        <is>
          <t>RWA</t>
        </is>
      </c>
      <c r="C1819" t="inlineStr">
        <is>
          <t>mit.inv.tot.1</t>
        </is>
      </c>
      <c r="D1819" t="n">
        <v>0</v>
      </c>
      <c r="E1819" t="n">
        <v>0.100645647</v>
      </c>
      <c r="F1819" t="n">
        <v>0.132725659</v>
      </c>
      <c r="G1819" t="n">
        <v>0.1955065815</v>
      </c>
      <c r="H1819" t="n">
        <v>0.289620684</v>
      </c>
    </row>
    <row r="1820">
      <c r="A1820" t="inlineStr">
        <is>
          <t>SAU|mit.inv.tot.1</t>
        </is>
      </c>
      <c r="B1820" t="inlineStr">
        <is>
          <t>SAU</t>
        </is>
      </c>
      <c r="C1820" t="inlineStr">
        <is>
          <t>mit.inv.tot.1</t>
        </is>
      </c>
      <c r="D1820" t="n">
        <v>0</v>
      </c>
      <c r="E1820" t="n">
        <v>16.67559502</v>
      </c>
      <c r="F1820" t="n">
        <v>15.92847836</v>
      </c>
      <c r="G1820" t="n">
        <v>15.63214687</v>
      </c>
      <c r="H1820" t="n">
        <v>16.6017612</v>
      </c>
    </row>
    <row r="1821">
      <c r="A1821" t="inlineStr">
        <is>
          <t>SDN|mit.inv.tot.1</t>
        </is>
      </c>
      <c r="B1821" t="inlineStr">
        <is>
          <t>SDN</t>
        </is>
      </c>
      <c r="C1821" t="inlineStr">
        <is>
          <t>mit.inv.tot.1</t>
        </is>
      </c>
      <c r="D1821" t="n">
        <v>0</v>
      </c>
      <c r="E1821" t="n">
        <v>0.5113412519</v>
      </c>
      <c r="F1821" t="n">
        <v>0.4652088817</v>
      </c>
      <c r="G1821" t="n">
        <v>0.5604322654</v>
      </c>
      <c r="H1821" t="n">
        <v>0.7014809937000001</v>
      </c>
    </row>
    <row r="1822">
      <c r="A1822" t="inlineStr">
        <is>
          <t>SEN|mit.inv.tot.1</t>
        </is>
      </c>
      <c r="B1822" t="inlineStr">
        <is>
          <t>SEN</t>
        </is>
      </c>
      <c r="C1822" t="inlineStr">
        <is>
          <t>mit.inv.tot.1</t>
        </is>
      </c>
      <c r="D1822" t="n">
        <v>0</v>
      </c>
      <c r="E1822" t="n">
        <v>0.3956622635</v>
      </c>
      <c r="F1822" t="n">
        <v>0.3220603228</v>
      </c>
      <c r="G1822" t="n">
        <v>0.4500497288</v>
      </c>
      <c r="H1822" t="n">
        <v>0.6374820078</v>
      </c>
    </row>
    <row r="1823">
      <c r="A1823" t="inlineStr">
        <is>
          <t>SGP|mit.inv.tot.1</t>
        </is>
      </c>
      <c r="B1823" t="inlineStr">
        <is>
          <t>SGP</t>
        </is>
      </c>
      <c r="C1823" t="inlineStr">
        <is>
          <t>mit.inv.tot.1</t>
        </is>
      </c>
      <c r="D1823" t="n">
        <v>0</v>
      </c>
      <c r="E1823" t="n">
        <v>7.032703575</v>
      </c>
      <c r="F1823" t="n">
        <v>7.575223145</v>
      </c>
      <c r="G1823" t="n">
        <v>8.667619486</v>
      </c>
      <c r="H1823" t="n">
        <v>9.83680757</v>
      </c>
    </row>
    <row r="1824">
      <c r="A1824" t="inlineStr">
        <is>
          <t>SLB|mit.inv.tot.1</t>
        </is>
      </c>
      <c r="B1824" t="inlineStr">
        <is>
          <t>SLB</t>
        </is>
      </c>
      <c r="C1824" t="inlineStr">
        <is>
          <t>mit.inv.tot.1</t>
        </is>
      </c>
      <c r="D1824" t="n">
        <v>0</v>
      </c>
      <c r="E1824" t="n">
        <v>0.01398153735</v>
      </c>
      <c r="F1824" t="n">
        <v>0.01586639014</v>
      </c>
      <c r="G1824" t="n">
        <v>0.01921610324</v>
      </c>
      <c r="H1824" t="n">
        <v>0.02353171667</v>
      </c>
    </row>
    <row r="1825">
      <c r="A1825" t="inlineStr">
        <is>
          <t>SLE|mit.inv.tot.1</t>
        </is>
      </c>
      <c r="B1825" t="inlineStr">
        <is>
          <t>SLE</t>
        </is>
      </c>
      <c r="C1825" t="inlineStr">
        <is>
          <t>mit.inv.tot.1</t>
        </is>
      </c>
      <c r="D1825" t="n">
        <v>0</v>
      </c>
      <c r="E1825" t="n">
        <v>0.0378747292</v>
      </c>
      <c r="F1825" t="n">
        <v>0.04637775522</v>
      </c>
      <c r="G1825" t="n">
        <v>0.06627623331</v>
      </c>
      <c r="H1825" t="n">
        <v>0.09829975707999999</v>
      </c>
    </row>
    <row r="1826">
      <c r="A1826" t="inlineStr">
        <is>
          <t>SLV|mit.inv.tot.1</t>
        </is>
      </c>
      <c r="B1826" t="inlineStr">
        <is>
          <t>SLV</t>
        </is>
      </c>
      <c r="C1826" t="inlineStr">
        <is>
          <t>mit.inv.tot.1</t>
        </is>
      </c>
      <c r="D1826" t="n">
        <v>0</v>
      </c>
      <c r="E1826" t="n">
        <v>0.3302956672</v>
      </c>
      <c r="F1826" t="n">
        <v>0.3694714874</v>
      </c>
      <c r="G1826" t="n">
        <v>0.4904609477</v>
      </c>
      <c r="H1826" t="n">
        <v>0.649957051</v>
      </c>
    </row>
    <row r="1827">
      <c r="A1827" t="inlineStr">
        <is>
          <t>SOM|mit.inv.tot.1</t>
        </is>
      </c>
      <c r="B1827" t="inlineStr">
        <is>
          <t>SOM</t>
        </is>
      </c>
      <c r="C1827" t="inlineStr">
        <is>
          <t>mit.inv.tot.1</t>
        </is>
      </c>
      <c r="D1827" t="n">
        <v>0</v>
      </c>
      <c r="E1827" t="n">
        <v>0.06232979498</v>
      </c>
      <c r="F1827" t="n">
        <v>0.07088885477</v>
      </c>
      <c r="G1827" t="n">
        <v>0.1004268684</v>
      </c>
      <c r="H1827" t="n">
        <v>0.1500278886</v>
      </c>
    </row>
    <row r="1828">
      <c r="A1828" t="inlineStr">
        <is>
          <t>SRB|mit.inv.tot.1</t>
        </is>
      </c>
      <c r="B1828" t="inlineStr">
        <is>
          <t>SRB</t>
        </is>
      </c>
      <c r="C1828" t="inlineStr">
        <is>
          <t>mit.inv.tot.1</t>
        </is>
      </c>
      <c r="D1828" t="n">
        <v>0</v>
      </c>
      <c r="E1828" t="n">
        <v>0.9013800067</v>
      </c>
      <c r="F1828" t="n">
        <v>1.115528473</v>
      </c>
      <c r="G1828" t="n">
        <v>1.352104713</v>
      </c>
      <c r="H1828" t="n">
        <v>1.659652564</v>
      </c>
    </row>
    <row r="1829">
      <c r="A1829" t="inlineStr">
        <is>
          <t>STP|mit.inv.tot.1</t>
        </is>
      </c>
      <c r="B1829" t="inlineStr">
        <is>
          <t>STP</t>
        </is>
      </c>
      <c r="C1829" t="inlineStr">
        <is>
          <t>mit.inv.tot.1</t>
        </is>
      </c>
      <c r="D1829" t="n">
        <v>0</v>
      </c>
      <c r="E1829" t="n">
        <v>0.004831233054</v>
      </c>
      <c r="F1829" t="n">
        <v>0.006169372857</v>
      </c>
      <c r="G1829" t="n">
        <v>0.008408837708</v>
      </c>
      <c r="H1829" t="n">
        <v>0.01166086696</v>
      </c>
    </row>
    <row r="1830">
      <c r="A1830" t="inlineStr">
        <is>
          <t>SUR|mit.inv.tot.1</t>
        </is>
      </c>
      <c r="B1830" t="inlineStr">
        <is>
          <t>SUR</t>
        </is>
      </c>
      <c r="C1830" t="inlineStr">
        <is>
          <t>mit.inv.tot.1</t>
        </is>
      </c>
      <c r="D1830" t="n">
        <v>0</v>
      </c>
      <c r="E1830" t="n">
        <v>0.04318725823</v>
      </c>
      <c r="F1830" t="n">
        <v>0.06718042121999999</v>
      </c>
      <c r="G1830" t="n">
        <v>0.07238664240000001</v>
      </c>
      <c r="H1830" t="n">
        <v>0.09471706382</v>
      </c>
    </row>
    <row r="1831">
      <c r="A1831" t="inlineStr">
        <is>
          <t>SVK|mit.inv.tot.1</t>
        </is>
      </c>
      <c r="B1831" t="inlineStr">
        <is>
          <t>SVK</t>
        </is>
      </c>
      <c r="C1831" t="inlineStr">
        <is>
          <t>mit.inv.tot.1</t>
        </is>
      </c>
      <c r="D1831" t="n">
        <v>0</v>
      </c>
      <c r="E1831" t="n">
        <v>1.887356744</v>
      </c>
      <c r="F1831" t="n">
        <v>1.881689117</v>
      </c>
      <c r="G1831" t="n">
        <v>1.849605153</v>
      </c>
      <c r="H1831" t="n">
        <v>2.026827471</v>
      </c>
    </row>
    <row r="1832">
      <c r="A1832" t="inlineStr">
        <is>
          <t>SVN|mit.inv.tot.1</t>
        </is>
      </c>
      <c r="B1832" t="inlineStr">
        <is>
          <t>SVN</t>
        </is>
      </c>
      <c r="C1832" t="inlineStr">
        <is>
          <t>mit.inv.tot.1</t>
        </is>
      </c>
      <c r="D1832" t="n">
        <v>0</v>
      </c>
      <c r="E1832" t="n">
        <v>1.230223429</v>
      </c>
      <c r="F1832" t="n">
        <v>1.36756258</v>
      </c>
      <c r="G1832" t="n">
        <v>1.198733667</v>
      </c>
      <c r="H1832" t="n">
        <v>1.270801693</v>
      </c>
    </row>
    <row r="1833">
      <c r="A1833" t="inlineStr">
        <is>
          <t>SWE|mit.inv.tot.1</t>
        </is>
      </c>
      <c r="B1833" t="inlineStr">
        <is>
          <t>SWE</t>
        </is>
      </c>
      <c r="C1833" t="inlineStr">
        <is>
          <t>mit.inv.tot.1</t>
        </is>
      </c>
      <c r="D1833" t="n">
        <v>0</v>
      </c>
      <c r="E1833" t="n">
        <v>9.218753256999999</v>
      </c>
      <c r="F1833" t="n">
        <v>10.25886463</v>
      </c>
      <c r="G1833" t="n">
        <v>10.30634437</v>
      </c>
      <c r="H1833" t="n">
        <v>11.06877888</v>
      </c>
    </row>
    <row r="1834">
      <c r="A1834" t="inlineStr">
        <is>
          <t>SWZ|mit.inv.tot.1</t>
        </is>
      </c>
      <c r="B1834" t="inlineStr">
        <is>
          <t>SWZ</t>
        </is>
      </c>
      <c r="C1834" t="inlineStr">
        <is>
          <t>mit.inv.tot.1</t>
        </is>
      </c>
      <c r="D1834" t="n">
        <v>0</v>
      </c>
      <c r="E1834" t="n">
        <v>0.04442621793</v>
      </c>
      <c r="F1834" t="n">
        <v>0.05514988287</v>
      </c>
      <c r="G1834" t="n">
        <v>0.0730347824</v>
      </c>
      <c r="H1834" t="n">
        <v>0.09705793363</v>
      </c>
    </row>
    <row r="1835">
      <c r="A1835" t="inlineStr">
        <is>
          <t>SYC|mit.inv.tot.1</t>
        </is>
      </c>
      <c r="B1835" t="inlineStr">
        <is>
          <t>SYC</t>
        </is>
      </c>
      <c r="C1835" t="inlineStr">
        <is>
          <t>mit.inv.tot.1</t>
        </is>
      </c>
      <c r="D1835" t="n">
        <v>0</v>
      </c>
      <c r="E1835" t="n">
        <v>0.02819370805</v>
      </c>
      <c r="F1835" t="n">
        <v>0.02234711946</v>
      </c>
      <c r="G1835" t="n">
        <v>0.02314519525</v>
      </c>
      <c r="H1835" t="n">
        <v>0.02442710042</v>
      </c>
    </row>
    <row r="1836">
      <c r="A1836" t="inlineStr">
        <is>
          <t>SYR|mit.inv.tot.1</t>
        </is>
      </c>
      <c r="B1836" t="inlineStr">
        <is>
          <t>SYR</t>
        </is>
      </c>
      <c r="C1836" t="inlineStr">
        <is>
          <t>mit.inv.tot.1</t>
        </is>
      </c>
      <c r="D1836" t="n">
        <v>0</v>
      </c>
      <c r="E1836" t="n">
        <v>1.372952552</v>
      </c>
      <c r="F1836" t="n">
        <v>1.60641025</v>
      </c>
      <c r="G1836" t="n">
        <v>2.329415437</v>
      </c>
      <c r="H1836" t="n">
        <v>3.237726196</v>
      </c>
    </row>
    <row r="1837">
      <c r="A1837" t="inlineStr">
        <is>
          <t>TCD|mit.inv.tot.1</t>
        </is>
      </c>
      <c r="B1837" t="inlineStr">
        <is>
          <t>TCD</t>
        </is>
      </c>
      <c r="C1837" t="inlineStr">
        <is>
          <t>mit.inv.tot.1</t>
        </is>
      </c>
      <c r="D1837" t="n">
        <v>0</v>
      </c>
      <c r="E1837" t="n">
        <v>0.1062727377</v>
      </c>
      <c r="F1837" t="n">
        <v>0.1331354297</v>
      </c>
      <c r="G1837" t="n">
        <v>0.2014475964</v>
      </c>
      <c r="H1837" t="n">
        <v>0.3038756996</v>
      </c>
    </row>
    <row r="1838">
      <c r="A1838" t="inlineStr">
        <is>
          <t>TGO|mit.inv.tot.1</t>
        </is>
      </c>
      <c r="B1838" t="inlineStr">
        <is>
          <t>TGO</t>
        </is>
      </c>
      <c r="C1838" t="inlineStr">
        <is>
          <t>mit.inv.tot.1</t>
        </is>
      </c>
      <c r="D1838" t="n">
        <v>0</v>
      </c>
      <c r="E1838" t="n">
        <v>0.10568933</v>
      </c>
      <c r="F1838" t="n">
        <v>0.1165111961</v>
      </c>
      <c r="G1838" t="n">
        <v>0.1486352387</v>
      </c>
      <c r="H1838" t="n">
        <v>0.2108022336</v>
      </c>
    </row>
    <row r="1839">
      <c r="A1839" t="inlineStr">
        <is>
          <t>THA|mit.inv.tot.1</t>
        </is>
      </c>
      <c r="B1839" t="inlineStr">
        <is>
          <t>THA</t>
        </is>
      </c>
      <c r="C1839" t="inlineStr">
        <is>
          <t>mit.inv.tot.1</t>
        </is>
      </c>
      <c r="D1839" t="n">
        <v>0</v>
      </c>
      <c r="E1839" t="n">
        <v>5.632014538</v>
      </c>
      <c r="F1839" t="n">
        <v>5.625655237</v>
      </c>
      <c r="G1839" t="n">
        <v>7.083781583</v>
      </c>
      <c r="H1839" t="n">
        <v>8.667217452999999</v>
      </c>
    </row>
    <row r="1840">
      <c r="A1840" t="inlineStr">
        <is>
          <t>TJK|mit.inv.tot.1</t>
        </is>
      </c>
      <c r="B1840" t="inlineStr">
        <is>
          <t>TJK</t>
        </is>
      </c>
      <c r="C1840" t="inlineStr">
        <is>
          <t>mit.inv.tot.1</t>
        </is>
      </c>
      <c r="D1840" t="n">
        <v>0</v>
      </c>
      <c r="E1840" t="n">
        <v>0.3560648927</v>
      </c>
      <c r="F1840" t="n">
        <v>0.5168011803</v>
      </c>
      <c r="G1840" t="n">
        <v>0.6530389205</v>
      </c>
      <c r="H1840" t="n">
        <v>0.8628810122</v>
      </c>
    </row>
    <row r="1841">
      <c r="A1841" t="inlineStr">
        <is>
          <t>TKM|mit.inv.tot.1</t>
        </is>
      </c>
      <c r="B1841" t="inlineStr">
        <is>
          <t>TKM</t>
        </is>
      </c>
      <c r="C1841" t="inlineStr">
        <is>
          <t>mit.inv.tot.1</t>
        </is>
      </c>
      <c r="D1841" t="n">
        <v>0</v>
      </c>
      <c r="E1841" t="n">
        <v>0.5997623515</v>
      </c>
      <c r="F1841" t="n">
        <v>0.6272662217</v>
      </c>
      <c r="G1841" t="n">
        <v>0.7647436027</v>
      </c>
      <c r="H1841" t="n">
        <v>0.9666286965999999</v>
      </c>
    </row>
    <row r="1842">
      <c r="A1842" t="inlineStr">
        <is>
          <t>TLS|mit.inv.tot.1</t>
        </is>
      </c>
      <c r="B1842" t="inlineStr">
        <is>
          <t>TLS</t>
        </is>
      </c>
      <c r="C1842" t="inlineStr">
        <is>
          <t>mit.inv.tot.1</t>
        </is>
      </c>
      <c r="D1842" t="n">
        <v>0</v>
      </c>
      <c r="E1842" t="n">
        <v>0.01880768329</v>
      </c>
      <c r="F1842" t="n">
        <v>0.02122669083</v>
      </c>
      <c r="G1842" t="n">
        <v>0.02676858298</v>
      </c>
      <c r="H1842" t="n">
        <v>0.03632368949</v>
      </c>
    </row>
    <row r="1843">
      <c r="A1843" t="inlineStr">
        <is>
          <t>TON|mit.inv.tot.1</t>
        </is>
      </c>
      <c r="B1843" t="inlineStr">
        <is>
          <t>TON</t>
        </is>
      </c>
      <c r="C1843" t="inlineStr">
        <is>
          <t>mit.inv.tot.1</t>
        </is>
      </c>
      <c r="D1843" t="n">
        <v>0</v>
      </c>
      <c r="E1843" t="n">
        <v>0.005724002299</v>
      </c>
      <c r="F1843" t="n">
        <v>0.006023303101</v>
      </c>
      <c r="G1843" t="n">
        <v>0.006862533724</v>
      </c>
      <c r="H1843" t="n">
        <v>0.008501432795</v>
      </c>
    </row>
    <row r="1844">
      <c r="A1844" t="inlineStr">
        <is>
          <t>TTO|mit.inv.tot.1</t>
        </is>
      </c>
      <c r="B1844" t="inlineStr">
        <is>
          <t>TTO</t>
        </is>
      </c>
      <c r="C1844" t="inlineStr">
        <is>
          <t>mit.inv.tot.1</t>
        </is>
      </c>
      <c r="D1844" t="n">
        <v>0</v>
      </c>
      <c r="E1844" t="n">
        <v>0.2256186693</v>
      </c>
      <c r="F1844" t="n">
        <v>0.2348109523</v>
      </c>
      <c r="G1844" t="n">
        <v>0.2601572682</v>
      </c>
      <c r="H1844" t="n">
        <v>0.28711711</v>
      </c>
    </row>
    <row r="1845">
      <c r="A1845" t="inlineStr">
        <is>
          <t>TUN|mit.inv.tot.1</t>
        </is>
      </c>
      <c r="B1845" t="inlineStr">
        <is>
          <t>TUN</t>
        </is>
      </c>
      <c r="C1845" t="inlineStr">
        <is>
          <t>mit.inv.tot.1</t>
        </is>
      </c>
      <c r="D1845" t="n">
        <v>0</v>
      </c>
      <c r="E1845" t="n">
        <v>0.6238601652</v>
      </c>
      <c r="F1845" t="n">
        <v>0.6844347869</v>
      </c>
      <c r="G1845" t="n">
        <v>0.9381919673</v>
      </c>
      <c r="H1845" t="n">
        <v>1.240862161</v>
      </c>
    </row>
    <row r="1846">
      <c r="A1846" t="inlineStr">
        <is>
          <t>TUR|mit.inv.tot.1</t>
        </is>
      </c>
      <c r="B1846" t="inlineStr">
        <is>
          <t>TUR</t>
        </is>
      </c>
      <c r="C1846" t="inlineStr">
        <is>
          <t>mit.inv.tot.1</t>
        </is>
      </c>
      <c r="D1846" t="n">
        <v>0</v>
      </c>
      <c r="E1846" t="n">
        <v>13.85012203</v>
      </c>
      <c r="F1846" t="n">
        <v>15.10341671</v>
      </c>
      <c r="G1846" t="n">
        <v>17.87785622</v>
      </c>
      <c r="H1846" t="n">
        <v>21.70110603</v>
      </c>
    </row>
    <row r="1847">
      <c r="A1847" t="inlineStr">
        <is>
          <t>TZA|mit.inv.tot.1</t>
        </is>
      </c>
      <c r="B1847" t="inlineStr">
        <is>
          <t>TZA</t>
        </is>
      </c>
      <c r="C1847" t="inlineStr">
        <is>
          <t>mit.inv.tot.1</t>
        </is>
      </c>
      <c r="D1847" t="n">
        <v>0</v>
      </c>
      <c r="E1847" t="n">
        <v>0.5745525017999999</v>
      </c>
      <c r="F1847" t="n">
        <v>0.7136714368</v>
      </c>
      <c r="G1847" t="n">
        <v>0.9890389069</v>
      </c>
      <c r="H1847" t="n">
        <v>1.446678602</v>
      </c>
    </row>
    <row r="1848">
      <c r="A1848" t="inlineStr">
        <is>
          <t>UGA|mit.inv.tot.1</t>
        </is>
      </c>
      <c r="B1848" t="inlineStr">
        <is>
          <t>UGA</t>
        </is>
      </c>
      <c r="C1848" t="inlineStr">
        <is>
          <t>mit.inv.tot.1</t>
        </is>
      </c>
      <c r="D1848" t="n">
        <v>0</v>
      </c>
      <c r="E1848" t="n">
        <v>0.3930269436</v>
      </c>
      <c r="F1848" t="n">
        <v>0.540689106</v>
      </c>
      <c r="G1848" t="n">
        <v>0.782494923</v>
      </c>
      <c r="H1848" t="n">
        <v>1.136106482</v>
      </c>
    </row>
    <row r="1849">
      <c r="A1849" t="inlineStr">
        <is>
          <t>UKR|mit.inv.tot.1</t>
        </is>
      </c>
      <c r="B1849" t="inlineStr">
        <is>
          <t>UKR</t>
        </is>
      </c>
      <c r="C1849" t="inlineStr">
        <is>
          <t>mit.inv.tot.1</t>
        </is>
      </c>
      <c r="D1849" t="n">
        <v>0</v>
      </c>
      <c r="E1849" t="n">
        <v>3.289551671</v>
      </c>
      <c r="F1849" t="n">
        <v>4.228887984</v>
      </c>
      <c r="G1849" t="n">
        <v>5.382946834</v>
      </c>
      <c r="H1849" t="n">
        <v>6.662205152</v>
      </c>
    </row>
    <row r="1850">
      <c r="A1850" t="inlineStr">
        <is>
          <t>URY|mit.inv.tot.1</t>
        </is>
      </c>
      <c r="B1850" t="inlineStr">
        <is>
          <t>URY</t>
        </is>
      </c>
      <c r="C1850" t="inlineStr">
        <is>
          <t>mit.inv.tot.1</t>
        </is>
      </c>
      <c r="D1850" t="n">
        <v>0</v>
      </c>
      <c r="E1850" t="n">
        <v>0.6911021013999999</v>
      </c>
      <c r="F1850" t="n">
        <v>0.5792712849</v>
      </c>
      <c r="G1850" t="n">
        <v>0.5998416463</v>
      </c>
      <c r="H1850" t="n">
        <v>0.6465145244</v>
      </c>
    </row>
    <row r="1851">
      <c r="A1851" t="inlineStr">
        <is>
          <t>USA|mit.inv.tot.1</t>
        </is>
      </c>
      <c r="B1851" t="inlineStr">
        <is>
          <t>USA</t>
        </is>
      </c>
      <c r="C1851" t="inlineStr">
        <is>
          <t>mit.inv.tot.1</t>
        </is>
      </c>
      <c r="D1851" t="n">
        <v>0</v>
      </c>
      <c r="E1851" t="n">
        <v>474.7474932</v>
      </c>
      <c r="F1851" t="n">
        <v>487.162543</v>
      </c>
      <c r="G1851" t="n">
        <v>487.5166449</v>
      </c>
      <c r="H1851" t="n">
        <v>524.9405925</v>
      </c>
    </row>
    <row r="1852">
      <c r="A1852" t="inlineStr">
        <is>
          <t>UZB|mit.inv.tot.1</t>
        </is>
      </c>
      <c r="B1852" t="inlineStr">
        <is>
          <t>UZB</t>
        </is>
      </c>
      <c r="C1852" t="inlineStr">
        <is>
          <t>mit.inv.tot.1</t>
        </is>
      </c>
      <c r="D1852" t="n">
        <v>0</v>
      </c>
      <c r="E1852" t="n">
        <v>3.283674247</v>
      </c>
      <c r="F1852" t="n">
        <v>3.693469115</v>
      </c>
      <c r="G1852" t="n">
        <v>4.597425965</v>
      </c>
      <c r="H1852" t="n">
        <v>5.958451276</v>
      </c>
    </row>
    <row r="1853">
      <c r="A1853" t="inlineStr">
        <is>
          <t>VCT|mit.inv.tot.1</t>
        </is>
      </c>
      <c r="B1853" t="inlineStr">
        <is>
          <t>VCT</t>
        </is>
      </c>
      <c r="C1853" t="inlineStr">
        <is>
          <t>mit.inv.tot.1</t>
        </is>
      </c>
      <c r="D1853" t="n">
        <v>0</v>
      </c>
      <c r="E1853" t="n">
        <v>0.00851566881</v>
      </c>
      <c r="F1853" t="n">
        <v>0.009323422692</v>
      </c>
      <c r="G1853" t="n">
        <v>0.01125438009</v>
      </c>
      <c r="H1853" t="n">
        <v>0.01432695244</v>
      </c>
    </row>
    <row r="1854">
      <c r="A1854" t="inlineStr">
        <is>
          <t>VEN|mit.inv.tot.1</t>
        </is>
      </c>
      <c r="B1854" t="inlineStr">
        <is>
          <t>VEN</t>
        </is>
      </c>
      <c r="C1854" t="inlineStr">
        <is>
          <t>mit.inv.tot.1</t>
        </is>
      </c>
      <c r="D1854" t="n">
        <v>0</v>
      </c>
      <c r="E1854" t="n">
        <v>1.702744688</v>
      </c>
      <c r="F1854" t="n">
        <v>2.042375491</v>
      </c>
      <c r="G1854" t="n">
        <v>2.311224333</v>
      </c>
      <c r="H1854" t="n">
        <v>2.755090016</v>
      </c>
    </row>
    <row r="1855">
      <c r="A1855" t="inlineStr">
        <is>
          <t>VNM|mit.inv.tot.1</t>
        </is>
      </c>
      <c r="B1855" t="inlineStr">
        <is>
          <t>VNM</t>
        </is>
      </c>
      <c r="C1855" t="inlineStr">
        <is>
          <t>mit.inv.tot.1</t>
        </is>
      </c>
      <c r="D1855" t="n">
        <v>0</v>
      </c>
      <c r="E1855" t="n">
        <v>9.775074722999999</v>
      </c>
      <c r="F1855" t="n">
        <v>10.854829</v>
      </c>
      <c r="G1855" t="n">
        <v>12.71708588</v>
      </c>
      <c r="H1855" t="n">
        <v>16.6003321</v>
      </c>
    </row>
    <row r="1856">
      <c r="A1856" t="inlineStr">
        <is>
          <t>VUT|mit.inv.tot.1</t>
        </is>
      </c>
      <c r="B1856" t="inlineStr">
        <is>
          <t>VUT</t>
        </is>
      </c>
      <c r="C1856" t="inlineStr">
        <is>
          <t>mit.inv.tot.1</t>
        </is>
      </c>
      <c r="D1856" t="n">
        <v>0</v>
      </c>
      <c r="E1856" t="n">
        <v>0.01006970522</v>
      </c>
      <c r="F1856" t="n">
        <v>0.01172451959</v>
      </c>
      <c r="G1856" t="n">
        <v>0.01437708484</v>
      </c>
      <c r="H1856" t="n">
        <v>0.01948420438</v>
      </c>
    </row>
    <row r="1857">
      <c r="A1857" t="inlineStr">
        <is>
          <t>WSM|mit.inv.tot.1</t>
        </is>
      </c>
      <c r="B1857" t="inlineStr">
        <is>
          <t>WSM</t>
        </is>
      </c>
      <c r="C1857" t="inlineStr">
        <is>
          <t>mit.inv.tot.1</t>
        </is>
      </c>
      <c r="D1857" t="n">
        <v>0</v>
      </c>
      <c r="E1857" t="n">
        <v>0.01135758802</v>
      </c>
      <c r="F1857" t="n">
        <v>0.01172992533</v>
      </c>
      <c r="G1857" t="n">
        <v>0.01332825982</v>
      </c>
      <c r="H1857" t="n">
        <v>0.01639423508</v>
      </c>
    </row>
    <row r="1858">
      <c r="A1858" t="inlineStr">
        <is>
          <t>XKX|mit.inv.tot.1</t>
        </is>
      </c>
      <c r="B1858" t="inlineStr">
        <is>
          <t>XKX</t>
        </is>
      </c>
      <c r="C1858" t="inlineStr">
        <is>
          <t>mit.inv.tot.1</t>
        </is>
      </c>
      <c r="D1858" t="n">
        <v>0</v>
      </c>
      <c r="E1858" t="n">
        <v>0.1768288379</v>
      </c>
      <c r="F1858" t="n">
        <v>0.1943180169</v>
      </c>
      <c r="G1858" t="n">
        <v>0.2498039261</v>
      </c>
      <c r="H1858" t="n">
        <v>0.3148810223</v>
      </c>
    </row>
    <row r="1859">
      <c r="A1859" t="inlineStr">
        <is>
          <t>YEM|mit.inv.tot.1</t>
        </is>
      </c>
      <c r="B1859" t="inlineStr">
        <is>
          <t>YEM</t>
        </is>
      </c>
      <c r="C1859" t="inlineStr">
        <is>
          <t>mit.inv.tot.1</t>
        </is>
      </c>
      <c r="D1859" t="n">
        <v>0</v>
      </c>
      <c r="E1859" t="n">
        <v>0.1113748323</v>
      </c>
      <c r="F1859" t="n">
        <v>0.152502833</v>
      </c>
      <c r="G1859" t="n">
        <v>0.2393359432</v>
      </c>
      <c r="H1859" t="n">
        <v>0.3217669844</v>
      </c>
    </row>
    <row r="1860">
      <c r="A1860" t="inlineStr">
        <is>
          <t>ZAF|mit.inv.tot.1</t>
        </is>
      </c>
      <c r="B1860" t="inlineStr">
        <is>
          <t>ZAF</t>
        </is>
      </c>
      <c r="C1860" t="inlineStr">
        <is>
          <t>mit.inv.tot.1</t>
        </is>
      </c>
      <c r="D1860" t="n">
        <v>0</v>
      </c>
      <c r="E1860" t="n">
        <v>5.408714018</v>
      </c>
      <c r="F1860" t="n">
        <v>5.805976059</v>
      </c>
      <c r="G1860" t="n">
        <v>7.402095352</v>
      </c>
      <c r="H1860" t="n">
        <v>8.500225926000001</v>
      </c>
    </row>
    <row r="1861">
      <c r="A1861" t="inlineStr">
        <is>
          <t>ZMB|mit.inv.tot.1</t>
        </is>
      </c>
      <c r="B1861" t="inlineStr">
        <is>
          <t>ZMB</t>
        </is>
      </c>
      <c r="C1861" t="inlineStr">
        <is>
          <t>mit.inv.tot.1</t>
        </is>
      </c>
      <c r="D1861" t="n">
        <v>0</v>
      </c>
      <c r="E1861" t="n">
        <v>0.3992447346</v>
      </c>
      <c r="F1861" t="n">
        <v>0.5173151738</v>
      </c>
      <c r="G1861" t="n">
        <v>0.6776862672</v>
      </c>
      <c r="H1861" t="n">
        <v>0.8777140002</v>
      </c>
    </row>
    <row r="1862">
      <c r="A1862" t="inlineStr">
        <is>
          <t>ZWE|mit.inv.tot.1</t>
        </is>
      </c>
      <c r="B1862" t="inlineStr">
        <is>
          <t>ZWE</t>
        </is>
      </c>
      <c r="C1862" t="inlineStr">
        <is>
          <t>mit.inv.tot.1</t>
        </is>
      </c>
      <c r="D1862" t="n">
        <v>0</v>
      </c>
      <c r="E1862" t="n">
        <v>0.625461845</v>
      </c>
      <c r="F1862" t="n">
        <v>0.6166036073</v>
      </c>
      <c r="G1862" t="n">
        <v>0.8571530764</v>
      </c>
      <c r="H1862" t="n">
        <v>1.212265469</v>
      </c>
    </row>
    <row r="1863">
      <c r="A1863" t="inlineStr">
        <is>
          <t>ABW|mit.inv.tot.2</t>
        </is>
      </c>
      <c r="B1863" t="inlineStr">
        <is>
          <t>ABW</t>
        </is>
      </c>
      <c r="C1863" t="inlineStr">
        <is>
          <t>mit.inv.tot.2</t>
        </is>
      </c>
      <c r="D1863" t="n">
        <v>0</v>
      </c>
      <c r="E1863" t="n">
        <v>0.1523815527</v>
      </c>
      <c r="F1863" t="n">
        <v>0.1673187103</v>
      </c>
      <c r="G1863" t="n">
        <v>0.2320994287</v>
      </c>
      <c r="H1863" t="n">
        <v>0.2086932425</v>
      </c>
    </row>
    <row r="1864">
      <c r="A1864" t="inlineStr">
        <is>
          <t>AFG|mit.inv.tot.2</t>
        </is>
      </c>
      <c r="B1864" t="inlineStr">
        <is>
          <t>AFG</t>
        </is>
      </c>
      <c r="C1864" t="inlineStr">
        <is>
          <t>mit.inv.tot.2</t>
        </is>
      </c>
      <c r="D1864" t="n">
        <v>0</v>
      </c>
      <c r="E1864" t="n">
        <v>0.4990976585</v>
      </c>
      <c r="F1864" t="n">
        <v>0.9369416647</v>
      </c>
      <c r="G1864" t="n">
        <v>1.371071701</v>
      </c>
      <c r="H1864" t="n">
        <v>1.785948221</v>
      </c>
    </row>
    <row r="1865">
      <c r="A1865" t="inlineStr">
        <is>
          <t>AGO|mit.inv.tot.2</t>
        </is>
      </c>
      <c r="B1865" t="inlineStr">
        <is>
          <t>AGO</t>
        </is>
      </c>
      <c r="C1865" t="inlineStr">
        <is>
          <t>mit.inv.tot.2</t>
        </is>
      </c>
      <c r="D1865" t="n">
        <v>0</v>
      </c>
      <c r="E1865" t="n">
        <v>2.152877095</v>
      </c>
      <c r="F1865" t="n">
        <v>4.8735136</v>
      </c>
      <c r="G1865" t="n">
        <v>6.284119451</v>
      </c>
      <c r="H1865" t="n">
        <v>7.550838689</v>
      </c>
    </row>
    <row r="1866">
      <c r="A1866" t="inlineStr">
        <is>
          <t>ALB|mit.inv.tot.2</t>
        </is>
      </c>
      <c r="B1866" t="inlineStr">
        <is>
          <t>ALB</t>
        </is>
      </c>
      <c r="C1866" t="inlineStr">
        <is>
          <t>mit.inv.tot.2</t>
        </is>
      </c>
      <c r="D1866" t="n">
        <v>0</v>
      </c>
      <c r="E1866" t="n">
        <v>0.4153932939</v>
      </c>
      <c r="F1866" t="n">
        <v>0.5593766659</v>
      </c>
      <c r="G1866" t="n">
        <v>0.7448442376</v>
      </c>
      <c r="H1866" t="n">
        <v>0.9213897906</v>
      </c>
    </row>
    <row r="1867">
      <c r="A1867" t="inlineStr">
        <is>
          <t>ARE|mit.inv.tot.2</t>
        </is>
      </c>
      <c r="B1867" t="inlineStr">
        <is>
          <t>ARE</t>
        </is>
      </c>
      <c r="C1867" t="inlineStr">
        <is>
          <t>mit.inv.tot.2</t>
        </is>
      </c>
      <c r="D1867" t="n">
        <v>0</v>
      </c>
      <c r="E1867" t="n">
        <v>19.78378417</v>
      </c>
      <c r="F1867" t="n">
        <v>22.97425982</v>
      </c>
      <c r="G1867" t="n">
        <v>31.41563186</v>
      </c>
      <c r="H1867" t="n">
        <v>30.44074215</v>
      </c>
    </row>
    <row r="1868">
      <c r="A1868" t="inlineStr">
        <is>
          <t>ARG|mit.inv.tot.2</t>
        </is>
      </c>
      <c r="B1868" t="inlineStr">
        <is>
          <t>ARG</t>
        </is>
      </c>
      <c r="C1868" t="inlineStr">
        <is>
          <t>mit.inv.tot.2</t>
        </is>
      </c>
      <c r="D1868" t="n">
        <v>0</v>
      </c>
      <c r="E1868" t="n">
        <v>14.8231051</v>
      </c>
      <c r="F1868" t="n">
        <v>21.00067406</v>
      </c>
      <c r="G1868" t="n">
        <v>26.03581433</v>
      </c>
      <c r="H1868" t="n">
        <v>26.58766513</v>
      </c>
    </row>
    <row r="1869">
      <c r="A1869" t="inlineStr">
        <is>
          <t>ARM|mit.inv.tot.2</t>
        </is>
      </c>
      <c r="B1869" t="inlineStr">
        <is>
          <t>ARM</t>
        </is>
      </c>
      <c r="C1869" t="inlineStr">
        <is>
          <t>mit.inv.tot.2</t>
        </is>
      </c>
      <c r="D1869" t="n">
        <v>0</v>
      </c>
      <c r="E1869" t="n">
        <v>0.9592148055</v>
      </c>
      <c r="F1869" t="n">
        <v>1.150805057</v>
      </c>
      <c r="G1869" t="n">
        <v>1.538505373</v>
      </c>
      <c r="H1869" t="n">
        <v>1.668289243</v>
      </c>
    </row>
    <row r="1870">
      <c r="A1870" t="inlineStr">
        <is>
          <t>ATG|mit.inv.tot.2</t>
        </is>
      </c>
      <c r="B1870" t="inlineStr">
        <is>
          <t>ATG</t>
        </is>
      </c>
      <c r="C1870" t="inlineStr">
        <is>
          <t>mit.inv.tot.2</t>
        </is>
      </c>
      <c r="D1870" t="n">
        <v>0</v>
      </c>
      <c r="E1870" t="n">
        <v>0.08031563483</v>
      </c>
      <c r="F1870" t="n">
        <v>0.1038435204</v>
      </c>
      <c r="G1870" t="n">
        <v>0.1479911233</v>
      </c>
      <c r="H1870" t="n">
        <v>0.1384450874</v>
      </c>
    </row>
    <row r="1871">
      <c r="A1871" t="inlineStr">
        <is>
          <t>AUS|mit.inv.tot.2</t>
        </is>
      </c>
      <c r="B1871" t="inlineStr">
        <is>
          <t>AUS</t>
        </is>
      </c>
      <c r="C1871" t="inlineStr">
        <is>
          <t>mit.inv.tot.2</t>
        </is>
      </c>
      <c r="D1871" t="n">
        <v>0</v>
      </c>
      <c r="E1871" t="n">
        <v>61.01488948</v>
      </c>
      <c r="F1871" t="n">
        <v>81.33952771</v>
      </c>
      <c r="G1871" t="n">
        <v>73.7558478</v>
      </c>
      <c r="H1871" t="n">
        <v>73.57331996000001</v>
      </c>
    </row>
    <row r="1872">
      <c r="A1872" t="inlineStr">
        <is>
          <t>AUT|mit.inv.tot.2</t>
        </is>
      </c>
      <c r="B1872" t="inlineStr">
        <is>
          <t>AUT</t>
        </is>
      </c>
      <c r="C1872" t="inlineStr">
        <is>
          <t>mit.inv.tot.2</t>
        </is>
      </c>
      <c r="D1872" t="n">
        <v>0</v>
      </c>
      <c r="E1872" t="n">
        <v>12.32583639</v>
      </c>
      <c r="F1872" t="n">
        <v>14.40669277</v>
      </c>
      <c r="G1872" t="n">
        <v>14.49914661</v>
      </c>
      <c r="H1872" t="n">
        <v>14.40263157</v>
      </c>
    </row>
    <row r="1873">
      <c r="A1873" t="inlineStr">
        <is>
          <t>AZE|mit.inv.tot.2</t>
        </is>
      </c>
      <c r="B1873" t="inlineStr">
        <is>
          <t>AZE</t>
        </is>
      </c>
      <c r="C1873" t="inlineStr">
        <is>
          <t>mit.inv.tot.2</t>
        </is>
      </c>
      <c r="D1873" t="n">
        <v>0</v>
      </c>
      <c r="E1873" t="n">
        <v>2.572848206</v>
      </c>
      <c r="F1873" t="n">
        <v>3.72999589</v>
      </c>
      <c r="G1873" t="n">
        <v>6.218063229</v>
      </c>
      <c r="H1873" t="n">
        <v>6.022174553</v>
      </c>
    </row>
    <row r="1874">
      <c r="A1874" t="inlineStr">
        <is>
          <t>BDI|mit.inv.tot.2</t>
        </is>
      </c>
      <c r="B1874" t="inlineStr">
        <is>
          <t>BDI</t>
        </is>
      </c>
      <c r="C1874" t="inlineStr">
        <is>
          <t>mit.inv.tot.2</t>
        </is>
      </c>
      <c r="D1874" t="n">
        <v>0</v>
      </c>
      <c r="E1874" t="n">
        <v>0.0917459038</v>
      </c>
      <c r="F1874" t="n">
        <v>0.3244183494</v>
      </c>
      <c r="G1874" t="n">
        <v>0.4173333079</v>
      </c>
      <c r="H1874" t="n">
        <v>0.5001308184</v>
      </c>
    </row>
    <row r="1875">
      <c r="A1875" t="inlineStr">
        <is>
          <t>BEL|mit.inv.tot.2</t>
        </is>
      </c>
      <c r="B1875" t="inlineStr">
        <is>
          <t>BEL</t>
        </is>
      </c>
      <c r="C1875" t="inlineStr">
        <is>
          <t>mit.inv.tot.2</t>
        </is>
      </c>
      <c r="D1875" t="n">
        <v>0</v>
      </c>
      <c r="E1875" t="n">
        <v>17.68566312</v>
      </c>
      <c r="F1875" t="n">
        <v>20.22326157</v>
      </c>
      <c r="G1875" t="n">
        <v>20.6755635</v>
      </c>
      <c r="H1875" t="n">
        <v>18.74852178</v>
      </c>
    </row>
    <row r="1876">
      <c r="A1876" t="inlineStr">
        <is>
          <t>BEN|mit.inv.tot.2</t>
        </is>
      </c>
      <c r="B1876" t="inlineStr">
        <is>
          <t>BEN</t>
        </is>
      </c>
      <c r="C1876" t="inlineStr">
        <is>
          <t>mit.inv.tot.2</t>
        </is>
      </c>
      <c r="D1876" t="n">
        <v>0</v>
      </c>
      <c r="E1876" t="n">
        <v>0.4289328614</v>
      </c>
      <c r="F1876" t="n">
        <v>1.232080311</v>
      </c>
      <c r="G1876" t="n">
        <v>1.682782653</v>
      </c>
      <c r="H1876" t="n">
        <v>1.999670714</v>
      </c>
    </row>
    <row r="1877">
      <c r="A1877" t="inlineStr">
        <is>
          <t>BFA|mit.inv.tot.2</t>
        </is>
      </c>
      <c r="B1877" t="inlineStr">
        <is>
          <t>BFA</t>
        </is>
      </c>
      <c r="C1877" t="inlineStr">
        <is>
          <t>mit.inv.tot.2</t>
        </is>
      </c>
      <c r="D1877" t="n">
        <v>0</v>
      </c>
      <c r="E1877" t="n">
        <v>0.6751632779</v>
      </c>
      <c r="F1877" t="n">
        <v>2.221963042</v>
      </c>
      <c r="G1877" t="n">
        <v>2.93456316</v>
      </c>
      <c r="H1877" t="n">
        <v>3.380224294</v>
      </c>
    </row>
    <row r="1878">
      <c r="A1878" t="inlineStr">
        <is>
          <t>BGD|mit.inv.tot.2</t>
        </is>
      </c>
      <c r="B1878" t="inlineStr">
        <is>
          <t>BGD</t>
        </is>
      </c>
      <c r="C1878" t="inlineStr">
        <is>
          <t>mit.inv.tot.2</t>
        </is>
      </c>
      <c r="D1878" t="n">
        <v>0</v>
      </c>
      <c r="E1878" t="n">
        <v>9.244966917999999</v>
      </c>
      <c r="F1878" t="n">
        <v>15.42444596</v>
      </c>
      <c r="G1878" t="n">
        <v>26.36396596</v>
      </c>
      <c r="H1878" t="n">
        <v>28.43865282</v>
      </c>
    </row>
    <row r="1879">
      <c r="A1879" t="inlineStr">
        <is>
          <t>BGR|mit.inv.tot.2</t>
        </is>
      </c>
      <c r="B1879" t="inlineStr">
        <is>
          <t>BGR</t>
        </is>
      </c>
      <c r="C1879" t="inlineStr">
        <is>
          <t>mit.inv.tot.2</t>
        </is>
      </c>
      <c r="D1879" t="n">
        <v>0</v>
      </c>
      <c r="E1879" t="n">
        <v>2.920704613</v>
      </c>
      <c r="F1879" t="n">
        <v>4.157921087</v>
      </c>
      <c r="G1879" t="n">
        <v>5.562582007</v>
      </c>
      <c r="H1879" t="n">
        <v>6.760439723</v>
      </c>
    </row>
    <row r="1880">
      <c r="A1880" t="inlineStr">
        <is>
          <t>BHR|mit.inv.tot.2</t>
        </is>
      </c>
      <c r="B1880" t="inlineStr">
        <is>
          <t>BHR</t>
        </is>
      </c>
      <c r="C1880" t="inlineStr">
        <is>
          <t>mit.inv.tot.2</t>
        </is>
      </c>
      <c r="D1880" t="n">
        <v>0</v>
      </c>
      <c r="E1880" t="n">
        <v>1.882718546</v>
      </c>
      <c r="F1880" t="n">
        <v>2.328445512</v>
      </c>
      <c r="G1880" t="n">
        <v>3.487864169</v>
      </c>
      <c r="H1880" t="n">
        <v>3.18359657</v>
      </c>
    </row>
    <row r="1881">
      <c r="A1881" t="inlineStr">
        <is>
          <t>BHS|mit.inv.tot.2</t>
        </is>
      </c>
      <c r="B1881" t="inlineStr">
        <is>
          <t>BHS</t>
        </is>
      </c>
      <c r="C1881" t="inlineStr">
        <is>
          <t>mit.inv.tot.2</t>
        </is>
      </c>
      <c r="D1881" t="n">
        <v>0</v>
      </c>
      <c r="E1881" t="n">
        <v>0.395671266</v>
      </c>
      <c r="F1881" t="n">
        <v>0.4501964084</v>
      </c>
      <c r="G1881" t="n">
        <v>0.6152245968</v>
      </c>
      <c r="H1881" t="n">
        <v>0.537207316</v>
      </c>
    </row>
    <row r="1882">
      <c r="A1882" t="inlineStr">
        <is>
          <t>BIH|mit.inv.tot.2</t>
        </is>
      </c>
      <c r="B1882" t="inlineStr">
        <is>
          <t>BIH</t>
        </is>
      </c>
      <c r="C1882" t="inlineStr">
        <is>
          <t>mit.inv.tot.2</t>
        </is>
      </c>
      <c r="D1882" t="n">
        <v>0</v>
      </c>
      <c r="E1882" t="n">
        <v>0.9331893667</v>
      </c>
      <c r="F1882" t="n">
        <v>1.373319468</v>
      </c>
      <c r="G1882" t="n">
        <v>2.287805828</v>
      </c>
      <c r="H1882" t="n">
        <v>2.366870742</v>
      </c>
    </row>
    <row r="1883">
      <c r="A1883" t="inlineStr">
        <is>
          <t>BLR|mit.inv.tot.2</t>
        </is>
      </c>
      <c r="B1883" t="inlineStr">
        <is>
          <t>BLR</t>
        </is>
      </c>
      <c r="C1883" t="inlineStr">
        <is>
          <t>mit.inv.tot.2</t>
        </is>
      </c>
      <c r="D1883" t="n">
        <v>0</v>
      </c>
      <c r="E1883" t="n">
        <v>2.806226506</v>
      </c>
      <c r="F1883" t="n">
        <v>3.96697695</v>
      </c>
      <c r="G1883" t="n">
        <v>6.645808271</v>
      </c>
      <c r="H1883" t="n">
        <v>7.398308844</v>
      </c>
    </row>
    <row r="1884">
      <c r="A1884" t="inlineStr">
        <is>
          <t>BLZ|mit.inv.tot.2</t>
        </is>
      </c>
      <c r="B1884" t="inlineStr">
        <is>
          <t>BLZ</t>
        </is>
      </c>
      <c r="C1884" t="inlineStr">
        <is>
          <t>mit.inv.tot.2</t>
        </is>
      </c>
      <c r="D1884" t="n">
        <v>0</v>
      </c>
      <c r="E1884" t="n">
        <v>0.1119576044</v>
      </c>
      <c r="F1884" t="n">
        <v>0.3596626498</v>
      </c>
      <c r="G1884" t="n">
        <v>0.3930061059</v>
      </c>
      <c r="H1884" t="n">
        <v>0.4158179016</v>
      </c>
    </row>
    <row r="1885">
      <c r="A1885" t="inlineStr">
        <is>
          <t>BOL|mit.inv.tot.2</t>
        </is>
      </c>
      <c r="B1885" t="inlineStr">
        <is>
          <t>BOL</t>
        </is>
      </c>
      <c r="C1885" t="inlineStr">
        <is>
          <t>mit.inv.tot.2</t>
        </is>
      </c>
      <c r="D1885" t="n">
        <v>0</v>
      </c>
      <c r="E1885" t="n">
        <v>1.803625299</v>
      </c>
      <c r="F1885" t="n">
        <v>5.118157073</v>
      </c>
      <c r="G1885" t="n">
        <v>6.364087736</v>
      </c>
      <c r="H1885" t="n">
        <v>7.12850605</v>
      </c>
    </row>
    <row r="1886">
      <c r="A1886" t="inlineStr">
        <is>
          <t>BRA|mit.inv.tot.2</t>
        </is>
      </c>
      <c r="B1886" t="inlineStr">
        <is>
          <t>BRA</t>
        </is>
      </c>
      <c r="C1886" t="inlineStr">
        <is>
          <t>mit.inv.tot.2</t>
        </is>
      </c>
      <c r="D1886" t="n">
        <v>0</v>
      </c>
      <c r="E1886" t="n">
        <v>46.26508753</v>
      </c>
      <c r="F1886" t="n">
        <v>83.66467113</v>
      </c>
      <c r="G1886" t="n">
        <v>111.2539895</v>
      </c>
      <c r="H1886" t="n">
        <v>130.0767458</v>
      </c>
    </row>
    <row r="1887">
      <c r="A1887" t="inlineStr">
        <is>
          <t>BRB|mit.inv.tot.2</t>
        </is>
      </c>
      <c r="B1887" t="inlineStr">
        <is>
          <t>BRB</t>
        </is>
      </c>
      <c r="C1887" t="inlineStr">
        <is>
          <t>mit.inv.tot.2</t>
        </is>
      </c>
      <c r="D1887" t="n">
        <v>0</v>
      </c>
      <c r="E1887" t="n">
        <v>0.1615780097</v>
      </c>
      <c r="F1887" t="n">
        <v>0.196625051</v>
      </c>
      <c r="G1887" t="n">
        <v>0.2738687381</v>
      </c>
      <c r="H1887" t="n">
        <v>0.2394552992</v>
      </c>
    </row>
    <row r="1888">
      <c r="A1888" t="inlineStr">
        <is>
          <t>BRN|mit.inv.tot.2</t>
        </is>
      </c>
      <c r="B1888" t="inlineStr">
        <is>
          <t>BRN</t>
        </is>
      </c>
      <c r="C1888" t="inlineStr">
        <is>
          <t>mit.inv.tot.2</t>
        </is>
      </c>
      <c r="D1888" t="n">
        <v>0</v>
      </c>
      <c r="E1888" t="n">
        <v>0.4499254804</v>
      </c>
      <c r="F1888" t="n">
        <v>0.6755584258</v>
      </c>
      <c r="G1888" t="n">
        <v>0.9806929316</v>
      </c>
      <c r="H1888" t="n">
        <v>0.9268732624</v>
      </c>
    </row>
    <row r="1889">
      <c r="A1889" t="inlineStr">
        <is>
          <t>BTN|mit.inv.tot.2</t>
        </is>
      </c>
      <c r="B1889" t="inlineStr">
        <is>
          <t>BTN</t>
        </is>
      </c>
      <c r="C1889" t="inlineStr">
        <is>
          <t>mit.inv.tot.2</t>
        </is>
      </c>
      <c r="D1889" t="n">
        <v>0</v>
      </c>
      <c r="E1889" t="n">
        <v>0.0559180421</v>
      </c>
      <c r="F1889" t="n">
        <v>0.1045301563</v>
      </c>
      <c r="G1889" t="n">
        <v>0.1653051653</v>
      </c>
      <c r="H1889" t="n">
        <v>0.3781295065</v>
      </c>
    </row>
    <row r="1890">
      <c r="A1890" t="inlineStr">
        <is>
          <t>BWA|mit.inv.tot.2</t>
        </is>
      </c>
      <c r="B1890" t="inlineStr">
        <is>
          <t>BWA</t>
        </is>
      </c>
      <c r="C1890" t="inlineStr">
        <is>
          <t>mit.inv.tot.2</t>
        </is>
      </c>
      <c r="D1890" t="n">
        <v>0</v>
      </c>
      <c r="E1890" t="n">
        <v>0.6151270902</v>
      </c>
      <c r="F1890" t="n">
        <v>2.487632757</v>
      </c>
      <c r="G1890" t="n">
        <v>2.81552104</v>
      </c>
      <c r="H1890" t="n">
        <v>2.770656425</v>
      </c>
    </row>
    <row r="1891">
      <c r="A1891" t="inlineStr">
        <is>
          <t>CAF|mit.inv.tot.2</t>
        </is>
      </c>
      <c r="B1891" t="inlineStr">
        <is>
          <t>CAF</t>
        </is>
      </c>
      <c r="C1891" t="inlineStr">
        <is>
          <t>mit.inv.tot.2</t>
        </is>
      </c>
      <c r="D1891" t="n">
        <v>0</v>
      </c>
      <c r="E1891" t="n">
        <v>0.3090686518</v>
      </c>
      <c r="F1891" t="n">
        <v>1.759130629</v>
      </c>
      <c r="G1891" t="n">
        <v>1.878907531</v>
      </c>
      <c r="H1891" t="n">
        <v>1.995728724</v>
      </c>
    </row>
    <row r="1892">
      <c r="A1892" t="inlineStr">
        <is>
          <t>CAN|mit.inv.tot.2</t>
        </is>
      </c>
      <c r="B1892" t="inlineStr">
        <is>
          <t>CAN</t>
        </is>
      </c>
      <c r="C1892" t="inlineStr">
        <is>
          <t>mit.inv.tot.2</t>
        </is>
      </c>
      <c r="D1892" t="n">
        <v>0</v>
      </c>
      <c r="E1892" t="n">
        <v>89.07138215000001</v>
      </c>
      <c r="F1892" t="n">
        <v>104.584483</v>
      </c>
      <c r="G1892" t="n">
        <v>105.8672499</v>
      </c>
      <c r="H1892" t="n">
        <v>98.89148949</v>
      </c>
    </row>
    <row r="1893">
      <c r="A1893" t="inlineStr">
        <is>
          <t>CHE|mit.inv.tot.2</t>
        </is>
      </c>
      <c r="B1893" t="inlineStr">
        <is>
          <t>CHE</t>
        </is>
      </c>
      <c r="C1893" t="inlineStr">
        <is>
          <t>mit.inv.tot.2</t>
        </is>
      </c>
      <c r="D1893" t="n">
        <v>0</v>
      </c>
      <c r="E1893" t="n">
        <v>14.84123252</v>
      </c>
      <c r="F1893" t="n">
        <v>16.65328474</v>
      </c>
      <c r="G1893" t="n">
        <v>18.29567718</v>
      </c>
      <c r="H1893" t="n">
        <v>18.71225825</v>
      </c>
    </row>
    <row r="1894">
      <c r="A1894" t="inlineStr">
        <is>
          <t>CHL|mit.inv.tot.2</t>
        </is>
      </c>
      <c r="B1894" t="inlineStr">
        <is>
          <t>CHL</t>
        </is>
      </c>
      <c r="C1894" t="inlineStr">
        <is>
          <t>mit.inv.tot.2</t>
        </is>
      </c>
      <c r="D1894" t="n">
        <v>0</v>
      </c>
      <c r="E1894" t="n">
        <v>7.050577704</v>
      </c>
      <c r="F1894" t="n">
        <v>9.403522240999999</v>
      </c>
      <c r="G1894" t="n">
        <v>12.06571789</v>
      </c>
      <c r="H1894" t="n">
        <v>11.3534991</v>
      </c>
    </row>
    <row r="1895">
      <c r="A1895" t="inlineStr">
        <is>
          <t>CHN|mit.inv.tot.2</t>
        </is>
      </c>
      <c r="B1895" t="inlineStr">
        <is>
          <t>CHN</t>
        </is>
      </c>
      <c r="C1895" t="inlineStr">
        <is>
          <t>mit.inv.tot.2</t>
        </is>
      </c>
      <c r="D1895" t="n">
        <v>0</v>
      </c>
      <c r="E1895" t="n">
        <v>1150.49247</v>
      </c>
      <c r="F1895" t="n">
        <v>1526.278861</v>
      </c>
      <c r="G1895" t="n">
        <v>2367.536073</v>
      </c>
      <c r="H1895" t="n">
        <v>2088.156234</v>
      </c>
    </row>
    <row r="1896">
      <c r="A1896" t="inlineStr">
        <is>
          <t>CIV|mit.inv.tot.2</t>
        </is>
      </c>
      <c r="B1896" t="inlineStr">
        <is>
          <t>CIV</t>
        </is>
      </c>
      <c r="C1896" t="inlineStr">
        <is>
          <t>mit.inv.tot.2</t>
        </is>
      </c>
      <c r="D1896" t="n">
        <v>0</v>
      </c>
      <c r="E1896" t="n">
        <v>1.167335354</v>
      </c>
      <c r="F1896" t="n">
        <v>1.918665088</v>
      </c>
      <c r="G1896" t="n">
        <v>3.000087332</v>
      </c>
      <c r="H1896" t="n">
        <v>3.636334216</v>
      </c>
    </row>
    <row r="1897">
      <c r="A1897" t="inlineStr">
        <is>
          <t>CMR|mit.inv.tot.2</t>
        </is>
      </c>
      <c r="B1897" t="inlineStr">
        <is>
          <t>CMR</t>
        </is>
      </c>
      <c r="C1897" t="inlineStr">
        <is>
          <t>mit.inv.tot.2</t>
        </is>
      </c>
      <c r="D1897" t="n">
        <v>0</v>
      </c>
      <c r="E1897" t="n">
        <v>0.8915354244</v>
      </c>
      <c r="F1897" t="n">
        <v>3.02289779</v>
      </c>
      <c r="G1897" t="n">
        <v>3.667982025</v>
      </c>
      <c r="H1897" t="n">
        <v>4.279081603</v>
      </c>
    </row>
    <row r="1898">
      <c r="A1898" t="inlineStr">
        <is>
          <t>COD|mit.inv.tot.2</t>
        </is>
      </c>
      <c r="B1898" t="inlineStr">
        <is>
          <t>COD</t>
        </is>
      </c>
      <c r="C1898" t="inlineStr">
        <is>
          <t>mit.inv.tot.2</t>
        </is>
      </c>
      <c r="D1898" t="n">
        <v>0</v>
      </c>
      <c r="E1898" t="n">
        <v>5.918904577</v>
      </c>
      <c r="F1898" t="n">
        <v>32.10981336</v>
      </c>
      <c r="G1898" t="n">
        <v>33.00086953</v>
      </c>
      <c r="H1898" t="n">
        <v>33.96589092</v>
      </c>
    </row>
    <row r="1899">
      <c r="A1899" t="inlineStr">
        <is>
          <t>COG|mit.inv.tot.2</t>
        </is>
      </c>
      <c r="B1899" t="inlineStr">
        <is>
          <t>COG</t>
        </is>
      </c>
      <c r="C1899" t="inlineStr">
        <is>
          <t>mit.inv.tot.2</t>
        </is>
      </c>
      <c r="D1899" t="n">
        <v>0</v>
      </c>
      <c r="E1899" t="n">
        <v>0.2585615761</v>
      </c>
      <c r="F1899" t="n">
        <v>1.050657818</v>
      </c>
      <c r="G1899" t="n">
        <v>1.4826061</v>
      </c>
      <c r="H1899" t="n">
        <v>1.81102791</v>
      </c>
    </row>
    <row r="1900">
      <c r="A1900" t="inlineStr">
        <is>
          <t>COL|mit.inv.tot.2</t>
        </is>
      </c>
      <c r="B1900" t="inlineStr">
        <is>
          <t>COL</t>
        </is>
      </c>
      <c r="C1900" t="inlineStr">
        <is>
          <t>mit.inv.tot.2</t>
        </is>
      </c>
      <c r="D1900" t="n">
        <v>0</v>
      </c>
      <c r="E1900" t="n">
        <v>6.251031401</v>
      </c>
      <c r="F1900" t="n">
        <v>12.39720748</v>
      </c>
      <c r="G1900" t="n">
        <v>15.93190786</v>
      </c>
      <c r="H1900" t="n">
        <v>18.69103153</v>
      </c>
    </row>
    <row r="1901">
      <c r="A1901" t="inlineStr">
        <is>
          <t>COM|mit.inv.tot.2</t>
        </is>
      </c>
      <c r="B1901" t="inlineStr">
        <is>
          <t>COM</t>
        </is>
      </c>
      <c r="C1901" t="inlineStr">
        <is>
          <t>mit.inv.tot.2</t>
        </is>
      </c>
      <c r="D1901" t="n">
        <v>0</v>
      </c>
      <c r="E1901" t="n">
        <v>0.03360533349</v>
      </c>
      <c r="F1901" t="n">
        <v>0.05997671082</v>
      </c>
      <c r="G1901" t="n">
        <v>0.1034889625</v>
      </c>
      <c r="H1901" t="n">
        <v>0.1279413086</v>
      </c>
    </row>
    <row r="1902">
      <c r="A1902" t="inlineStr">
        <is>
          <t>CPV|mit.inv.tot.2</t>
        </is>
      </c>
      <c r="B1902" t="inlineStr">
        <is>
          <t>CPV</t>
        </is>
      </c>
      <c r="C1902" t="inlineStr">
        <is>
          <t>mit.inv.tot.2</t>
        </is>
      </c>
      <c r="D1902" t="n">
        <v>0</v>
      </c>
      <c r="E1902" t="n">
        <v>0.07473389750999999</v>
      </c>
      <c r="F1902" t="n">
        <v>0.1029342078</v>
      </c>
      <c r="G1902" t="n">
        <v>0.160183699</v>
      </c>
      <c r="H1902" t="n">
        <v>0.1947955244</v>
      </c>
    </row>
    <row r="1903">
      <c r="A1903" t="inlineStr">
        <is>
          <t>CRI|mit.inv.tot.2</t>
        </is>
      </c>
      <c r="B1903" t="inlineStr">
        <is>
          <t>CRI</t>
        </is>
      </c>
      <c r="C1903" t="inlineStr">
        <is>
          <t>mit.inv.tot.2</t>
        </is>
      </c>
      <c r="D1903" t="n">
        <v>0</v>
      </c>
      <c r="E1903" t="n">
        <v>1.0052151</v>
      </c>
      <c r="F1903" t="n">
        <v>1.37071722</v>
      </c>
      <c r="G1903" t="n">
        <v>1.828110888</v>
      </c>
      <c r="H1903" t="n">
        <v>2.205289888</v>
      </c>
    </row>
    <row r="1904">
      <c r="A1904" t="inlineStr">
        <is>
          <t>CYP|mit.inv.tot.2</t>
        </is>
      </c>
      <c r="B1904" t="inlineStr">
        <is>
          <t>CYP</t>
        </is>
      </c>
      <c r="C1904" t="inlineStr">
        <is>
          <t>mit.inv.tot.2</t>
        </is>
      </c>
      <c r="D1904" t="n">
        <v>0</v>
      </c>
      <c r="E1904" t="n">
        <v>1.253477849</v>
      </c>
      <c r="F1904" t="n">
        <v>1.772589407</v>
      </c>
      <c r="G1904" t="n">
        <v>1.645303626</v>
      </c>
      <c r="H1904" t="n">
        <v>1.690117558</v>
      </c>
    </row>
    <row r="1905">
      <c r="A1905" t="inlineStr">
        <is>
          <t>CZE|mit.inv.tot.2</t>
        </is>
      </c>
      <c r="B1905" t="inlineStr">
        <is>
          <t>CZE</t>
        </is>
      </c>
      <c r="C1905" t="inlineStr">
        <is>
          <t>mit.inv.tot.2</t>
        </is>
      </c>
      <c r="D1905" t="n">
        <v>0</v>
      </c>
      <c r="E1905" t="n">
        <v>12.41636341</v>
      </c>
      <c r="F1905" t="n">
        <v>16.58821385</v>
      </c>
      <c r="G1905" t="n">
        <v>16.02552667</v>
      </c>
      <c r="H1905" t="n">
        <v>14.44764102</v>
      </c>
    </row>
    <row r="1906">
      <c r="A1906" t="inlineStr">
        <is>
          <t>DEU|mit.inv.tot.2</t>
        </is>
      </c>
      <c r="B1906" t="inlineStr">
        <is>
          <t>DEU</t>
        </is>
      </c>
      <c r="C1906" t="inlineStr">
        <is>
          <t>mit.inv.tot.2</t>
        </is>
      </c>
      <c r="D1906" t="n">
        <v>0</v>
      </c>
      <c r="E1906" t="n">
        <v>130.9981504</v>
      </c>
      <c r="F1906" t="n">
        <v>157.699681</v>
      </c>
      <c r="G1906" t="n">
        <v>147.3981404</v>
      </c>
      <c r="H1906" t="n">
        <v>132.7220163</v>
      </c>
    </row>
    <row r="1907">
      <c r="A1907" t="inlineStr">
        <is>
          <t>DJI|mit.inv.tot.2</t>
        </is>
      </c>
      <c r="B1907" t="inlineStr">
        <is>
          <t>DJI</t>
        </is>
      </c>
      <c r="C1907" t="inlineStr">
        <is>
          <t>mit.inv.tot.2</t>
        </is>
      </c>
      <c r="D1907" t="n">
        <v>0</v>
      </c>
      <c r="E1907" t="n">
        <v>0.07768603467</v>
      </c>
      <c r="F1907" t="n">
        <v>0.1216686338</v>
      </c>
      <c r="G1907" t="n">
        <v>0.1900247542</v>
      </c>
      <c r="H1907" t="n">
        <v>0.2285597578</v>
      </c>
    </row>
    <row r="1908">
      <c r="A1908" t="inlineStr">
        <is>
          <t>DMA|mit.inv.tot.2</t>
        </is>
      </c>
      <c r="B1908" t="inlineStr">
        <is>
          <t>DMA</t>
        </is>
      </c>
      <c r="C1908" t="inlineStr">
        <is>
          <t>mit.inv.tot.2</t>
        </is>
      </c>
      <c r="D1908" t="n">
        <v>0</v>
      </c>
      <c r="E1908" t="n">
        <v>0.01626107852</v>
      </c>
      <c r="F1908" t="n">
        <v>0.020984573</v>
      </c>
      <c r="G1908" t="n">
        <v>0.03358478076</v>
      </c>
      <c r="H1908" t="n">
        <v>0.03679586224</v>
      </c>
    </row>
    <row r="1909">
      <c r="A1909" t="inlineStr">
        <is>
          <t>DNK|mit.inv.tot.2</t>
        </is>
      </c>
      <c r="B1909" t="inlineStr">
        <is>
          <t>DNK</t>
        </is>
      </c>
      <c r="C1909" t="inlineStr">
        <is>
          <t>mit.inv.tot.2</t>
        </is>
      </c>
      <c r="D1909" t="n">
        <v>0</v>
      </c>
      <c r="E1909" t="n">
        <v>9.823011064999999</v>
      </c>
      <c r="F1909" t="n">
        <v>9.948195661</v>
      </c>
      <c r="G1909" t="n">
        <v>10.37703286</v>
      </c>
      <c r="H1909" t="n">
        <v>10.43729288</v>
      </c>
    </row>
    <row r="1910">
      <c r="A1910" t="inlineStr">
        <is>
          <t>DOM|mit.inv.tot.2</t>
        </is>
      </c>
      <c r="B1910" t="inlineStr">
        <is>
          <t>DOM</t>
        </is>
      </c>
      <c r="C1910" t="inlineStr">
        <is>
          <t>mit.inv.tot.2</t>
        </is>
      </c>
      <c r="D1910" t="n">
        <v>0</v>
      </c>
      <c r="E1910" t="n">
        <v>2.219053848</v>
      </c>
      <c r="F1910" t="n">
        <v>3.314602806</v>
      </c>
      <c r="G1910" t="n">
        <v>5.080011536</v>
      </c>
      <c r="H1910" t="n">
        <v>5.413435288</v>
      </c>
    </row>
    <row r="1911">
      <c r="A1911" t="inlineStr">
        <is>
          <t>DZA|mit.inv.tot.2</t>
        </is>
      </c>
      <c r="B1911" t="inlineStr">
        <is>
          <t>DZA</t>
        </is>
      </c>
      <c r="C1911" t="inlineStr">
        <is>
          <t>mit.inv.tot.2</t>
        </is>
      </c>
      <c r="D1911" t="n">
        <v>0</v>
      </c>
      <c r="E1911" t="n">
        <v>9.514052746000001</v>
      </c>
      <c r="F1911" t="n">
        <v>13.52968514</v>
      </c>
      <c r="G1911" t="n">
        <v>20.61289002</v>
      </c>
      <c r="H1911" t="n">
        <v>22.82375764</v>
      </c>
    </row>
    <row r="1912">
      <c r="A1912" t="inlineStr">
        <is>
          <t>ECU|mit.inv.tot.2</t>
        </is>
      </c>
      <c r="B1912" t="inlineStr">
        <is>
          <t>ECU</t>
        </is>
      </c>
      <c r="C1912" t="inlineStr">
        <is>
          <t>mit.inv.tot.2</t>
        </is>
      </c>
      <c r="D1912" t="n">
        <v>0</v>
      </c>
      <c r="E1912" t="n">
        <v>3.693285993</v>
      </c>
      <c r="F1912" t="n">
        <v>5.919268142</v>
      </c>
      <c r="G1912" t="n">
        <v>8.421793507</v>
      </c>
      <c r="H1912" t="n">
        <v>9.278910036999999</v>
      </c>
    </row>
    <row r="1913">
      <c r="A1913" t="inlineStr">
        <is>
          <t>EGY|mit.inv.tot.2</t>
        </is>
      </c>
      <c r="B1913" t="inlineStr">
        <is>
          <t>EGY</t>
        </is>
      </c>
      <c r="C1913" t="inlineStr">
        <is>
          <t>mit.inv.tot.2</t>
        </is>
      </c>
      <c r="D1913" t="n">
        <v>0</v>
      </c>
      <c r="E1913" t="n">
        <v>11.21175748</v>
      </c>
      <c r="F1913" t="n">
        <v>15.892423</v>
      </c>
      <c r="G1913" t="n">
        <v>25.94607493</v>
      </c>
      <c r="H1913" t="n">
        <v>30.81967057</v>
      </c>
    </row>
    <row r="1914">
      <c r="A1914" t="inlineStr">
        <is>
          <t>ESP|mit.inv.tot.2</t>
        </is>
      </c>
      <c r="B1914" t="inlineStr">
        <is>
          <t>ESP</t>
        </is>
      </c>
      <c r="C1914" t="inlineStr">
        <is>
          <t>mit.inv.tot.2</t>
        </is>
      </c>
      <c r="D1914" t="n">
        <v>0</v>
      </c>
      <c r="E1914" t="n">
        <v>50.85605103</v>
      </c>
      <c r="F1914" t="n">
        <v>60.18473267</v>
      </c>
      <c r="G1914" t="n">
        <v>59.41880935</v>
      </c>
      <c r="H1914" t="n">
        <v>58.47881522</v>
      </c>
    </row>
    <row r="1915">
      <c r="A1915" t="inlineStr">
        <is>
          <t>EST|mit.inv.tot.2</t>
        </is>
      </c>
      <c r="B1915" t="inlineStr">
        <is>
          <t>EST</t>
        </is>
      </c>
      <c r="C1915" t="inlineStr">
        <is>
          <t>mit.inv.tot.2</t>
        </is>
      </c>
      <c r="D1915" t="n">
        <v>0</v>
      </c>
      <c r="E1915" t="n">
        <v>1.073541386</v>
      </c>
      <c r="F1915" t="n">
        <v>1.471308729</v>
      </c>
      <c r="G1915" t="n">
        <v>1.453669538</v>
      </c>
      <c r="H1915" t="n">
        <v>1.506426045</v>
      </c>
    </row>
    <row r="1916">
      <c r="A1916" t="inlineStr">
        <is>
          <t>ETH|mit.inv.tot.2</t>
        </is>
      </c>
      <c r="B1916" t="inlineStr">
        <is>
          <t>ETH</t>
        </is>
      </c>
      <c r="C1916" t="inlineStr">
        <is>
          <t>mit.inv.tot.2</t>
        </is>
      </c>
      <c r="D1916" t="n">
        <v>0</v>
      </c>
      <c r="E1916" t="n">
        <v>1.939263105</v>
      </c>
      <c r="F1916" t="n">
        <v>7.691970978</v>
      </c>
      <c r="G1916" t="n">
        <v>11.36594099</v>
      </c>
      <c r="H1916" t="n">
        <v>15.20900622</v>
      </c>
    </row>
    <row r="1917">
      <c r="A1917" t="inlineStr">
        <is>
          <t>FIN|mit.inv.tot.2</t>
        </is>
      </c>
      <c r="B1917" t="inlineStr">
        <is>
          <t>FIN</t>
        </is>
      </c>
      <c r="C1917" t="inlineStr">
        <is>
          <t>mit.inv.tot.2</t>
        </is>
      </c>
      <c r="D1917" t="n">
        <v>0</v>
      </c>
      <c r="E1917" t="n">
        <v>7.964028143</v>
      </c>
      <c r="F1917" t="n">
        <v>7.747547533</v>
      </c>
      <c r="G1917" t="n">
        <v>8.550640155</v>
      </c>
      <c r="H1917" t="n">
        <v>9.242550745999999</v>
      </c>
    </row>
    <row r="1918">
      <c r="A1918" t="inlineStr">
        <is>
          <t>FJI|mit.inv.tot.2</t>
        </is>
      </c>
      <c r="B1918" t="inlineStr">
        <is>
          <t>FJI</t>
        </is>
      </c>
      <c r="C1918" t="inlineStr">
        <is>
          <t>mit.inv.tot.2</t>
        </is>
      </c>
      <c r="D1918" t="n">
        <v>0</v>
      </c>
      <c r="E1918" t="n">
        <v>0.1096639544</v>
      </c>
      <c r="F1918" t="n">
        <v>0.149402556</v>
      </c>
      <c r="G1918" t="n">
        <v>0.2195376693</v>
      </c>
      <c r="H1918" t="n">
        <v>0.2651382973</v>
      </c>
    </row>
    <row r="1919">
      <c r="A1919" t="inlineStr">
        <is>
          <t>FRA|mit.inv.tot.2</t>
        </is>
      </c>
      <c r="B1919" t="inlineStr">
        <is>
          <t>FRA</t>
        </is>
      </c>
      <c r="C1919" t="inlineStr">
        <is>
          <t>mit.inv.tot.2</t>
        </is>
      </c>
      <c r="D1919" t="n">
        <v>0</v>
      </c>
      <c r="E1919" t="n">
        <v>76.27473679000001</v>
      </c>
      <c r="F1919" t="n">
        <v>74.93774281</v>
      </c>
      <c r="G1919" t="n">
        <v>81.84268489999999</v>
      </c>
      <c r="H1919" t="n">
        <v>77.57275427</v>
      </c>
    </row>
    <row r="1920">
      <c r="A1920" t="inlineStr">
        <is>
          <t>GAB|mit.inv.tot.2</t>
        </is>
      </c>
      <c r="B1920" t="inlineStr">
        <is>
          <t>GAB</t>
        </is>
      </c>
      <c r="C1920" t="inlineStr">
        <is>
          <t>mit.inv.tot.2</t>
        </is>
      </c>
      <c r="D1920" t="n">
        <v>0</v>
      </c>
      <c r="E1920" t="n">
        <v>0.3179368648</v>
      </c>
      <c r="F1920" t="n">
        <v>0.8252433687</v>
      </c>
      <c r="G1920" t="n">
        <v>1.146960523</v>
      </c>
      <c r="H1920" t="n">
        <v>1.401539889</v>
      </c>
    </row>
    <row r="1921">
      <c r="A1921" t="inlineStr">
        <is>
          <t>GBR|mit.inv.tot.2</t>
        </is>
      </c>
      <c r="B1921" t="inlineStr">
        <is>
          <t>GBR</t>
        </is>
      </c>
      <c r="C1921" t="inlineStr">
        <is>
          <t>mit.inv.tot.2</t>
        </is>
      </c>
      <c r="D1921" t="n">
        <v>0</v>
      </c>
      <c r="E1921" t="n">
        <v>88.37049378</v>
      </c>
      <c r="F1921" t="n">
        <v>102.78599</v>
      </c>
      <c r="G1921" t="n">
        <v>100.1687196</v>
      </c>
      <c r="H1921" t="n">
        <v>86.29472437</v>
      </c>
    </row>
    <row r="1922">
      <c r="A1922" t="inlineStr">
        <is>
          <t>GEO|mit.inv.tot.2</t>
        </is>
      </c>
      <c r="B1922" t="inlineStr">
        <is>
          <t>GEO</t>
        </is>
      </c>
      <c r="C1922" t="inlineStr">
        <is>
          <t>mit.inv.tot.2</t>
        </is>
      </c>
      <c r="D1922" t="n">
        <v>0</v>
      </c>
      <c r="E1922" t="n">
        <v>1.335475138</v>
      </c>
      <c r="F1922" t="n">
        <v>1.628404449</v>
      </c>
      <c r="G1922" t="n">
        <v>2.386510192</v>
      </c>
      <c r="H1922" t="n">
        <v>2.802982135</v>
      </c>
    </row>
    <row r="1923">
      <c r="A1923" t="inlineStr">
        <is>
          <t>GHA|mit.inv.tot.2</t>
        </is>
      </c>
      <c r="B1923" t="inlineStr">
        <is>
          <t>GHA</t>
        </is>
      </c>
      <c r="C1923" t="inlineStr">
        <is>
          <t>mit.inv.tot.2</t>
        </is>
      </c>
      <c r="D1923" t="n">
        <v>0</v>
      </c>
      <c r="E1923" t="n">
        <v>1.208179426</v>
      </c>
      <c r="F1923" t="n">
        <v>2.51036788</v>
      </c>
      <c r="G1923" t="n">
        <v>4.390229418</v>
      </c>
      <c r="H1923" t="n">
        <v>5.077857065</v>
      </c>
    </row>
    <row r="1924">
      <c r="A1924" t="inlineStr">
        <is>
          <t>GIN|mit.inv.tot.2</t>
        </is>
      </c>
      <c r="B1924" t="inlineStr">
        <is>
          <t>GIN</t>
        </is>
      </c>
      <c r="C1924" t="inlineStr">
        <is>
          <t>mit.inv.tot.2</t>
        </is>
      </c>
      <c r="D1924" t="n">
        <v>0</v>
      </c>
      <c r="E1924" t="n">
        <v>0.5873060808</v>
      </c>
      <c r="F1924" t="n">
        <v>1.675707174</v>
      </c>
      <c r="G1924" t="n">
        <v>2.301746914</v>
      </c>
      <c r="H1924" t="n">
        <v>2.867973707</v>
      </c>
    </row>
    <row r="1925">
      <c r="A1925" t="inlineStr">
        <is>
          <t>GMB|mit.inv.tot.2</t>
        </is>
      </c>
      <c r="B1925" t="inlineStr">
        <is>
          <t>GMB</t>
        </is>
      </c>
      <c r="C1925" t="inlineStr">
        <is>
          <t>mit.inv.tot.2</t>
        </is>
      </c>
      <c r="D1925" t="n">
        <v>0</v>
      </c>
      <c r="E1925" t="n">
        <v>0.07407446295</v>
      </c>
      <c r="F1925" t="n">
        <v>0.141838443</v>
      </c>
      <c r="G1925" t="n">
        <v>0.2345406364</v>
      </c>
      <c r="H1925" t="n">
        <v>0.3049687793</v>
      </c>
    </row>
    <row r="1926">
      <c r="A1926" t="inlineStr">
        <is>
          <t>GNB|mit.inv.tot.2</t>
        </is>
      </c>
      <c r="B1926" t="inlineStr">
        <is>
          <t>GNB</t>
        </is>
      </c>
      <c r="C1926" t="inlineStr">
        <is>
          <t>mit.inv.tot.2</t>
        </is>
      </c>
      <c r="D1926" t="n">
        <v>0</v>
      </c>
      <c r="E1926" t="n">
        <v>0.05183285377</v>
      </c>
      <c r="F1926" t="n">
        <v>0.1698288875</v>
      </c>
      <c r="G1926" t="n">
        <v>0.2283766871</v>
      </c>
      <c r="H1926" t="n">
        <v>0.2793355425</v>
      </c>
    </row>
    <row r="1927">
      <c r="A1927" t="inlineStr">
        <is>
          <t>GNQ|mit.inv.tot.2</t>
        </is>
      </c>
      <c r="B1927" t="inlineStr">
        <is>
          <t>GNQ</t>
        </is>
      </c>
      <c r="C1927" t="inlineStr">
        <is>
          <t>mit.inv.tot.2</t>
        </is>
      </c>
      <c r="D1927" t="n">
        <v>0</v>
      </c>
      <c r="E1927" t="n">
        <v>0.2385257506</v>
      </c>
      <c r="F1927" t="n">
        <v>0.5244796514</v>
      </c>
      <c r="G1927" t="n">
        <v>0.7763759162</v>
      </c>
      <c r="H1927" t="n">
        <v>0.9626395294</v>
      </c>
    </row>
    <row r="1928">
      <c r="A1928" t="inlineStr">
        <is>
          <t>GRC|mit.inv.tot.2</t>
        </is>
      </c>
      <c r="B1928" t="inlineStr">
        <is>
          <t>GRC</t>
        </is>
      </c>
      <c r="C1928" t="inlineStr">
        <is>
          <t>mit.inv.tot.2</t>
        </is>
      </c>
      <c r="D1928" t="n">
        <v>0</v>
      </c>
      <c r="E1928" t="n">
        <v>9.285056838999999</v>
      </c>
      <c r="F1928" t="n">
        <v>12.09231169</v>
      </c>
      <c r="G1928" t="n">
        <v>11.00701207</v>
      </c>
      <c r="H1928" t="n">
        <v>11.23333394</v>
      </c>
    </row>
    <row r="1929">
      <c r="A1929" t="inlineStr">
        <is>
          <t>GRD|mit.inv.tot.2</t>
        </is>
      </c>
      <c r="B1929" t="inlineStr">
        <is>
          <t>GRD</t>
        </is>
      </c>
      <c r="C1929" t="inlineStr">
        <is>
          <t>mit.inv.tot.2</t>
        </is>
      </c>
      <c r="D1929" t="n">
        <v>0</v>
      </c>
      <c r="E1929" t="n">
        <v>0.03325663413</v>
      </c>
      <c r="F1929" t="n">
        <v>0.041912951</v>
      </c>
      <c r="G1929" t="n">
        <v>0.06781363064</v>
      </c>
      <c r="H1929" t="n">
        <v>0.07260688211000001</v>
      </c>
    </row>
    <row r="1930">
      <c r="A1930" t="inlineStr">
        <is>
          <t>GTM|mit.inv.tot.2</t>
        </is>
      </c>
      <c r="B1930" t="inlineStr">
        <is>
          <t>GTM</t>
        </is>
      </c>
      <c r="C1930" t="inlineStr">
        <is>
          <t>mit.inv.tot.2</t>
        </is>
      </c>
      <c r="D1930" t="n">
        <v>0</v>
      </c>
      <c r="E1930" t="n">
        <v>1.334314744</v>
      </c>
      <c r="F1930" t="n">
        <v>2.27010178</v>
      </c>
      <c r="G1930" t="n">
        <v>3.060866764</v>
      </c>
      <c r="H1930" t="n">
        <v>3.692390233</v>
      </c>
    </row>
    <row r="1931">
      <c r="A1931" t="inlineStr">
        <is>
          <t>GUY|mit.inv.tot.2</t>
        </is>
      </c>
      <c r="B1931" t="inlineStr">
        <is>
          <t>GUY</t>
        </is>
      </c>
      <c r="C1931" t="inlineStr">
        <is>
          <t>mit.inv.tot.2</t>
        </is>
      </c>
      <c r="D1931" t="n">
        <v>0</v>
      </c>
      <c r="E1931" t="n">
        <v>0.4838015577</v>
      </c>
      <c r="F1931" t="n">
        <v>1.43341707</v>
      </c>
      <c r="G1931" t="n">
        <v>2.007027778</v>
      </c>
      <c r="H1931" t="n">
        <v>2.260833765</v>
      </c>
    </row>
    <row r="1932">
      <c r="A1932" t="inlineStr">
        <is>
          <t>HKG|mit.inv.tot.2</t>
        </is>
      </c>
      <c r="B1932" t="inlineStr">
        <is>
          <t>HKG</t>
        </is>
      </c>
      <c r="C1932" t="inlineStr">
        <is>
          <t>mit.inv.tot.2</t>
        </is>
      </c>
      <c r="D1932" t="n">
        <v>0</v>
      </c>
      <c r="E1932" t="n">
        <v>8.202109626</v>
      </c>
      <c r="F1932" t="n">
        <v>10.80146124</v>
      </c>
      <c r="G1932" t="n">
        <v>8.554786113</v>
      </c>
      <c r="H1932" t="n">
        <v>8.666493104000001</v>
      </c>
    </row>
    <row r="1933">
      <c r="A1933" t="inlineStr">
        <is>
          <t>HND|mit.inv.tot.2</t>
        </is>
      </c>
      <c r="B1933" t="inlineStr">
        <is>
          <t>HND</t>
        </is>
      </c>
      <c r="C1933" t="inlineStr">
        <is>
          <t>mit.inv.tot.2</t>
        </is>
      </c>
      <c r="D1933" t="n">
        <v>0</v>
      </c>
      <c r="E1933" t="n">
        <v>0.7726013959</v>
      </c>
      <c r="F1933" t="n">
        <v>1.504470478</v>
      </c>
      <c r="G1933" t="n">
        <v>2.150718004</v>
      </c>
      <c r="H1933" t="n">
        <v>2.505119063</v>
      </c>
    </row>
    <row r="1934">
      <c r="A1934" t="inlineStr">
        <is>
          <t>HRV|mit.inv.tot.2</t>
        </is>
      </c>
      <c r="B1934" t="inlineStr">
        <is>
          <t>HRV</t>
        </is>
      </c>
      <c r="C1934" t="inlineStr">
        <is>
          <t>mit.inv.tot.2</t>
        </is>
      </c>
      <c r="D1934" t="n">
        <v>0</v>
      </c>
      <c r="E1934" t="n">
        <v>2.768495957</v>
      </c>
      <c r="F1934" t="n">
        <v>3.387227934</v>
      </c>
      <c r="G1934" t="n">
        <v>3.344558443</v>
      </c>
      <c r="H1934" t="n">
        <v>3.186705352</v>
      </c>
    </row>
    <row r="1935">
      <c r="A1935" t="inlineStr">
        <is>
          <t>HTI|mit.inv.tot.2</t>
        </is>
      </c>
      <c r="B1935" t="inlineStr">
        <is>
          <t>HTI</t>
        </is>
      </c>
      <c r="C1935" t="inlineStr">
        <is>
          <t>mit.inv.tot.2</t>
        </is>
      </c>
      <c r="D1935" t="n">
        <v>0</v>
      </c>
      <c r="E1935" t="n">
        <v>0.3090714445</v>
      </c>
      <c r="F1935" t="n">
        <v>0.5057122155</v>
      </c>
      <c r="G1935" t="n">
        <v>0.7612816703</v>
      </c>
      <c r="H1935" t="n">
        <v>0.9952666487</v>
      </c>
    </row>
    <row r="1936">
      <c r="A1936" t="inlineStr">
        <is>
          <t>HUN|mit.inv.tot.2</t>
        </is>
      </c>
      <c r="B1936" t="inlineStr">
        <is>
          <t>HUN</t>
        </is>
      </c>
      <c r="C1936" t="inlineStr">
        <is>
          <t>mit.inv.tot.2</t>
        </is>
      </c>
      <c r="D1936" t="n">
        <v>0</v>
      </c>
      <c r="E1936" t="n">
        <v>4.79093809</v>
      </c>
      <c r="F1936" t="n">
        <v>6.165524511</v>
      </c>
      <c r="G1936" t="n">
        <v>6.478019694</v>
      </c>
      <c r="H1936" t="n">
        <v>6.587358602</v>
      </c>
    </row>
    <row r="1937">
      <c r="A1937" t="inlineStr">
        <is>
          <t>IDN|mit.inv.tot.2</t>
        </is>
      </c>
      <c r="B1937" t="inlineStr">
        <is>
          <t>IDN</t>
        </is>
      </c>
      <c r="C1937" t="inlineStr">
        <is>
          <t>mit.inv.tot.2</t>
        </is>
      </c>
      <c r="D1937" t="n">
        <v>0</v>
      </c>
      <c r="E1937" t="n">
        <v>36.7209691</v>
      </c>
      <c r="F1937" t="n">
        <v>63.74022095</v>
      </c>
      <c r="G1937" t="n">
        <v>98.72128595</v>
      </c>
      <c r="H1937" t="n">
        <v>117.405785</v>
      </c>
    </row>
    <row r="1938">
      <c r="A1938" t="inlineStr">
        <is>
          <t>IND|mit.inv.tot.2</t>
        </is>
      </c>
      <c r="B1938" t="inlineStr">
        <is>
          <t>IND</t>
        </is>
      </c>
      <c r="C1938" t="inlineStr">
        <is>
          <t>mit.inv.tot.2</t>
        </is>
      </c>
      <c r="D1938" t="n">
        <v>0</v>
      </c>
      <c r="E1938" t="n">
        <v>145.3603248</v>
      </c>
      <c r="F1938" t="n">
        <v>225.4337059</v>
      </c>
      <c r="G1938" t="n">
        <v>381.3195045</v>
      </c>
      <c r="H1938" t="n">
        <v>429.0241543</v>
      </c>
    </row>
    <row r="1939">
      <c r="A1939" t="inlineStr">
        <is>
          <t>IRL|mit.inv.tot.2</t>
        </is>
      </c>
      <c r="B1939" t="inlineStr">
        <is>
          <t>IRL</t>
        </is>
      </c>
      <c r="C1939" t="inlineStr">
        <is>
          <t>mit.inv.tot.2</t>
        </is>
      </c>
      <c r="D1939" t="n">
        <v>0</v>
      </c>
      <c r="E1939" t="n">
        <v>14.80304963</v>
      </c>
      <c r="F1939" t="n">
        <v>15.59995525</v>
      </c>
      <c r="G1939" t="n">
        <v>15.33426996</v>
      </c>
      <c r="H1939" t="n">
        <v>14.96736558</v>
      </c>
    </row>
    <row r="1940">
      <c r="A1940" t="inlineStr">
        <is>
          <t>IRN|mit.inv.tot.2</t>
        </is>
      </c>
      <c r="B1940" t="inlineStr">
        <is>
          <t>IRN</t>
        </is>
      </c>
      <c r="C1940" t="inlineStr">
        <is>
          <t>mit.inv.tot.2</t>
        </is>
      </c>
      <c r="D1940" t="n">
        <v>0</v>
      </c>
      <c r="E1940" t="n">
        <v>37.14073981</v>
      </c>
      <c r="F1940" t="n">
        <v>33.97034127</v>
      </c>
      <c r="G1940" t="n">
        <v>58.10242171</v>
      </c>
      <c r="H1940" t="n">
        <v>58.3354293</v>
      </c>
    </row>
    <row r="1941">
      <c r="A1941" t="inlineStr">
        <is>
          <t>IRQ|mit.inv.tot.2</t>
        </is>
      </c>
      <c r="B1941" t="inlineStr">
        <is>
          <t>IRQ</t>
        </is>
      </c>
      <c r="C1941" t="inlineStr">
        <is>
          <t>mit.inv.tot.2</t>
        </is>
      </c>
      <c r="D1941" t="n">
        <v>0</v>
      </c>
      <c r="E1941" t="n">
        <v>7.232215258</v>
      </c>
      <c r="F1941" t="n">
        <v>8.53374213</v>
      </c>
      <c r="G1941" t="n">
        <v>14.50941104</v>
      </c>
      <c r="H1941" t="n">
        <v>16.5896554</v>
      </c>
    </row>
    <row r="1942">
      <c r="A1942" t="inlineStr">
        <is>
          <t>ISL|mit.inv.tot.2</t>
        </is>
      </c>
      <c r="B1942" t="inlineStr">
        <is>
          <t>ISL</t>
        </is>
      </c>
      <c r="C1942" t="inlineStr">
        <is>
          <t>mit.inv.tot.2</t>
        </is>
      </c>
      <c r="D1942" t="n">
        <v>0</v>
      </c>
      <c r="E1942" t="n">
        <v>0.6100517555</v>
      </c>
      <c r="F1942" t="n">
        <v>1.152626173</v>
      </c>
      <c r="G1942" t="n">
        <v>1.249307222</v>
      </c>
      <c r="H1942" t="n">
        <v>1.395077708</v>
      </c>
    </row>
    <row r="1943">
      <c r="A1943" t="inlineStr">
        <is>
          <t>ISR|mit.inv.tot.2</t>
        </is>
      </c>
      <c r="B1943" t="inlineStr">
        <is>
          <t>ISR</t>
        </is>
      </c>
      <c r="C1943" t="inlineStr">
        <is>
          <t>mit.inv.tot.2</t>
        </is>
      </c>
      <c r="D1943" t="n">
        <v>0</v>
      </c>
      <c r="E1943" t="n">
        <v>14.28260234</v>
      </c>
      <c r="F1943" t="n">
        <v>20.72923694</v>
      </c>
      <c r="G1943" t="n">
        <v>16.37025043</v>
      </c>
      <c r="H1943" t="n">
        <v>17.00412284</v>
      </c>
    </row>
    <row r="1944">
      <c r="A1944" t="inlineStr">
        <is>
          <t>ITA|mit.inv.tot.2</t>
        </is>
      </c>
      <c r="B1944" t="inlineStr">
        <is>
          <t>ITA</t>
        </is>
      </c>
      <c r="C1944" t="inlineStr">
        <is>
          <t>mit.inv.tot.2</t>
        </is>
      </c>
      <c r="D1944" t="n">
        <v>0</v>
      </c>
      <c r="E1944" t="n">
        <v>62.14635417</v>
      </c>
      <c r="F1944" t="n">
        <v>75.2501326</v>
      </c>
      <c r="G1944" t="n">
        <v>71.44105217000001</v>
      </c>
      <c r="H1944" t="n">
        <v>63.98188068</v>
      </c>
    </row>
    <row r="1945">
      <c r="A1945" t="inlineStr">
        <is>
          <t>JAM|mit.inv.tot.2</t>
        </is>
      </c>
      <c r="B1945" t="inlineStr">
        <is>
          <t>JAM</t>
        </is>
      </c>
      <c r="C1945" t="inlineStr">
        <is>
          <t>mit.inv.tot.2</t>
        </is>
      </c>
      <c r="D1945" t="n">
        <v>0</v>
      </c>
      <c r="E1945" t="n">
        <v>0.5644385468999999</v>
      </c>
      <c r="F1945" t="n">
        <v>0.6548412734</v>
      </c>
      <c r="G1945" t="n">
        <v>1.114476792</v>
      </c>
      <c r="H1945" t="n">
        <v>1.152453054</v>
      </c>
    </row>
    <row r="1946">
      <c r="A1946" t="inlineStr">
        <is>
          <t>JOR|mit.inv.tot.2</t>
        </is>
      </c>
      <c r="B1946" t="inlineStr">
        <is>
          <t>JOR</t>
        </is>
      </c>
      <c r="C1946" t="inlineStr">
        <is>
          <t>mit.inv.tot.2</t>
        </is>
      </c>
      <c r="D1946" t="n">
        <v>0</v>
      </c>
      <c r="E1946" t="n">
        <v>1.350903095</v>
      </c>
      <c r="F1946" t="n">
        <v>1.88172868</v>
      </c>
      <c r="G1946" t="n">
        <v>2.799215301</v>
      </c>
      <c r="H1946" t="n">
        <v>2.744761846</v>
      </c>
    </row>
    <row r="1947">
      <c r="A1947" t="inlineStr">
        <is>
          <t>JPN|mit.inv.tot.2</t>
        </is>
      </c>
      <c r="B1947" t="inlineStr">
        <is>
          <t>JPN</t>
        </is>
      </c>
      <c r="C1947" t="inlineStr">
        <is>
          <t>mit.inv.tot.2</t>
        </is>
      </c>
      <c r="D1947" t="n">
        <v>0</v>
      </c>
      <c r="E1947" t="n">
        <v>144.160577</v>
      </c>
      <c r="F1947" t="n">
        <v>182.8693794</v>
      </c>
      <c r="G1947" t="n">
        <v>160.5274763</v>
      </c>
      <c r="H1947" t="n">
        <v>153.8233401</v>
      </c>
    </row>
    <row r="1948">
      <c r="A1948" t="inlineStr">
        <is>
          <t>KAZ|mit.inv.tot.2</t>
        </is>
      </c>
      <c r="B1948" t="inlineStr">
        <is>
          <t>KAZ</t>
        </is>
      </c>
      <c r="C1948" t="inlineStr">
        <is>
          <t>mit.inv.tot.2</t>
        </is>
      </c>
      <c r="D1948" t="n">
        <v>0</v>
      </c>
      <c r="E1948" t="n">
        <v>12.45290664</v>
      </c>
      <c r="F1948" t="n">
        <v>17.49209836</v>
      </c>
      <c r="G1948" t="n">
        <v>27.96332648</v>
      </c>
      <c r="H1948" t="n">
        <v>29.63782031</v>
      </c>
    </row>
    <row r="1949">
      <c r="A1949" t="inlineStr">
        <is>
          <t>KEN|mit.inv.tot.2</t>
        </is>
      </c>
      <c r="B1949" t="inlineStr">
        <is>
          <t>KEN</t>
        </is>
      </c>
      <c r="C1949" t="inlineStr">
        <is>
          <t>mit.inv.tot.2</t>
        </is>
      </c>
      <c r="D1949" t="n">
        <v>0</v>
      </c>
      <c r="E1949" t="n">
        <v>1.739250638</v>
      </c>
      <c r="F1949" t="n">
        <v>3.582121718</v>
      </c>
      <c r="G1949" t="n">
        <v>5.241395332</v>
      </c>
      <c r="H1949" t="n">
        <v>6.866075688</v>
      </c>
    </row>
    <row r="1950">
      <c r="A1950" t="inlineStr">
        <is>
          <t>KGZ|mit.inv.tot.2</t>
        </is>
      </c>
      <c r="B1950" t="inlineStr">
        <is>
          <t>KGZ</t>
        </is>
      </c>
      <c r="C1950" t="inlineStr">
        <is>
          <t>mit.inv.tot.2</t>
        </is>
      </c>
      <c r="D1950" t="n">
        <v>0</v>
      </c>
      <c r="E1950" t="n">
        <v>1.069827658</v>
      </c>
      <c r="F1950" t="n">
        <v>1.310318575</v>
      </c>
      <c r="G1950" t="n">
        <v>1.757002351</v>
      </c>
      <c r="H1950" t="n">
        <v>2.297730518</v>
      </c>
    </row>
    <row r="1951">
      <c r="A1951" t="inlineStr">
        <is>
          <t>KHM|mit.inv.tot.2</t>
        </is>
      </c>
      <c r="B1951" t="inlineStr">
        <is>
          <t>KHM</t>
        </is>
      </c>
      <c r="C1951" t="inlineStr">
        <is>
          <t>mit.inv.tot.2</t>
        </is>
      </c>
      <c r="D1951" t="n">
        <v>0</v>
      </c>
      <c r="E1951" t="n">
        <v>1.440839876</v>
      </c>
      <c r="F1951" t="n">
        <v>3.534568409</v>
      </c>
      <c r="G1951" t="n">
        <v>4.682734397</v>
      </c>
      <c r="H1951" t="n">
        <v>5.129944884</v>
      </c>
    </row>
    <row r="1952">
      <c r="A1952" t="inlineStr">
        <is>
          <t>KNA|mit.inv.tot.2</t>
        </is>
      </c>
      <c r="B1952" t="inlineStr">
        <is>
          <t>KNA</t>
        </is>
      </c>
      <c r="C1952" t="inlineStr">
        <is>
          <t>mit.inv.tot.2</t>
        </is>
      </c>
      <c r="D1952" t="n">
        <v>0</v>
      </c>
      <c r="E1952" t="n">
        <v>0.04181069884</v>
      </c>
      <c r="F1952" t="n">
        <v>0.05260573675</v>
      </c>
      <c r="G1952" t="n">
        <v>0.07150192234</v>
      </c>
      <c r="H1952" t="n">
        <v>0.06475933672</v>
      </c>
    </row>
    <row r="1953">
      <c r="A1953" t="inlineStr">
        <is>
          <t>KOR|mit.inv.tot.2</t>
        </is>
      </c>
      <c r="B1953" t="inlineStr">
        <is>
          <t>KOR</t>
        </is>
      </c>
      <c r="C1953" t="inlineStr">
        <is>
          <t>mit.inv.tot.2</t>
        </is>
      </c>
      <c r="D1953" t="n">
        <v>0</v>
      </c>
      <c r="E1953" t="n">
        <v>76.47561713</v>
      </c>
      <c r="F1953" t="n">
        <v>104.6284912</v>
      </c>
      <c r="G1953" t="n">
        <v>94.14518877</v>
      </c>
      <c r="H1953" t="n">
        <v>90.62016362</v>
      </c>
    </row>
    <row r="1954">
      <c r="A1954" t="inlineStr">
        <is>
          <t>KWT|mit.inv.tot.2</t>
        </is>
      </c>
      <c r="B1954" t="inlineStr">
        <is>
          <t>KWT</t>
        </is>
      </c>
      <c r="C1954" t="inlineStr">
        <is>
          <t>mit.inv.tot.2</t>
        </is>
      </c>
      <c r="D1954" t="n">
        <v>0</v>
      </c>
      <c r="E1954" t="n">
        <v>7.421555812</v>
      </c>
      <c r="F1954" t="n">
        <v>7.464890676</v>
      </c>
      <c r="G1954" t="n">
        <v>11.21093634</v>
      </c>
      <c r="H1954" t="n">
        <v>10.0877905</v>
      </c>
    </row>
    <row r="1955">
      <c r="A1955" t="inlineStr">
        <is>
          <t>LAO|mit.inv.tot.2</t>
        </is>
      </c>
      <c r="B1955" t="inlineStr">
        <is>
          <t>LAO</t>
        </is>
      </c>
      <c r="C1955" t="inlineStr">
        <is>
          <t>mit.inv.tot.2</t>
        </is>
      </c>
      <c r="D1955" t="n">
        <v>0</v>
      </c>
      <c r="E1955" t="n">
        <v>0.3556534967</v>
      </c>
      <c r="F1955" t="n">
        <v>1.588526335</v>
      </c>
      <c r="G1955" t="n">
        <v>2.267376667</v>
      </c>
      <c r="H1955" t="n">
        <v>2.982089312</v>
      </c>
    </row>
    <row r="1956">
      <c r="A1956" t="inlineStr">
        <is>
          <t>LBN|mit.inv.tot.2</t>
        </is>
      </c>
      <c r="B1956" t="inlineStr">
        <is>
          <t>LBN</t>
        </is>
      </c>
      <c r="C1956" t="inlineStr">
        <is>
          <t>mit.inv.tot.2</t>
        </is>
      </c>
      <c r="D1956" t="n">
        <v>0</v>
      </c>
      <c r="E1956" t="n">
        <v>2.184514215</v>
      </c>
      <c r="F1956" t="n">
        <v>2.701707383</v>
      </c>
      <c r="G1956" t="n">
        <v>3.934938187</v>
      </c>
      <c r="H1956" t="n">
        <v>4.493452566</v>
      </c>
    </row>
    <row r="1957">
      <c r="A1957" t="inlineStr">
        <is>
          <t>LBR|mit.inv.tot.2</t>
        </is>
      </c>
      <c r="B1957" t="inlineStr">
        <is>
          <t>LBR</t>
        </is>
      </c>
      <c r="C1957" t="inlineStr">
        <is>
          <t>mit.inv.tot.2</t>
        </is>
      </c>
      <c r="D1957" t="n">
        <v>0</v>
      </c>
      <c r="E1957" t="n">
        <v>0.1869919338</v>
      </c>
      <c r="F1957" t="n">
        <v>0.8098907437</v>
      </c>
      <c r="G1957" t="n">
        <v>0.9308932119</v>
      </c>
      <c r="H1957" t="n">
        <v>1.036562541</v>
      </c>
    </row>
    <row r="1958">
      <c r="A1958" t="inlineStr">
        <is>
          <t>LBY|mit.inv.tot.2</t>
        </is>
      </c>
      <c r="B1958" t="inlineStr">
        <is>
          <t>LBY</t>
        </is>
      </c>
      <c r="C1958" t="inlineStr">
        <is>
          <t>mit.inv.tot.2</t>
        </is>
      </c>
      <c r="D1958" t="n">
        <v>0</v>
      </c>
      <c r="E1958" t="n">
        <v>6.071550486</v>
      </c>
      <c r="F1958" t="n">
        <v>6.720362694</v>
      </c>
      <c r="G1958" t="n">
        <v>10.19771852</v>
      </c>
      <c r="H1958" t="n">
        <v>10.9956716</v>
      </c>
    </row>
    <row r="1959">
      <c r="A1959" t="inlineStr">
        <is>
          <t>LCA|mit.inv.tot.2</t>
        </is>
      </c>
      <c r="B1959" t="inlineStr">
        <is>
          <t>LCA</t>
        </is>
      </c>
      <c r="C1959" t="inlineStr">
        <is>
          <t>mit.inv.tot.2</t>
        </is>
      </c>
      <c r="D1959" t="n">
        <v>0</v>
      </c>
      <c r="E1959" t="n">
        <v>0.04323266405</v>
      </c>
      <c r="F1959" t="n">
        <v>0.05731758572</v>
      </c>
      <c r="G1959" t="n">
        <v>0.09190991592</v>
      </c>
      <c r="H1959" t="n">
        <v>0.09746195219000001</v>
      </c>
    </row>
    <row r="1960">
      <c r="A1960" t="inlineStr">
        <is>
          <t>LKA|mit.inv.tot.2</t>
        </is>
      </c>
      <c r="B1960" t="inlineStr">
        <is>
          <t>LKA</t>
        </is>
      </c>
      <c r="C1960" t="inlineStr">
        <is>
          <t>mit.inv.tot.2</t>
        </is>
      </c>
      <c r="D1960" t="n">
        <v>0</v>
      </c>
      <c r="E1960" t="n">
        <v>1.094688123</v>
      </c>
      <c r="F1960" t="n">
        <v>1.797711095</v>
      </c>
      <c r="G1960" t="n">
        <v>2.734280148</v>
      </c>
      <c r="H1960" t="n">
        <v>3.25093017</v>
      </c>
    </row>
    <row r="1961">
      <c r="A1961" t="inlineStr">
        <is>
          <t>LSO|mit.inv.tot.2</t>
        </is>
      </c>
      <c r="B1961" t="inlineStr">
        <is>
          <t>LSO</t>
        </is>
      </c>
      <c r="C1961" t="inlineStr">
        <is>
          <t>mit.inv.tot.2</t>
        </is>
      </c>
      <c r="D1961" t="n">
        <v>0</v>
      </c>
      <c r="E1961" t="n">
        <v>0.1929572627</v>
      </c>
      <c r="F1961" t="n">
        <v>0.2574026917</v>
      </c>
      <c r="G1961" t="n">
        <v>0.4165514742</v>
      </c>
      <c r="H1961" t="n">
        <v>0.4865752305</v>
      </c>
    </row>
    <row r="1962">
      <c r="A1962" t="inlineStr">
        <is>
          <t>LTU|mit.inv.tot.2</t>
        </is>
      </c>
      <c r="B1962" t="inlineStr">
        <is>
          <t>LTU</t>
        </is>
      </c>
      <c r="C1962" t="inlineStr">
        <is>
          <t>mit.inv.tot.2</t>
        </is>
      </c>
      <c r="D1962" t="n">
        <v>0</v>
      </c>
      <c r="E1962" t="n">
        <v>2.599743545</v>
      </c>
      <c r="F1962" t="n">
        <v>3.258550989</v>
      </c>
      <c r="G1962" t="n">
        <v>3.195021206</v>
      </c>
      <c r="H1962" t="n">
        <v>3.077701559</v>
      </c>
    </row>
    <row r="1963">
      <c r="A1963" t="inlineStr">
        <is>
          <t>LUX|mit.inv.tot.2</t>
        </is>
      </c>
      <c r="B1963" t="inlineStr">
        <is>
          <t>LUX</t>
        </is>
      </c>
      <c r="C1963" t="inlineStr">
        <is>
          <t>mit.inv.tot.2</t>
        </is>
      </c>
      <c r="D1963" t="n">
        <v>0</v>
      </c>
      <c r="E1963" t="n">
        <v>1.73648548</v>
      </c>
      <c r="F1963" t="n">
        <v>1.948712462</v>
      </c>
      <c r="G1963" t="n">
        <v>2.024361153</v>
      </c>
      <c r="H1963" t="n">
        <v>1.992132672</v>
      </c>
    </row>
    <row r="1964">
      <c r="A1964" t="inlineStr">
        <is>
          <t>LVA|mit.inv.tot.2</t>
        </is>
      </c>
      <c r="B1964" t="inlineStr">
        <is>
          <t>LVA</t>
        </is>
      </c>
      <c r="C1964" t="inlineStr">
        <is>
          <t>mit.inv.tot.2</t>
        </is>
      </c>
      <c r="D1964" t="n">
        <v>0</v>
      </c>
      <c r="E1964" t="n">
        <v>1.190470883</v>
      </c>
      <c r="F1964" t="n">
        <v>1.6042749</v>
      </c>
      <c r="G1964" t="n">
        <v>1.61036171</v>
      </c>
      <c r="H1964" t="n">
        <v>1.573675119</v>
      </c>
    </row>
    <row r="1965">
      <c r="A1965" t="inlineStr">
        <is>
          <t>MAC|mit.inv.tot.2</t>
        </is>
      </c>
      <c r="B1965" t="inlineStr">
        <is>
          <t>MAC</t>
        </is>
      </c>
      <c r="C1965" t="inlineStr">
        <is>
          <t>mit.inv.tot.2</t>
        </is>
      </c>
      <c r="D1965" t="n">
        <v>0</v>
      </c>
      <c r="E1965" t="n">
        <v>0.7504096507</v>
      </c>
      <c r="F1965" t="n">
        <v>0.9082287804</v>
      </c>
      <c r="G1965" t="n">
        <v>0.836206441</v>
      </c>
      <c r="H1965" t="n">
        <v>0.9034454202</v>
      </c>
    </row>
    <row r="1966">
      <c r="A1966" t="inlineStr">
        <is>
          <t>MAR|mit.inv.tot.2</t>
        </is>
      </c>
      <c r="B1966" t="inlineStr">
        <is>
          <t>MAR</t>
        </is>
      </c>
      <c r="C1966" t="inlineStr">
        <is>
          <t>mit.inv.tot.2</t>
        </is>
      </c>
      <c r="D1966" t="n">
        <v>0</v>
      </c>
      <c r="E1966" t="n">
        <v>3.425715146</v>
      </c>
      <c r="F1966" t="n">
        <v>5.292824399</v>
      </c>
      <c r="G1966" t="n">
        <v>8.427386858</v>
      </c>
      <c r="H1966" t="n">
        <v>9.857838738</v>
      </c>
    </row>
    <row r="1967">
      <c r="A1967" t="inlineStr">
        <is>
          <t>MDA|mit.inv.tot.2</t>
        </is>
      </c>
      <c r="B1967" t="inlineStr">
        <is>
          <t>MDA</t>
        </is>
      </c>
      <c r="C1967" t="inlineStr">
        <is>
          <t>mit.inv.tot.2</t>
        </is>
      </c>
      <c r="D1967" t="n">
        <v>0</v>
      </c>
      <c r="E1967" t="n">
        <v>0.7469755383</v>
      </c>
      <c r="F1967" t="n">
        <v>0.9747115951</v>
      </c>
      <c r="G1967" t="n">
        <v>1.63466264</v>
      </c>
      <c r="H1967" t="n">
        <v>1.873932261</v>
      </c>
    </row>
    <row r="1968">
      <c r="A1968" t="inlineStr">
        <is>
          <t>MDG|mit.inv.tot.2</t>
        </is>
      </c>
      <c r="B1968" t="inlineStr">
        <is>
          <t>MDG</t>
        </is>
      </c>
      <c r="C1968" t="inlineStr">
        <is>
          <t>mit.inv.tot.2</t>
        </is>
      </c>
      <c r="D1968" t="n">
        <v>0</v>
      </c>
      <c r="E1968" t="n">
        <v>0.3754088818</v>
      </c>
      <c r="F1968" t="n">
        <v>1.268107726</v>
      </c>
      <c r="G1968" t="n">
        <v>1.691532259</v>
      </c>
      <c r="H1968" t="n">
        <v>2.073984868</v>
      </c>
    </row>
    <row r="1969">
      <c r="A1969" t="inlineStr">
        <is>
          <t>MDV|mit.inv.tot.2</t>
        </is>
      </c>
      <c r="B1969" t="inlineStr">
        <is>
          <t>MDV</t>
        </is>
      </c>
      <c r="C1969" t="inlineStr">
        <is>
          <t>mit.inv.tot.2</t>
        </is>
      </c>
      <c r="D1969" t="n">
        <v>0</v>
      </c>
      <c r="E1969" t="n">
        <v>0.2474108801</v>
      </c>
      <c r="F1969" t="n">
        <v>0.2895729368</v>
      </c>
      <c r="G1969" t="n">
        <v>0.4549007536</v>
      </c>
      <c r="H1969" t="n">
        <v>0.4550108035</v>
      </c>
    </row>
    <row r="1970">
      <c r="A1970" t="inlineStr">
        <is>
          <t>MEX|mit.inv.tot.2</t>
        </is>
      </c>
      <c r="B1970" t="inlineStr">
        <is>
          <t>MEX</t>
        </is>
      </c>
      <c r="C1970" t="inlineStr">
        <is>
          <t>mit.inv.tot.2</t>
        </is>
      </c>
      <c r="D1970" t="n">
        <v>0</v>
      </c>
      <c r="E1970" t="n">
        <v>31.68515781</v>
      </c>
      <c r="F1970" t="n">
        <v>47.34088595</v>
      </c>
      <c r="G1970" t="n">
        <v>75.31101412</v>
      </c>
      <c r="H1970" t="n">
        <v>88.62352506000001</v>
      </c>
    </row>
    <row r="1971">
      <c r="A1971" t="inlineStr">
        <is>
          <t>MKD|mit.inv.tot.2</t>
        </is>
      </c>
      <c r="B1971" t="inlineStr">
        <is>
          <t>MKD</t>
        </is>
      </c>
      <c r="C1971" t="inlineStr">
        <is>
          <t>mit.inv.tot.2</t>
        </is>
      </c>
      <c r="D1971" t="n">
        <v>0</v>
      </c>
      <c r="E1971" t="n">
        <v>0.4012574738</v>
      </c>
      <c r="F1971" t="n">
        <v>0.5501593313000001</v>
      </c>
      <c r="G1971" t="n">
        <v>0.7980219327</v>
      </c>
      <c r="H1971" t="n">
        <v>0.905996911</v>
      </c>
    </row>
    <row r="1972">
      <c r="A1972" t="inlineStr">
        <is>
          <t>MLI|mit.inv.tot.2</t>
        </is>
      </c>
      <c r="B1972" t="inlineStr">
        <is>
          <t>MLI</t>
        </is>
      </c>
      <c r="C1972" t="inlineStr">
        <is>
          <t>mit.inv.tot.2</t>
        </is>
      </c>
      <c r="D1972" t="n">
        <v>0</v>
      </c>
      <c r="E1972" t="n">
        <v>0.6131162610999999</v>
      </c>
      <c r="F1972" t="n">
        <v>1.478419894</v>
      </c>
      <c r="G1972" t="n">
        <v>2.549353826</v>
      </c>
      <c r="H1972" t="n">
        <v>3.149875307</v>
      </c>
    </row>
    <row r="1973">
      <c r="A1973" t="inlineStr">
        <is>
          <t>MLT|mit.inv.tot.2</t>
        </is>
      </c>
      <c r="B1973" t="inlineStr">
        <is>
          <t>MLT</t>
        </is>
      </c>
      <c r="C1973" t="inlineStr">
        <is>
          <t>mit.inv.tot.2</t>
        </is>
      </c>
      <c r="D1973" t="n">
        <v>0</v>
      </c>
      <c r="E1973" t="n">
        <v>0.4451299286</v>
      </c>
      <c r="F1973" t="n">
        <v>0.5983219942</v>
      </c>
      <c r="G1973" t="n">
        <v>0.517115667</v>
      </c>
      <c r="H1973" t="n">
        <v>0.5452261567</v>
      </c>
    </row>
    <row r="1974">
      <c r="A1974" t="inlineStr">
        <is>
          <t>MMR|mit.inv.tot.2</t>
        </is>
      </c>
      <c r="B1974" t="inlineStr">
        <is>
          <t>MMR</t>
        </is>
      </c>
      <c r="C1974" t="inlineStr">
        <is>
          <t>mit.inv.tot.2</t>
        </is>
      </c>
      <c r="D1974" t="n">
        <v>0</v>
      </c>
      <c r="E1974" t="n">
        <v>2.880435287</v>
      </c>
      <c r="F1974" t="n">
        <v>11.30981919</v>
      </c>
      <c r="G1974" t="n">
        <v>14.53908492</v>
      </c>
      <c r="H1974" t="n">
        <v>17.01914287</v>
      </c>
    </row>
    <row r="1975">
      <c r="A1975" t="inlineStr">
        <is>
          <t>MNE|mit.inv.tot.2</t>
        </is>
      </c>
      <c r="B1975" t="inlineStr">
        <is>
          <t>MNE</t>
        </is>
      </c>
      <c r="C1975" t="inlineStr">
        <is>
          <t>mit.inv.tot.2</t>
        </is>
      </c>
      <c r="D1975" t="n">
        <v>0</v>
      </c>
      <c r="E1975" t="n">
        <v>0.1361415167</v>
      </c>
      <c r="F1975" t="n">
        <v>0.1851492071</v>
      </c>
      <c r="G1975" t="n">
        <v>0.2115457296</v>
      </c>
      <c r="H1975" t="n">
        <v>0.2406516698</v>
      </c>
    </row>
    <row r="1976">
      <c r="A1976" t="inlineStr">
        <is>
          <t>MNG|mit.inv.tot.2</t>
        </is>
      </c>
      <c r="B1976" t="inlineStr">
        <is>
          <t>MNG</t>
        </is>
      </c>
      <c r="C1976" t="inlineStr">
        <is>
          <t>mit.inv.tot.2</t>
        </is>
      </c>
      <c r="D1976" t="n">
        <v>0</v>
      </c>
      <c r="E1976" t="n">
        <v>0.9939010248</v>
      </c>
      <c r="F1976" t="n">
        <v>2.683814562</v>
      </c>
      <c r="G1976" t="n">
        <v>3.735589499</v>
      </c>
      <c r="H1976" t="n">
        <v>4.290709835</v>
      </c>
    </row>
    <row r="1977">
      <c r="A1977" t="inlineStr">
        <is>
          <t>MOZ|mit.inv.tot.2</t>
        </is>
      </c>
      <c r="B1977" t="inlineStr">
        <is>
          <t>MOZ</t>
        </is>
      </c>
      <c r="C1977" t="inlineStr">
        <is>
          <t>mit.inv.tot.2</t>
        </is>
      </c>
      <c r="D1977" t="n">
        <v>0</v>
      </c>
      <c r="E1977" t="n">
        <v>0.8794984619</v>
      </c>
      <c r="F1977" t="n">
        <v>4.348255583</v>
      </c>
      <c r="G1977" t="n">
        <v>5.283557253</v>
      </c>
      <c r="H1977" t="n">
        <v>5.927362995</v>
      </c>
    </row>
    <row r="1978">
      <c r="A1978" t="inlineStr">
        <is>
          <t>MRT|mit.inv.tot.2</t>
        </is>
      </c>
      <c r="B1978" t="inlineStr">
        <is>
          <t>MRT</t>
        </is>
      </c>
      <c r="C1978" t="inlineStr">
        <is>
          <t>mit.inv.tot.2</t>
        </is>
      </c>
      <c r="D1978" t="n">
        <v>0</v>
      </c>
      <c r="E1978" t="n">
        <v>0.3508085899</v>
      </c>
      <c r="F1978" t="n">
        <v>0.6872568324</v>
      </c>
      <c r="G1978" t="n">
        <v>1.214332391</v>
      </c>
      <c r="H1978" t="n">
        <v>1.462990685</v>
      </c>
    </row>
    <row r="1979">
      <c r="A1979" t="inlineStr">
        <is>
          <t>MUS|mit.inv.tot.2</t>
        </is>
      </c>
      <c r="B1979" t="inlineStr">
        <is>
          <t>MUS</t>
        </is>
      </c>
      <c r="C1979" t="inlineStr">
        <is>
          <t>mit.inv.tot.2</t>
        </is>
      </c>
      <c r="D1979" t="n">
        <v>0</v>
      </c>
      <c r="E1979" t="n">
        <v>0.2254312558</v>
      </c>
      <c r="F1979" t="n">
        <v>0.3205122241</v>
      </c>
      <c r="G1979" t="n">
        <v>0.4997103584</v>
      </c>
      <c r="H1979" t="n">
        <v>0.4933922331</v>
      </c>
    </row>
    <row r="1980">
      <c r="A1980" t="inlineStr">
        <is>
          <t>MWI|mit.inv.tot.2</t>
        </is>
      </c>
      <c r="B1980" t="inlineStr">
        <is>
          <t>MWI</t>
        </is>
      </c>
      <c r="C1980" t="inlineStr">
        <is>
          <t>mit.inv.tot.2</t>
        </is>
      </c>
      <c r="D1980" t="n">
        <v>0</v>
      </c>
      <c r="E1980" t="n">
        <v>0.2288611834</v>
      </c>
      <c r="F1980" t="n">
        <v>0.8757734356</v>
      </c>
      <c r="G1980" t="n">
        <v>1.214505047</v>
      </c>
      <c r="H1980" t="n">
        <v>1.540973835</v>
      </c>
    </row>
    <row r="1981">
      <c r="A1981" t="inlineStr">
        <is>
          <t>MYS|mit.inv.tot.2</t>
        </is>
      </c>
      <c r="B1981" t="inlineStr">
        <is>
          <t>MYS</t>
        </is>
      </c>
      <c r="C1981" t="inlineStr">
        <is>
          <t>mit.inv.tot.2</t>
        </is>
      </c>
      <c r="D1981" t="n">
        <v>0</v>
      </c>
      <c r="E1981" t="n">
        <v>12.72158094</v>
      </c>
      <c r="F1981" t="n">
        <v>20.71456041</v>
      </c>
      <c r="G1981" t="n">
        <v>31.91984333</v>
      </c>
      <c r="H1981" t="n">
        <v>34.67189154</v>
      </c>
    </row>
    <row r="1982">
      <c r="A1982" t="inlineStr">
        <is>
          <t>NAM|mit.inv.tot.2</t>
        </is>
      </c>
      <c r="B1982" t="inlineStr">
        <is>
          <t>NAM</t>
        </is>
      </c>
      <c r="C1982" t="inlineStr">
        <is>
          <t>mit.inv.tot.2</t>
        </is>
      </c>
      <c r="D1982" t="n">
        <v>0</v>
      </c>
      <c r="E1982" t="n">
        <v>0.3097488916</v>
      </c>
      <c r="F1982" t="n">
        <v>0.9169772859</v>
      </c>
      <c r="G1982" t="n">
        <v>1.088353036</v>
      </c>
      <c r="H1982" t="n">
        <v>1.25144386</v>
      </c>
    </row>
    <row r="1983">
      <c r="A1983" t="inlineStr">
        <is>
          <t>NER|mit.inv.tot.2</t>
        </is>
      </c>
      <c r="B1983" t="inlineStr">
        <is>
          <t>NER</t>
        </is>
      </c>
      <c r="C1983" t="inlineStr">
        <is>
          <t>mit.inv.tot.2</t>
        </is>
      </c>
      <c r="D1983" t="n">
        <v>0</v>
      </c>
      <c r="E1983" t="n">
        <v>0.3651393911</v>
      </c>
      <c r="F1983" t="n">
        <v>1.051009145</v>
      </c>
      <c r="G1983" t="n">
        <v>1.616190207</v>
      </c>
      <c r="H1983" t="n">
        <v>2.052807045</v>
      </c>
    </row>
    <row r="1984">
      <c r="A1984" t="inlineStr">
        <is>
          <t>NGA|mit.inv.tot.2</t>
        </is>
      </c>
      <c r="B1984" t="inlineStr">
        <is>
          <t>NGA</t>
        </is>
      </c>
      <c r="C1984" t="inlineStr">
        <is>
          <t>mit.inv.tot.2</t>
        </is>
      </c>
      <c r="D1984" t="n">
        <v>0</v>
      </c>
      <c r="E1984" t="n">
        <v>5.058183429</v>
      </c>
      <c r="F1984" t="n">
        <v>12.8474</v>
      </c>
      <c r="G1984" t="n">
        <v>19.55179286</v>
      </c>
      <c r="H1984" t="n">
        <v>24.0302014</v>
      </c>
    </row>
    <row r="1985">
      <c r="A1985" t="inlineStr">
        <is>
          <t>NIC|mit.inv.tot.2</t>
        </is>
      </c>
      <c r="B1985" t="inlineStr">
        <is>
          <t>NIC</t>
        </is>
      </c>
      <c r="C1985" t="inlineStr">
        <is>
          <t>mit.inv.tot.2</t>
        </is>
      </c>
      <c r="D1985" t="n">
        <v>0</v>
      </c>
      <c r="E1985" t="n">
        <v>0.5688731116</v>
      </c>
      <c r="F1985" t="n">
        <v>1.678264067</v>
      </c>
      <c r="G1985" t="n">
        <v>2.074639126</v>
      </c>
      <c r="H1985" t="n">
        <v>2.388251982</v>
      </c>
    </row>
    <row r="1986">
      <c r="A1986" t="inlineStr">
        <is>
          <t>NLD|mit.inv.tot.2</t>
        </is>
      </c>
      <c r="B1986" t="inlineStr">
        <is>
          <t>NLD</t>
        </is>
      </c>
      <c r="C1986" t="inlineStr">
        <is>
          <t>mit.inv.tot.2</t>
        </is>
      </c>
      <c r="D1986" t="n">
        <v>0</v>
      </c>
      <c r="E1986" t="n">
        <v>33.05709867</v>
      </c>
      <c r="F1986" t="n">
        <v>39.26198364</v>
      </c>
      <c r="G1986" t="n">
        <v>36.61402257</v>
      </c>
      <c r="H1986" t="n">
        <v>31.35922426</v>
      </c>
    </row>
    <row r="1987">
      <c r="A1987" t="inlineStr">
        <is>
          <t>NOR|mit.inv.tot.2</t>
        </is>
      </c>
      <c r="B1987" t="inlineStr">
        <is>
          <t>NOR</t>
        </is>
      </c>
      <c r="C1987" t="inlineStr">
        <is>
          <t>mit.inv.tot.2</t>
        </is>
      </c>
      <c r="D1987" t="n">
        <v>0</v>
      </c>
      <c r="E1987" t="n">
        <v>10.23850684</v>
      </c>
      <c r="F1987" t="n">
        <v>11.98171756</v>
      </c>
      <c r="G1987" t="n">
        <v>13.37751352</v>
      </c>
      <c r="H1987" t="n">
        <v>14.70084219</v>
      </c>
    </row>
    <row r="1988">
      <c r="A1988" t="inlineStr">
        <is>
          <t>NPL|mit.inv.tot.2</t>
        </is>
      </c>
      <c r="B1988" t="inlineStr">
        <is>
          <t>NPL</t>
        </is>
      </c>
      <c r="C1988" t="inlineStr">
        <is>
          <t>mit.inv.tot.2</t>
        </is>
      </c>
      <c r="D1988" t="n">
        <v>0</v>
      </c>
      <c r="E1988" t="n">
        <v>1.225327951</v>
      </c>
      <c r="F1988" t="n">
        <v>2.109475728</v>
      </c>
      <c r="G1988" t="n">
        <v>3.246372496</v>
      </c>
      <c r="H1988" t="n">
        <v>4.360407136</v>
      </c>
    </row>
    <row r="1989">
      <c r="A1989" t="inlineStr">
        <is>
          <t>NRU|mit.inv.tot.2</t>
        </is>
      </c>
      <c r="B1989" t="inlineStr">
        <is>
          <t>NRU</t>
        </is>
      </c>
      <c r="C1989" t="inlineStr">
        <is>
          <t>mit.inv.tot.2</t>
        </is>
      </c>
      <c r="D1989" t="n">
        <v>0</v>
      </c>
      <c r="E1989" t="n">
        <v>0.01113460402</v>
      </c>
      <c r="F1989" t="n">
        <v>0.01489017761</v>
      </c>
      <c r="G1989" t="n">
        <v>0.02460843609</v>
      </c>
      <c r="H1989" t="n">
        <v>0.02662711253</v>
      </c>
    </row>
    <row r="1990">
      <c r="A1990" t="inlineStr">
        <is>
          <t>NZL|mit.inv.tot.2</t>
        </is>
      </c>
      <c r="B1990" t="inlineStr">
        <is>
          <t>NZL</t>
        </is>
      </c>
      <c r="C1990" t="inlineStr">
        <is>
          <t>mit.inv.tot.2</t>
        </is>
      </c>
      <c r="D1990" t="n">
        <v>0</v>
      </c>
      <c r="E1990" t="n">
        <v>5.51965606</v>
      </c>
      <c r="F1990" t="n">
        <v>7.678771027</v>
      </c>
      <c r="G1990" t="n">
        <v>7.960927581</v>
      </c>
      <c r="H1990" t="n">
        <v>8.120346421000001</v>
      </c>
    </row>
    <row r="1991">
      <c r="A1991" t="inlineStr">
        <is>
          <t>OMN|mit.inv.tot.2</t>
        </is>
      </c>
      <c r="B1991" t="inlineStr">
        <is>
          <t>OMN</t>
        </is>
      </c>
      <c r="C1991" t="inlineStr">
        <is>
          <t>mit.inv.tot.2</t>
        </is>
      </c>
      <c r="D1991" t="n">
        <v>0</v>
      </c>
      <c r="E1991" t="n">
        <v>7.159252546</v>
      </c>
      <c r="F1991" t="n">
        <v>9.724239322000001</v>
      </c>
      <c r="G1991" t="n">
        <v>13.6619403</v>
      </c>
      <c r="H1991" t="n">
        <v>12.69028481</v>
      </c>
    </row>
    <row r="1992">
      <c r="A1992" t="inlineStr">
        <is>
          <t>PAK|mit.inv.tot.2</t>
        </is>
      </c>
      <c r="B1992" t="inlineStr">
        <is>
          <t>PAK</t>
        </is>
      </c>
      <c r="C1992" t="inlineStr">
        <is>
          <t>mit.inv.tot.2</t>
        </is>
      </c>
      <c r="D1992" t="n">
        <v>0</v>
      </c>
      <c r="E1992" t="n">
        <v>9.565816984</v>
      </c>
      <c r="F1992" t="n">
        <v>17.41692243</v>
      </c>
      <c r="G1992" t="n">
        <v>26.72556989</v>
      </c>
      <c r="H1992" t="n">
        <v>32.34147208</v>
      </c>
    </row>
    <row r="1993">
      <c r="A1993" t="inlineStr">
        <is>
          <t>PAN|mit.inv.tot.2</t>
        </is>
      </c>
      <c r="B1993" t="inlineStr">
        <is>
          <t>PAN</t>
        </is>
      </c>
      <c r="C1993" t="inlineStr">
        <is>
          <t>mit.inv.tot.2</t>
        </is>
      </c>
      <c r="D1993" t="n">
        <v>0</v>
      </c>
      <c r="E1993" t="n">
        <v>1.212888154</v>
      </c>
      <c r="F1993" t="n">
        <v>1.741775678</v>
      </c>
      <c r="G1993" t="n">
        <v>2.068726152</v>
      </c>
      <c r="H1993" t="n">
        <v>2.104619886</v>
      </c>
    </row>
    <row r="1994">
      <c r="A1994" t="inlineStr">
        <is>
          <t>PER|mit.inv.tot.2</t>
        </is>
      </c>
      <c r="B1994" t="inlineStr">
        <is>
          <t>PER</t>
        </is>
      </c>
      <c r="C1994" t="inlineStr">
        <is>
          <t>mit.inv.tot.2</t>
        </is>
      </c>
      <c r="D1994" t="n">
        <v>0</v>
      </c>
      <c r="E1994" t="n">
        <v>6.095154493</v>
      </c>
      <c r="F1994" t="n">
        <v>11.55247459</v>
      </c>
      <c r="G1994" t="n">
        <v>15.44313617</v>
      </c>
      <c r="H1994" t="n">
        <v>16.56108103</v>
      </c>
    </row>
    <row r="1995">
      <c r="A1995" t="inlineStr">
        <is>
          <t>PHL|mit.inv.tot.2</t>
        </is>
      </c>
      <c r="B1995" t="inlineStr">
        <is>
          <t>PHL</t>
        </is>
      </c>
      <c r="C1995" t="inlineStr">
        <is>
          <t>mit.inv.tot.2</t>
        </is>
      </c>
      <c r="D1995" t="n">
        <v>0</v>
      </c>
      <c r="E1995" t="n">
        <v>8.930827536000001</v>
      </c>
      <c r="F1995" t="n">
        <v>13.67655803</v>
      </c>
      <c r="G1995" t="n">
        <v>23.69807172</v>
      </c>
      <c r="H1995" t="n">
        <v>25.99966607</v>
      </c>
    </row>
    <row r="1996">
      <c r="A1996" t="inlineStr">
        <is>
          <t>PLW|mit.inv.tot.2</t>
        </is>
      </c>
      <c r="B1996" t="inlineStr">
        <is>
          <t>PLW</t>
        </is>
      </c>
      <c r="C1996" t="inlineStr">
        <is>
          <t>mit.inv.tot.2</t>
        </is>
      </c>
      <c r="D1996" t="n">
        <v>0</v>
      </c>
      <c r="E1996" t="n">
        <v>0.02364365981</v>
      </c>
      <c r="F1996" t="n">
        <v>0.04606966908</v>
      </c>
      <c r="G1996" t="n">
        <v>0.08858049652</v>
      </c>
      <c r="H1996" t="n">
        <v>0.1172918096</v>
      </c>
    </row>
    <row r="1997">
      <c r="A1997" t="inlineStr">
        <is>
          <t>PNG|mit.inv.tot.2</t>
        </is>
      </c>
      <c r="B1997" t="inlineStr">
        <is>
          <t>PNG</t>
        </is>
      </c>
      <c r="C1997" t="inlineStr">
        <is>
          <t>mit.inv.tot.2</t>
        </is>
      </c>
      <c r="D1997" t="n">
        <v>0</v>
      </c>
      <c r="E1997" t="n">
        <v>1.020947178</v>
      </c>
      <c r="F1997" t="n">
        <v>2.641525152</v>
      </c>
      <c r="G1997" t="n">
        <v>3.420225048</v>
      </c>
      <c r="H1997" t="n">
        <v>3.942595637</v>
      </c>
    </row>
    <row r="1998">
      <c r="A1998" t="inlineStr">
        <is>
          <t>POL|mit.inv.tot.2</t>
        </is>
      </c>
      <c r="B1998" t="inlineStr">
        <is>
          <t>POL</t>
        </is>
      </c>
      <c r="C1998" t="inlineStr">
        <is>
          <t>mit.inv.tot.2</t>
        </is>
      </c>
      <c r="D1998" t="n">
        <v>0</v>
      </c>
      <c r="E1998" t="n">
        <v>23.04344726</v>
      </c>
      <c r="F1998" t="n">
        <v>29.6792655</v>
      </c>
      <c r="G1998" t="n">
        <v>39.33995384</v>
      </c>
      <c r="H1998" t="n">
        <v>34.30840874</v>
      </c>
    </row>
    <row r="1999">
      <c r="A1999" t="inlineStr">
        <is>
          <t>PRI|mit.inv.tot.2</t>
        </is>
      </c>
      <c r="B1999" t="inlineStr">
        <is>
          <t>PRI</t>
        </is>
      </c>
      <c r="C1999" t="inlineStr">
        <is>
          <t>mit.inv.tot.2</t>
        </is>
      </c>
      <c r="D1999" t="n">
        <v>0</v>
      </c>
      <c r="E1999" t="n">
        <v>1.984907293</v>
      </c>
      <c r="F1999" t="n">
        <v>2.520041155</v>
      </c>
      <c r="G1999" t="n">
        <v>2.630702634</v>
      </c>
      <c r="H1999" t="n">
        <v>2.702598299</v>
      </c>
    </row>
    <row r="2000">
      <c r="A2000" t="inlineStr">
        <is>
          <t>PRT|mit.inv.tot.2</t>
        </is>
      </c>
      <c r="B2000" t="inlineStr">
        <is>
          <t>PRT</t>
        </is>
      </c>
      <c r="C2000" t="inlineStr">
        <is>
          <t>mit.inv.tot.2</t>
        </is>
      </c>
      <c r="D2000" t="n">
        <v>0</v>
      </c>
      <c r="E2000" t="n">
        <v>7.227239427</v>
      </c>
      <c r="F2000" t="n">
        <v>8.692348435</v>
      </c>
      <c r="G2000" t="n">
        <v>8.627701117999999</v>
      </c>
      <c r="H2000" t="n">
        <v>8.973108757</v>
      </c>
    </row>
    <row r="2001">
      <c r="A2001" t="inlineStr">
        <is>
          <t>PRY|mit.inv.tot.2</t>
        </is>
      </c>
      <c r="B2001" t="inlineStr">
        <is>
          <t>PRY</t>
        </is>
      </c>
      <c r="C2001" t="inlineStr">
        <is>
          <t>mit.inv.tot.2</t>
        </is>
      </c>
      <c r="D2001" t="n">
        <v>0</v>
      </c>
      <c r="E2001" t="n">
        <v>1.119560259</v>
      </c>
      <c r="F2001" t="n">
        <v>3.671513176</v>
      </c>
      <c r="G2001" t="n">
        <v>5.180876655</v>
      </c>
      <c r="H2001" t="n">
        <v>6.146287719</v>
      </c>
    </row>
    <row r="2002">
      <c r="A2002" t="inlineStr">
        <is>
          <t>QAT|mit.inv.tot.2</t>
        </is>
      </c>
      <c r="B2002" t="inlineStr">
        <is>
          <t>QAT</t>
        </is>
      </c>
      <c r="C2002" t="inlineStr">
        <is>
          <t>mit.inv.tot.2</t>
        </is>
      </c>
      <c r="D2002" t="n">
        <v>0</v>
      </c>
      <c r="E2002" t="n">
        <v>8.049515232999999</v>
      </c>
      <c r="F2002" t="n">
        <v>6.068114543</v>
      </c>
      <c r="G2002" t="n">
        <v>9.809361062000001</v>
      </c>
      <c r="H2002" t="n">
        <v>10.29666943</v>
      </c>
    </row>
    <row r="2003">
      <c r="A2003" t="inlineStr">
        <is>
          <t>ROU|mit.inv.tot.2</t>
        </is>
      </c>
      <c r="B2003" t="inlineStr">
        <is>
          <t>ROU</t>
        </is>
      </c>
      <c r="C2003" t="inlineStr">
        <is>
          <t>mit.inv.tot.2</t>
        </is>
      </c>
      <c r="D2003" t="n">
        <v>0</v>
      </c>
      <c r="E2003" t="n">
        <v>7.20886892</v>
      </c>
      <c r="F2003" t="n">
        <v>9.068404105999999</v>
      </c>
      <c r="G2003" t="n">
        <v>13.27634232</v>
      </c>
      <c r="H2003" t="n">
        <v>15.20218638</v>
      </c>
    </row>
    <row r="2004">
      <c r="A2004" t="inlineStr">
        <is>
          <t>RUS|mit.inv.tot.2</t>
        </is>
      </c>
      <c r="B2004" t="inlineStr">
        <is>
          <t>RUS</t>
        </is>
      </c>
      <c r="C2004" t="inlineStr">
        <is>
          <t>mit.inv.tot.2</t>
        </is>
      </c>
      <c r="D2004" t="n">
        <v>0</v>
      </c>
      <c r="E2004" t="n">
        <v>105.8401996</v>
      </c>
      <c r="F2004" t="n">
        <v>138.5390681</v>
      </c>
      <c r="G2004" t="n">
        <v>239.0562211</v>
      </c>
      <c r="H2004" t="n">
        <v>260.3318478</v>
      </c>
    </row>
    <row r="2005">
      <c r="A2005" t="inlineStr">
        <is>
          <t>RWA|mit.inv.tot.2</t>
        </is>
      </c>
      <c r="B2005" t="inlineStr">
        <is>
          <t>RWA</t>
        </is>
      </c>
      <c r="C2005" t="inlineStr">
        <is>
          <t>mit.inv.tot.2</t>
        </is>
      </c>
      <c r="D2005" t="n">
        <v>0</v>
      </c>
      <c r="E2005" t="n">
        <v>0.1683495466</v>
      </c>
      <c r="F2005" t="n">
        <v>0.3855091724</v>
      </c>
      <c r="G2005" t="n">
        <v>0.5727205587</v>
      </c>
      <c r="H2005" t="n">
        <v>0.7496981327</v>
      </c>
    </row>
    <row r="2006">
      <c r="A2006" t="inlineStr">
        <is>
          <t>SAU|mit.inv.tot.2</t>
        </is>
      </c>
      <c r="B2006" t="inlineStr">
        <is>
          <t>SAU</t>
        </is>
      </c>
      <c r="C2006" t="inlineStr">
        <is>
          <t>mit.inv.tot.2</t>
        </is>
      </c>
      <c r="D2006" t="n">
        <v>0</v>
      </c>
      <c r="E2006" t="n">
        <v>34.50981887</v>
      </c>
      <c r="F2006" t="n">
        <v>43.78220601</v>
      </c>
      <c r="G2006" t="n">
        <v>64.047068</v>
      </c>
      <c r="H2006" t="n">
        <v>53.06516207</v>
      </c>
    </row>
    <row r="2007">
      <c r="A2007" t="inlineStr">
        <is>
          <t>SDN|mit.inv.tot.2</t>
        </is>
      </c>
      <c r="B2007" t="inlineStr">
        <is>
          <t>SDN</t>
        </is>
      </c>
      <c r="C2007" t="inlineStr">
        <is>
          <t>mit.inv.tot.2</t>
        </is>
      </c>
      <c r="D2007" t="n">
        <v>0</v>
      </c>
      <c r="E2007" t="n">
        <v>1.481364081</v>
      </c>
      <c r="F2007" t="n">
        <v>4.155163559</v>
      </c>
      <c r="G2007" t="n">
        <v>5.820882768</v>
      </c>
      <c r="H2007" t="n">
        <v>7.162280551</v>
      </c>
    </row>
    <row r="2008">
      <c r="A2008" t="inlineStr">
        <is>
          <t>SEN|mit.inv.tot.2</t>
        </is>
      </c>
      <c r="B2008" t="inlineStr">
        <is>
          <t>SEN</t>
        </is>
      </c>
      <c r="C2008" t="inlineStr">
        <is>
          <t>mit.inv.tot.2</t>
        </is>
      </c>
      <c r="D2008" t="n">
        <v>0</v>
      </c>
      <c r="E2008" t="n">
        <v>0.7333521902</v>
      </c>
      <c r="F2008" t="n">
        <v>1.194717758</v>
      </c>
      <c r="G2008" t="n">
        <v>1.782340574</v>
      </c>
      <c r="H2008" t="n">
        <v>2.101132299</v>
      </c>
    </row>
    <row r="2009">
      <c r="A2009" t="inlineStr">
        <is>
          <t>SGP|mit.inv.tot.2</t>
        </is>
      </c>
      <c r="B2009" t="inlineStr">
        <is>
          <t>SGP</t>
        </is>
      </c>
      <c r="C2009" t="inlineStr">
        <is>
          <t>mit.inv.tot.2</t>
        </is>
      </c>
      <c r="D2009" t="n">
        <v>0</v>
      </c>
      <c r="E2009" t="n">
        <v>10.9564455</v>
      </c>
      <c r="F2009" t="n">
        <v>15.87724333</v>
      </c>
      <c r="G2009" t="n">
        <v>14.87781963</v>
      </c>
      <c r="H2009" t="n">
        <v>16.21909453</v>
      </c>
    </row>
    <row r="2010">
      <c r="A2010" t="inlineStr">
        <is>
          <t>SLB|mit.inv.tot.2</t>
        </is>
      </c>
      <c r="B2010" t="inlineStr">
        <is>
          <t>SLB</t>
        </is>
      </c>
      <c r="C2010" t="inlineStr">
        <is>
          <t>mit.inv.tot.2</t>
        </is>
      </c>
      <c r="D2010" t="n">
        <v>0</v>
      </c>
      <c r="E2010" t="n">
        <v>0.3898911637</v>
      </c>
      <c r="F2010" t="n">
        <v>2.202049738</v>
      </c>
      <c r="G2010" t="n">
        <v>2.22435878</v>
      </c>
      <c r="H2010" t="n">
        <v>2.236806089</v>
      </c>
    </row>
    <row r="2011">
      <c r="A2011" t="inlineStr">
        <is>
          <t>SLE|mit.inv.tot.2</t>
        </is>
      </c>
      <c r="B2011" t="inlineStr">
        <is>
          <t>SLE</t>
        </is>
      </c>
      <c r="C2011" t="inlineStr">
        <is>
          <t>mit.inv.tot.2</t>
        </is>
      </c>
      <c r="D2011" t="n">
        <v>0</v>
      </c>
      <c r="E2011" t="n">
        <v>0.1226576288</v>
      </c>
      <c r="F2011" t="n">
        <v>0.3724344101</v>
      </c>
      <c r="G2011" t="n">
        <v>0.486419717</v>
      </c>
      <c r="H2011" t="n">
        <v>0.6102749341</v>
      </c>
    </row>
    <row r="2012">
      <c r="A2012" t="inlineStr">
        <is>
          <t>SLV|mit.inv.tot.2</t>
        </is>
      </c>
      <c r="B2012" t="inlineStr">
        <is>
          <t>SLV</t>
        </is>
      </c>
      <c r="C2012" t="inlineStr">
        <is>
          <t>mit.inv.tot.2</t>
        </is>
      </c>
      <c r="D2012" t="n">
        <v>0</v>
      </c>
      <c r="E2012" t="n">
        <v>0.7093856481</v>
      </c>
      <c r="F2012" t="n">
        <v>1.05007519</v>
      </c>
      <c r="G2012" t="n">
        <v>1.532798173</v>
      </c>
      <c r="H2012" t="n">
        <v>1.983488536</v>
      </c>
    </row>
    <row r="2013">
      <c r="A2013" t="inlineStr">
        <is>
          <t>SOM|mit.inv.tot.2</t>
        </is>
      </c>
      <c r="B2013" t="inlineStr">
        <is>
          <t>SOM</t>
        </is>
      </c>
      <c r="C2013" t="inlineStr">
        <is>
          <t>mit.inv.tot.2</t>
        </is>
      </c>
      <c r="D2013" t="n">
        <v>0</v>
      </c>
      <c r="E2013" t="n">
        <v>0.3377043171</v>
      </c>
      <c r="F2013" t="n">
        <v>1.488829892</v>
      </c>
      <c r="G2013" t="n">
        <v>1.842884673</v>
      </c>
      <c r="H2013" t="n">
        <v>2.183392423</v>
      </c>
    </row>
    <row r="2014">
      <c r="A2014" t="inlineStr">
        <is>
          <t>SRB|mit.inv.tot.2</t>
        </is>
      </c>
      <c r="B2014" t="inlineStr">
        <is>
          <t>SRB</t>
        </is>
      </c>
      <c r="C2014" t="inlineStr">
        <is>
          <t>mit.inv.tot.2</t>
        </is>
      </c>
      <c r="D2014" t="n">
        <v>0</v>
      </c>
      <c r="E2014" t="n">
        <v>2.645333031</v>
      </c>
      <c r="F2014" t="n">
        <v>3.975959197</v>
      </c>
      <c r="G2014" t="n">
        <v>6.859094606</v>
      </c>
      <c r="H2014" t="n">
        <v>7.095599879</v>
      </c>
    </row>
    <row r="2015">
      <c r="A2015" t="inlineStr">
        <is>
          <t>STP|mit.inv.tot.2</t>
        </is>
      </c>
      <c r="B2015" t="inlineStr">
        <is>
          <t>STP</t>
        </is>
      </c>
      <c r="C2015" t="inlineStr">
        <is>
          <t>mit.inv.tot.2</t>
        </is>
      </c>
      <c r="D2015" t="n">
        <v>0</v>
      </c>
      <c r="E2015" t="n">
        <v>0.01595832417</v>
      </c>
      <c r="F2015" t="n">
        <v>0.03122932555</v>
      </c>
      <c r="G2015" t="n">
        <v>0.04739790031</v>
      </c>
      <c r="H2015" t="n">
        <v>0.05667749347</v>
      </c>
    </row>
    <row r="2016">
      <c r="A2016" t="inlineStr">
        <is>
          <t>SUR|mit.inv.tot.2</t>
        </is>
      </c>
      <c r="B2016" t="inlineStr">
        <is>
          <t>SUR</t>
        </is>
      </c>
      <c r="C2016" t="inlineStr">
        <is>
          <t>mit.inv.tot.2</t>
        </is>
      </c>
      <c r="D2016" t="n">
        <v>0</v>
      </c>
      <c r="E2016" t="n">
        <v>0.2702140509</v>
      </c>
      <c r="F2016" t="n">
        <v>0.7267426774</v>
      </c>
      <c r="G2016" t="n">
        <v>0.8519117913000001</v>
      </c>
      <c r="H2016" t="n">
        <v>0.9350343517</v>
      </c>
    </row>
    <row r="2017">
      <c r="A2017" t="inlineStr">
        <is>
          <t>SVK|mit.inv.tot.2</t>
        </is>
      </c>
      <c r="B2017" t="inlineStr">
        <is>
          <t>SVK</t>
        </is>
      </c>
      <c r="C2017" t="inlineStr">
        <is>
          <t>mit.inv.tot.2</t>
        </is>
      </c>
      <c r="D2017" t="n">
        <v>0</v>
      </c>
      <c r="E2017" t="n">
        <v>4.379496266</v>
      </c>
      <c r="F2017" t="n">
        <v>4.974688248</v>
      </c>
      <c r="G2017" t="n">
        <v>5.448867566</v>
      </c>
      <c r="H2017" t="n">
        <v>5.185519822</v>
      </c>
    </row>
    <row r="2018">
      <c r="A2018" t="inlineStr">
        <is>
          <t>SVN|mit.inv.tot.2</t>
        </is>
      </c>
      <c r="B2018" t="inlineStr">
        <is>
          <t>SVN</t>
        </is>
      </c>
      <c r="C2018" t="inlineStr">
        <is>
          <t>mit.inv.tot.2</t>
        </is>
      </c>
      <c r="D2018" t="n">
        <v>0</v>
      </c>
      <c r="E2018" t="n">
        <v>1.75234456</v>
      </c>
      <c r="F2018" t="n">
        <v>2.211410907</v>
      </c>
      <c r="G2018" t="n">
        <v>2.143815517</v>
      </c>
      <c r="H2018" t="n">
        <v>2.189076449</v>
      </c>
    </row>
    <row r="2019">
      <c r="A2019" t="inlineStr">
        <is>
          <t>SWE|mit.inv.tot.2</t>
        </is>
      </c>
      <c r="B2019" t="inlineStr">
        <is>
          <t>SWE</t>
        </is>
      </c>
      <c r="C2019" t="inlineStr">
        <is>
          <t>mit.inv.tot.2</t>
        </is>
      </c>
      <c r="D2019" t="n">
        <v>0</v>
      </c>
      <c r="E2019" t="n">
        <v>11.91608092</v>
      </c>
      <c r="F2019" t="n">
        <v>14.10828905</v>
      </c>
      <c r="G2019" t="n">
        <v>14.54945239</v>
      </c>
      <c r="H2019" t="n">
        <v>15.38354079</v>
      </c>
    </row>
    <row r="2020">
      <c r="A2020" t="inlineStr">
        <is>
          <t>SWZ|mit.inv.tot.2</t>
        </is>
      </c>
      <c r="B2020" t="inlineStr">
        <is>
          <t>SWZ</t>
        </is>
      </c>
      <c r="C2020" t="inlineStr">
        <is>
          <t>mit.inv.tot.2</t>
        </is>
      </c>
      <c r="D2020" t="n">
        <v>0</v>
      </c>
      <c r="E2020" t="n">
        <v>0.07573090379</v>
      </c>
      <c r="F2020" t="n">
        <v>0.1356891978</v>
      </c>
      <c r="G2020" t="n">
        <v>0.1951524616</v>
      </c>
      <c r="H2020" t="n">
        <v>0.2493461058</v>
      </c>
    </row>
    <row r="2021">
      <c r="A2021" t="inlineStr">
        <is>
          <t>SYC|mit.inv.tot.2</t>
        </is>
      </c>
      <c r="B2021" t="inlineStr">
        <is>
          <t>SYC</t>
        </is>
      </c>
      <c r="C2021" t="inlineStr">
        <is>
          <t>mit.inv.tot.2</t>
        </is>
      </c>
      <c r="D2021" t="n">
        <v>0</v>
      </c>
      <c r="E2021" t="n">
        <v>0.06911339793</v>
      </c>
      <c r="F2021" t="n">
        <v>0.07700634102999999</v>
      </c>
      <c r="G2021" t="n">
        <v>0.1103400557</v>
      </c>
      <c r="H2021" t="n">
        <v>0.09795884122</v>
      </c>
    </row>
    <row r="2022">
      <c r="A2022" t="inlineStr">
        <is>
          <t>SYR|mit.inv.tot.2</t>
        </is>
      </c>
      <c r="B2022" t="inlineStr">
        <is>
          <t>SYR</t>
        </is>
      </c>
      <c r="C2022" t="inlineStr">
        <is>
          <t>mit.inv.tot.2</t>
        </is>
      </c>
      <c r="D2022" t="n">
        <v>0</v>
      </c>
      <c r="E2022" t="n">
        <v>2.916192388</v>
      </c>
      <c r="F2022" t="n">
        <v>4.00568405</v>
      </c>
      <c r="G2022" t="n">
        <v>7.62293856</v>
      </c>
      <c r="H2022" t="n">
        <v>8.360587260000001</v>
      </c>
    </row>
    <row r="2023">
      <c r="A2023" t="inlineStr">
        <is>
          <t>TCD|mit.inv.tot.2</t>
        </is>
      </c>
      <c r="B2023" t="inlineStr">
        <is>
          <t>TCD</t>
        </is>
      </c>
      <c r="C2023" t="inlineStr">
        <is>
          <t>mit.inv.tot.2</t>
        </is>
      </c>
      <c r="D2023" t="n">
        <v>0</v>
      </c>
      <c r="E2023" t="n">
        <v>0.6724593478999999</v>
      </c>
      <c r="F2023" t="n">
        <v>2.860411313</v>
      </c>
      <c r="G2023" t="n">
        <v>3.735798455</v>
      </c>
      <c r="H2023" t="n">
        <v>4.63480389</v>
      </c>
    </row>
    <row r="2024">
      <c r="A2024" t="inlineStr">
        <is>
          <t>TGO|mit.inv.tot.2</t>
        </is>
      </c>
      <c r="B2024" t="inlineStr">
        <is>
          <t>TGO</t>
        </is>
      </c>
      <c r="C2024" t="inlineStr">
        <is>
          <t>mit.inv.tot.2</t>
        </is>
      </c>
      <c r="D2024" t="n">
        <v>0</v>
      </c>
      <c r="E2024" t="n">
        <v>0.1742337919</v>
      </c>
      <c r="F2024" t="n">
        <v>0.3692525303</v>
      </c>
      <c r="G2024" t="n">
        <v>0.5365375854</v>
      </c>
      <c r="H2024" t="n">
        <v>0.6668593058</v>
      </c>
    </row>
    <row r="2025">
      <c r="A2025" t="inlineStr">
        <is>
          <t>THA|mit.inv.tot.2</t>
        </is>
      </c>
      <c r="B2025" t="inlineStr">
        <is>
          <t>THA</t>
        </is>
      </c>
      <c r="C2025" t="inlineStr">
        <is>
          <t>mit.inv.tot.2</t>
        </is>
      </c>
      <c r="D2025" t="n">
        <v>0</v>
      </c>
      <c r="E2025" t="n">
        <v>13.32736954</v>
      </c>
      <c r="F2025" t="n">
        <v>19.06986691</v>
      </c>
      <c r="G2025" t="n">
        <v>30.79211465</v>
      </c>
      <c r="H2025" t="n">
        <v>33.46272719</v>
      </c>
    </row>
    <row r="2026">
      <c r="A2026" t="inlineStr">
        <is>
          <t>TJK|mit.inv.tot.2</t>
        </is>
      </c>
      <c r="B2026" t="inlineStr">
        <is>
          <t>TJK</t>
        </is>
      </c>
      <c r="C2026" t="inlineStr">
        <is>
          <t>mit.inv.tot.2</t>
        </is>
      </c>
      <c r="D2026" t="n">
        <v>0</v>
      </c>
      <c r="E2026" t="n">
        <v>0.6778165843</v>
      </c>
      <c r="F2026" t="n">
        <v>1.167154218</v>
      </c>
      <c r="G2026" t="n">
        <v>1.777495717</v>
      </c>
      <c r="H2026" t="n">
        <v>2.443867768</v>
      </c>
    </row>
    <row r="2027">
      <c r="A2027" t="inlineStr">
        <is>
          <t>TKM|mit.inv.tot.2</t>
        </is>
      </c>
      <c r="B2027" t="inlineStr">
        <is>
          <t>TKM</t>
        </is>
      </c>
      <c r="C2027" t="inlineStr">
        <is>
          <t>mit.inv.tot.2</t>
        </is>
      </c>
      <c r="D2027" t="n">
        <v>0</v>
      </c>
      <c r="E2027" t="n">
        <v>7.685977289</v>
      </c>
      <c r="F2027" t="n">
        <v>10.1202481</v>
      </c>
      <c r="G2027" t="n">
        <v>16.01141504</v>
      </c>
      <c r="H2027" t="n">
        <v>17.8806323</v>
      </c>
    </row>
    <row r="2028">
      <c r="A2028" t="inlineStr">
        <is>
          <t>TLS|mit.inv.tot.2</t>
        </is>
      </c>
      <c r="B2028" t="inlineStr">
        <is>
          <t>TLS</t>
        </is>
      </c>
      <c r="C2028" t="inlineStr">
        <is>
          <t>mit.inv.tot.2</t>
        </is>
      </c>
      <c r="D2028" t="n">
        <v>0</v>
      </c>
      <c r="E2028" t="n">
        <v>0.07408887584</v>
      </c>
      <c r="F2028" t="n">
        <v>0.1461421564</v>
      </c>
      <c r="G2028" t="n">
        <v>0.2329964018</v>
      </c>
      <c r="H2028" t="n">
        <v>0.289120948</v>
      </c>
    </row>
    <row r="2029">
      <c r="A2029" t="inlineStr">
        <is>
          <t>TON|mit.inv.tot.2</t>
        </is>
      </c>
      <c r="B2029" t="inlineStr">
        <is>
          <t>TON</t>
        </is>
      </c>
      <c r="C2029" t="inlineStr">
        <is>
          <t>mit.inv.tot.2</t>
        </is>
      </c>
      <c r="D2029" t="n">
        <v>0</v>
      </c>
      <c r="E2029" t="n">
        <v>0.01313198373</v>
      </c>
      <c r="F2029" t="n">
        <v>0.01925307972</v>
      </c>
      <c r="G2029" t="n">
        <v>0.02898611625</v>
      </c>
      <c r="H2029" t="n">
        <v>0.03022845107</v>
      </c>
    </row>
    <row r="2030">
      <c r="A2030" t="inlineStr">
        <is>
          <t>TTO|mit.inv.tot.2</t>
        </is>
      </c>
      <c r="B2030" t="inlineStr">
        <is>
          <t>TTO</t>
        </is>
      </c>
      <c r="C2030" t="inlineStr">
        <is>
          <t>mit.inv.tot.2</t>
        </is>
      </c>
      <c r="D2030" t="n">
        <v>0</v>
      </c>
      <c r="E2030" t="n">
        <v>0.93497698</v>
      </c>
      <c r="F2030" t="n">
        <v>1.50850067</v>
      </c>
      <c r="G2030" t="n">
        <v>2.596774735</v>
      </c>
      <c r="H2030" t="n">
        <v>3.008790732</v>
      </c>
    </row>
    <row r="2031">
      <c r="A2031" t="inlineStr">
        <is>
          <t>TUN|mit.inv.tot.2</t>
        </is>
      </c>
      <c r="B2031" t="inlineStr">
        <is>
          <t>TUN</t>
        </is>
      </c>
      <c r="C2031" t="inlineStr">
        <is>
          <t>mit.inv.tot.2</t>
        </is>
      </c>
      <c r="D2031" t="n">
        <v>0</v>
      </c>
      <c r="E2031" t="n">
        <v>1.905155364</v>
      </c>
      <c r="F2031" t="n">
        <v>2.830078981</v>
      </c>
      <c r="G2031" t="n">
        <v>5.612195733</v>
      </c>
      <c r="H2031" t="n">
        <v>6.146981921</v>
      </c>
    </row>
    <row r="2032">
      <c r="A2032" t="inlineStr">
        <is>
          <t>TUR|mit.inv.tot.2</t>
        </is>
      </c>
      <c r="B2032" t="inlineStr">
        <is>
          <t>TUR</t>
        </is>
      </c>
      <c r="C2032" t="inlineStr">
        <is>
          <t>mit.inv.tot.2</t>
        </is>
      </c>
      <c r="D2032" t="n">
        <v>0</v>
      </c>
      <c r="E2032" t="n">
        <v>33.56961409</v>
      </c>
      <c r="F2032" t="n">
        <v>42.69169067</v>
      </c>
      <c r="G2032" t="n">
        <v>60.47267978</v>
      </c>
      <c r="H2032" t="n">
        <v>64.59053519</v>
      </c>
    </row>
    <row r="2033">
      <c r="A2033" t="inlineStr">
        <is>
          <t>TZA|mit.inv.tot.2</t>
        </is>
      </c>
      <c r="B2033" t="inlineStr">
        <is>
          <t>TZA</t>
        </is>
      </c>
      <c r="C2033" t="inlineStr">
        <is>
          <t>mit.inv.tot.2</t>
        </is>
      </c>
      <c r="D2033" t="n">
        <v>0</v>
      </c>
      <c r="E2033" t="n">
        <v>1.715506419</v>
      </c>
      <c r="F2033" t="n">
        <v>5.869047683</v>
      </c>
      <c r="G2033" t="n">
        <v>7.362780303</v>
      </c>
      <c r="H2033" t="n">
        <v>8.501879647999999</v>
      </c>
    </row>
    <row r="2034">
      <c r="A2034" t="inlineStr">
        <is>
          <t>UGA|mit.inv.tot.2</t>
        </is>
      </c>
      <c r="B2034" t="inlineStr">
        <is>
          <t>UGA</t>
        </is>
      </c>
      <c r="C2034" t="inlineStr">
        <is>
          <t>mit.inv.tot.2</t>
        </is>
      </c>
      <c r="D2034" t="n">
        <v>0</v>
      </c>
      <c r="E2034" t="n">
        <v>0.8571505512000001</v>
      </c>
      <c r="F2034" t="n">
        <v>2.464459514</v>
      </c>
      <c r="G2034" t="n">
        <v>3.427271307</v>
      </c>
      <c r="H2034" t="n">
        <v>4.420208214</v>
      </c>
    </row>
    <row r="2035">
      <c r="A2035" t="inlineStr">
        <is>
          <t>UKR|mit.inv.tot.2</t>
        </is>
      </c>
      <c r="B2035" t="inlineStr">
        <is>
          <t>UKR</t>
        </is>
      </c>
      <c r="C2035" t="inlineStr">
        <is>
          <t>mit.inv.tot.2</t>
        </is>
      </c>
      <c r="D2035" t="n">
        <v>0</v>
      </c>
      <c r="E2035" t="n">
        <v>11.05502897</v>
      </c>
      <c r="F2035" t="n">
        <v>16.79503271</v>
      </c>
      <c r="G2035" t="n">
        <v>25.85923074</v>
      </c>
      <c r="H2035" t="n">
        <v>33.37589322</v>
      </c>
    </row>
    <row r="2036">
      <c r="A2036" t="inlineStr">
        <is>
          <t>URY|mit.inv.tot.2</t>
        </is>
      </c>
      <c r="B2036" t="inlineStr">
        <is>
          <t>URY</t>
        </is>
      </c>
      <c r="C2036" t="inlineStr">
        <is>
          <t>mit.inv.tot.2</t>
        </is>
      </c>
      <c r="D2036" t="n">
        <v>0</v>
      </c>
      <c r="E2036" t="n">
        <v>1.154463271</v>
      </c>
      <c r="F2036" t="n">
        <v>1.613984699</v>
      </c>
      <c r="G2036" t="n">
        <v>2.001903294</v>
      </c>
      <c r="H2036" t="n">
        <v>2.331002584</v>
      </c>
    </row>
    <row r="2037">
      <c r="A2037" t="inlineStr">
        <is>
          <t>USA|mit.inv.tot.2</t>
        </is>
      </c>
      <c r="B2037" t="inlineStr">
        <is>
          <t>USA</t>
        </is>
      </c>
      <c r="C2037" t="inlineStr">
        <is>
          <t>mit.inv.tot.2</t>
        </is>
      </c>
      <c r="D2037" t="n">
        <v>0</v>
      </c>
      <c r="E2037" t="n">
        <v>829.2616400000001</v>
      </c>
      <c r="F2037" t="n">
        <v>1060.897242</v>
      </c>
      <c r="G2037" t="n">
        <v>976.336916</v>
      </c>
      <c r="H2037" t="n">
        <v>890.2187856</v>
      </c>
    </row>
    <row r="2038">
      <c r="A2038" t="inlineStr">
        <is>
          <t>UZB|mit.inv.tot.2</t>
        </is>
      </c>
      <c r="B2038" t="inlineStr">
        <is>
          <t>UZB</t>
        </is>
      </c>
      <c r="C2038" t="inlineStr">
        <is>
          <t>mit.inv.tot.2</t>
        </is>
      </c>
      <c r="D2038" t="n">
        <v>0</v>
      </c>
      <c r="E2038" t="n">
        <v>9.859108855000001</v>
      </c>
      <c r="F2038" t="n">
        <v>15.24726345</v>
      </c>
      <c r="G2038" t="n">
        <v>26.24093107</v>
      </c>
      <c r="H2038" t="n">
        <v>30.6831057</v>
      </c>
    </row>
    <row r="2039">
      <c r="A2039" t="inlineStr">
        <is>
          <t>VCT|mit.inv.tot.2</t>
        </is>
      </c>
      <c r="B2039" t="inlineStr">
        <is>
          <t>VCT</t>
        </is>
      </c>
      <c r="C2039" t="inlineStr">
        <is>
          <t>mit.inv.tot.2</t>
        </is>
      </c>
      <c r="D2039" t="n">
        <v>0</v>
      </c>
      <c r="E2039" t="n">
        <v>0.02018333958</v>
      </c>
      <c r="F2039" t="n">
        <v>0.02746143275</v>
      </c>
      <c r="G2039" t="n">
        <v>0.0428480182</v>
      </c>
      <c r="H2039" t="n">
        <v>0.04657710751</v>
      </c>
    </row>
    <row r="2040">
      <c r="A2040" t="inlineStr">
        <is>
          <t>VEN|mit.inv.tot.2</t>
        </is>
      </c>
      <c r="B2040" t="inlineStr">
        <is>
          <t>VEN</t>
        </is>
      </c>
      <c r="C2040" t="inlineStr">
        <is>
          <t>mit.inv.tot.2</t>
        </is>
      </c>
      <c r="D2040" t="n">
        <v>0</v>
      </c>
      <c r="E2040" t="n">
        <v>5.24603227</v>
      </c>
      <c r="F2040" t="n">
        <v>10.65899651</v>
      </c>
      <c r="G2040" t="n">
        <v>15.43027877</v>
      </c>
      <c r="H2040" t="n">
        <v>20.20827484</v>
      </c>
    </row>
    <row r="2041">
      <c r="A2041" t="inlineStr">
        <is>
          <t>VNM|mit.inv.tot.2</t>
        </is>
      </c>
      <c r="B2041" t="inlineStr">
        <is>
          <t>VNM</t>
        </is>
      </c>
      <c r="C2041" t="inlineStr">
        <is>
          <t>mit.inv.tot.2</t>
        </is>
      </c>
      <c r="D2041" t="n">
        <v>0</v>
      </c>
      <c r="E2041" t="n">
        <v>17.22576235</v>
      </c>
      <c r="F2041" t="n">
        <v>25.0407103</v>
      </c>
      <c r="G2041" t="n">
        <v>38.34116549</v>
      </c>
      <c r="H2041" t="n">
        <v>43.33201305</v>
      </c>
    </row>
    <row r="2042">
      <c r="A2042" t="inlineStr">
        <is>
          <t>VUT|mit.inv.tot.2</t>
        </is>
      </c>
      <c r="B2042" t="inlineStr">
        <is>
          <t>VUT</t>
        </is>
      </c>
      <c r="C2042" t="inlineStr">
        <is>
          <t>mit.inv.tot.2</t>
        </is>
      </c>
      <c r="D2042" t="n">
        <v>0</v>
      </c>
      <c r="E2042" t="n">
        <v>0.02008568313</v>
      </c>
      <c r="F2042" t="n">
        <v>0.03625177892</v>
      </c>
      <c r="G2042" t="n">
        <v>0.05688005818</v>
      </c>
      <c r="H2042" t="n">
        <v>0.06472945123</v>
      </c>
    </row>
    <row r="2043">
      <c r="A2043" t="inlineStr">
        <is>
          <t>WSM|mit.inv.tot.2</t>
        </is>
      </c>
      <c r="B2043" t="inlineStr">
        <is>
          <t>WSM</t>
        </is>
      </c>
      <c r="C2043" t="inlineStr">
        <is>
          <t>mit.inv.tot.2</t>
        </is>
      </c>
      <c r="D2043" t="n">
        <v>0</v>
      </c>
      <c r="E2043" t="n">
        <v>0.02664583204</v>
      </c>
      <c r="F2043" t="n">
        <v>0.04269495767</v>
      </c>
      <c r="G2043" t="n">
        <v>0.06028826731</v>
      </c>
      <c r="H2043" t="n">
        <v>0.06576172277</v>
      </c>
    </row>
    <row r="2044">
      <c r="A2044" t="inlineStr">
        <is>
          <t>XKX|mit.inv.tot.2</t>
        </is>
      </c>
      <c r="B2044" t="inlineStr">
        <is>
          <t>XKX</t>
        </is>
      </c>
      <c r="C2044" t="inlineStr">
        <is>
          <t>mit.inv.tot.2</t>
        </is>
      </c>
      <c r="D2044" t="n">
        <v>0</v>
      </c>
      <c r="E2044" t="n">
        <v>0.2795437798</v>
      </c>
      <c r="F2044" t="n">
        <v>0.3581996359</v>
      </c>
      <c r="G2044" t="n">
        <v>0.6226829919</v>
      </c>
      <c r="H2044" t="n">
        <v>0.6335842592000001</v>
      </c>
    </row>
    <row r="2045">
      <c r="A2045" t="inlineStr">
        <is>
          <t>YEM|mit.inv.tot.2</t>
        </is>
      </c>
      <c r="B2045" t="inlineStr">
        <is>
          <t>YEM</t>
        </is>
      </c>
      <c r="C2045" t="inlineStr">
        <is>
          <t>mit.inv.tot.2</t>
        </is>
      </c>
      <c r="D2045" t="n">
        <v>0</v>
      </c>
      <c r="E2045" t="n">
        <v>0.5682016481</v>
      </c>
      <c r="F2045" t="n">
        <v>1.060134243</v>
      </c>
      <c r="G2045" t="n">
        <v>1.74860064</v>
      </c>
      <c r="H2045" t="n">
        <v>2.21742447</v>
      </c>
    </row>
    <row r="2046">
      <c r="A2046" t="inlineStr">
        <is>
          <t>ZAF|mit.inv.tot.2</t>
        </is>
      </c>
      <c r="B2046" t="inlineStr">
        <is>
          <t>ZAF</t>
        </is>
      </c>
      <c r="C2046" t="inlineStr">
        <is>
          <t>mit.inv.tot.2</t>
        </is>
      </c>
      <c r="D2046" t="n">
        <v>0</v>
      </c>
      <c r="E2046" t="n">
        <v>14.25645161</v>
      </c>
      <c r="F2046" t="n">
        <v>18.89455636</v>
      </c>
      <c r="G2046" t="n">
        <v>30.12802893</v>
      </c>
      <c r="H2046" t="n">
        <v>29.64018057</v>
      </c>
    </row>
    <row r="2047">
      <c r="A2047" t="inlineStr">
        <is>
          <t>ZMB|mit.inv.tot.2</t>
        </is>
      </c>
      <c r="B2047" t="inlineStr">
        <is>
          <t>ZMB</t>
        </is>
      </c>
      <c r="C2047" t="inlineStr">
        <is>
          <t>mit.inv.tot.2</t>
        </is>
      </c>
      <c r="D2047" t="n">
        <v>0</v>
      </c>
      <c r="E2047" t="n">
        <v>1.192947538</v>
      </c>
      <c r="F2047" t="n">
        <v>3.81571303</v>
      </c>
      <c r="G2047" t="n">
        <v>4.580321368</v>
      </c>
      <c r="H2047" t="n">
        <v>5.180812706</v>
      </c>
    </row>
    <row r="2048">
      <c r="A2048" t="inlineStr">
        <is>
          <t>ZWE|mit.inv.tot.2</t>
        </is>
      </c>
      <c r="B2048" t="inlineStr">
        <is>
          <t>ZWE</t>
        </is>
      </c>
      <c r="C2048" t="inlineStr">
        <is>
          <t>mit.inv.tot.2</t>
        </is>
      </c>
      <c r="D2048" t="n">
        <v>0</v>
      </c>
      <c r="E2048" t="n">
        <v>1.703113751</v>
      </c>
      <c r="F2048" t="n">
        <v>5.560302545</v>
      </c>
      <c r="G2048" t="n">
        <v>6.443027952</v>
      </c>
      <c r="H2048" t="n">
        <v>7.066613022</v>
      </c>
    </row>
    <row r="2049">
      <c r="A2049" t="inlineStr">
        <is>
          <t>ABW|mit.ghg.tot.1</t>
        </is>
      </c>
      <c r="B2049" t="inlineStr">
        <is>
          <t>ABW</t>
        </is>
      </c>
      <c r="C2049" t="inlineStr">
        <is>
          <t>mit.ghg.tot.1</t>
        </is>
      </c>
      <c r="D2049" t="n">
        <v>1.876477097</v>
      </c>
      <c r="E2049" t="n">
        <v>1.945040954</v>
      </c>
      <c r="F2049" t="n">
        <v>2.049349291</v>
      </c>
      <c r="G2049" t="n">
        <v>2.207963927</v>
      </c>
      <c r="H2049" t="n">
        <v>2.340120192</v>
      </c>
    </row>
    <row r="2050">
      <c r="A2050" t="inlineStr">
        <is>
          <t>AFG|mit.ghg.tot.1</t>
        </is>
      </c>
      <c r="B2050" t="inlineStr">
        <is>
          <t>AFG</t>
        </is>
      </c>
      <c r="C2050" t="inlineStr">
        <is>
          <t>mit.ghg.tot.1</t>
        </is>
      </c>
      <c r="D2050" t="n">
        <v>34.96403144</v>
      </c>
      <c r="E2050" t="n">
        <v>35.06841983</v>
      </c>
      <c r="F2050" t="n">
        <v>35.63540928</v>
      </c>
      <c r="G2050" t="n">
        <v>37.38046374</v>
      </c>
      <c r="H2050" t="n">
        <v>40.03897923</v>
      </c>
    </row>
    <row r="2051">
      <c r="A2051" t="inlineStr">
        <is>
          <t>AGO|mit.ghg.tot.1</t>
        </is>
      </c>
      <c r="B2051" t="inlineStr">
        <is>
          <t>AGO</t>
        </is>
      </c>
      <c r="C2051" t="inlineStr">
        <is>
          <t>mit.ghg.tot.1</t>
        </is>
      </c>
      <c r="D2051" t="n">
        <v>113.459</v>
      </c>
      <c r="E2051" t="n">
        <v>113.7221296</v>
      </c>
      <c r="F2051" t="n">
        <v>114.6307776</v>
      </c>
      <c r="G2051" t="n">
        <v>117.9513383</v>
      </c>
      <c r="H2051" t="n">
        <v>123.2180235</v>
      </c>
    </row>
    <row r="2052">
      <c r="A2052" t="inlineStr">
        <is>
          <t>ALB|mit.ghg.tot.1</t>
        </is>
      </c>
      <c r="B2052" t="inlineStr">
        <is>
          <t>ALB</t>
        </is>
      </c>
      <c r="C2052" t="inlineStr">
        <is>
          <t>mit.ghg.tot.1</t>
        </is>
      </c>
      <c r="D2052" t="n">
        <v>8.074</v>
      </c>
      <c r="E2052" t="n">
        <v>8.134634859</v>
      </c>
      <c r="F2052" t="n">
        <v>8.387738961</v>
      </c>
      <c r="G2052" t="n">
        <v>8.849444977999999</v>
      </c>
      <c r="H2052" t="n">
        <v>9.404733344</v>
      </c>
    </row>
    <row r="2053">
      <c r="A2053" t="inlineStr">
        <is>
          <t>ARE|mit.ghg.tot.1</t>
        </is>
      </c>
      <c r="B2053" t="inlineStr">
        <is>
          <t>ARE</t>
        </is>
      </c>
      <c r="C2053" t="inlineStr">
        <is>
          <t>mit.ghg.tot.1</t>
        </is>
      </c>
      <c r="D2053" t="n">
        <v>313.523</v>
      </c>
      <c r="E2053" t="n">
        <v>319.10766</v>
      </c>
      <c r="F2053" t="n">
        <v>324.166547</v>
      </c>
      <c r="G2053" t="n">
        <v>315.0022476</v>
      </c>
      <c r="H2053" t="n">
        <v>294.3427338</v>
      </c>
    </row>
    <row r="2054">
      <c r="A2054" t="inlineStr">
        <is>
          <t>ARG|mit.ghg.tot.1</t>
        </is>
      </c>
      <c r="B2054" t="inlineStr">
        <is>
          <t>ARG</t>
        </is>
      </c>
      <c r="C2054" t="inlineStr">
        <is>
          <t>mit.ghg.tot.1</t>
        </is>
      </c>
      <c r="D2054" t="n">
        <v>404.174</v>
      </c>
      <c r="E2054" t="n">
        <v>406.1793215</v>
      </c>
      <c r="F2054" t="n">
        <v>409.7732647</v>
      </c>
      <c r="G2054" t="n">
        <v>402.734389</v>
      </c>
      <c r="H2054" t="n">
        <v>387.4177444</v>
      </c>
    </row>
    <row r="2055">
      <c r="A2055" t="inlineStr">
        <is>
          <t>ARM|mit.ghg.tot.1</t>
        </is>
      </c>
      <c r="B2055" t="inlineStr">
        <is>
          <t>ARM</t>
        </is>
      </c>
      <c r="C2055" t="inlineStr">
        <is>
          <t>mit.ghg.tot.1</t>
        </is>
      </c>
      <c r="D2055" t="n">
        <v>9.609</v>
      </c>
      <c r="E2055" t="n">
        <v>9.843977412999999</v>
      </c>
      <c r="F2055" t="n">
        <v>10.63281407</v>
      </c>
      <c r="G2055" t="n">
        <v>11.81976246</v>
      </c>
      <c r="H2055" t="n">
        <v>12.79069718</v>
      </c>
    </row>
    <row r="2056">
      <c r="A2056" t="inlineStr">
        <is>
          <t>ATG|mit.ghg.tot.1</t>
        </is>
      </c>
      <c r="B2056" t="inlineStr">
        <is>
          <t>ATG</t>
        </is>
      </c>
      <c r="C2056" t="inlineStr">
        <is>
          <t>mit.ghg.tot.1</t>
        </is>
      </c>
      <c r="D2056" t="n">
        <v>1.309959336</v>
      </c>
      <c r="E2056" t="n">
        <v>1.328384733</v>
      </c>
      <c r="F2056" t="n">
        <v>1.394122209</v>
      </c>
      <c r="G2056" t="n">
        <v>1.470660045</v>
      </c>
      <c r="H2056" t="n">
        <v>1.513974055</v>
      </c>
    </row>
    <row r="2057">
      <c r="A2057" t="inlineStr">
        <is>
          <t>AUS|mit.ghg.tot.1</t>
        </is>
      </c>
      <c r="B2057" t="inlineStr">
        <is>
          <t>AUS</t>
        </is>
      </c>
      <c r="C2057" t="inlineStr">
        <is>
          <t>mit.ghg.tot.1</t>
        </is>
      </c>
      <c r="D2057" t="n">
        <v>523.8276845</v>
      </c>
      <c r="E2057" t="n">
        <v>522.2055806</v>
      </c>
      <c r="F2057" t="n">
        <v>510.5496071</v>
      </c>
      <c r="G2057" t="n">
        <v>467.730382</v>
      </c>
      <c r="H2057" t="n">
        <v>419.8260281</v>
      </c>
    </row>
    <row r="2058">
      <c r="A2058" t="inlineStr">
        <is>
          <t>AUT|mit.ghg.tot.1</t>
        </is>
      </c>
      <c r="B2058" t="inlineStr">
        <is>
          <t>AUT</t>
        </is>
      </c>
      <c r="C2058" t="inlineStr">
        <is>
          <t>mit.ghg.tot.1</t>
        </is>
      </c>
      <c r="D2058" t="n">
        <v>76.658</v>
      </c>
      <c r="E2058" t="n">
        <v>75.60491433999999</v>
      </c>
      <c r="F2058" t="n">
        <v>70.10941441</v>
      </c>
      <c r="G2058" t="n">
        <v>63.52345841</v>
      </c>
      <c r="H2058" t="n">
        <v>62.04506163</v>
      </c>
    </row>
    <row r="2059">
      <c r="A2059" t="inlineStr">
        <is>
          <t>AZE|mit.ghg.tot.1</t>
        </is>
      </c>
      <c r="B2059" t="inlineStr">
        <is>
          <t>AZE</t>
        </is>
      </c>
      <c r="C2059" t="inlineStr">
        <is>
          <t>mit.ghg.tot.1</t>
        </is>
      </c>
      <c r="D2059" t="n">
        <v>70.58799999999999</v>
      </c>
      <c r="E2059" t="n">
        <v>70.49125771</v>
      </c>
      <c r="F2059" t="n">
        <v>70.9168871</v>
      </c>
      <c r="G2059" t="n">
        <v>72.56333791</v>
      </c>
      <c r="H2059" t="n">
        <v>74.87146838</v>
      </c>
    </row>
    <row r="2060">
      <c r="A2060" t="inlineStr">
        <is>
          <t>BDI|mit.ghg.tot.1</t>
        </is>
      </c>
      <c r="B2060" t="inlineStr">
        <is>
          <t>BDI</t>
        </is>
      </c>
      <c r="C2060" t="inlineStr">
        <is>
          <t>mit.ghg.tot.1</t>
        </is>
      </c>
      <c r="D2060" t="n">
        <v>10.53</v>
      </c>
      <c r="E2060" t="n">
        <v>10.53593322</v>
      </c>
      <c r="F2060" t="n">
        <v>10.55613441</v>
      </c>
      <c r="G2060" t="n">
        <v>10.61961501</v>
      </c>
      <c r="H2060" t="n">
        <v>10.81233217</v>
      </c>
    </row>
    <row r="2061">
      <c r="A2061" t="inlineStr">
        <is>
          <t>BEL|mit.ghg.tot.1</t>
        </is>
      </c>
      <c r="B2061" t="inlineStr">
        <is>
          <t>BEL</t>
        </is>
      </c>
      <c r="C2061" t="inlineStr">
        <is>
          <t>mit.ghg.tot.1</t>
        </is>
      </c>
      <c r="D2061" t="n">
        <v>111.259</v>
      </c>
      <c r="E2061" t="n">
        <v>110.7823992</v>
      </c>
      <c r="F2061" t="n">
        <v>107.4835675</v>
      </c>
      <c r="G2061" t="n">
        <v>102.4189603</v>
      </c>
      <c r="H2061" t="n">
        <v>100.7179071</v>
      </c>
    </row>
    <row r="2062">
      <c r="A2062" t="inlineStr">
        <is>
          <t>BEN|mit.ghg.tot.1</t>
        </is>
      </c>
      <c r="B2062" t="inlineStr">
        <is>
          <t>BEN</t>
        </is>
      </c>
      <c r="C2062" t="inlineStr">
        <is>
          <t>mit.ghg.tot.1</t>
        </is>
      </c>
      <c r="D2062" t="n">
        <v>31.288</v>
      </c>
      <c r="E2062" t="n">
        <v>31.53958317</v>
      </c>
      <c r="F2062" t="n">
        <v>32.70978363</v>
      </c>
      <c r="G2062" t="n">
        <v>34.74590772</v>
      </c>
      <c r="H2062" t="n">
        <v>36.78270554</v>
      </c>
    </row>
    <row r="2063">
      <c r="A2063" t="inlineStr">
        <is>
          <t>BFA|mit.ghg.tot.1</t>
        </is>
      </c>
      <c r="B2063" t="inlineStr">
        <is>
          <t>BFA</t>
        </is>
      </c>
      <c r="C2063" t="inlineStr">
        <is>
          <t>mit.ghg.tot.1</t>
        </is>
      </c>
      <c r="D2063" t="n">
        <v>61.87404452</v>
      </c>
      <c r="E2063" t="n">
        <v>62.08514223</v>
      </c>
      <c r="F2063" t="n">
        <v>63.16563432</v>
      </c>
      <c r="G2063" t="n">
        <v>65.65073103</v>
      </c>
      <c r="H2063" t="n">
        <v>68.86032840999999</v>
      </c>
    </row>
    <row r="2064">
      <c r="A2064" t="inlineStr">
        <is>
          <t>BGD|mit.ghg.tot.1</t>
        </is>
      </c>
      <c r="B2064" t="inlineStr">
        <is>
          <t>BGD</t>
        </is>
      </c>
      <c r="C2064" t="inlineStr">
        <is>
          <t>mit.ghg.tot.1</t>
        </is>
      </c>
      <c r="D2064" t="n">
        <v>353.0374777</v>
      </c>
      <c r="E2064" t="n">
        <v>355.988423</v>
      </c>
      <c r="F2064" t="n">
        <v>378.884629</v>
      </c>
      <c r="G2064" t="n">
        <v>429.2318135</v>
      </c>
      <c r="H2064" t="n">
        <v>489.8414286</v>
      </c>
    </row>
    <row r="2065">
      <c r="A2065" t="inlineStr">
        <is>
          <t>BGR|mit.ghg.tot.1</t>
        </is>
      </c>
      <c r="B2065" t="inlineStr">
        <is>
          <t>BGR</t>
        </is>
      </c>
      <c r="C2065" t="inlineStr">
        <is>
          <t>mit.ghg.tot.1</t>
        </is>
      </c>
      <c r="D2065" t="n">
        <v>59.772</v>
      </c>
      <c r="E2065" t="n">
        <v>59.36566915</v>
      </c>
      <c r="F2065" t="n">
        <v>56.48159138</v>
      </c>
      <c r="G2065" t="n">
        <v>50.67690368</v>
      </c>
      <c r="H2065" t="n">
        <v>53.9989993</v>
      </c>
    </row>
    <row r="2066">
      <c r="A2066" t="inlineStr">
        <is>
          <t>BHR|mit.ghg.tot.1</t>
        </is>
      </c>
      <c r="B2066" t="inlineStr">
        <is>
          <t>BHR</t>
        </is>
      </c>
      <c r="C2066" t="inlineStr">
        <is>
          <t>mit.ghg.tot.1</t>
        </is>
      </c>
      <c r="D2066" t="n">
        <v>74.727</v>
      </c>
      <c r="E2066" t="n">
        <v>75.41866654</v>
      </c>
      <c r="F2066" t="n">
        <v>74.29763878</v>
      </c>
      <c r="G2066" t="n">
        <v>74.31617428</v>
      </c>
      <c r="H2066" t="n">
        <v>76.17862457</v>
      </c>
    </row>
    <row r="2067">
      <c r="A2067" t="inlineStr">
        <is>
          <t>BHS|mit.ghg.tot.1</t>
        </is>
      </c>
      <c r="B2067" t="inlineStr">
        <is>
          <t>BHS</t>
        </is>
      </c>
      <c r="C2067" t="inlineStr">
        <is>
          <t>mit.ghg.tot.1</t>
        </is>
      </c>
      <c r="D2067" t="n">
        <v>4.892279399</v>
      </c>
      <c r="E2067" t="n">
        <v>4.956755159</v>
      </c>
      <c r="F2067" t="n">
        <v>5.155759855</v>
      </c>
      <c r="G2067" t="n">
        <v>5.461766293</v>
      </c>
      <c r="H2067" t="n">
        <v>5.708920224</v>
      </c>
    </row>
    <row r="2068">
      <c r="A2068" t="inlineStr">
        <is>
          <t>BIH|mit.ghg.tot.1</t>
        </is>
      </c>
      <c r="B2068" t="inlineStr">
        <is>
          <t>BIH</t>
        </is>
      </c>
      <c r="C2068" t="inlineStr">
        <is>
          <t>mit.ghg.tot.1</t>
        </is>
      </c>
      <c r="D2068" t="n">
        <v>31.12</v>
      </c>
      <c r="E2068" t="n">
        <v>30.88547034</v>
      </c>
      <c r="F2068" t="n">
        <v>29.77854296</v>
      </c>
      <c r="G2068" t="n">
        <v>27.16874873</v>
      </c>
      <c r="H2068" t="n">
        <v>23.33656813</v>
      </c>
    </row>
    <row r="2069">
      <c r="A2069" t="inlineStr">
        <is>
          <t>BLR|mit.ghg.tot.1</t>
        </is>
      </c>
      <c r="B2069" t="inlineStr">
        <is>
          <t>BLR</t>
        </is>
      </c>
      <c r="C2069" t="inlineStr">
        <is>
          <t>mit.ghg.tot.1</t>
        </is>
      </c>
      <c r="D2069" t="n">
        <v>88.447</v>
      </c>
      <c r="E2069" t="n">
        <v>88.52996078</v>
      </c>
      <c r="F2069" t="n">
        <v>86.2397438</v>
      </c>
      <c r="G2069" t="n">
        <v>83.75959352</v>
      </c>
      <c r="H2069" t="n">
        <v>81.53712791</v>
      </c>
    </row>
    <row r="2070">
      <c r="A2070" t="inlineStr">
        <is>
          <t>BLZ|mit.ghg.tot.1</t>
        </is>
      </c>
      <c r="B2070" t="inlineStr">
        <is>
          <t>BLZ</t>
        </is>
      </c>
      <c r="C2070" t="inlineStr">
        <is>
          <t>mit.ghg.tot.1</t>
        </is>
      </c>
      <c r="D2070" t="n">
        <v>7.008720665</v>
      </c>
      <c r="E2070" t="n">
        <v>7.015376863</v>
      </c>
      <c r="F2070" t="n">
        <v>7.030359221</v>
      </c>
      <c r="G2070" t="n">
        <v>7.077184594</v>
      </c>
      <c r="H2070" t="n">
        <v>7.158186293</v>
      </c>
    </row>
    <row r="2071">
      <c r="A2071" t="inlineStr">
        <is>
          <t>BOL|mit.ghg.tot.1</t>
        </is>
      </c>
      <c r="B2071" t="inlineStr">
        <is>
          <t>BOL</t>
        </is>
      </c>
      <c r="C2071" t="inlineStr">
        <is>
          <t>mit.ghg.tot.1</t>
        </is>
      </c>
      <c r="D2071" t="n">
        <v>127.921</v>
      </c>
      <c r="E2071" t="n">
        <v>127.5321556</v>
      </c>
      <c r="F2071" t="n">
        <v>124.9049511</v>
      </c>
      <c r="G2071" t="n">
        <v>125.2002379</v>
      </c>
      <c r="H2071" t="n">
        <v>129.2995185</v>
      </c>
    </row>
    <row r="2072">
      <c r="A2072" t="inlineStr">
        <is>
          <t>BRA|mit.ghg.tot.1</t>
        </is>
      </c>
      <c r="B2072" t="inlineStr">
        <is>
          <t>BRA</t>
        </is>
      </c>
      <c r="C2072" t="inlineStr">
        <is>
          <t>mit.ghg.tot.1</t>
        </is>
      </c>
      <c r="D2072" t="n">
        <v>1767.337</v>
      </c>
      <c r="E2072" t="n">
        <v>1770.989363</v>
      </c>
      <c r="F2072" t="n">
        <v>1785.189316</v>
      </c>
      <c r="G2072" t="n">
        <v>1823.410455</v>
      </c>
      <c r="H2072" t="n">
        <v>1885.733494</v>
      </c>
    </row>
    <row r="2073">
      <c r="A2073" t="inlineStr">
        <is>
          <t>BRB|mit.ghg.tot.1</t>
        </is>
      </c>
      <c r="B2073" t="inlineStr">
        <is>
          <t>BRB</t>
        </is>
      </c>
      <c r="C2073" t="inlineStr">
        <is>
          <t>mit.ghg.tot.1</t>
        </is>
      </c>
      <c r="D2073" t="n">
        <v>2.124769047</v>
      </c>
      <c r="E2073" t="n">
        <v>2.147808416</v>
      </c>
      <c r="F2073" t="n">
        <v>2.235237466</v>
      </c>
      <c r="G2073" t="n">
        <v>2.336361969</v>
      </c>
      <c r="H2073" t="n">
        <v>2.393711552</v>
      </c>
    </row>
    <row r="2074">
      <c r="A2074" t="inlineStr">
        <is>
          <t>BRN|mit.ghg.tot.1</t>
        </is>
      </c>
      <c r="B2074" t="inlineStr">
        <is>
          <t>BRN</t>
        </is>
      </c>
      <c r="C2074" t="inlineStr">
        <is>
          <t>mit.ghg.tot.1</t>
        </is>
      </c>
      <c r="D2074" t="n">
        <v>15.977</v>
      </c>
      <c r="E2074" t="n">
        <v>15.95598988</v>
      </c>
      <c r="F2074" t="n">
        <v>16.52108074</v>
      </c>
      <c r="G2074" t="n">
        <v>17.27019847</v>
      </c>
      <c r="H2074" t="n">
        <v>17.79198994</v>
      </c>
    </row>
    <row r="2075">
      <c r="A2075" t="inlineStr">
        <is>
          <t>BTN|mit.ghg.tot.1</t>
        </is>
      </c>
      <c r="B2075" t="inlineStr">
        <is>
          <t>BTN</t>
        </is>
      </c>
      <c r="C2075" t="inlineStr">
        <is>
          <t>mit.ghg.tot.1</t>
        </is>
      </c>
      <c r="D2075" t="n">
        <v>3.509</v>
      </c>
      <c r="E2075" t="n">
        <v>3.559592709</v>
      </c>
      <c r="F2075" t="n">
        <v>3.835903394</v>
      </c>
      <c r="G2075" t="n">
        <v>4.318896218</v>
      </c>
      <c r="H2075" t="n">
        <v>4.774505328</v>
      </c>
    </row>
    <row r="2076">
      <c r="A2076" t="inlineStr">
        <is>
          <t>BWA|mit.ghg.tot.1</t>
        </is>
      </c>
      <c r="B2076" t="inlineStr">
        <is>
          <t>BWA</t>
        </is>
      </c>
      <c r="C2076" t="inlineStr">
        <is>
          <t>mit.ghg.tot.1</t>
        </is>
      </c>
      <c r="D2076" t="n">
        <v>52.44311049</v>
      </c>
      <c r="E2076" t="n">
        <v>52.33142828</v>
      </c>
      <c r="F2076" t="n">
        <v>53.52035288</v>
      </c>
      <c r="G2076" t="n">
        <v>55.63388287</v>
      </c>
      <c r="H2076" t="n">
        <v>57.65919274</v>
      </c>
    </row>
    <row r="2077">
      <c r="A2077" t="inlineStr">
        <is>
          <t>CAF|mit.ghg.tot.1</t>
        </is>
      </c>
      <c r="B2077" t="inlineStr">
        <is>
          <t>CAF</t>
        </is>
      </c>
      <c r="C2077" t="inlineStr">
        <is>
          <t>mit.ghg.tot.1</t>
        </is>
      </c>
      <c r="D2077" t="n">
        <v>44.02568045</v>
      </c>
      <c r="E2077" t="n">
        <v>44.03294624</v>
      </c>
      <c r="F2077" t="n">
        <v>44.04521691</v>
      </c>
      <c r="G2077" t="n">
        <v>44.09238657</v>
      </c>
      <c r="H2077" t="n">
        <v>44.1776348</v>
      </c>
    </row>
    <row r="2078">
      <c r="A2078" t="inlineStr">
        <is>
          <t>CAN|mit.ghg.tot.1</t>
        </is>
      </c>
      <c r="B2078" t="inlineStr">
        <is>
          <t>CAN</t>
        </is>
      </c>
      <c r="C2078" t="inlineStr">
        <is>
          <t>mit.ghg.tot.1</t>
        </is>
      </c>
      <c r="D2078" t="n">
        <v>692.775</v>
      </c>
      <c r="E2078" t="n">
        <v>693.6964137</v>
      </c>
      <c r="F2078" t="n">
        <v>690.5560607</v>
      </c>
      <c r="G2078" t="n">
        <v>678.8765332</v>
      </c>
      <c r="H2078" t="n">
        <v>682.7100172</v>
      </c>
    </row>
    <row r="2079">
      <c r="A2079" t="inlineStr">
        <is>
          <t>CHE|mit.ghg.tot.1</t>
        </is>
      </c>
      <c r="B2079" t="inlineStr">
        <is>
          <t>CHE</t>
        </is>
      </c>
      <c r="C2079" t="inlineStr">
        <is>
          <t>mit.ghg.tot.1</t>
        </is>
      </c>
      <c r="D2079" t="n">
        <v>45.202</v>
      </c>
      <c r="E2079" t="n">
        <v>44.99837178</v>
      </c>
      <c r="F2079" t="n">
        <v>43.73750094</v>
      </c>
      <c r="G2079" t="n">
        <v>40.81244933</v>
      </c>
      <c r="H2079" t="n">
        <v>39.4942926</v>
      </c>
    </row>
    <row r="2080">
      <c r="A2080" t="inlineStr">
        <is>
          <t>CHL|mit.ghg.tot.1</t>
        </is>
      </c>
      <c r="B2080" t="inlineStr">
        <is>
          <t>CHL</t>
        </is>
      </c>
      <c r="C2080" t="inlineStr">
        <is>
          <t>mit.ghg.tot.1</t>
        </is>
      </c>
      <c r="D2080" t="n">
        <v>138.572</v>
      </c>
      <c r="E2080" t="n">
        <v>138.0455431</v>
      </c>
      <c r="F2080" t="n">
        <v>134.7123933</v>
      </c>
      <c r="G2080" t="n">
        <v>122.8340631</v>
      </c>
      <c r="H2080" t="n">
        <v>122.8552809</v>
      </c>
    </row>
    <row r="2081">
      <c r="A2081" t="inlineStr">
        <is>
          <t>CHN|mit.ghg.tot.1</t>
        </is>
      </c>
      <c r="B2081" t="inlineStr">
        <is>
          <t>CHN</t>
        </is>
      </c>
      <c r="C2081" t="inlineStr">
        <is>
          <t>mit.ghg.tot.1</t>
        </is>
      </c>
      <c r="D2081" t="n">
        <v>16257.103</v>
      </c>
      <c r="E2081" t="n">
        <v>16382.4174</v>
      </c>
      <c r="F2081" t="n">
        <v>16649.52914</v>
      </c>
      <c r="G2081" t="n">
        <v>15607.64838</v>
      </c>
      <c r="H2081" t="n">
        <v>13349.6881</v>
      </c>
    </row>
    <row r="2082">
      <c r="A2082" t="inlineStr">
        <is>
          <t>CIV|mit.ghg.tot.1</t>
        </is>
      </c>
      <c r="B2082" t="inlineStr">
        <is>
          <t>CIV</t>
        </is>
      </c>
      <c r="C2082" t="inlineStr">
        <is>
          <t>mit.ghg.tot.1</t>
        </is>
      </c>
      <c r="D2082" t="n">
        <v>37.30257411</v>
      </c>
      <c r="E2082" t="n">
        <v>37.73687041</v>
      </c>
      <c r="F2082" t="n">
        <v>39.68027335</v>
      </c>
      <c r="G2082" t="n">
        <v>42.34288094</v>
      </c>
      <c r="H2082" t="n">
        <v>44.17344705</v>
      </c>
    </row>
    <row r="2083">
      <c r="A2083" t="inlineStr">
        <is>
          <t>CMR|mit.ghg.tot.1</t>
        </is>
      </c>
      <c r="B2083" t="inlineStr">
        <is>
          <t>CMR</t>
        </is>
      </c>
      <c r="C2083" t="inlineStr">
        <is>
          <t>mit.ghg.tot.1</t>
        </is>
      </c>
      <c r="D2083" t="n">
        <v>78.489</v>
      </c>
      <c r="E2083" t="n">
        <v>78.44980885</v>
      </c>
      <c r="F2083" t="n">
        <v>78.23565121999999</v>
      </c>
      <c r="G2083" t="n">
        <v>77.85182917</v>
      </c>
      <c r="H2083" t="n">
        <v>78.5925295</v>
      </c>
    </row>
    <row r="2084">
      <c r="A2084" t="inlineStr">
        <is>
          <t>COD|mit.ghg.tot.1</t>
        </is>
      </c>
      <c r="B2084" t="inlineStr">
        <is>
          <t>COD</t>
        </is>
      </c>
      <c r="C2084" t="inlineStr">
        <is>
          <t>mit.ghg.tot.1</t>
        </is>
      </c>
      <c r="D2084" t="n">
        <v>669.183</v>
      </c>
      <c r="E2084" t="n">
        <v>669.2634964</v>
      </c>
      <c r="F2084" t="n">
        <v>669.6522195</v>
      </c>
      <c r="G2084" t="n">
        <v>670.2543864</v>
      </c>
      <c r="H2084" t="n">
        <v>670.9739664</v>
      </c>
    </row>
    <row r="2085">
      <c r="A2085" t="inlineStr">
        <is>
          <t>COG|mit.ghg.tot.1</t>
        </is>
      </c>
      <c r="B2085" t="inlineStr">
        <is>
          <t>COG</t>
        </is>
      </c>
      <c r="C2085" t="inlineStr">
        <is>
          <t>mit.ghg.tot.1</t>
        </is>
      </c>
      <c r="D2085" t="n">
        <v>36.275</v>
      </c>
      <c r="E2085" t="n">
        <v>36.3068308</v>
      </c>
      <c r="F2085" t="n">
        <v>36.54679544</v>
      </c>
      <c r="G2085" t="n">
        <v>37.26597712</v>
      </c>
      <c r="H2085" t="n">
        <v>38.29887684</v>
      </c>
    </row>
    <row r="2086">
      <c r="A2086" t="inlineStr">
        <is>
          <t>COL|mit.ghg.tot.1</t>
        </is>
      </c>
      <c r="B2086" t="inlineStr">
        <is>
          <t>COL</t>
        </is>
      </c>
      <c r="C2086" t="inlineStr">
        <is>
          <t>mit.ghg.tot.1</t>
        </is>
      </c>
      <c r="D2086" t="n">
        <v>293.577</v>
      </c>
      <c r="E2086" t="n">
        <v>293.7343386</v>
      </c>
      <c r="F2086" t="n">
        <v>293.6139809</v>
      </c>
      <c r="G2086" t="n">
        <v>293.5734949</v>
      </c>
      <c r="H2086" t="n">
        <v>293.9581159</v>
      </c>
    </row>
    <row r="2087">
      <c r="A2087" t="inlineStr">
        <is>
          <t>COM|mit.ghg.tot.1</t>
        </is>
      </c>
      <c r="B2087" t="inlineStr">
        <is>
          <t>COM</t>
        </is>
      </c>
      <c r="C2087" t="inlineStr">
        <is>
          <t>mit.ghg.tot.1</t>
        </is>
      </c>
      <c r="D2087" t="n">
        <v>1.29666381</v>
      </c>
      <c r="E2087" t="n">
        <v>1.308985124</v>
      </c>
      <c r="F2087" t="n">
        <v>1.383732206</v>
      </c>
      <c r="G2087" t="n">
        <v>1.576145221</v>
      </c>
      <c r="H2087" t="n">
        <v>1.833605779</v>
      </c>
    </row>
    <row r="2088">
      <c r="A2088" t="inlineStr">
        <is>
          <t>CPV|mit.ghg.tot.1</t>
        </is>
      </c>
      <c r="B2088" t="inlineStr">
        <is>
          <t>CPV</t>
        </is>
      </c>
      <c r="C2088" t="inlineStr">
        <is>
          <t>mit.ghg.tot.1</t>
        </is>
      </c>
      <c r="D2088" t="n">
        <v>1.331</v>
      </c>
      <c r="E2088" t="n">
        <v>1.354504531</v>
      </c>
      <c r="F2088" t="n">
        <v>1.445108394</v>
      </c>
      <c r="G2088" t="n">
        <v>1.593524571</v>
      </c>
      <c r="H2088" t="n">
        <v>1.714310406</v>
      </c>
    </row>
    <row r="2089">
      <c r="A2089" t="inlineStr">
        <is>
          <t>CRI|mit.ghg.tot.1</t>
        </is>
      </c>
      <c r="B2089" t="inlineStr">
        <is>
          <t>CRI</t>
        </is>
      </c>
      <c r="C2089" t="inlineStr">
        <is>
          <t>mit.ghg.tot.1</t>
        </is>
      </c>
      <c r="D2089" t="n">
        <v>16.028</v>
      </c>
      <c r="E2089" t="n">
        <v>16.16971879</v>
      </c>
      <c r="F2089" t="n">
        <v>16.59105944</v>
      </c>
      <c r="G2089" t="n">
        <v>17.23617025</v>
      </c>
      <c r="H2089" t="n">
        <v>18.07026318</v>
      </c>
    </row>
    <row r="2090">
      <c r="A2090" t="inlineStr">
        <is>
          <t>CYP|mit.ghg.tot.1</t>
        </is>
      </c>
      <c r="B2090" t="inlineStr">
        <is>
          <t>CYP</t>
        </is>
      </c>
      <c r="C2090" t="inlineStr">
        <is>
          <t>mit.ghg.tot.1</t>
        </is>
      </c>
      <c r="D2090" t="n">
        <v>10.98015756</v>
      </c>
      <c r="E2090" t="n">
        <v>11.07681297</v>
      </c>
      <c r="F2090" t="n">
        <v>11.15725706</v>
      </c>
      <c r="G2090" t="n">
        <v>10.48320123</v>
      </c>
      <c r="H2090" t="n">
        <v>9.334380615000001</v>
      </c>
    </row>
    <row r="2091">
      <c r="A2091" t="inlineStr">
        <is>
          <t>CZE|mit.ghg.tot.1</t>
        </is>
      </c>
      <c r="B2091" t="inlineStr">
        <is>
          <t>CZE</t>
        </is>
      </c>
      <c r="C2091" t="inlineStr">
        <is>
          <t>mit.ghg.tot.1</t>
        </is>
      </c>
      <c r="D2091" t="n">
        <v>118.786</v>
      </c>
      <c r="E2091" t="n">
        <v>118.2511287</v>
      </c>
      <c r="F2091" t="n">
        <v>113.6553476</v>
      </c>
      <c r="G2091" t="n">
        <v>99.38710793</v>
      </c>
      <c r="H2091" t="n">
        <v>91.65237051</v>
      </c>
    </row>
    <row r="2092">
      <c r="A2092" t="inlineStr">
        <is>
          <t>DEU|mit.ghg.tot.1</t>
        </is>
      </c>
      <c r="B2092" t="inlineStr">
        <is>
          <t>DEU</t>
        </is>
      </c>
      <c r="C2092" t="inlineStr">
        <is>
          <t>mit.ghg.tot.1</t>
        </is>
      </c>
      <c r="D2092" t="n">
        <v>744.658</v>
      </c>
      <c r="E2092" t="n">
        <v>733.7234248</v>
      </c>
      <c r="F2092" t="n">
        <v>688.065164</v>
      </c>
      <c r="G2092" t="n">
        <v>598.2084373</v>
      </c>
      <c r="H2092" t="n">
        <v>559.867244</v>
      </c>
    </row>
    <row r="2093">
      <c r="A2093" t="inlineStr">
        <is>
          <t>DJI|mit.ghg.tot.1</t>
        </is>
      </c>
      <c r="B2093" t="inlineStr">
        <is>
          <t>DJI</t>
        </is>
      </c>
      <c r="C2093" t="inlineStr">
        <is>
          <t>mit.ghg.tot.1</t>
        </is>
      </c>
      <c r="D2093" t="n">
        <v>2.266</v>
      </c>
      <c r="E2093" t="n">
        <v>2.293385265</v>
      </c>
      <c r="F2093" t="n">
        <v>2.437225725</v>
      </c>
      <c r="G2093" t="n">
        <v>2.72064236</v>
      </c>
      <c r="H2093" t="n">
        <v>3.033299785</v>
      </c>
    </row>
    <row r="2094">
      <c r="A2094" t="inlineStr">
        <is>
          <t>DMA|mit.ghg.tot.1</t>
        </is>
      </c>
      <c r="B2094" t="inlineStr">
        <is>
          <t>DMA</t>
        </is>
      </c>
      <c r="C2094" t="inlineStr">
        <is>
          <t>mit.ghg.tot.1</t>
        </is>
      </c>
      <c r="D2094" t="n">
        <v>0.3502023483</v>
      </c>
      <c r="E2094" t="n">
        <v>0.3579610648</v>
      </c>
      <c r="F2094" t="n">
        <v>0.3835403823</v>
      </c>
      <c r="G2094" t="n">
        <v>0.4400160516</v>
      </c>
      <c r="H2094" t="n">
        <v>0.5069313313</v>
      </c>
    </row>
    <row r="2095">
      <c r="A2095" t="inlineStr">
        <is>
          <t>DNK|mit.ghg.tot.1</t>
        </is>
      </c>
      <c r="B2095" t="inlineStr">
        <is>
          <t>DNK</t>
        </is>
      </c>
      <c r="C2095" t="inlineStr">
        <is>
          <t>mit.ghg.tot.1</t>
        </is>
      </c>
      <c r="D2095" t="n">
        <v>49.102</v>
      </c>
      <c r="E2095" t="n">
        <v>48.6409261</v>
      </c>
      <c r="F2095" t="n">
        <v>46.97376341</v>
      </c>
      <c r="G2095" t="n">
        <v>44.98800523</v>
      </c>
      <c r="H2095" t="n">
        <v>44.14978776</v>
      </c>
    </row>
    <row r="2096">
      <c r="A2096" t="inlineStr">
        <is>
          <t>DOM|mit.ghg.tot.1</t>
        </is>
      </c>
      <c r="B2096" t="inlineStr">
        <is>
          <t>DOM</t>
        </is>
      </c>
      <c r="C2096" t="inlineStr">
        <is>
          <t>mit.ghg.tot.1</t>
        </is>
      </c>
      <c r="D2096" t="n">
        <v>54.89325574</v>
      </c>
      <c r="E2096" t="n">
        <v>54.89238257</v>
      </c>
      <c r="F2096" t="n">
        <v>56.80322791</v>
      </c>
      <c r="G2096" t="n">
        <v>59.12881571</v>
      </c>
      <c r="H2096" t="n">
        <v>60.14392145</v>
      </c>
    </row>
    <row r="2097">
      <c r="A2097" t="inlineStr">
        <is>
          <t>DZA|mit.ghg.tot.1</t>
        </is>
      </c>
      <c r="B2097" t="inlineStr">
        <is>
          <t>DZA</t>
        </is>
      </c>
      <c r="C2097" t="inlineStr">
        <is>
          <t>mit.ghg.tot.1</t>
        </is>
      </c>
      <c r="D2097" t="n">
        <v>287.012</v>
      </c>
      <c r="E2097" t="n">
        <v>289.5318537</v>
      </c>
      <c r="F2097" t="n">
        <v>302.0573367</v>
      </c>
      <c r="G2097" t="n">
        <v>325.9158421</v>
      </c>
      <c r="H2097" t="n">
        <v>351.695899</v>
      </c>
    </row>
    <row r="2098">
      <c r="A2098" t="inlineStr">
        <is>
          <t>ECU|mit.ghg.tot.1</t>
        </is>
      </c>
      <c r="B2098" t="inlineStr">
        <is>
          <t>ECU</t>
        </is>
      </c>
      <c r="C2098" t="inlineStr">
        <is>
          <t>mit.ghg.tot.1</t>
        </is>
      </c>
      <c r="D2098" t="n">
        <v>101.698</v>
      </c>
      <c r="E2098" t="n">
        <v>102.1197332</v>
      </c>
      <c r="F2098" t="n">
        <v>102.2684634</v>
      </c>
      <c r="G2098" t="n">
        <v>102.2791908</v>
      </c>
      <c r="H2098" t="n">
        <v>106.5785508</v>
      </c>
    </row>
    <row r="2099">
      <c r="A2099" t="inlineStr">
        <is>
          <t>EGY|mit.ghg.tot.1</t>
        </is>
      </c>
      <c r="B2099" t="inlineStr">
        <is>
          <t>EGY</t>
        </is>
      </c>
      <c r="C2099" t="inlineStr">
        <is>
          <t>mit.ghg.tot.1</t>
        </is>
      </c>
      <c r="D2099" t="n">
        <v>402.239</v>
      </c>
      <c r="E2099" t="n">
        <v>409.2843589</v>
      </c>
      <c r="F2099" t="n">
        <v>444.8409444</v>
      </c>
      <c r="G2099" t="n">
        <v>516.4495819</v>
      </c>
      <c r="H2099" t="n">
        <v>605.276518</v>
      </c>
    </row>
    <row r="2100">
      <c r="A2100" t="inlineStr">
        <is>
          <t>ESP|mit.ghg.tot.1</t>
        </is>
      </c>
      <c r="B2100" t="inlineStr">
        <is>
          <t>ESP</t>
        </is>
      </c>
      <c r="C2100" t="inlineStr">
        <is>
          <t>mit.ghg.tot.1</t>
        </is>
      </c>
      <c r="D2100" t="n">
        <v>339.165</v>
      </c>
      <c r="E2100" t="n">
        <v>338.6376636</v>
      </c>
      <c r="F2100" t="n">
        <v>326.476155</v>
      </c>
      <c r="G2100" t="n">
        <v>297.8525962</v>
      </c>
      <c r="H2100" t="n">
        <v>293.9645237</v>
      </c>
    </row>
    <row r="2101">
      <c r="A2101" t="inlineStr">
        <is>
          <t>EST|mit.ghg.tot.1</t>
        </is>
      </c>
      <c r="B2101" t="inlineStr">
        <is>
          <t>EST</t>
        </is>
      </c>
      <c r="C2101" t="inlineStr">
        <is>
          <t>mit.ghg.tot.1</t>
        </is>
      </c>
      <c r="D2101" t="n">
        <v>13.753</v>
      </c>
      <c r="E2101" t="n">
        <v>13.60981413</v>
      </c>
      <c r="F2101" t="n">
        <v>13.00081958</v>
      </c>
      <c r="G2101" t="n">
        <v>11.53238012</v>
      </c>
      <c r="H2101" t="n">
        <v>10.87288766</v>
      </c>
    </row>
    <row r="2102">
      <c r="A2102" t="inlineStr">
        <is>
          <t>ETH|mit.ghg.tot.1</t>
        </is>
      </c>
      <c r="B2102" t="inlineStr">
        <is>
          <t>ETH</t>
        </is>
      </c>
      <c r="C2102" t="inlineStr">
        <is>
          <t>mit.ghg.tot.1</t>
        </is>
      </c>
      <c r="D2102" t="n">
        <v>234.697</v>
      </c>
      <c r="E2102" t="n">
        <v>235.755962</v>
      </c>
      <c r="F2102" t="n">
        <v>241.3587447</v>
      </c>
      <c r="G2102" t="n">
        <v>250.9881426</v>
      </c>
      <c r="H2102" t="n">
        <v>260.3081758</v>
      </c>
    </row>
    <row r="2103">
      <c r="A2103" t="inlineStr">
        <is>
          <t>FIN|mit.ghg.tot.1</t>
        </is>
      </c>
      <c r="B2103" t="inlineStr">
        <is>
          <t>FIN</t>
        </is>
      </c>
      <c r="C2103" t="inlineStr">
        <is>
          <t>mit.ghg.tot.1</t>
        </is>
      </c>
      <c r="D2103" t="n">
        <v>47.19</v>
      </c>
      <c r="E2103" t="n">
        <v>45.55019559</v>
      </c>
      <c r="F2103" t="n">
        <v>43.59914761</v>
      </c>
      <c r="G2103" t="n">
        <v>41.99304573</v>
      </c>
      <c r="H2103" t="n">
        <v>41.93215435</v>
      </c>
    </row>
    <row r="2104">
      <c r="A2104" t="inlineStr">
        <is>
          <t>FJI|mit.ghg.tot.1</t>
        </is>
      </c>
      <c r="B2104" t="inlineStr">
        <is>
          <t>FJI</t>
        </is>
      </c>
      <c r="C2104" t="inlineStr">
        <is>
          <t>mit.ghg.tot.1</t>
        </is>
      </c>
      <c r="D2104" t="n">
        <v>3.104</v>
      </c>
      <c r="E2104" t="n">
        <v>3.123748384</v>
      </c>
      <c r="F2104" t="n">
        <v>3.183237896</v>
      </c>
      <c r="G2104" t="n">
        <v>3.336944431</v>
      </c>
      <c r="H2104" t="n">
        <v>3.544334454</v>
      </c>
    </row>
    <row r="2105">
      <c r="A2105" t="inlineStr">
        <is>
          <t>FRA|mit.ghg.tot.1</t>
        </is>
      </c>
      <c r="B2105" t="inlineStr">
        <is>
          <t>FRA</t>
        </is>
      </c>
      <c r="C2105" t="inlineStr">
        <is>
          <t>mit.ghg.tot.1</t>
        </is>
      </c>
      <c r="D2105" t="n">
        <v>423.894</v>
      </c>
      <c r="E2105" t="n">
        <v>415.306792</v>
      </c>
      <c r="F2105" t="n">
        <v>391.7834159</v>
      </c>
      <c r="G2105" t="n">
        <v>366.6903238</v>
      </c>
      <c r="H2105" t="n">
        <v>357.4589507</v>
      </c>
    </row>
    <row r="2106">
      <c r="A2106" t="inlineStr">
        <is>
          <t>GAB|mit.ghg.tot.1</t>
        </is>
      </c>
      <c r="B2106" t="inlineStr">
        <is>
          <t>GAB</t>
        </is>
      </c>
      <c r="C2106" t="inlineStr">
        <is>
          <t>mit.ghg.tot.1</t>
        </is>
      </c>
      <c r="D2106" t="n">
        <v>25.777</v>
      </c>
      <c r="E2106" t="n">
        <v>25.81530004</v>
      </c>
      <c r="F2106" t="n">
        <v>26.03774875</v>
      </c>
      <c r="G2106" t="n">
        <v>26.5874292</v>
      </c>
      <c r="H2106" t="n">
        <v>27.28141839</v>
      </c>
    </row>
    <row r="2107">
      <c r="A2107" t="inlineStr">
        <is>
          <t>GBR|mit.ghg.tot.1</t>
        </is>
      </c>
      <c r="B2107" t="inlineStr">
        <is>
          <t>GBR</t>
        </is>
      </c>
      <c r="C2107" t="inlineStr">
        <is>
          <t>mit.ghg.tot.1</t>
        </is>
      </c>
      <c r="D2107" t="n">
        <v>454.233</v>
      </c>
      <c r="E2107" t="n">
        <v>450.5221376</v>
      </c>
      <c r="F2107" t="n">
        <v>424.7508502</v>
      </c>
      <c r="G2107" t="n">
        <v>373.2317185</v>
      </c>
      <c r="H2107" t="n">
        <v>358.0893169</v>
      </c>
    </row>
    <row r="2108">
      <c r="A2108" t="inlineStr">
        <is>
          <t>GEO|mit.ghg.tot.1</t>
        </is>
      </c>
      <c r="B2108" t="inlineStr">
        <is>
          <t>GEO</t>
        </is>
      </c>
      <c r="C2108" t="inlineStr">
        <is>
          <t>mit.ghg.tot.1</t>
        </is>
      </c>
      <c r="D2108" t="n">
        <v>18.98</v>
      </c>
      <c r="E2108" t="n">
        <v>19.27406309</v>
      </c>
      <c r="F2108" t="n">
        <v>20.03638059</v>
      </c>
      <c r="G2108" t="n">
        <v>20.99412515</v>
      </c>
      <c r="H2108" t="n">
        <v>22.688376</v>
      </c>
    </row>
    <row r="2109">
      <c r="A2109" t="inlineStr">
        <is>
          <t>GHA|mit.ghg.tot.1</t>
        </is>
      </c>
      <c r="B2109" t="inlineStr">
        <is>
          <t>GHA</t>
        </is>
      </c>
      <c r="C2109" t="inlineStr">
        <is>
          <t>mit.ghg.tot.1</t>
        </is>
      </c>
      <c r="D2109" t="n">
        <v>52.092</v>
      </c>
      <c r="E2109" t="n">
        <v>52.79058847</v>
      </c>
      <c r="F2109" t="n">
        <v>55.28909616</v>
      </c>
      <c r="G2109" t="n">
        <v>59.28353239</v>
      </c>
      <c r="H2109" t="n">
        <v>63.94841343</v>
      </c>
    </row>
    <row r="2110">
      <c r="A2110" t="inlineStr">
        <is>
          <t>GIN|mit.ghg.tot.1</t>
        </is>
      </c>
      <c r="B2110" t="inlineStr">
        <is>
          <t>GIN</t>
        </is>
      </c>
      <c r="C2110" t="inlineStr">
        <is>
          <t>mit.ghg.tot.1</t>
        </is>
      </c>
      <c r="D2110" t="n">
        <v>42.40931189</v>
      </c>
      <c r="E2110" t="n">
        <v>42.73183115</v>
      </c>
      <c r="F2110" t="n">
        <v>44.14912033</v>
      </c>
      <c r="G2110" t="n">
        <v>46.29308559</v>
      </c>
      <c r="H2110" t="n">
        <v>48.12172068</v>
      </c>
    </row>
    <row r="2111">
      <c r="A2111" t="inlineStr">
        <is>
          <t>GMB|mit.ghg.tot.1</t>
        </is>
      </c>
      <c r="B2111" t="inlineStr">
        <is>
          <t>GMB</t>
        </is>
      </c>
      <c r="C2111" t="inlineStr">
        <is>
          <t>mit.ghg.tot.1</t>
        </is>
      </c>
      <c r="D2111" t="n">
        <v>3.537484405</v>
      </c>
      <c r="E2111" t="n">
        <v>3.588809609</v>
      </c>
      <c r="F2111" t="n">
        <v>3.822903297</v>
      </c>
      <c r="G2111" t="n">
        <v>4.376457096</v>
      </c>
      <c r="H2111" t="n">
        <v>5.091432902</v>
      </c>
    </row>
    <row r="2112">
      <c r="A2112" t="inlineStr">
        <is>
          <t>GNB|mit.ghg.tot.1</t>
        </is>
      </c>
      <c r="B2112" t="inlineStr">
        <is>
          <t>GNB</t>
        </is>
      </c>
      <c r="C2112" t="inlineStr">
        <is>
          <t>mit.ghg.tot.1</t>
        </is>
      </c>
      <c r="D2112" t="n">
        <v>5.155259012</v>
      </c>
      <c r="E2112" t="n">
        <v>5.174302071</v>
      </c>
      <c r="F2112" t="n">
        <v>5.264773744</v>
      </c>
      <c r="G2112" t="n">
        <v>5.480514935</v>
      </c>
      <c r="H2112" t="n">
        <v>5.762422588</v>
      </c>
    </row>
    <row r="2113">
      <c r="A2113" t="inlineStr">
        <is>
          <t>GNQ|mit.ghg.tot.1</t>
        </is>
      </c>
      <c r="B2113" t="inlineStr">
        <is>
          <t>GNQ</t>
        </is>
      </c>
      <c r="C2113" t="inlineStr">
        <is>
          <t>mit.ghg.tot.1</t>
        </is>
      </c>
      <c r="D2113" t="n">
        <v>16.133</v>
      </c>
      <c r="E2113" t="n">
        <v>15.95208501</v>
      </c>
      <c r="F2113" t="n">
        <v>15.6395747</v>
      </c>
      <c r="G2113" t="n">
        <v>15.67492534</v>
      </c>
      <c r="H2113" t="n">
        <v>16.11497457</v>
      </c>
    </row>
    <row r="2114">
      <c r="A2114" t="inlineStr">
        <is>
          <t>GRC|mit.ghg.tot.1</t>
        </is>
      </c>
      <c r="B2114" t="inlineStr">
        <is>
          <t>GRC</t>
        </is>
      </c>
      <c r="C2114" t="inlineStr">
        <is>
          <t>mit.ghg.tot.1</t>
        </is>
      </c>
      <c r="D2114" t="n">
        <v>91.748</v>
      </c>
      <c r="E2114" t="n">
        <v>91.62301264</v>
      </c>
      <c r="F2114" t="n">
        <v>89.89619886</v>
      </c>
      <c r="G2114" t="n">
        <v>84.50040712000001</v>
      </c>
      <c r="H2114" t="n">
        <v>79.61473340000001</v>
      </c>
    </row>
    <row r="2115">
      <c r="A2115" t="inlineStr">
        <is>
          <t>GRD|mit.ghg.tot.1</t>
        </is>
      </c>
      <c r="B2115" t="inlineStr">
        <is>
          <t>GRD</t>
        </is>
      </c>
      <c r="C2115" t="inlineStr">
        <is>
          <t>mit.ghg.tot.1</t>
        </is>
      </c>
      <c r="D2115" t="n">
        <v>0.5818259461</v>
      </c>
      <c r="E2115" t="n">
        <v>0.5958635629</v>
      </c>
      <c r="F2115" t="n">
        <v>0.6435308846</v>
      </c>
      <c r="G2115" t="n">
        <v>0.7497163416</v>
      </c>
      <c r="H2115" t="n">
        <v>0.8749375753</v>
      </c>
    </row>
    <row r="2116">
      <c r="A2116" t="inlineStr">
        <is>
          <t>GTM|mit.ghg.tot.1</t>
        </is>
      </c>
      <c r="B2116" t="inlineStr">
        <is>
          <t>GTM</t>
        </is>
      </c>
      <c r="C2116" t="inlineStr">
        <is>
          <t>mit.ghg.tot.1</t>
        </is>
      </c>
      <c r="D2116" t="n">
        <v>53.762</v>
      </c>
      <c r="E2116" t="n">
        <v>54.19384765</v>
      </c>
      <c r="F2116" t="n">
        <v>56.16443033</v>
      </c>
      <c r="G2116" t="n">
        <v>59.59577687</v>
      </c>
      <c r="H2116" t="n">
        <v>63.33101498</v>
      </c>
    </row>
    <row r="2117">
      <c r="A2117" t="inlineStr">
        <is>
          <t>GUY|mit.ghg.tot.1</t>
        </is>
      </c>
      <c r="B2117" t="inlineStr">
        <is>
          <t>GUY</t>
        </is>
      </c>
      <c r="C2117" t="inlineStr">
        <is>
          <t>mit.ghg.tot.1</t>
        </is>
      </c>
      <c r="D2117" t="n">
        <v>21.47124684</v>
      </c>
      <c r="E2117" t="n">
        <v>22.03721785</v>
      </c>
      <c r="F2117" t="n">
        <v>24.91993787</v>
      </c>
      <c r="G2117" t="n">
        <v>29.47422101</v>
      </c>
      <c r="H2117" t="n">
        <v>31.68128757</v>
      </c>
    </row>
    <row r="2118">
      <c r="A2118" t="inlineStr">
        <is>
          <t>HKG|mit.ghg.tot.1</t>
        </is>
      </c>
      <c r="B2118" t="inlineStr">
        <is>
          <t>HKG</t>
        </is>
      </c>
      <c r="C2118" t="inlineStr">
        <is>
          <t>mit.ghg.tot.1</t>
        </is>
      </c>
      <c r="D2118" t="n">
        <v>47.0750993</v>
      </c>
      <c r="E2118" t="n">
        <v>47.80080418</v>
      </c>
      <c r="F2118" t="n">
        <v>49.62636648</v>
      </c>
      <c r="G2118" t="n">
        <v>51.76284568</v>
      </c>
      <c r="H2118" t="n">
        <v>53.49431604</v>
      </c>
    </row>
    <row r="2119">
      <c r="A2119" t="inlineStr">
        <is>
          <t>HND|mit.ghg.tot.1</t>
        </is>
      </c>
      <c r="B2119" t="inlineStr">
        <is>
          <t>HND</t>
        </is>
      </c>
      <c r="C2119" t="inlineStr">
        <is>
          <t>mit.ghg.tot.1</t>
        </is>
      </c>
      <c r="D2119" t="n">
        <v>33.489</v>
      </c>
      <c r="E2119" t="n">
        <v>33.725949</v>
      </c>
      <c r="F2119" t="n">
        <v>34.81540274</v>
      </c>
      <c r="G2119" t="n">
        <v>37.70892605</v>
      </c>
      <c r="H2119" t="n">
        <v>41.74555417</v>
      </c>
    </row>
    <row r="2120">
      <c r="A2120" t="inlineStr">
        <is>
          <t>HRV|mit.ghg.tot.1</t>
        </is>
      </c>
      <c r="B2120" t="inlineStr">
        <is>
          <t>HRV</t>
        </is>
      </c>
      <c r="C2120" t="inlineStr">
        <is>
          <t>mit.ghg.tot.1</t>
        </is>
      </c>
      <c r="D2120" t="n">
        <v>26.337</v>
      </c>
      <c r="E2120" t="n">
        <v>26.25920815</v>
      </c>
      <c r="F2120" t="n">
        <v>25.25381855</v>
      </c>
      <c r="G2120" t="n">
        <v>22.94773439</v>
      </c>
      <c r="H2120" t="n">
        <v>22.46976271</v>
      </c>
    </row>
    <row r="2121">
      <c r="A2121" t="inlineStr">
        <is>
          <t>HTI|mit.ghg.tot.1</t>
        </is>
      </c>
      <c r="B2121" t="inlineStr">
        <is>
          <t>HTI</t>
        </is>
      </c>
      <c r="C2121" t="inlineStr">
        <is>
          <t>mit.ghg.tot.1</t>
        </is>
      </c>
      <c r="D2121" t="n">
        <v>15.32050381</v>
      </c>
      <c r="E2121" t="n">
        <v>15.21529499</v>
      </c>
      <c r="F2121" t="n">
        <v>14.931237</v>
      </c>
      <c r="G2121" t="n">
        <v>15.06676829</v>
      </c>
      <c r="H2121" t="n">
        <v>15.684459</v>
      </c>
    </row>
    <row r="2122">
      <c r="A2122" t="inlineStr">
        <is>
          <t>HUN|mit.ghg.tot.1</t>
        </is>
      </c>
      <c r="B2122" t="inlineStr">
        <is>
          <t>HUN</t>
        </is>
      </c>
      <c r="C2122" t="inlineStr">
        <is>
          <t>mit.ghg.tot.1</t>
        </is>
      </c>
      <c r="D2122" t="n">
        <v>65.467</v>
      </c>
      <c r="E2122" t="n">
        <v>64.74564042999999</v>
      </c>
      <c r="F2122" t="n">
        <v>62.58299005</v>
      </c>
      <c r="G2122" t="n">
        <v>59.01564441</v>
      </c>
      <c r="H2122" t="n">
        <v>58.60468383</v>
      </c>
    </row>
    <row r="2123">
      <c r="A2123" t="inlineStr">
        <is>
          <t>IDN|mit.ghg.tot.1</t>
        </is>
      </c>
      <c r="B2123" t="inlineStr">
        <is>
          <t>IDN</t>
        </is>
      </c>
      <c r="C2123" t="inlineStr">
        <is>
          <t>mit.ghg.tot.1</t>
        </is>
      </c>
      <c r="D2123" t="n">
        <v>1416.823</v>
      </c>
      <c r="E2123" t="n">
        <v>1437.038054</v>
      </c>
      <c r="F2123" t="n">
        <v>1539.976103</v>
      </c>
      <c r="G2123" t="n">
        <v>1738.554177</v>
      </c>
      <c r="H2123" t="n">
        <v>1973.091243</v>
      </c>
    </row>
    <row r="2124">
      <c r="A2124" t="inlineStr">
        <is>
          <t>IND|mit.ghg.tot.1</t>
        </is>
      </c>
      <c r="B2124" t="inlineStr">
        <is>
          <t>IND</t>
        </is>
      </c>
      <c r="C2124" t="inlineStr">
        <is>
          <t>mit.ghg.tot.1</t>
        </is>
      </c>
      <c r="D2124" t="n">
        <v>4131.845</v>
      </c>
      <c r="E2124" t="n">
        <v>4236.583261</v>
      </c>
      <c r="F2124" t="n">
        <v>4680.061572</v>
      </c>
      <c r="G2124" t="n">
        <v>5220.035561</v>
      </c>
      <c r="H2124" t="n">
        <v>5596.830355</v>
      </c>
    </row>
    <row r="2125">
      <c r="A2125" t="inlineStr">
        <is>
          <t>IRL|mit.ghg.tot.1</t>
        </is>
      </c>
      <c r="B2125" t="inlineStr">
        <is>
          <t>IRL</t>
        </is>
      </c>
      <c r="C2125" t="inlineStr">
        <is>
          <t>mit.ghg.tot.1</t>
        </is>
      </c>
      <c r="D2125" t="n">
        <v>73.70999999999999</v>
      </c>
      <c r="E2125" t="n">
        <v>75.73190584</v>
      </c>
      <c r="F2125" t="n">
        <v>74.85359123000001</v>
      </c>
      <c r="G2125" t="n">
        <v>70.79827216</v>
      </c>
      <c r="H2125" t="n">
        <v>66.83465855999999</v>
      </c>
    </row>
    <row r="2126">
      <c r="A2126" t="inlineStr">
        <is>
          <t>IRN|mit.ghg.tot.1</t>
        </is>
      </c>
      <c r="B2126" t="inlineStr">
        <is>
          <t>IRN</t>
        </is>
      </c>
      <c r="C2126" t="inlineStr">
        <is>
          <t>mit.ghg.tot.1</t>
        </is>
      </c>
      <c r="D2126" t="n">
        <v>1024.852</v>
      </c>
      <c r="E2126" t="n">
        <v>1010.848301</v>
      </c>
      <c r="F2126" t="n">
        <v>869.8954648</v>
      </c>
      <c r="G2126" t="n">
        <v>823.5257843000001</v>
      </c>
      <c r="H2126" t="n">
        <v>897.5730577</v>
      </c>
    </row>
    <row r="2127">
      <c r="A2127" t="inlineStr">
        <is>
          <t>IRQ|mit.ghg.tot.1</t>
        </is>
      </c>
      <c r="B2127" t="inlineStr">
        <is>
          <t>IRQ</t>
        </is>
      </c>
      <c r="C2127" t="inlineStr">
        <is>
          <t>mit.ghg.tot.1</t>
        </is>
      </c>
      <c r="D2127" t="n">
        <v>351.508</v>
      </c>
      <c r="E2127" t="n">
        <v>350.0589479</v>
      </c>
      <c r="F2127" t="n">
        <v>318.4597753</v>
      </c>
      <c r="G2127" t="n">
        <v>309.7163199</v>
      </c>
      <c r="H2127" t="n">
        <v>327.9391559</v>
      </c>
    </row>
    <row r="2128">
      <c r="A2128" t="inlineStr">
        <is>
          <t>ISL|mit.ghg.tot.1</t>
        </is>
      </c>
      <c r="B2128" t="inlineStr">
        <is>
          <t>ISL</t>
        </is>
      </c>
      <c r="C2128" t="inlineStr">
        <is>
          <t>mit.ghg.tot.1</t>
        </is>
      </c>
      <c r="D2128" t="n">
        <v>13.867</v>
      </c>
      <c r="E2128" t="n">
        <v>13.85858133</v>
      </c>
      <c r="F2128" t="n">
        <v>13.82860676</v>
      </c>
      <c r="G2128" t="n">
        <v>13.70654969</v>
      </c>
      <c r="H2128" t="n">
        <v>13.67511149</v>
      </c>
    </row>
    <row r="2129">
      <c r="A2129" t="inlineStr">
        <is>
          <t>ISR|mit.ghg.tot.1</t>
        </is>
      </c>
      <c r="B2129" t="inlineStr">
        <is>
          <t>ISR</t>
        </is>
      </c>
      <c r="C2129" t="inlineStr">
        <is>
          <t>mit.ghg.tot.1</t>
        </is>
      </c>
      <c r="D2129" t="n">
        <v>91.06699999999999</v>
      </c>
      <c r="E2129" t="n">
        <v>91.10046282</v>
      </c>
      <c r="F2129" t="n">
        <v>91.25858877</v>
      </c>
      <c r="G2129" t="n">
        <v>84.91650027</v>
      </c>
      <c r="H2129" t="n">
        <v>76.38135711</v>
      </c>
    </row>
    <row r="2130">
      <c r="A2130" t="inlineStr">
        <is>
          <t>ITA|mit.ghg.tot.1</t>
        </is>
      </c>
      <c r="B2130" t="inlineStr">
        <is>
          <t>ITA</t>
        </is>
      </c>
      <c r="C2130" t="inlineStr">
        <is>
          <t>mit.ghg.tot.1</t>
        </is>
      </c>
      <c r="D2130" t="n">
        <v>447.538</v>
      </c>
      <c r="E2130" t="n">
        <v>442.973719</v>
      </c>
      <c r="F2130" t="n">
        <v>419.3618941</v>
      </c>
      <c r="G2130" t="n">
        <v>376.8372226</v>
      </c>
      <c r="H2130" t="n">
        <v>346.3421326</v>
      </c>
    </row>
    <row r="2131">
      <c r="A2131" t="inlineStr">
        <is>
          <t>JAM|mit.ghg.tot.1</t>
        </is>
      </c>
      <c r="B2131" t="inlineStr">
        <is>
          <t>JAM</t>
        </is>
      </c>
      <c r="C2131" t="inlineStr">
        <is>
          <t>mit.ghg.tot.1</t>
        </is>
      </c>
      <c r="D2131" t="n">
        <v>10.04412373</v>
      </c>
      <c r="E2131" t="n">
        <v>9.983190491</v>
      </c>
      <c r="F2131" t="n">
        <v>9.52934057</v>
      </c>
      <c r="G2131" t="n">
        <v>9.928900941</v>
      </c>
      <c r="H2131" t="n">
        <v>11.29284787</v>
      </c>
    </row>
    <row r="2132">
      <c r="A2132" t="inlineStr">
        <is>
          <t>JOR|mit.ghg.tot.1</t>
        </is>
      </c>
      <c r="B2132" t="inlineStr">
        <is>
          <t>JOR</t>
        </is>
      </c>
      <c r="C2132" t="inlineStr">
        <is>
          <t>mit.ghg.tot.1</t>
        </is>
      </c>
      <c r="D2132" t="n">
        <v>36.495</v>
      </c>
      <c r="E2132" t="n">
        <v>36.73907404</v>
      </c>
      <c r="F2132" t="n">
        <v>38.04122035</v>
      </c>
      <c r="G2132" t="n">
        <v>41.01889553</v>
      </c>
      <c r="H2132" t="n">
        <v>44.71212632</v>
      </c>
    </row>
    <row r="2133">
      <c r="A2133" t="inlineStr">
        <is>
          <t>JPN|mit.ghg.tot.1</t>
        </is>
      </c>
      <c r="B2133" t="inlineStr">
        <is>
          <t>JPN</t>
        </is>
      </c>
      <c r="C2133" t="inlineStr">
        <is>
          <t>mit.ghg.tot.1</t>
        </is>
      </c>
      <c r="D2133" t="n">
        <v>1316.091</v>
      </c>
      <c r="E2133" t="n">
        <v>1304.580956</v>
      </c>
      <c r="F2133" t="n">
        <v>1228.434561</v>
      </c>
      <c r="G2133" t="n">
        <v>1089.348887</v>
      </c>
      <c r="H2133" t="n">
        <v>961.5563608</v>
      </c>
    </row>
    <row r="2134">
      <c r="A2134" t="inlineStr">
        <is>
          <t>KAZ|mit.ghg.tot.1</t>
        </is>
      </c>
      <c r="B2134" t="inlineStr">
        <is>
          <t>KAZ</t>
        </is>
      </c>
      <c r="C2134" t="inlineStr">
        <is>
          <t>mit.ghg.tot.1</t>
        </is>
      </c>
      <c r="D2134" t="n">
        <v>322.744</v>
      </c>
      <c r="E2134" t="n">
        <v>329.3310577</v>
      </c>
      <c r="F2134" t="n">
        <v>349.432736</v>
      </c>
      <c r="G2134" t="n">
        <v>379.5847692</v>
      </c>
      <c r="H2134" t="n">
        <v>402.8143532</v>
      </c>
    </row>
    <row r="2135">
      <c r="A2135" t="inlineStr">
        <is>
          <t>KEN|mit.ghg.tot.1</t>
        </is>
      </c>
      <c r="B2135" t="inlineStr">
        <is>
          <t>KEN</t>
        </is>
      </c>
      <c r="C2135" t="inlineStr">
        <is>
          <t>mit.ghg.tot.1</t>
        </is>
      </c>
      <c r="D2135" t="n">
        <v>119.389</v>
      </c>
      <c r="E2135" t="n">
        <v>119.7628944</v>
      </c>
      <c r="F2135" t="n">
        <v>121.2662937</v>
      </c>
      <c r="G2135" t="n">
        <v>124.1650162</v>
      </c>
      <c r="H2135" t="n">
        <v>128.7845292</v>
      </c>
    </row>
    <row r="2136">
      <c r="A2136" t="inlineStr">
        <is>
          <t>KGZ|mit.ghg.tot.1</t>
        </is>
      </c>
      <c r="B2136" t="inlineStr">
        <is>
          <t>KGZ</t>
        </is>
      </c>
      <c r="C2136" t="inlineStr">
        <is>
          <t>mit.ghg.tot.1</t>
        </is>
      </c>
      <c r="D2136" t="n">
        <v>22.672</v>
      </c>
      <c r="E2136" t="n">
        <v>23.05088506</v>
      </c>
      <c r="F2136" t="n">
        <v>23.26270878</v>
      </c>
      <c r="G2136" t="n">
        <v>24.02315907</v>
      </c>
      <c r="H2136" t="n">
        <v>26.19470539</v>
      </c>
    </row>
    <row r="2137">
      <c r="A2137" t="inlineStr">
        <is>
          <t>KHM|mit.ghg.tot.1</t>
        </is>
      </c>
      <c r="B2137" t="inlineStr">
        <is>
          <t>KHM</t>
        </is>
      </c>
      <c r="C2137" t="inlineStr">
        <is>
          <t>mit.ghg.tot.1</t>
        </is>
      </c>
      <c r="D2137" t="n">
        <v>84.73636614</v>
      </c>
      <c r="E2137" t="n">
        <v>85.26248165</v>
      </c>
      <c r="F2137" t="n">
        <v>87.34300987</v>
      </c>
      <c r="G2137" t="n">
        <v>92.15063293</v>
      </c>
      <c r="H2137" t="n">
        <v>98.33364175</v>
      </c>
    </row>
    <row r="2138">
      <c r="A2138" t="inlineStr">
        <is>
          <t>KNA|mit.ghg.tot.1</t>
        </is>
      </c>
      <c r="B2138" t="inlineStr">
        <is>
          <t>KNA</t>
        </is>
      </c>
      <c r="C2138" t="inlineStr">
        <is>
          <t>mit.ghg.tot.1</t>
        </is>
      </c>
      <c r="D2138" t="n">
        <v>0.7058460644</v>
      </c>
      <c r="E2138" t="n">
        <v>0.7063337907</v>
      </c>
      <c r="F2138" t="n">
        <v>0.7195282014</v>
      </c>
      <c r="G2138" t="n">
        <v>0.7281836524999999</v>
      </c>
      <c r="H2138" t="n">
        <v>0.7261361562999999</v>
      </c>
    </row>
    <row r="2139">
      <c r="A2139" t="inlineStr">
        <is>
          <t>KOR|mit.ghg.tot.1</t>
        </is>
      </c>
      <c r="B2139" t="inlineStr">
        <is>
          <t>KOR</t>
        </is>
      </c>
      <c r="C2139" t="inlineStr">
        <is>
          <t>mit.ghg.tot.1</t>
        </is>
      </c>
      <c r="D2139" t="n">
        <v>825.612</v>
      </c>
      <c r="E2139" t="n">
        <v>821.8051273</v>
      </c>
      <c r="F2139" t="n">
        <v>818.0975408</v>
      </c>
      <c r="G2139" t="n">
        <v>787.473669</v>
      </c>
      <c r="H2139" t="n">
        <v>754.549093</v>
      </c>
    </row>
    <row r="2140">
      <c r="A2140" t="inlineStr">
        <is>
          <t>KWT|mit.ghg.tot.1</t>
        </is>
      </c>
      <c r="B2140" t="inlineStr">
        <is>
          <t>KWT</t>
        </is>
      </c>
      <c r="C2140" t="inlineStr">
        <is>
          <t>mit.ghg.tot.1</t>
        </is>
      </c>
      <c r="D2140" t="n">
        <v>184.7446653</v>
      </c>
      <c r="E2140" t="n">
        <v>187.3611176</v>
      </c>
      <c r="F2140" t="n">
        <v>181.6019475</v>
      </c>
      <c r="G2140" t="n">
        <v>181.2494725</v>
      </c>
      <c r="H2140" t="n">
        <v>187.7125985</v>
      </c>
    </row>
    <row r="2141">
      <c r="A2141" t="inlineStr">
        <is>
          <t>LAO|mit.ghg.tot.1</t>
        </is>
      </c>
      <c r="B2141" t="inlineStr">
        <is>
          <t>LAO</t>
        </is>
      </c>
      <c r="C2141" t="inlineStr">
        <is>
          <t>mit.ghg.tot.1</t>
        </is>
      </c>
      <c r="D2141" t="n">
        <v>53.894</v>
      </c>
      <c r="E2141" t="n">
        <v>53.94615416</v>
      </c>
      <c r="F2141" t="n">
        <v>54.13036647</v>
      </c>
      <c r="G2141" t="n">
        <v>54.48768317</v>
      </c>
      <c r="H2141" t="n">
        <v>54.98294554</v>
      </c>
    </row>
    <row r="2142">
      <c r="A2142" t="inlineStr">
        <is>
          <t>LBN|mit.ghg.tot.1</t>
        </is>
      </c>
      <c r="B2142" t="inlineStr">
        <is>
          <t>LBN</t>
        </is>
      </c>
      <c r="C2142" t="inlineStr">
        <is>
          <t>mit.ghg.tot.1</t>
        </is>
      </c>
      <c r="D2142" t="n">
        <v>46.29</v>
      </c>
      <c r="E2142" t="n">
        <v>46.78566718</v>
      </c>
      <c r="F2142" t="n">
        <v>47.84934372</v>
      </c>
      <c r="G2142" t="n">
        <v>49.39918616</v>
      </c>
      <c r="H2142" t="n">
        <v>50.39529892</v>
      </c>
    </row>
    <row r="2143">
      <c r="A2143" t="inlineStr">
        <is>
          <t>LBR|mit.ghg.tot.1</t>
        </is>
      </c>
      <c r="B2143" t="inlineStr">
        <is>
          <t>LBR</t>
        </is>
      </c>
      <c r="C2143" t="inlineStr">
        <is>
          <t>mit.ghg.tot.1</t>
        </is>
      </c>
      <c r="D2143" t="n">
        <v>18.246</v>
      </c>
      <c r="E2143" t="n">
        <v>18.27100481</v>
      </c>
      <c r="F2143" t="n">
        <v>18.35282224</v>
      </c>
      <c r="G2143" t="n">
        <v>18.47873993</v>
      </c>
      <c r="H2143" t="n">
        <v>18.63705716</v>
      </c>
    </row>
    <row r="2144">
      <c r="A2144" t="inlineStr">
        <is>
          <t>LBY|mit.ghg.tot.1</t>
        </is>
      </c>
      <c r="B2144" t="inlineStr">
        <is>
          <t>LBY</t>
        </is>
      </c>
      <c r="C2144" t="inlineStr">
        <is>
          <t>mit.ghg.tot.1</t>
        </is>
      </c>
      <c r="D2144" t="n">
        <v>108.974</v>
      </c>
      <c r="E2144" t="n">
        <v>115.8643648</v>
      </c>
      <c r="F2144" t="n">
        <v>130.6501719</v>
      </c>
      <c r="G2144" t="n">
        <v>153.8151536</v>
      </c>
      <c r="H2144" t="n">
        <v>172.613309</v>
      </c>
    </row>
    <row r="2145">
      <c r="A2145" t="inlineStr">
        <is>
          <t>LCA|mit.ghg.tot.1</t>
        </is>
      </c>
      <c r="B2145" t="inlineStr">
        <is>
          <t>LCA</t>
        </is>
      </c>
      <c r="C2145" t="inlineStr">
        <is>
          <t>mit.ghg.tot.1</t>
        </is>
      </c>
      <c r="D2145" t="n">
        <v>1.008347719</v>
      </c>
      <c r="E2145" t="n">
        <v>1.01320982</v>
      </c>
      <c r="F2145" t="n">
        <v>1.052269576</v>
      </c>
      <c r="G2145" t="n">
        <v>1.176197963</v>
      </c>
      <c r="H2145" t="n">
        <v>1.35022578</v>
      </c>
    </row>
    <row r="2146">
      <c r="A2146" t="inlineStr">
        <is>
          <t>LKA|mit.ghg.tot.1</t>
        </is>
      </c>
      <c r="B2146" t="inlineStr">
        <is>
          <t>LKA</t>
        </is>
      </c>
      <c r="C2146" t="inlineStr">
        <is>
          <t>mit.ghg.tot.1</t>
        </is>
      </c>
      <c r="D2146" t="n">
        <v>41.94789409</v>
      </c>
      <c r="E2146" t="n">
        <v>41.85094652</v>
      </c>
      <c r="F2146" t="n">
        <v>41.23904291</v>
      </c>
      <c r="G2146" t="n">
        <v>39.31555883</v>
      </c>
      <c r="H2146" t="n">
        <v>38.39124106</v>
      </c>
    </row>
    <row r="2147">
      <c r="A2147" t="inlineStr">
        <is>
          <t>LSO|mit.ghg.tot.1</t>
        </is>
      </c>
      <c r="B2147" t="inlineStr">
        <is>
          <t>LSO</t>
        </is>
      </c>
      <c r="C2147" t="inlineStr">
        <is>
          <t>mit.ghg.tot.1</t>
        </is>
      </c>
      <c r="D2147" t="n">
        <v>6.80587711</v>
      </c>
      <c r="E2147" t="n">
        <v>6.815678516</v>
      </c>
      <c r="F2147" t="n">
        <v>6.881515515</v>
      </c>
      <c r="G2147" t="n">
        <v>7.438418894</v>
      </c>
      <c r="H2147" t="n">
        <v>8.383263694</v>
      </c>
    </row>
    <row r="2148">
      <c r="A2148" t="inlineStr">
        <is>
          <t>LTU|mit.ghg.tot.1</t>
        </is>
      </c>
      <c r="B2148" t="inlineStr">
        <is>
          <t>LTU</t>
        </is>
      </c>
      <c r="C2148" t="inlineStr">
        <is>
          <t>mit.ghg.tot.1</t>
        </is>
      </c>
      <c r="D2148" t="n">
        <v>21.85</v>
      </c>
      <c r="E2148" t="n">
        <v>21.87622313</v>
      </c>
      <c r="F2148" t="n">
        <v>21.79237166</v>
      </c>
      <c r="G2148" t="n">
        <v>20.64298728</v>
      </c>
      <c r="H2148" t="n">
        <v>19.80215254</v>
      </c>
    </row>
    <row r="2149">
      <c r="A2149" t="inlineStr">
        <is>
          <t>LUX|mit.ghg.tot.1</t>
        </is>
      </c>
      <c r="B2149" t="inlineStr">
        <is>
          <t>LUX</t>
        </is>
      </c>
      <c r="C2149" t="inlineStr">
        <is>
          <t>mit.ghg.tot.1</t>
        </is>
      </c>
      <c r="D2149" t="n">
        <v>8.861000000000001</v>
      </c>
      <c r="E2149" t="n">
        <v>8.712546575999999</v>
      </c>
      <c r="F2149" t="n">
        <v>8.155485224</v>
      </c>
      <c r="G2149" t="n">
        <v>7.310059435</v>
      </c>
      <c r="H2149" t="n">
        <v>6.927116575</v>
      </c>
    </row>
    <row r="2150">
      <c r="A2150" t="inlineStr">
        <is>
          <t>LVA|mit.ghg.tot.1</t>
        </is>
      </c>
      <c r="B2150" t="inlineStr">
        <is>
          <t>LVA</t>
        </is>
      </c>
      <c r="C2150" t="inlineStr">
        <is>
          <t>mit.ghg.tot.1</t>
        </is>
      </c>
      <c r="D2150" t="n">
        <v>12.693</v>
      </c>
      <c r="E2150" t="n">
        <v>12.69865735</v>
      </c>
      <c r="F2150" t="n">
        <v>12.65692232</v>
      </c>
      <c r="G2150" t="n">
        <v>12.3019046</v>
      </c>
      <c r="H2150" t="n">
        <v>12.16541419</v>
      </c>
    </row>
    <row r="2151">
      <c r="A2151" t="inlineStr">
        <is>
          <t>MAC|mit.ghg.tot.1</t>
        </is>
      </c>
      <c r="B2151" t="inlineStr">
        <is>
          <t>MAC</t>
        </is>
      </c>
      <c r="C2151" t="inlineStr">
        <is>
          <t>mit.ghg.tot.1</t>
        </is>
      </c>
      <c r="D2151" t="n">
        <v>2.695576093</v>
      </c>
      <c r="E2151" t="n">
        <v>2.767207857</v>
      </c>
      <c r="F2151" t="n">
        <v>2.948445862</v>
      </c>
      <c r="G2151" t="n">
        <v>3.157224139</v>
      </c>
      <c r="H2151" t="n">
        <v>3.309409069</v>
      </c>
    </row>
    <row r="2152">
      <c r="A2152" t="inlineStr">
        <is>
          <t>MAR|mit.ghg.tot.1</t>
        </is>
      </c>
      <c r="B2152" t="inlineStr">
        <is>
          <t>MAR</t>
        </is>
      </c>
      <c r="C2152" t="inlineStr">
        <is>
          <t>mit.ghg.tot.1</t>
        </is>
      </c>
      <c r="D2152" t="n">
        <v>104.079</v>
      </c>
      <c r="E2152" t="n">
        <v>105.1035942</v>
      </c>
      <c r="F2152" t="n">
        <v>109.9405443</v>
      </c>
      <c r="G2152" t="n">
        <v>117.188381</v>
      </c>
      <c r="H2152" t="n">
        <v>122.1860547</v>
      </c>
    </row>
    <row r="2153">
      <c r="A2153" t="inlineStr">
        <is>
          <t>MDA|mit.ghg.tot.1</t>
        </is>
      </c>
      <c r="B2153" t="inlineStr">
        <is>
          <t>MDA</t>
        </is>
      </c>
      <c r="C2153" t="inlineStr">
        <is>
          <t>mit.ghg.tot.1</t>
        </is>
      </c>
      <c r="D2153" t="n">
        <v>14.178</v>
      </c>
      <c r="E2153" t="n">
        <v>14.18434966</v>
      </c>
      <c r="F2153" t="n">
        <v>14.12849879</v>
      </c>
      <c r="G2153" t="n">
        <v>14.52397059</v>
      </c>
      <c r="H2153" t="n">
        <v>15.26126382</v>
      </c>
    </row>
    <row r="2154">
      <c r="A2154" t="inlineStr">
        <is>
          <t>MDG|mit.ghg.tot.1</t>
        </is>
      </c>
      <c r="B2154" t="inlineStr">
        <is>
          <t>MDG</t>
        </is>
      </c>
      <c r="C2154" t="inlineStr">
        <is>
          <t>mit.ghg.tot.1</t>
        </is>
      </c>
      <c r="D2154" t="n">
        <v>48.36041459</v>
      </c>
      <c r="E2154" t="n">
        <v>48.36078659</v>
      </c>
      <c r="F2154" t="n">
        <v>48.47759579</v>
      </c>
      <c r="G2154" t="n">
        <v>48.68829391</v>
      </c>
      <c r="H2154" t="n">
        <v>48.73755244</v>
      </c>
    </row>
    <row r="2155">
      <c r="A2155" t="inlineStr">
        <is>
          <t>MDV|mit.ghg.tot.1</t>
        </is>
      </c>
      <c r="B2155" t="inlineStr">
        <is>
          <t>MDV</t>
        </is>
      </c>
      <c r="C2155" t="inlineStr">
        <is>
          <t>mit.ghg.tot.1</t>
        </is>
      </c>
      <c r="D2155" t="n">
        <v>3.698208539</v>
      </c>
      <c r="E2155" t="n">
        <v>3.796816445</v>
      </c>
      <c r="F2155" t="n">
        <v>4.048036083</v>
      </c>
      <c r="G2155" t="n">
        <v>4.596021671</v>
      </c>
      <c r="H2155" t="n">
        <v>5.243894098</v>
      </c>
    </row>
    <row r="2156">
      <c r="A2156" t="inlineStr">
        <is>
          <t>MEX|mit.ghg.tot.1</t>
        </is>
      </c>
      <c r="B2156" t="inlineStr">
        <is>
          <t>MEX</t>
        </is>
      </c>
      <c r="C2156" t="inlineStr">
        <is>
          <t>mit.ghg.tot.1</t>
        </is>
      </c>
      <c r="D2156" t="n">
        <v>959.826</v>
      </c>
      <c r="E2156" t="n">
        <v>959.0425597</v>
      </c>
      <c r="F2156" t="n">
        <v>973.627468</v>
      </c>
      <c r="G2156" t="n">
        <v>1020.554446</v>
      </c>
      <c r="H2156" t="n">
        <v>1094.078125</v>
      </c>
    </row>
    <row r="2157">
      <c r="A2157" t="inlineStr">
        <is>
          <t>MKD|mit.ghg.tot.1</t>
        </is>
      </c>
      <c r="B2157" t="inlineStr">
        <is>
          <t>MKD</t>
        </is>
      </c>
      <c r="C2157" t="inlineStr">
        <is>
          <t>mit.ghg.tot.1</t>
        </is>
      </c>
      <c r="D2157" t="n">
        <v>12.22</v>
      </c>
      <c r="E2157" t="n">
        <v>12.23809747</v>
      </c>
      <c r="F2157" t="n">
        <v>12.16377769</v>
      </c>
      <c r="G2157" t="n">
        <v>11.67365983</v>
      </c>
      <c r="H2157" t="n">
        <v>11.25558053</v>
      </c>
    </row>
    <row r="2158">
      <c r="A2158" t="inlineStr">
        <is>
          <t>MLI|mit.ghg.tot.1</t>
        </is>
      </c>
      <c r="B2158" t="inlineStr">
        <is>
          <t>MLI</t>
        </is>
      </c>
      <c r="C2158" t="inlineStr">
        <is>
          <t>mit.ghg.tot.1</t>
        </is>
      </c>
      <c r="D2158" t="n">
        <v>55.06081625</v>
      </c>
      <c r="E2158" t="n">
        <v>55.37360119</v>
      </c>
      <c r="F2158" t="n">
        <v>57.28772137</v>
      </c>
      <c r="G2158" t="n">
        <v>61.50513724</v>
      </c>
      <c r="H2158" t="n">
        <v>66.65497136</v>
      </c>
    </row>
    <row r="2159">
      <c r="A2159" t="inlineStr">
        <is>
          <t>MLT|mit.ghg.tot.1</t>
        </is>
      </c>
      <c r="B2159" t="inlineStr">
        <is>
          <t>MLT</t>
        </is>
      </c>
      <c r="C2159" t="inlineStr">
        <is>
          <t>mit.ghg.tot.1</t>
        </is>
      </c>
      <c r="D2159" t="n">
        <v>2.658025093</v>
      </c>
      <c r="E2159" t="n">
        <v>2.686285708</v>
      </c>
      <c r="F2159" t="n">
        <v>2.770834126</v>
      </c>
      <c r="G2159" t="n">
        <v>2.708800477</v>
      </c>
      <c r="H2159" t="n">
        <v>2.569227336</v>
      </c>
    </row>
    <row r="2160">
      <c r="A2160" t="inlineStr">
        <is>
          <t>MMR|mit.ghg.tot.1</t>
        </is>
      </c>
      <c r="B2160" t="inlineStr">
        <is>
          <t>MMR</t>
        </is>
      </c>
      <c r="C2160" t="inlineStr">
        <is>
          <t>mit.ghg.tot.1</t>
        </is>
      </c>
      <c r="D2160" t="n">
        <v>310.039</v>
      </c>
      <c r="E2160" t="n">
        <v>309.3677327</v>
      </c>
      <c r="F2160" t="n">
        <v>312.0291022</v>
      </c>
      <c r="G2160" t="n">
        <v>319.5515713</v>
      </c>
      <c r="H2160" t="n">
        <v>330.3510311</v>
      </c>
    </row>
    <row r="2161">
      <c r="A2161" t="inlineStr">
        <is>
          <t>MNE|mit.ghg.tot.1</t>
        </is>
      </c>
      <c r="B2161" t="inlineStr">
        <is>
          <t>MNE</t>
        </is>
      </c>
      <c r="C2161" t="inlineStr">
        <is>
          <t>mit.ghg.tot.1</t>
        </is>
      </c>
      <c r="D2161" t="n">
        <v>2.312309182</v>
      </c>
      <c r="E2161" t="n">
        <v>2.251225198</v>
      </c>
      <c r="F2161" t="n">
        <v>1.905994516</v>
      </c>
      <c r="G2161" t="n">
        <v>1.391441343</v>
      </c>
      <c r="H2161" t="n">
        <v>1.524416997</v>
      </c>
    </row>
    <row r="2162">
      <c r="A2162" t="inlineStr">
        <is>
          <t>MNG|mit.ghg.tot.1</t>
        </is>
      </c>
      <c r="B2162" t="inlineStr">
        <is>
          <t>MNG</t>
        </is>
      </c>
      <c r="C2162" t="inlineStr">
        <is>
          <t>mit.ghg.tot.1</t>
        </is>
      </c>
      <c r="D2162" t="n">
        <v>86.509</v>
      </c>
      <c r="E2162" t="n">
        <v>87.38117927</v>
      </c>
      <c r="F2162" t="n">
        <v>90.8373169</v>
      </c>
      <c r="G2162" t="n">
        <v>98.11560068999999</v>
      </c>
      <c r="H2162" t="n">
        <v>106.5128476</v>
      </c>
    </row>
    <row r="2163">
      <c r="A2163" t="inlineStr">
        <is>
          <t>MOZ|mit.ghg.tot.1</t>
        </is>
      </c>
      <c r="B2163" t="inlineStr">
        <is>
          <t>MOZ</t>
        </is>
      </c>
      <c r="C2163" t="inlineStr">
        <is>
          <t>mit.ghg.tot.1</t>
        </is>
      </c>
      <c r="D2163" t="n">
        <v>104.042</v>
      </c>
      <c r="E2163" t="n">
        <v>103.9000395</v>
      </c>
      <c r="F2163" t="n">
        <v>103.9007941</v>
      </c>
      <c r="G2163" t="n">
        <v>104.7138133</v>
      </c>
      <c r="H2163" t="n">
        <v>106.3442585</v>
      </c>
    </row>
    <row r="2164">
      <c r="A2164" t="inlineStr">
        <is>
          <t>MRT|mit.ghg.tot.1</t>
        </is>
      </c>
      <c r="B2164" t="inlineStr">
        <is>
          <t>MRT</t>
        </is>
      </c>
      <c r="C2164" t="inlineStr">
        <is>
          <t>mit.ghg.tot.1</t>
        </is>
      </c>
      <c r="D2164" t="n">
        <v>19.12408036</v>
      </c>
      <c r="E2164" t="n">
        <v>19.26652299</v>
      </c>
      <c r="F2164" t="n">
        <v>20.06056317</v>
      </c>
      <c r="G2164" t="n">
        <v>21.83189645</v>
      </c>
      <c r="H2164" t="n">
        <v>24.03144977</v>
      </c>
    </row>
    <row r="2165">
      <c r="A2165" t="inlineStr">
        <is>
          <t>MUS|mit.ghg.tot.1</t>
        </is>
      </c>
      <c r="B2165" t="inlineStr">
        <is>
          <t>MUS</t>
        </is>
      </c>
      <c r="C2165" t="inlineStr">
        <is>
          <t>mit.ghg.tot.1</t>
        </is>
      </c>
      <c r="D2165" t="n">
        <v>6.966</v>
      </c>
      <c r="E2165" t="n">
        <v>7.046157343</v>
      </c>
      <c r="F2165" t="n">
        <v>7.514005863</v>
      </c>
      <c r="G2165" t="n">
        <v>8.496262802</v>
      </c>
      <c r="H2165" t="n">
        <v>9.613048769000001</v>
      </c>
    </row>
    <row r="2166">
      <c r="A2166" t="inlineStr">
        <is>
          <t>MWI|mit.ghg.tot.1</t>
        </is>
      </c>
      <c r="B2166" t="inlineStr">
        <is>
          <t>MWI</t>
        </is>
      </c>
      <c r="C2166" t="inlineStr">
        <is>
          <t>mit.ghg.tot.1</t>
        </is>
      </c>
      <c r="D2166" t="n">
        <v>29.604</v>
      </c>
      <c r="E2166" t="n">
        <v>29.61007241</v>
      </c>
      <c r="F2166" t="n">
        <v>29.65659979</v>
      </c>
      <c r="G2166" t="n">
        <v>29.88616774</v>
      </c>
      <c r="H2166" t="n">
        <v>30.31863308</v>
      </c>
    </row>
    <row r="2167">
      <c r="A2167" t="inlineStr">
        <is>
          <t>MYS|mit.ghg.tot.1</t>
        </is>
      </c>
      <c r="B2167" t="inlineStr">
        <is>
          <t>MYS</t>
        </is>
      </c>
      <c r="C2167" t="inlineStr">
        <is>
          <t>mit.ghg.tot.1</t>
        </is>
      </c>
      <c r="D2167" t="n">
        <v>409.34</v>
      </c>
      <c r="E2167" t="n">
        <v>416.8531009</v>
      </c>
      <c r="F2167" t="n">
        <v>450.1256695</v>
      </c>
      <c r="G2167" t="n">
        <v>505.0055879</v>
      </c>
      <c r="H2167" t="n">
        <v>555.2783406999999</v>
      </c>
    </row>
    <row r="2168">
      <c r="A2168" t="inlineStr">
        <is>
          <t>NAM|mit.ghg.tot.1</t>
        </is>
      </c>
      <c r="B2168" t="inlineStr">
        <is>
          <t>NAM</t>
        </is>
      </c>
      <c r="C2168" t="inlineStr">
        <is>
          <t>mit.ghg.tot.1</t>
        </is>
      </c>
      <c r="D2168" t="n">
        <v>23.616</v>
      </c>
      <c r="E2168" t="n">
        <v>23.64219153</v>
      </c>
      <c r="F2168" t="n">
        <v>23.76230672</v>
      </c>
      <c r="G2168" t="n">
        <v>24.07081381</v>
      </c>
      <c r="H2168" t="n">
        <v>24.55832595</v>
      </c>
    </row>
    <row r="2169">
      <c r="A2169" t="inlineStr">
        <is>
          <t>NER|mit.ghg.tot.1</t>
        </is>
      </c>
      <c r="B2169" t="inlineStr">
        <is>
          <t>NER</t>
        </is>
      </c>
      <c r="C2169" t="inlineStr">
        <is>
          <t>mit.ghg.tot.1</t>
        </is>
      </c>
      <c r="D2169" t="n">
        <v>46.64930443</v>
      </c>
      <c r="E2169" t="n">
        <v>46.79023162</v>
      </c>
      <c r="F2169" t="n">
        <v>47.51742148</v>
      </c>
      <c r="G2169" t="n">
        <v>48.97753414</v>
      </c>
      <c r="H2169" t="n">
        <v>50.61216918</v>
      </c>
    </row>
    <row r="2170">
      <c r="A2170" t="inlineStr">
        <is>
          <t>NGA|mit.ghg.tot.1</t>
        </is>
      </c>
      <c r="B2170" t="inlineStr">
        <is>
          <t>NGA</t>
        </is>
      </c>
      <c r="C2170" t="inlineStr">
        <is>
          <t>mit.ghg.tot.1</t>
        </is>
      </c>
      <c r="D2170" t="n">
        <v>468.575</v>
      </c>
      <c r="E2170" t="n">
        <v>470.0692035</v>
      </c>
      <c r="F2170" t="n">
        <v>477.4580887</v>
      </c>
      <c r="G2170" t="n">
        <v>491.0054918</v>
      </c>
      <c r="H2170" t="n">
        <v>505.3777363</v>
      </c>
    </row>
    <row r="2171">
      <c r="A2171" t="inlineStr">
        <is>
          <t>NIC|mit.ghg.tot.1</t>
        </is>
      </c>
      <c r="B2171" t="inlineStr">
        <is>
          <t>NIC</t>
        </is>
      </c>
      <c r="C2171" t="inlineStr">
        <is>
          <t>mit.ghg.tot.1</t>
        </is>
      </c>
      <c r="D2171" t="n">
        <v>41.17907489</v>
      </c>
      <c r="E2171" t="n">
        <v>41.36128476</v>
      </c>
      <c r="F2171" t="n">
        <v>42.05531492</v>
      </c>
      <c r="G2171" t="n">
        <v>43.70810113</v>
      </c>
      <c r="H2171" t="n">
        <v>45.91424376</v>
      </c>
    </row>
    <row r="2172">
      <c r="A2172" t="inlineStr">
        <is>
          <t>NLD|mit.ghg.tot.1</t>
        </is>
      </c>
      <c r="B2172" t="inlineStr">
        <is>
          <t>NLD</t>
        </is>
      </c>
      <c r="C2172" t="inlineStr">
        <is>
          <t>mit.ghg.tot.1</t>
        </is>
      </c>
      <c r="D2172" t="n">
        <v>155.8126752</v>
      </c>
      <c r="E2172" t="n">
        <v>154.9953545</v>
      </c>
      <c r="F2172" t="n">
        <v>147.899806</v>
      </c>
      <c r="G2172" t="n">
        <v>132.3626936</v>
      </c>
      <c r="H2172" t="n">
        <v>121.9199985</v>
      </c>
    </row>
    <row r="2173">
      <c r="A2173" t="inlineStr">
        <is>
          <t>NOR|mit.ghg.tot.1</t>
        </is>
      </c>
      <c r="B2173" t="inlineStr">
        <is>
          <t>NOR</t>
        </is>
      </c>
      <c r="C2173" t="inlineStr">
        <is>
          <t>mit.ghg.tot.1</t>
        </is>
      </c>
      <c r="D2173" t="n">
        <v>49.318</v>
      </c>
      <c r="E2173" t="n">
        <v>49.09332782</v>
      </c>
      <c r="F2173" t="n">
        <v>48.21308266</v>
      </c>
      <c r="G2173" t="n">
        <v>46.77109228</v>
      </c>
      <c r="H2173" t="n">
        <v>46.95162543</v>
      </c>
    </row>
    <row r="2174">
      <c r="A2174" t="inlineStr">
        <is>
          <t>NPL|mit.ghg.tot.1</t>
        </is>
      </c>
      <c r="B2174" t="inlineStr">
        <is>
          <t>NPL</t>
        </is>
      </c>
      <c r="C2174" t="inlineStr">
        <is>
          <t>mit.ghg.tot.1</t>
        </is>
      </c>
      <c r="D2174" t="n">
        <v>61.605</v>
      </c>
      <c r="E2174" t="n">
        <v>61.93926602</v>
      </c>
      <c r="F2174" t="n">
        <v>62.9170632</v>
      </c>
      <c r="G2174" t="n">
        <v>65.9810319</v>
      </c>
      <c r="H2174" t="n">
        <v>70.64224568</v>
      </c>
    </row>
    <row r="2175">
      <c r="A2175" t="inlineStr">
        <is>
          <t>NRU|mit.ghg.tot.1</t>
        </is>
      </c>
      <c r="B2175" t="inlineStr">
        <is>
          <t>NRU</t>
        </is>
      </c>
      <c r="C2175" t="inlineStr">
        <is>
          <t>mit.ghg.tot.1</t>
        </is>
      </c>
      <c r="D2175" t="n">
        <v>0.1322536747</v>
      </c>
      <c r="E2175" t="n">
        <v>0.1327842807</v>
      </c>
      <c r="F2175" t="n">
        <v>0.1354215056</v>
      </c>
      <c r="G2175" t="n">
        <v>0.1443351181</v>
      </c>
      <c r="H2175" t="n">
        <v>0.1558509359</v>
      </c>
    </row>
    <row r="2176">
      <c r="A2176" t="inlineStr">
        <is>
          <t>NZL|mit.ghg.tot.1</t>
        </is>
      </c>
      <c r="B2176" t="inlineStr">
        <is>
          <t>NZL</t>
        </is>
      </c>
      <c r="C2176" t="inlineStr">
        <is>
          <t>mit.ghg.tot.1</t>
        </is>
      </c>
      <c r="D2176" t="n">
        <v>75.34399999999999</v>
      </c>
      <c r="E2176" t="n">
        <v>74.82136066</v>
      </c>
      <c r="F2176" t="n">
        <v>73.63355905</v>
      </c>
      <c r="G2176" t="n">
        <v>69.64997937</v>
      </c>
      <c r="H2176" t="n">
        <v>67.46542435000001</v>
      </c>
    </row>
    <row r="2177">
      <c r="A2177" t="inlineStr">
        <is>
          <t>OMN|mit.ghg.tot.1</t>
        </is>
      </c>
      <c r="B2177" t="inlineStr">
        <is>
          <t>OMN</t>
        </is>
      </c>
      <c r="C2177" t="inlineStr">
        <is>
          <t>mit.ghg.tot.1</t>
        </is>
      </c>
      <c r="D2177" t="n">
        <v>145.358</v>
      </c>
      <c r="E2177" t="n">
        <v>146.0162407</v>
      </c>
      <c r="F2177" t="n">
        <v>151.6796109</v>
      </c>
      <c r="G2177" t="n">
        <v>157.4682885</v>
      </c>
      <c r="H2177" t="n">
        <v>159.8621554</v>
      </c>
    </row>
    <row r="2178">
      <c r="A2178" t="inlineStr">
        <is>
          <t>PAK|mit.ghg.tot.1</t>
        </is>
      </c>
      <c r="B2178" t="inlineStr">
        <is>
          <t>PAK</t>
        </is>
      </c>
      <c r="C2178" t="inlineStr">
        <is>
          <t>mit.ghg.tot.1</t>
        </is>
      </c>
      <c r="D2178" t="n">
        <v>546.769</v>
      </c>
      <c r="E2178" t="n">
        <v>546.3656688</v>
      </c>
      <c r="F2178" t="n">
        <v>545.8447279</v>
      </c>
      <c r="G2178" t="n">
        <v>537.5850306999999</v>
      </c>
      <c r="H2178" t="n">
        <v>548.984627</v>
      </c>
    </row>
    <row r="2179">
      <c r="A2179" t="inlineStr">
        <is>
          <t>PAN|mit.ghg.tot.1</t>
        </is>
      </c>
      <c r="B2179" t="inlineStr">
        <is>
          <t>PAN</t>
        </is>
      </c>
      <c r="C2179" t="inlineStr">
        <is>
          <t>mit.ghg.tot.1</t>
        </is>
      </c>
      <c r="D2179" t="n">
        <v>24.855</v>
      </c>
      <c r="E2179" t="n">
        <v>25.12736295</v>
      </c>
      <c r="F2179" t="n">
        <v>26.1439306</v>
      </c>
      <c r="G2179" t="n">
        <v>27.04877099</v>
      </c>
      <c r="H2179" t="n">
        <v>27.43147454</v>
      </c>
    </row>
    <row r="2180">
      <c r="A2180" t="inlineStr">
        <is>
          <t>PER|mit.ghg.tot.1</t>
        </is>
      </c>
      <c r="B2180" t="inlineStr">
        <is>
          <t>PER</t>
        </is>
      </c>
      <c r="C2180" t="inlineStr">
        <is>
          <t>mit.ghg.tot.1</t>
        </is>
      </c>
      <c r="D2180" t="n">
        <v>190.373</v>
      </c>
      <c r="E2180" t="n">
        <v>190.6970337</v>
      </c>
      <c r="F2180" t="n">
        <v>190.6685442</v>
      </c>
      <c r="G2180" t="n">
        <v>189.1723647</v>
      </c>
      <c r="H2180" t="n">
        <v>194.2965605</v>
      </c>
    </row>
    <row r="2181">
      <c r="A2181" t="inlineStr">
        <is>
          <t>PHL|mit.ghg.tot.1</t>
        </is>
      </c>
      <c r="B2181" t="inlineStr">
        <is>
          <t>PHL</t>
        </is>
      </c>
      <c r="C2181" t="inlineStr">
        <is>
          <t>mit.ghg.tot.1</t>
        </is>
      </c>
      <c r="D2181" t="n">
        <v>273.064</v>
      </c>
      <c r="E2181" t="n">
        <v>276.2791356</v>
      </c>
      <c r="F2181" t="n">
        <v>291.3605175</v>
      </c>
      <c r="G2181" t="n">
        <v>325.4979278</v>
      </c>
      <c r="H2181" t="n">
        <v>367.3237203</v>
      </c>
    </row>
    <row r="2182">
      <c r="A2182" t="inlineStr">
        <is>
          <t>PLW|mit.ghg.tot.1</t>
        </is>
      </c>
      <c r="B2182" t="inlineStr">
        <is>
          <t>PLW</t>
        </is>
      </c>
      <c r="C2182" t="inlineStr">
        <is>
          <t>mit.ghg.tot.1</t>
        </is>
      </c>
      <c r="D2182" t="n">
        <v>1.403</v>
      </c>
      <c r="E2182" t="n">
        <v>1.413477852</v>
      </c>
      <c r="F2182" t="n">
        <v>1.434585873</v>
      </c>
      <c r="G2182" t="n">
        <v>1.457841675</v>
      </c>
      <c r="H2182" t="n">
        <v>1.470343634</v>
      </c>
    </row>
    <row r="2183">
      <c r="A2183" t="inlineStr">
        <is>
          <t>PNG|mit.ghg.tot.1</t>
        </is>
      </c>
      <c r="B2183" t="inlineStr">
        <is>
          <t>PNG</t>
        </is>
      </c>
      <c r="C2183" t="inlineStr">
        <is>
          <t>mit.ghg.tot.1</t>
        </is>
      </c>
      <c r="D2183" t="n">
        <v>45.68537536</v>
      </c>
      <c r="E2183" t="n">
        <v>46.02650011</v>
      </c>
      <c r="F2183" t="n">
        <v>47.1618512</v>
      </c>
      <c r="G2183" t="n">
        <v>50.00891918</v>
      </c>
      <c r="H2183" t="n">
        <v>53.81190814</v>
      </c>
    </row>
    <row r="2184">
      <c r="A2184" t="inlineStr">
        <is>
          <t>POL|mit.ghg.tot.1</t>
        </is>
      </c>
      <c r="B2184" t="inlineStr">
        <is>
          <t>POL</t>
        </is>
      </c>
      <c r="C2184" t="inlineStr">
        <is>
          <t>mit.ghg.tot.1</t>
        </is>
      </c>
      <c r="D2184" t="n">
        <v>423.937</v>
      </c>
      <c r="E2184" t="n">
        <v>425.356505</v>
      </c>
      <c r="F2184" t="n">
        <v>425.2729121</v>
      </c>
      <c r="G2184" t="n">
        <v>395.5504181</v>
      </c>
      <c r="H2184" t="n">
        <v>346.6946663</v>
      </c>
    </row>
    <row r="2185">
      <c r="A2185" t="inlineStr">
        <is>
          <t>PRI|mit.ghg.tot.1</t>
        </is>
      </c>
      <c r="B2185" t="inlineStr">
        <is>
          <t>PRI</t>
        </is>
      </c>
      <c r="C2185" t="inlineStr">
        <is>
          <t>mit.ghg.tot.1</t>
        </is>
      </c>
      <c r="D2185" t="n">
        <v>16.167</v>
      </c>
      <c r="E2185" t="n">
        <v>16.01574613</v>
      </c>
      <c r="F2185" t="n">
        <v>15.53143129</v>
      </c>
      <c r="G2185" t="n">
        <v>15.01191161</v>
      </c>
      <c r="H2185" t="n">
        <v>14.90706242</v>
      </c>
    </row>
    <row r="2186">
      <c r="A2186" t="inlineStr">
        <is>
          <t>PRT|mit.ghg.tot.1</t>
        </is>
      </c>
      <c r="B2186" t="inlineStr">
        <is>
          <t>PRT</t>
        </is>
      </c>
      <c r="C2186" t="inlineStr">
        <is>
          <t>mit.ghg.tot.1</t>
        </is>
      </c>
      <c r="D2186" t="n">
        <v>62.361</v>
      </c>
      <c r="E2186" t="n">
        <v>61.8791347</v>
      </c>
      <c r="F2186" t="n">
        <v>58.9002907</v>
      </c>
      <c r="G2186" t="n">
        <v>54.39446755</v>
      </c>
      <c r="H2186" t="n">
        <v>53.26519254</v>
      </c>
    </row>
    <row r="2187">
      <c r="A2187" t="inlineStr">
        <is>
          <t>PRY|mit.ghg.tot.1</t>
        </is>
      </c>
      <c r="B2187" t="inlineStr">
        <is>
          <t>PRY</t>
        </is>
      </c>
      <c r="C2187" t="inlineStr">
        <is>
          <t>mit.ghg.tot.1</t>
        </is>
      </c>
      <c r="D2187" t="n">
        <v>100.565</v>
      </c>
      <c r="E2187" t="n">
        <v>101.0951512</v>
      </c>
      <c r="F2187" t="n">
        <v>102.721199</v>
      </c>
      <c r="G2187" t="n">
        <v>105.4510865</v>
      </c>
      <c r="H2187" t="n">
        <v>108.396801</v>
      </c>
    </row>
    <row r="2188">
      <c r="A2188" t="inlineStr">
        <is>
          <t>QAT|mit.ghg.tot.1</t>
        </is>
      </c>
      <c r="B2188" t="inlineStr">
        <is>
          <t>QAT</t>
        </is>
      </c>
      <c r="C2188" t="inlineStr">
        <is>
          <t>mit.ghg.tot.1</t>
        </is>
      </c>
      <c r="D2188" t="n">
        <v>208.241</v>
      </c>
      <c r="E2188" t="n">
        <v>209.3807221</v>
      </c>
      <c r="F2188" t="n">
        <v>181.5398259</v>
      </c>
      <c r="G2188" t="n">
        <v>167.2608708</v>
      </c>
      <c r="H2188" t="n">
        <v>167.7921542</v>
      </c>
    </row>
    <row r="2189">
      <c r="A2189" t="inlineStr">
        <is>
          <t>ROU|mit.ghg.tot.1</t>
        </is>
      </c>
      <c r="B2189" t="inlineStr">
        <is>
          <t>ROU</t>
        </is>
      </c>
      <c r="C2189" t="inlineStr">
        <is>
          <t>mit.ghg.tot.1</t>
        </is>
      </c>
      <c r="D2189" t="n">
        <v>130.282</v>
      </c>
      <c r="E2189" t="n">
        <v>129.5147312</v>
      </c>
      <c r="F2189" t="n">
        <v>126.3724047</v>
      </c>
      <c r="G2189" t="n">
        <v>125.081277</v>
      </c>
      <c r="H2189" t="n">
        <v>128.4532383</v>
      </c>
    </row>
    <row r="2190">
      <c r="A2190" t="inlineStr">
        <is>
          <t>RUS|mit.ghg.tot.1</t>
        </is>
      </c>
      <c r="B2190" t="inlineStr">
        <is>
          <t>RUS</t>
        </is>
      </c>
      <c r="C2190" t="inlineStr">
        <is>
          <t>mit.ghg.tot.1</t>
        </is>
      </c>
      <c r="D2190" t="n">
        <v>2446.295</v>
      </c>
      <c r="E2190" t="n">
        <v>2447.415624</v>
      </c>
      <c r="F2190" t="n">
        <v>2477.34776</v>
      </c>
      <c r="G2190" t="n">
        <v>2666.22955</v>
      </c>
      <c r="H2190" t="n">
        <v>2982.94315</v>
      </c>
    </row>
    <row r="2191">
      <c r="A2191" t="inlineStr">
        <is>
          <t>RWA|mit.ghg.tot.1</t>
        </is>
      </c>
      <c r="B2191" t="inlineStr">
        <is>
          <t>RWA</t>
        </is>
      </c>
      <c r="C2191" t="inlineStr">
        <is>
          <t>mit.ghg.tot.1</t>
        </is>
      </c>
      <c r="D2191" t="n">
        <v>10.949</v>
      </c>
      <c r="E2191" t="n">
        <v>11.01757066</v>
      </c>
      <c r="F2191" t="n">
        <v>11.39355707</v>
      </c>
      <c r="G2191" t="n">
        <v>12.11678447</v>
      </c>
      <c r="H2191" t="n">
        <v>12.9095127</v>
      </c>
    </row>
    <row r="2192">
      <c r="A2192" t="inlineStr">
        <is>
          <t>SAU|mit.ghg.tot.1</t>
        </is>
      </c>
      <c r="B2192" t="inlineStr">
        <is>
          <t>SAU</t>
        </is>
      </c>
      <c r="C2192" t="inlineStr">
        <is>
          <t>mit.ghg.tot.1</t>
        </is>
      </c>
      <c r="D2192" t="n">
        <v>802.3437108000001</v>
      </c>
      <c r="E2192" t="n">
        <v>817.7581426</v>
      </c>
      <c r="F2192" t="n">
        <v>859.4209502</v>
      </c>
      <c r="G2192" t="n">
        <v>893.649142</v>
      </c>
      <c r="H2192" t="n">
        <v>900.1607301</v>
      </c>
    </row>
    <row r="2193">
      <c r="A2193" t="inlineStr">
        <is>
          <t>SDN|mit.ghg.tot.1</t>
        </is>
      </c>
      <c r="B2193" t="inlineStr">
        <is>
          <t>SDN</t>
        </is>
      </c>
      <c r="C2193" t="inlineStr">
        <is>
          <t>mit.ghg.tot.1</t>
        </is>
      </c>
      <c r="D2193" t="n">
        <v>163.544</v>
      </c>
      <c r="E2193" t="n">
        <v>163.5556542</v>
      </c>
      <c r="F2193" t="n">
        <v>162.0411294</v>
      </c>
      <c r="G2193" t="n">
        <v>162.2644592</v>
      </c>
      <c r="H2193" t="n">
        <v>165.7350824</v>
      </c>
    </row>
    <row r="2194">
      <c r="A2194" t="inlineStr">
        <is>
          <t>SEN|mit.ghg.tot.1</t>
        </is>
      </c>
      <c r="B2194" t="inlineStr">
        <is>
          <t>SEN</t>
        </is>
      </c>
      <c r="C2194" t="inlineStr">
        <is>
          <t>mit.ghg.tot.1</t>
        </is>
      </c>
      <c r="D2194" t="n">
        <v>36.347</v>
      </c>
      <c r="E2194" t="n">
        <v>36.92880084</v>
      </c>
      <c r="F2194" t="n">
        <v>37.59137846</v>
      </c>
      <c r="G2194" t="n">
        <v>40.35980808</v>
      </c>
      <c r="H2194" t="n">
        <v>44.85916562</v>
      </c>
    </row>
    <row r="2195">
      <c r="A2195" t="inlineStr">
        <is>
          <t>SGP|mit.ghg.tot.1</t>
        </is>
      </c>
      <c r="B2195" t="inlineStr">
        <is>
          <t>SGP</t>
        </is>
      </c>
      <c r="C2195" t="inlineStr">
        <is>
          <t>mit.ghg.tot.1</t>
        </is>
      </c>
      <c r="D2195" t="n">
        <v>74.42100000000001</v>
      </c>
      <c r="E2195" t="n">
        <v>75.81341012</v>
      </c>
      <c r="F2195" t="n">
        <v>79.65724781</v>
      </c>
      <c r="G2195" t="n">
        <v>83.31773094</v>
      </c>
      <c r="H2195" t="n">
        <v>84.86861005999999</v>
      </c>
    </row>
    <row r="2196">
      <c r="A2196" t="inlineStr">
        <is>
          <t>SLB|mit.ghg.tot.1</t>
        </is>
      </c>
      <c r="B2196" t="inlineStr">
        <is>
          <t>SLB</t>
        </is>
      </c>
      <c r="C2196" t="inlineStr">
        <is>
          <t>mit.ghg.tot.1</t>
        </is>
      </c>
      <c r="D2196" t="n">
        <v>43.8209287</v>
      </c>
      <c r="E2196" t="n">
        <v>43.8235159</v>
      </c>
      <c r="F2196" t="n">
        <v>43.83955963</v>
      </c>
      <c r="G2196" t="n">
        <v>43.88777215</v>
      </c>
      <c r="H2196" t="n">
        <v>43.95240905</v>
      </c>
    </row>
    <row r="2197">
      <c r="A2197" t="inlineStr">
        <is>
          <t>SLE|mit.ghg.tot.1</t>
        </is>
      </c>
      <c r="B2197" t="inlineStr">
        <is>
          <t>SLE</t>
        </is>
      </c>
      <c r="C2197" t="inlineStr">
        <is>
          <t>mit.ghg.tot.1</t>
        </is>
      </c>
      <c r="D2197" t="n">
        <v>10.8624691</v>
      </c>
      <c r="E2197" t="n">
        <v>10.89662896</v>
      </c>
      <c r="F2197" t="n">
        <v>11.08294752</v>
      </c>
      <c r="G2197" t="n">
        <v>11.5118704</v>
      </c>
      <c r="H2197" t="n">
        <v>12.09699411</v>
      </c>
    </row>
    <row r="2198">
      <c r="A2198" t="inlineStr">
        <is>
          <t>SLV|mit.ghg.tot.1</t>
        </is>
      </c>
      <c r="B2198" t="inlineStr">
        <is>
          <t>SLV</t>
        </is>
      </c>
      <c r="C2198" t="inlineStr">
        <is>
          <t>mit.ghg.tot.1</t>
        </is>
      </c>
      <c r="D2198" t="n">
        <v>15.819</v>
      </c>
      <c r="E2198" t="n">
        <v>15.97804625</v>
      </c>
      <c r="F2198" t="n">
        <v>16.66889447</v>
      </c>
      <c r="G2198" t="n">
        <v>18.44384528</v>
      </c>
      <c r="H2198" t="n">
        <v>20.9960297</v>
      </c>
    </row>
    <row r="2199">
      <c r="A2199" t="inlineStr">
        <is>
          <t>SOM|mit.ghg.tot.1</t>
        </is>
      </c>
      <c r="B2199" t="inlineStr">
        <is>
          <t>SOM</t>
        </is>
      </c>
      <c r="C2199" t="inlineStr">
        <is>
          <t>mit.ghg.tot.1</t>
        </is>
      </c>
      <c r="D2199" t="n">
        <v>52.5809922</v>
      </c>
      <c r="E2199" t="n">
        <v>52.59466919</v>
      </c>
      <c r="F2199" t="n">
        <v>52.65293835</v>
      </c>
      <c r="G2199" t="n">
        <v>52.88065635</v>
      </c>
      <c r="H2199" t="n">
        <v>53.22061031</v>
      </c>
    </row>
    <row r="2200">
      <c r="A2200" t="inlineStr">
        <is>
          <t>SRB|mit.ghg.tot.1</t>
        </is>
      </c>
      <c r="B2200" t="inlineStr">
        <is>
          <t>SRB</t>
        </is>
      </c>
      <c r="C2200" t="inlineStr">
        <is>
          <t>mit.ghg.tot.1</t>
        </is>
      </c>
      <c r="D2200" t="n">
        <v>68.85299999999999</v>
      </c>
      <c r="E2200" t="n">
        <v>69.15326641999999</v>
      </c>
      <c r="F2200" t="n">
        <v>71.89465296</v>
      </c>
      <c r="G2200" t="n">
        <v>78.32094279</v>
      </c>
      <c r="H2200" t="n">
        <v>86.31968377</v>
      </c>
    </row>
    <row r="2201">
      <c r="A2201" t="inlineStr">
        <is>
          <t>STP|mit.ghg.tot.1</t>
        </is>
      </c>
      <c r="B2201" t="inlineStr">
        <is>
          <t>STP</t>
        </is>
      </c>
      <c r="C2201" t="inlineStr">
        <is>
          <t>mit.ghg.tot.1</t>
        </is>
      </c>
      <c r="D2201" t="n">
        <v>0.5059478358</v>
      </c>
      <c r="E2201" t="n">
        <v>0.5080012524</v>
      </c>
      <c r="F2201" t="n">
        <v>0.526403625</v>
      </c>
      <c r="G2201" t="n">
        <v>0.5743494569000001</v>
      </c>
      <c r="H2201" t="n">
        <v>0.6374312492</v>
      </c>
    </row>
    <row r="2202">
      <c r="A2202" t="inlineStr">
        <is>
          <t>SUR|mit.ghg.tot.1</t>
        </is>
      </c>
      <c r="B2202" t="inlineStr">
        <is>
          <t>SUR</t>
        </is>
      </c>
      <c r="C2202" t="inlineStr">
        <is>
          <t>mit.ghg.tot.1</t>
        </is>
      </c>
      <c r="D2202" t="n">
        <v>13.78730397</v>
      </c>
      <c r="E2202" t="n">
        <v>13.78351211</v>
      </c>
      <c r="F2202" t="n">
        <v>14.09785959</v>
      </c>
      <c r="G2202" t="n">
        <v>14.59544979</v>
      </c>
      <c r="H2202" t="n">
        <v>15.01288201</v>
      </c>
    </row>
    <row r="2203">
      <c r="A2203" t="inlineStr">
        <is>
          <t>SVK|mit.ghg.tot.1</t>
        </is>
      </c>
      <c r="B2203" t="inlineStr">
        <is>
          <t>SVK</t>
        </is>
      </c>
      <c r="C2203" t="inlineStr">
        <is>
          <t>mit.ghg.tot.1</t>
        </is>
      </c>
      <c r="D2203" t="n">
        <v>44.904</v>
      </c>
      <c r="E2203" t="n">
        <v>44.5846277</v>
      </c>
      <c r="F2203" t="n">
        <v>42.74429418</v>
      </c>
      <c r="G2203" t="n">
        <v>39.84123246</v>
      </c>
      <c r="H2203" t="n">
        <v>39.42510192</v>
      </c>
    </row>
    <row r="2204">
      <c r="A2204" t="inlineStr">
        <is>
          <t>SVN|mit.ghg.tot.1</t>
        </is>
      </c>
      <c r="B2204" t="inlineStr">
        <is>
          <t>SVN</t>
        </is>
      </c>
      <c r="C2204" t="inlineStr">
        <is>
          <t>mit.ghg.tot.1</t>
        </is>
      </c>
      <c r="D2204" t="n">
        <v>16.534</v>
      </c>
      <c r="E2204" t="n">
        <v>16.22567054</v>
      </c>
      <c r="F2204" t="n">
        <v>14.81840022</v>
      </c>
      <c r="G2204" t="n">
        <v>12.62240458</v>
      </c>
      <c r="H2204" t="n">
        <v>12.18360139</v>
      </c>
    </row>
    <row r="2205">
      <c r="A2205" t="inlineStr">
        <is>
          <t>SWE|mit.ghg.tot.1</t>
        </is>
      </c>
      <c r="B2205" t="inlineStr">
        <is>
          <t>SWE</t>
        </is>
      </c>
      <c r="C2205" t="inlineStr">
        <is>
          <t>mit.ghg.tot.1</t>
        </is>
      </c>
      <c r="D2205" t="n">
        <v>44.434</v>
      </c>
      <c r="E2205" t="n">
        <v>44.14128374</v>
      </c>
      <c r="F2205" t="n">
        <v>42.61908574</v>
      </c>
      <c r="G2205" t="n">
        <v>39.80847645</v>
      </c>
      <c r="H2205" t="n">
        <v>39.08161937</v>
      </c>
    </row>
    <row r="2206">
      <c r="A2206" t="inlineStr">
        <is>
          <t>SWZ|mit.ghg.tot.1</t>
        </is>
      </c>
      <c r="B2206" t="inlineStr">
        <is>
          <t>SWZ</t>
        </is>
      </c>
      <c r="C2206" t="inlineStr">
        <is>
          <t>mit.ghg.tot.1</t>
        </is>
      </c>
      <c r="D2206" t="n">
        <v>3.409</v>
      </c>
      <c r="E2206" t="n">
        <v>3.419120266</v>
      </c>
      <c r="F2206" t="n">
        <v>3.476790506</v>
      </c>
      <c r="G2206" t="n">
        <v>3.573932567</v>
      </c>
      <c r="H2206" t="n">
        <v>3.7625777</v>
      </c>
    </row>
    <row r="2207">
      <c r="A2207" t="inlineStr">
        <is>
          <t>SYC|mit.ghg.tot.1</t>
        </is>
      </c>
      <c r="B2207" t="inlineStr">
        <is>
          <t>SYC</t>
        </is>
      </c>
      <c r="C2207" t="inlineStr">
        <is>
          <t>mit.ghg.tot.1</t>
        </is>
      </c>
      <c r="D2207" t="n">
        <v>1.166298929</v>
      </c>
      <c r="E2207" t="n">
        <v>1.196755156</v>
      </c>
      <c r="F2207" t="n">
        <v>1.205034821</v>
      </c>
      <c r="G2207" t="n">
        <v>1.217134638</v>
      </c>
      <c r="H2207" t="n">
        <v>1.22646903</v>
      </c>
    </row>
    <row r="2208">
      <c r="A2208" t="inlineStr">
        <is>
          <t>SYR|mit.ghg.tot.1</t>
        </is>
      </c>
      <c r="B2208" t="inlineStr">
        <is>
          <t>SYR</t>
        </is>
      </c>
      <c r="C2208" t="inlineStr">
        <is>
          <t>mit.ghg.tot.1</t>
        </is>
      </c>
      <c r="D2208" t="n">
        <v>54.06021131</v>
      </c>
      <c r="E2208" t="n">
        <v>54.60367361</v>
      </c>
      <c r="F2208" t="n">
        <v>57.73584363</v>
      </c>
      <c r="G2208" t="n">
        <v>67.61038293999999</v>
      </c>
      <c r="H2208" t="n">
        <v>82.56666628000001</v>
      </c>
    </row>
    <row r="2209">
      <c r="A2209" t="inlineStr">
        <is>
          <t>TCD|mit.ghg.tot.1</t>
        </is>
      </c>
      <c r="B2209" t="inlineStr">
        <is>
          <t>TCD</t>
        </is>
      </c>
      <c r="C2209" t="inlineStr">
        <is>
          <t>mit.ghg.tot.1</t>
        </is>
      </c>
      <c r="D2209" t="n">
        <v>116.6412521</v>
      </c>
      <c r="E2209" t="n">
        <v>116.7193328</v>
      </c>
      <c r="F2209" t="n">
        <v>117.1077679</v>
      </c>
      <c r="G2209" t="n">
        <v>117.9977121</v>
      </c>
      <c r="H2209" t="n">
        <v>119.1152526</v>
      </c>
    </row>
    <row r="2210">
      <c r="A2210" t="inlineStr">
        <is>
          <t>TGO|mit.ghg.tot.1</t>
        </is>
      </c>
      <c r="B2210" t="inlineStr">
        <is>
          <t>TGO</t>
        </is>
      </c>
      <c r="C2210" t="inlineStr">
        <is>
          <t>mit.ghg.tot.1</t>
        </is>
      </c>
      <c r="D2210" t="n">
        <v>12.213</v>
      </c>
      <c r="E2210" t="n">
        <v>12.27001173</v>
      </c>
      <c r="F2210" t="n">
        <v>12.46943236</v>
      </c>
      <c r="G2210" t="n">
        <v>12.77024146</v>
      </c>
      <c r="H2210" t="n">
        <v>12.99440461</v>
      </c>
    </row>
    <row r="2211">
      <c r="A2211" t="inlineStr">
        <is>
          <t>THA|mit.ghg.tot.1</t>
        </is>
      </c>
      <c r="B2211" t="inlineStr">
        <is>
          <t>THA</t>
        </is>
      </c>
      <c r="C2211" t="inlineStr">
        <is>
          <t>mit.ghg.tot.1</t>
        </is>
      </c>
      <c r="D2211" t="n">
        <v>490.432</v>
      </c>
      <c r="E2211" t="n">
        <v>492.7061511</v>
      </c>
      <c r="F2211" t="n">
        <v>497.4463856</v>
      </c>
      <c r="G2211" t="n">
        <v>522.4553505</v>
      </c>
      <c r="H2211" t="n">
        <v>563.0952377999999</v>
      </c>
    </row>
    <row r="2212">
      <c r="A2212" t="inlineStr">
        <is>
          <t>TJK|mit.ghg.tot.1</t>
        </is>
      </c>
      <c r="B2212" t="inlineStr">
        <is>
          <t>TJK</t>
        </is>
      </c>
      <c r="C2212" t="inlineStr">
        <is>
          <t>mit.ghg.tot.1</t>
        </is>
      </c>
      <c r="D2212" t="n">
        <v>23.055</v>
      </c>
      <c r="E2212" t="n">
        <v>23.98064578</v>
      </c>
      <c r="F2212" t="n">
        <v>25.02923735</v>
      </c>
      <c r="G2212" t="n">
        <v>25.77794678</v>
      </c>
      <c r="H2212" t="n">
        <v>27.70991848</v>
      </c>
    </row>
    <row r="2213">
      <c r="A2213" t="inlineStr">
        <is>
          <t>TKM|mit.ghg.tot.1</t>
        </is>
      </c>
      <c r="B2213" t="inlineStr">
        <is>
          <t>TKM</t>
        </is>
      </c>
      <c r="C2213" t="inlineStr">
        <is>
          <t>mit.ghg.tot.1</t>
        </is>
      </c>
      <c r="D2213" t="n">
        <v>146.0996213</v>
      </c>
      <c r="E2213" t="n">
        <v>147.4062794</v>
      </c>
      <c r="F2213" t="n">
        <v>151.5449997</v>
      </c>
      <c r="G2213" t="n">
        <v>162.379337</v>
      </c>
      <c r="H2213" t="n">
        <v>176.5389364</v>
      </c>
    </row>
    <row r="2214">
      <c r="A2214" t="inlineStr">
        <is>
          <t>TLS|mit.ghg.tot.1</t>
        </is>
      </c>
      <c r="B2214" t="inlineStr">
        <is>
          <t>TLS</t>
        </is>
      </c>
      <c r="C2214" t="inlineStr">
        <is>
          <t>mit.ghg.tot.1</t>
        </is>
      </c>
      <c r="D2214" t="n">
        <v>3.911940454</v>
      </c>
      <c r="E2214" t="n">
        <v>3.952319824</v>
      </c>
      <c r="F2214" t="n">
        <v>4.143937356</v>
      </c>
      <c r="G2214" t="n">
        <v>4.594407556</v>
      </c>
      <c r="H2214" t="n">
        <v>5.170936292</v>
      </c>
    </row>
    <row r="2215">
      <c r="A2215" t="inlineStr">
        <is>
          <t>TON|mit.ghg.tot.1</t>
        </is>
      </c>
      <c r="B2215" t="inlineStr">
        <is>
          <t>TON</t>
        </is>
      </c>
      <c r="C2215" t="inlineStr">
        <is>
          <t>mit.ghg.tot.1</t>
        </is>
      </c>
      <c r="D2215" t="n">
        <v>0.3171025297</v>
      </c>
      <c r="E2215" t="n">
        <v>0.3195010432</v>
      </c>
      <c r="F2215" t="n">
        <v>0.3288242084</v>
      </c>
      <c r="G2215" t="n">
        <v>0.3545333797</v>
      </c>
      <c r="H2215" t="n">
        <v>0.3894777422</v>
      </c>
    </row>
    <row r="2216">
      <c r="A2216" t="inlineStr">
        <is>
          <t>TTO|mit.ghg.tot.1</t>
        </is>
      </c>
      <c r="B2216" t="inlineStr">
        <is>
          <t>TTO</t>
        </is>
      </c>
      <c r="C2216" t="inlineStr">
        <is>
          <t>mit.ghg.tot.1</t>
        </is>
      </c>
      <c r="D2216" t="n">
        <v>45.816</v>
      </c>
      <c r="E2216" t="n">
        <v>45.79770784</v>
      </c>
      <c r="F2216" t="n">
        <v>45.74598897</v>
      </c>
      <c r="G2216" t="n">
        <v>46.05357542</v>
      </c>
      <c r="H2216" t="n">
        <v>46.67701537</v>
      </c>
    </row>
    <row r="2217">
      <c r="A2217" t="inlineStr">
        <is>
          <t>TUN|mit.ghg.tot.1</t>
        </is>
      </c>
      <c r="B2217" t="inlineStr">
        <is>
          <t>TUN</t>
        </is>
      </c>
      <c r="C2217" t="inlineStr">
        <is>
          <t>mit.ghg.tot.1</t>
        </is>
      </c>
      <c r="D2217" t="n">
        <v>50.973</v>
      </c>
      <c r="E2217" t="n">
        <v>51.23420618</v>
      </c>
      <c r="F2217" t="n">
        <v>52.42891154</v>
      </c>
      <c r="G2217" t="n">
        <v>57.32108196</v>
      </c>
      <c r="H2217" t="n">
        <v>65.13876195</v>
      </c>
    </row>
    <row r="2218">
      <c r="A2218" t="inlineStr">
        <is>
          <t>TUR|mit.ghg.tot.1</t>
        </is>
      </c>
      <c r="B2218" t="inlineStr">
        <is>
          <t>TUR</t>
        </is>
      </c>
      <c r="C2218" t="inlineStr">
        <is>
          <t>mit.ghg.tot.1</t>
        </is>
      </c>
      <c r="D2218" t="n">
        <v>693.478</v>
      </c>
      <c r="E2218" t="n">
        <v>701.6234317</v>
      </c>
      <c r="F2218" t="n">
        <v>738.5996833</v>
      </c>
      <c r="G2218" t="n">
        <v>796.9795501999999</v>
      </c>
      <c r="H2218" t="n">
        <v>858.0279451</v>
      </c>
    </row>
    <row r="2219">
      <c r="A2219" t="inlineStr">
        <is>
          <t>TZA|mit.ghg.tot.1</t>
        </is>
      </c>
      <c r="B2219" t="inlineStr">
        <is>
          <t>TZA</t>
        </is>
      </c>
      <c r="C2219" t="inlineStr">
        <is>
          <t>mit.ghg.tot.1</t>
        </is>
      </c>
      <c r="D2219" t="n">
        <v>159.4499658</v>
      </c>
      <c r="E2219" t="n">
        <v>159.9741897</v>
      </c>
      <c r="F2219" t="n">
        <v>162.6915093</v>
      </c>
      <c r="G2219" t="n">
        <v>168.0181604</v>
      </c>
      <c r="H2219" t="n">
        <v>174.2727535</v>
      </c>
    </row>
    <row r="2220">
      <c r="A2220" t="inlineStr">
        <is>
          <t>UGA|mit.ghg.tot.1</t>
        </is>
      </c>
      <c r="B2220" t="inlineStr">
        <is>
          <t>UGA</t>
        </is>
      </c>
      <c r="C2220" t="inlineStr">
        <is>
          <t>mit.ghg.tot.1</t>
        </is>
      </c>
      <c r="D2220" t="n">
        <v>72.345</v>
      </c>
      <c r="E2220" t="n">
        <v>72.58686575</v>
      </c>
      <c r="F2220" t="n">
        <v>73.99455331999999</v>
      </c>
      <c r="G2220" t="n">
        <v>76.46728046</v>
      </c>
      <c r="H2220" t="n">
        <v>79.11079918999999</v>
      </c>
    </row>
    <row r="2221">
      <c r="A2221" t="inlineStr">
        <is>
          <t>UKR|mit.ghg.tot.1</t>
        </is>
      </c>
      <c r="B2221" t="inlineStr">
        <is>
          <t>UKR</t>
        </is>
      </c>
      <c r="C2221" t="inlineStr">
        <is>
          <t>mit.ghg.tot.1</t>
        </is>
      </c>
      <c r="D2221" t="n">
        <v>266.91</v>
      </c>
      <c r="E2221" t="n">
        <v>265.9970265</v>
      </c>
      <c r="F2221" t="n">
        <v>262.6658101</v>
      </c>
      <c r="G2221" t="n">
        <v>264.1646635</v>
      </c>
      <c r="H2221" t="n">
        <v>286.4603458</v>
      </c>
    </row>
    <row r="2222">
      <c r="A2222" t="inlineStr">
        <is>
          <t>URY|mit.ghg.tot.1</t>
        </is>
      </c>
      <c r="B2222" t="inlineStr">
        <is>
          <t>URY</t>
        </is>
      </c>
      <c r="C2222" t="inlineStr">
        <is>
          <t>mit.ghg.tot.1</t>
        </is>
      </c>
      <c r="D2222" t="n">
        <v>42.335</v>
      </c>
      <c r="E2222" t="n">
        <v>42.16504217</v>
      </c>
      <c r="F2222" t="n">
        <v>42.22936238</v>
      </c>
      <c r="G2222" t="n">
        <v>42.25123418</v>
      </c>
      <c r="H2222" t="n">
        <v>42.36973285</v>
      </c>
    </row>
    <row r="2223">
      <c r="A2223" t="inlineStr">
        <is>
          <t>USA|mit.ghg.tot.1</t>
        </is>
      </c>
      <c r="B2223" t="inlineStr">
        <is>
          <t>USA</t>
        </is>
      </c>
      <c r="C2223" t="inlineStr">
        <is>
          <t>mit.ghg.tot.1</t>
        </is>
      </c>
      <c r="D2223" t="n">
        <v>6817.344</v>
      </c>
      <c r="E2223" t="n">
        <v>6816.153842</v>
      </c>
      <c r="F2223" t="n">
        <v>6790.302594</v>
      </c>
      <c r="G2223" t="n">
        <v>6468.845112</v>
      </c>
      <c r="H2223" t="n">
        <v>6129.679356</v>
      </c>
    </row>
    <row r="2224">
      <c r="A2224" t="inlineStr">
        <is>
          <t>UZB|mit.ghg.tot.1</t>
        </is>
      </c>
      <c r="B2224" t="inlineStr">
        <is>
          <t>UZB</t>
        </is>
      </c>
      <c r="C2224" t="inlineStr">
        <is>
          <t>mit.ghg.tot.1</t>
        </is>
      </c>
      <c r="D2224" t="n">
        <v>243.852</v>
      </c>
      <c r="E2224" t="n">
        <v>247.8618577</v>
      </c>
      <c r="F2224" t="n">
        <v>263.4415696</v>
      </c>
      <c r="G2224" t="n">
        <v>286.5651648</v>
      </c>
      <c r="H2224" t="n">
        <v>302.7189825</v>
      </c>
    </row>
    <row r="2225">
      <c r="A2225" t="inlineStr">
        <is>
          <t>VCT|mit.ghg.tot.1</t>
        </is>
      </c>
      <c r="B2225" t="inlineStr">
        <is>
          <t>VCT</t>
        </is>
      </c>
      <c r="C2225" t="inlineStr">
        <is>
          <t>mit.ghg.tot.1</t>
        </is>
      </c>
      <c r="D2225" t="n">
        <v>0.4194399267</v>
      </c>
      <c r="E2225" t="n">
        <v>0.4259068518</v>
      </c>
      <c r="F2225" t="n">
        <v>0.4542925996</v>
      </c>
      <c r="G2225" t="n">
        <v>0.5179207854</v>
      </c>
      <c r="H2225" t="n">
        <v>0.5945359404</v>
      </c>
    </row>
    <row r="2226">
      <c r="A2226" t="inlineStr">
        <is>
          <t>VEN|mit.ghg.tot.1</t>
        </is>
      </c>
      <c r="B2226" t="inlineStr">
        <is>
          <t>VEN</t>
        </is>
      </c>
      <c r="C2226" t="inlineStr">
        <is>
          <t>mit.ghg.tot.1</t>
        </is>
      </c>
      <c r="D2226" t="n">
        <v>227.448</v>
      </c>
      <c r="E2226" t="n">
        <v>226.4041611</v>
      </c>
      <c r="F2226" t="n">
        <v>226.7892817</v>
      </c>
      <c r="G2226" t="n">
        <v>234.9125369</v>
      </c>
      <c r="H2226" t="n">
        <v>243.6507173</v>
      </c>
    </row>
    <row r="2227">
      <c r="A2227" t="inlineStr">
        <is>
          <t>VNM|mit.ghg.tot.1</t>
        </is>
      </c>
      <c r="B2227" t="inlineStr">
        <is>
          <t>VNM</t>
        </is>
      </c>
      <c r="C2227" t="inlineStr">
        <is>
          <t>mit.ghg.tot.1</t>
        </is>
      </c>
      <c r="D2227" t="n">
        <v>455.866</v>
      </c>
      <c r="E2227" t="n">
        <v>468.4894615</v>
      </c>
      <c r="F2227" t="n">
        <v>527.73026</v>
      </c>
      <c r="G2227" t="n">
        <v>625.2508903</v>
      </c>
      <c r="H2227" t="n">
        <v>723.1046096</v>
      </c>
    </row>
    <row r="2228">
      <c r="A2228" t="inlineStr">
        <is>
          <t>VUT|mit.ghg.tot.1</t>
        </is>
      </c>
      <c r="B2228" t="inlineStr">
        <is>
          <t>VUT</t>
        </is>
      </c>
      <c r="C2228" t="inlineStr">
        <is>
          <t>mit.ghg.tot.1</t>
        </is>
      </c>
      <c r="D2228" t="n">
        <v>0.7110104639</v>
      </c>
      <c r="E2228" t="n">
        <v>0.7142662748</v>
      </c>
      <c r="F2228" t="n">
        <v>0.7360889373</v>
      </c>
      <c r="G2228" t="n">
        <v>0.7903182884</v>
      </c>
      <c r="H2228" t="n">
        <v>0.8630143743000001</v>
      </c>
    </row>
    <row r="2229">
      <c r="A2229" t="inlineStr">
        <is>
          <t>WSM|mit.ghg.tot.1</t>
        </is>
      </c>
      <c r="B2229" t="inlineStr">
        <is>
          <t>WSM</t>
        </is>
      </c>
      <c r="C2229" t="inlineStr">
        <is>
          <t>mit.ghg.tot.1</t>
        </is>
      </c>
      <c r="D2229" t="n">
        <v>0.6860000000000001</v>
      </c>
      <c r="E2229" t="n">
        <v>0.6941454097999999</v>
      </c>
      <c r="F2229" t="n">
        <v>0.7221018318</v>
      </c>
      <c r="G2229" t="n">
        <v>0.7798117189</v>
      </c>
      <c r="H2229" t="n">
        <v>0.8489696493</v>
      </c>
    </row>
    <row r="2230">
      <c r="A2230" t="inlineStr">
        <is>
          <t>XKX|mit.ghg.tot.1</t>
        </is>
      </c>
      <c r="B2230" t="inlineStr">
        <is>
          <t>XKX</t>
        </is>
      </c>
      <c r="C2230" t="inlineStr">
        <is>
          <t>mit.ghg.tot.1</t>
        </is>
      </c>
      <c r="D2230" t="n">
        <v>8.673999999999999</v>
      </c>
      <c r="E2230" t="n">
        <v>8.757360591999999</v>
      </c>
      <c r="F2230" t="n">
        <v>9.094783767999999</v>
      </c>
      <c r="G2230" t="n">
        <v>9.906819692999999</v>
      </c>
      <c r="H2230" t="n">
        <v>10.68789331</v>
      </c>
    </row>
    <row r="2231">
      <c r="A2231" t="inlineStr">
        <is>
          <t>YEM|mit.ghg.tot.1</t>
        </is>
      </c>
      <c r="B2231" t="inlineStr">
        <is>
          <t>YEM</t>
        </is>
      </c>
      <c r="C2231" t="inlineStr">
        <is>
          <t>mit.ghg.tot.1</t>
        </is>
      </c>
      <c r="D2231" t="n">
        <v>40.539</v>
      </c>
      <c r="E2231" t="n">
        <v>40.43313526</v>
      </c>
      <c r="F2231" t="n">
        <v>40.49806838</v>
      </c>
      <c r="G2231" t="n">
        <v>42.3203092</v>
      </c>
      <c r="H2231" t="n">
        <v>45.82558348</v>
      </c>
    </row>
    <row r="2232">
      <c r="A2232" t="inlineStr">
        <is>
          <t>ZAF|mit.ghg.tot.1</t>
        </is>
      </c>
      <c r="B2232" t="inlineStr">
        <is>
          <t>ZAF</t>
        </is>
      </c>
      <c r="C2232" t="inlineStr">
        <is>
          <t>mit.ghg.tot.1</t>
        </is>
      </c>
      <c r="D2232" t="n">
        <v>546.776</v>
      </c>
      <c r="E2232" t="n">
        <v>544.1648132</v>
      </c>
      <c r="F2232" t="n">
        <v>533.5536382</v>
      </c>
      <c r="G2232" t="n">
        <v>535.7622995</v>
      </c>
      <c r="H2232" t="n">
        <v>547.1602966</v>
      </c>
    </row>
    <row r="2233">
      <c r="A2233" t="inlineStr">
        <is>
          <t>ZMB|mit.ghg.tot.1</t>
        </is>
      </c>
      <c r="B2233" t="inlineStr">
        <is>
          <t>ZMB</t>
        </is>
      </c>
      <c r="C2233" t="inlineStr">
        <is>
          <t>mit.ghg.tot.1</t>
        </is>
      </c>
      <c r="D2233" t="n">
        <v>82.986</v>
      </c>
      <c r="E2233" t="n">
        <v>83.18322858000001</v>
      </c>
      <c r="F2233" t="n">
        <v>84.40336916</v>
      </c>
      <c r="G2233" t="n">
        <v>87.13774653</v>
      </c>
      <c r="H2233" t="n">
        <v>90.60156379999999</v>
      </c>
    </row>
    <row r="2234">
      <c r="A2234" t="inlineStr">
        <is>
          <t>ZWE|mit.ghg.tot.1</t>
        </is>
      </c>
      <c r="B2234" t="inlineStr">
        <is>
          <t>ZWE</t>
        </is>
      </c>
      <c r="C2234" t="inlineStr">
        <is>
          <t>mit.ghg.tot.1</t>
        </is>
      </c>
      <c r="D2234" t="n">
        <v>113.046</v>
      </c>
      <c r="E2234" t="n">
        <v>113.4834903</v>
      </c>
      <c r="F2234" t="n">
        <v>114.9571174</v>
      </c>
      <c r="G2234" t="n">
        <v>118.3818934</v>
      </c>
      <c r="H2234" t="n">
        <v>122.789712</v>
      </c>
    </row>
    <row r="2235">
      <c r="A2235" t="inlineStr">
        <is>
          <t>ABW|mit.ghg.tot.2</t>
        </is>
      </c>
      <c r="B2235" t="inlineStr">
        <is>
          <t>ABW</t>
        </is>
      </c>
      <c r="C2235" t="inlineStr">
        <is>
          <t>mit.ghg.tot.2</t>
        </is>
      </c>
      <c r="D2235" t="n">
        <v>1.876477097</v>
      </c>
      <c r="E2235" t="n">
        <v>1.917051179</v>
      </c>
      <c r="F2235" t="n">
        <v>1.804587626</v>
      </c>
      <c r="G2235" t="n">
        <v>1.098461419</v>
      </c>
      <c r="H2235" t="n">
        <v>0.3017613278</v>
      </c>
    </row>
    <row r="2236">
      <c r="A2236" t="inlineStr">
        <is>
          <t>AFG|mit.ghg.tot.2</t>
        </is>
      </c>
      <c r="B2236" t="inlineStr">
        <is>
          <t>AFG</t>
        </is>
      </c>
      <c r="C2236" t="inlineStr">
        <is>
          <t>mit.ghg.tot.2</t>
        </is>
      </c>
      <c r="D2236" t="n">
        <v>34.96403144</v>
      </c>
      <c r="E2236" t="n">
        <v>33.63955154</v>
      </c>
      <c r="F2236" t="n">
        <v>26.69360984</v>
      </c>
      <c r="G2236" t="n">
        <v>19.84546378</v>
      </c>
      <c r="H2236" t="n">
        <v>12.1942583</v>
      </c>
    </row>
    <row r="2237">
      <c r="A2237" t="inlineStr">
        <is>
          <t>AGO|mit.ghg.tot.2</t>
        </is>
      </c>
      <c r="B2237" t="inlineStr">
        <is>
          <t>AGO</t>
        </is>
      </c>
      <c r="C2237" t="inlineStr">
        <is>
          <t>mit.ghg.tot.2</t>
        </is>
      </c>
      <c r="D2237" t="n">
        <v>113.459</v>
      </c>
      <c r="E2237" t="n">
        <v>103.6690524</v>
      </c>
      <c r="F2237" t="n">
        <v>53.65169859</v>
      </c>
      <c r="G2237" t="n">
        <v>39.61588986</v>
      </c>
      <c r="H2237" t="n">
        <v>24.11668717</v>
      </c>
    </row>
    <row r="2238">
      <c r="A2238" t="inlineStr">
        <is>
          <t>ALB|mit.ghg.tot.2</t>
        </is>
      </c>
      <c r="B2238" t="inlineStr">
        <is>
          <t>ALB</t>
        </is>
      </c>
      <c r="C2238" t="inlineStr">
        <is>
          <t>mit.ghg.tot.2</t>
        </is>
      </c>
      <c r="D2238" t="n">
        <v>8.074</v>
      </c>
      <c r="E2238" t="n">
        <v>7.859043076</v>
      </c>
      <c r="F2238" t="n">
        <v>6.597892651</v>
      </c>
      <c r="G2238" t="n">
        <v>4.688852493</v>
      </c>
      <c r="H2238" t="n">
        <v>2.587420389</v>
      </c>
    </row>
    <row r="2239">
      <c r="A2239" t="inlineStr">
        <is>
          <t>ARE|mit.ghg.tot.2</t>
        </is>
      </c>
      <c r="B2239" t="inlineStr">
        <is>
          <t>ARE</t>
        </is>
      </c>
      <c r="C2239" t="inlineStr">
        <is>
          <t>mit.ghg.tot.2</t>
        </is>
      </c>
      <c r="D2239" t="n">
        <v>313.523</v>
      </c>
      <c r="E2239" t="n">
        <v>312.1505789</v>
      </c>
      <c r="F2239" t="n">
        <v>275.7533872</v>
      </c>
      <c r="G2239" t="n">
        <v>175.7514706</v>
      </c>
      <c r="H2239" t="n">
        <v>70.89485954</v>
      </c>
    </row>
    <row r="2240">
      <c r="A2240" t="inlineStr">
        <is>
          <t>ARG|mit.ghg.tot.2</t>
        </is>
      </c>
      <c r="B2240" t="inlineStr">
        <is>
          <t>ARG</t>
        </is>
      </c>
      <c r="C2240" t="inlineStr">
        <is>
          <t>mit.ghg.tot.2</t>
        </is>
      </c>
      <c r="D2240" t="n">
        <v>404.174</v>
      </c>
      <c r="E2240" t="n">
        <v>388.1298653</v>
      </c>
      <c r="F2240" t="n">
        <v>296.7357295</v>
      </c>
      <c r="G2240" t="n">
        <v>202.7072533</v>
      </c>
      <c r="H2240" t="n">
        <v>106.2814546</v>
      </c>
    </row>
    <row r="2241">
      <c r="A2241" t="inlineStr">
        <is>
          <t>ARM|mit.ghg.tot.2</t>
        </is>
      </c>
      <c r="B2241" t="inlineStr">
        <is>
          <t>ARM</t>
        </is>
      </c>
      <c r="C2241" t="inlineStr">
        <is>
          <t>mit.ghg.tot.2</t>
        </is>
      </c>
      <c r="D2241" t="n">
        <v>9.609</v>
      </c>
      <c r="E2241" t="n">
        <v>9.533132653999999</v>
      </c>
      <c r="F2241" t="n">
        <v>8.496705073999999</v>
      </c>
      <c r="G2241" t="n">
        <v>5.797828531</v>
      </c>
      <c r="H2241" t="n">
        <v>2.41498578</v>
      </c>
    </row>
    <row r="2242">
      <c r="A2242" t="inlineStr">
        <is>
          <t>ATG|mit.ghg.tot.2</t>
        </is>
      </c>
      <c r="B2242" t="inlineStr">
        <is>
          <t>ATG</t>
        </is>
      </c>
      <c r="C2242" t="inlineStr">
        <is>
          <t>mit.ghg.tot.2</t>
        </is>
      </c>
      <c r="D2242" t="n">
        <v>1.309959336</v>
      </c>
      <c r="E2242" t="n">
        <v>1.320612781</v>
      </c>
      <c r="F2242" t="n">
        <v>1.290402206</v>
      </c>
      <c r="G2242" t="n">
        <v>0.8518011571</v>
      </c>
      <c r="H2242" t="n">
        <v>0.2680933915</v>
      </c>
    </row>
    <row r="2243">
      <c r="A2243" t="inlineStr">
        <is>
          <t>AUS|mit.ghg.tot.2</t>
        </is>
      </c>
      <c r="B2243" t="inlineStr">
        <is>
          <t>AUS</t>
        </is>
      </c>
      <c r="C2243" t="inlineStr">
        <is>
          <t>mit.ghg.tot.2</t>
        </is>
      </c>
      <c r="D2243" t="n">
        <v>523.8276845</v>
      </c>
      <c r="E2243" t="n">
        <v>506.6578172</v>
      </c>
      <c r="F2243" t="n">
        <v>394.7659083</v>
      </c>
      <c r="G2243" t="n">
        <v>193.8592708</v>
      </c>
      <c r="H2243" t="n">
        <v>86.93475966</v>
      </c>
    </row>
    <row r="2244">
      <c r="A2244" t="inlineStr">
        <is>
          <t>AUT|mit.ghg.tot.2</t>
        </is>
      </c>
      <c r="B2244" t="inlineStr">
        <is>
          <t>AUT</t>
        </is>
      </c>
      <c r="C2244" t="inlineStr">
        <is>
          <t>mit.ghg.tot.2</t>
        </is>
      </c>
      <c r="D2244" t="n">
        <v>76.658</v>
      </c>
      <c r="E2244" t="n">
        <v>73.69863143000001</v>
      </c>
      <c r="F2244" t="n">
        <v>57.22570419</v>
      </c>
      <c r="G2244" t="n">
        <v>29.87257049</v>
      </c>
      <c r="H2244" t="n">
        <v>11.32751623</v>
      </c>
    </row>
    <row r="2245">
      <c r="A2245" t="inlineStr">
        <is>
          <t>AZE|mit.ghg.tot.2</t>
        </is>
      </c>
      <c r="B2245" t="inlineStr">
        <is>
          <t>AZE</t>
        </is>
      </c>
      <c r="C2245" t="inlineStr">
        <is>
          <t>mit.ghg.tot.2</t>
        </is>
      </c>
      <c r="D2245" t="n">
        <v>70.58799999999999</v>
      </c>
      <c r="E2245" t="n">
        <v>68.24321033</v>
      </c>
      <c r="F2245" t="n">
        <v>56.2141124</v>
      </c>
      <c r="G2245" t="n">
        <v>37.30009351</v>
      </c>
      <c r="H2245" t="n">
        <v>17.51865034</v>
      </c>
    </row>
    <row r="2246">
      <c r="A2246" t="inlineStr">
        <is>
          <t>BDI|mit.ghg.tot.2</t>
        </is>
      </c>
      <c r="B2246" t="inlineStr">
        <is>
          <t>BDI</t>
        </is>
      </c>
      <c r="C2246" t="inlineStr">
        <is>
          <t>mit.ghg.tot.2</t>
        </is>
      </c>
      <c r="D2246" t="n">
        <v>10.53</v>
      </c>
      <c r="E2246" t="n">
        <v>9.715001922000001</v>
      </c>
      <c r="F2246" t="n">
        <v>5.588716612</v>
      </c>
      <c r="G2246" t="n">
        <v>4.258888133</v>
      </c>
      <c r="H2246" t="n">
        <v>2.971378897</v>
      </c>
    </row>
    <row r="2247">
      <c r="A2247" t="inlineStr">
        <is>
          <t>BEL|mit.ghg.tot.2</t>
        </is>
      </c>
      <c r="B2247" t="inlineStr">
        <is>
          <t>BEL</t>
        </is>
      </c>
      <c r="C2247" t="inlineStr">
        <is>
          <t>mit.ghg.tot.2</t>
        </is>
      </c>
      <c r="D2247" t="n">
        <v>111.259</v>
      </c>
      <c r="E2247" t="n">
        <v>107.122881</v>
      </c>
      <c r="F2247" t="n">
        <v>83.66582506</v>
      </c>
      <c r="G2247" t="n">
        <v>42.32222015</v>
      </c>
      <c r="H2247" t="n">
        <v>14.65394809</v>
      </c>
    </row>
    <row r="2248">
      <c r="A2248" t="inlineStr">
        <is>
          <t>BEN|mit.ghg.tot.2</t>
        </is>
      </c>
      <c r="B2248" t="inlineStr">
        <is>
          <t>BEN</t>
        </is>
      </c>
      <c r="C2248" t="inlineStr">
        <is>
          <t>mit.ghg.tot.2</t>
        </is>
      </c>
      <c r="D2248" t="n">
        <v>31.288</v>
      </c>
      <c r="E2248" t="n">
        <v>29.11042957</v>
      </c>
      <c r="F2248" t="n">
        <v>17.81071694</v>
      </c>
      <c r="G2248" t="n">
        <v>13.30181437</v>
      </c>
      <c r="H2248" t="n">
        <v>7.341552563</v>
      </c>
    </row>
    <row r="2249">
      <c r="A2249" t="inlineStr">
        <is>
          <t>BFA|mit.ghg.tot.2</t>
        </is>
      </c>
      <c r="B2249" t="inlineStr">
        <is>
          <t>BFA</t>
        </is>
      </c>
      <c r="C2249" t="inlineStr">
        <is>
          <t>mit.ghg.tot.2</t>
        </is>
      </c>
      <c r="D2249" t="n">
        <v>61.87404452</v>
      </c>
      <c r="E2249" t="n">
        <v>56.59337274</v>
      </c>
      <c r="F2249" t="n">
        <v>29.84027801</v>
      </c>
      <c r="G2249" t="n">
        <v>22.96951796</v>
      </c>
      <c r="H2249" t="n">
        <v>14.63312764</v>
      </c>
    </row>
    <row r="2250">
      <c r="A2250" t="inlineStr">
        <is>
          <t>BGD|mit.ghg.tot.2</t>
        </is>
      </c>
      <c r="B2250" t="inlineStr">
        <is>
          <t>BGD</t>
        </is>
      </c>
      <c r="C2250" t="inlineStr">
        <is>
          <t>mit.ghg.tot.2</t>
        </is>
      </c>
      <c r="D2250" t="n">
        <v>353.0374777</v>
      </c>
      <c r="E2250" t="n">
        <v>339.5387931</v>
      </c>
      <c r="F2250" t="n">
        <v>272.3811093</v>
      </c>
      <c r="G2250" t="n">
        <v>184.3602019</v>
      </c>
      <c r="H2250" t="n">
        <v>88.02801470999999</v>
      </c>
    </row>
    <row r="2251">
      <c r="A2251" t="inlineStr">
        <is>
          <t>BGR|mit.ghg.tot.2</t>
        </is>
      </c>
      <c r="B2251" t="inlineStr">
        <is>
          <t>BGR</t>
        </is>
      </c>
      <c r="C2251" t="inlineStr">
        <is>
          <t>mit.ghg.tot.2</t>
        </is>
      </c>
      <c r="D2251" t="n">
        <v>59.772</v>
      </c>
      <c r="E2251" t="n">
        <v>58.18167419</v>
      </c>
      <c r="F2251" t="n">
        <v>48.25447906</v>
      </c>
      <c r="G2251" t="n">
        <v>26.51026231</v>
      </c>
      <c r="H2251" t="n">
        <v>13.21530442</v>
      </c>
    </row>
    <row r="2252">
      <c r="A2252" t="inlineStr">
        <is>
          <t>BHR|mit.ghg.tot.2</t>
        </is>
      </c>
      <c r="B2252" t="inlineStr">
        <is>
          <t>BHR</t>
        </is>
      </c>
      <c r="C2252" t="inlineStr">
        <is>
          <t>mit.ghg.tot.2</t>
        </is>
      </c>
      <c r="D2252" t="n">
        <v>74.727</v>
      </c>
      <c r="E2252" t="n">
        <v>72.42886878</v>
      </c>
      <c r="F2252" t="n">
        <v>55.98656654</v>
      </c>
      <c r="G2252" t="n">
        <v>33.81031929</v>
      </c>
      <c r="H2252" t="n">
        <v>16.44713591</v>
      </c>
    </row>
    <row r="2253">
      <c r="A2253" t="inlineStr">
        <is>
          <t>BHS|mit.ghg.tot.2</t>
        </is>
      </c>
      <c r="B2253" t="inlineStr">
        <is>
          <t>BHS</t>
        </is>
      </c>
      <c r="C2253" t="inlineStr">
        <is>
          <t>mit.ghg.tot.2</t>
        </is>
      </c>
      <c r="D2253" t="n">
        <v>4.892279399</v>
      </c>
      <c r="E2253" t="n">
        <v>4.880978974</v>
      </c>
      <c r="F2253" t="n">
        <v>4.517392093</v>
      </c>
      <c r="G2253" t="n">
        <v>2.748958482</v>
      </c>
      <c r="H2253" t="n">
        <v>0.7656982939</v>
      </c>
    </row>
    <row r="2254">
      <c r="A2254" t="inlineStr">
        <is>
          <t>BIH|mit.ghg.tot.2</t>
        </is>
      </c>
      <c r="B2254" t="inlineStr">
        <is>
          <t>BIH</t>
        </is>
      </c>
      <c r="C2254" t="inlineStr">
        <is>
          <t>mit.ghg.tot.2</t>
        </is>
      </c>
      <c r="D2254" t="n">
        <v>31.12</v>
      </c>
      <c r="E2254" t="n">
        <v>30.2687066</v>
      </c>
      <c r="F2254" t="n">
        <v>25.63936226</v>
      </c>
      <c r="G2254" t="n">
        <v>15.61773608</v>
      </c>
      <c r="H2254" t="n">
        <v>5.970063606</v>
      </c>
    </row>
    <row r="2255">
      <c r="A2255" t="inlineStr">
        <is>
          <t>BLR|mit.ghg.tot.2</t>
        </is>
      </c>
      <c r="B2255" t="inlineStr">
        <is>
          <t>BLR</t>
        </is>
      </c>
      <c r="C2255" t="inlineStr">
        <is>
          <t>mit.ghg.tot.2</t>
        </is>
      </c>
      <c r="D2255" t="n">
        <v>88.447</v>
      </c>
      <c r="E2255" t="n">
        <v>86.44376672999999</v>
      </c>
      <c r="F2255" t="n">
        <v>72.2551636</v>
      </c>
      <c r="G2255" t="n">
        <v>47.52366465</v>
      </c>
      <c r="H2255" t="n">
        <v>21.22128697</v>
      </c>
    </row>
    <row r="2256">
      <c r="A2256" t="inlineStr">
        <is>
          <t>BLZ|mit.ghg.tot.2</t>
        </is>
      </c>
      <c r="B2256" t="inlineStr">
        <is>
          <t>BLZ</t>
        </is>
      </c>
      <c r="C2256" t="inlineStr">
        <is>
          <t>mit.ghg.tot.2</t>
        </is>
      </c>
      <c r="D2256" t="n">
        <v>7.008720665</v>
      </c>
      <c r="E2256" t="n">
        <v>6.074026723</v>
      </c>
      <c r="F2256" t="n">
        <v>1.349881503</v>
      </c>
      <c r="G2256" t="n">
        <v>0.9241710263</v>
      </c>
      <c r="H2256" t="n">
        <v>0.4848141151</v>
      </c>
    </row>
    <row r="2257">
      <c r="A2257" t="inlineStr">
        <is>
          <t>BOL|mit.ghg.tot.2</t>
        </is>
      </c>
      <c r="B2257" t="inlineStr">
        <is>
          <t>BOL</t>
        </is>
      </c>
      <c r="C2257" t="inlineStr">
        <is>
          <t>mit.ghg.tot.2</t>
        </is>
      </c>
      <c r="D2257" t="n">
        <v>127.921</v>
      </c>
      <c r="E2257" t="n">
        <v>114.0785255</v>
      </c>
      <c r="F2257" t="n">
        <v>43.77200301</v>
      </c>
      <c r="G2257" t="n">
        <v>31.02787143</v>
      </c>
      <c r="H2257" t="n">
        <v>18.86846863</v>
      </c>
    </row>
    <row r="2258">
      <c r="A2258" t="inlineStr">
        <is>
          <t>BRA|mit.ghg.tot.2</t>
        </is>
      </c>
      <c r="B2258" t="inlineStr">
        <is>
          <t>BRA</t>
        </is>
      </c>
      <c r="C2258" t="inlineStr">
        <is>
          <t>mit.ghg.tot.2</t>
        </is>
      </c>
      <c r="D2258" t="n">
        <v>1767.337</v>
      </c>
      <c r="E2258" t="n">
        <v>1649.526445</v>
      </c>
      <c r="F2258" t="n">
        <v>1043.036878</v>
      </c>
      <c r="G2258" t="n">
        <v>745.2403399</v>
      </c>
      <c r="H2258" t="n">
        <v>442.9015579</v>
      </c>
    </row>
    <row r="2259">
      <c r="A2259" t="inlineStr">
        <is>
          <t>BRB|mit.ghg.tot.2</t>
        </is>
      </c>
      <c r="B2259" t="inlineStr">
        <is>
          <t>BRB</t>
        </is>
      </c>
      <c r="C2259" t="inlineStr">
        <is>
          <t>mit.ghg.tot.2</t>
        </is>
      </c>
      <c r="D2259" t="n">
        <v>2.124769047</v>
      </c>
      <c r="E2259" t="n">
        <v>2.105884234</v>
      </c>
      <c r="F2259" t="n">
        <v>1.914404358</v>
      </c>
      <c r="G2259" t="n">
        <v>1.14383811</v>
      </c>
      <c r="H2259" t="n">
        <v>0.3502898832</v>
      </c>
    </row>
    <row r="2260">
      <c r="A2260" t="inlineStr">
        <is>
          <t>BRN|mit.ghg.tot.2</t>
        </is>
      </c>
      <c r="B2260" t="inlineStr">
        <is>
          <t>BRN</t>
        </is>
      </c>
      <c r="C2260" t="inlineStr">
        <is>
          <t>mit.ghg.tot.2</t>
        </is>
      </c>
      <c r="D2260" t="n">
        <v>15.977</v>
      </c>
      <c r="E2260" t="n">
        <v>15.4361502</v>
      </c>
      <c r="F2260" t="n">
        <v>13.02628067</v>
      </c>
      <c r="G2260" t="n">
        <v>8.534531769000001</v>
      </c>
      <c r="H2260" t="n">
        <v>3.74030377</v>
      </c>
    </row>
    <row r="2261">
      <c r="A2261" t="inlineStr">
        <is>
          <t>BTN|mit.ghg.tot.2</t>
        </is>
      </c>
      <c r="B2261" t="inlineStr">
        <is>
          <t>BTN</t>
        </is>
      </c>
      <c r="C2261" t="inlineStr">
        <is>
          <t>mit.ghg.tot.2</t>
        </is>
      </c>
      <c r="D2261" t="n">
        <v>3.509</v>
      </c>
      <c r="E2261" t="n">
        <v>3.421528829</v>
      </c>
      <c r="F2261" t="n">
        <v>2.953358486</v>
      </c>
      <c r="G2261" t="n">
        <v>2.26064671</v>
      </c>
      <c r="H2261" t="n">
        <v>1.268026135</v>
      </c>
    </row>
    <row r="2262">
      <c r="A2262" t="inlineStr">
        <is>
          <t>BWA|mit.ghg.tot.2</t>
        </is>
      </c>
      <c r="B2262" t="inlineStr">
        <is>
          <t>BWA</t>
        </is>
      </c>
      <c r="C2262" t="inlineStr">
        <is>
          <t>mit.ghg.tot.2</t>
        </is>
      </c>
      <c r="D2262" t="n">
        <v>52.44311049</v>
      </c>
      <c r="E2262" t="n">
        <v>45.36425905</v>
      </c>
      <c r="F2262" t="n">
        <v>11.35052684</v>
      </c>
      <c r="G2262" t="n">
        <v>7.371651773</v>
      </c>
      <c r="H2262" t="n">
        <v>3.001077746</v>
      </c>
    </row>
    <row r="2263">
      <c r="A2263" t="inlineStr">
        <is>
          <t>CAF|mit.ghg.tot.2</t>
        </is>
      </c>
      <c r="B2263" t="inlineStr">
        <is>
          <t>CAF</t>
        </is>
      </c>
      <c r="C2263" t="inlineStr">
        <is>
          <t>mit.ghg.tot.2</t>
        </is>
      </c>
      <c r="D2263" t="n">
        <v>44.02568045</v>
      </c>
      <c r="E2263" t="n">
        <v>38.29009207</v>
      </c>
      <c r="F2263" t="n">
        <v>9.571807416</v>
      </c>
      <c r="G2263" t="n">
        <v>7.481583175</v>
      </c>
      <c r="H2263" t="n">
        <v>5.380848397</v>
      </c>
    </row>
    <row r="2264">
      <c r="A2264" t="inlineStr">
        <is>
          <t>CAN|mit.ghg.tot.2</t>
        </is>
      </c>
      <c r="B2264" t="inlineStr">
        <is>
          <t>CAN</t>
        </is>
      </c>
      <c r="C2264" t="inlineStr">
        <is>
          <t>mit.ghg.tot.2</t>
        </is>
      </c>
      <c r="D2264" t="n">
        <v>692.775</v>
      </c>
      <c r="E2264" t="n">
        <v>670.0655105</v>
      </c>
      <c r="F2264" t="n">
        <v>531.3235848</v>
      </c>
      <c r="G2264" t="n">
        <v>278.292061</v>
      </c>
      <c r="H2264" t="n">
        <v>107.9266086</v>
      </c>
    </row>
    <row r="2265">
      <c r="A2265" t="inlineStr">
        <is>
          <t>CHE|mit.ghg.tot.2</t>
        </is>
      </c>
      <c r="B2265" t="inlineStr">
        <is>
          <t>CHE</t>
        </is>
      </c>
      <c r="C2265" t="inlineStr">
        <is>
          <t>mit.ghg.tot.2</t>
        </is>
      </c>
      <c r="D2265" t="n">
        <v>45.202</v>
      </c>
      <c r="E2265" t="n">
        <v>43.6615928</v>
      </c>
      <c r="F2265" t="n">
        <v>34.90548257</v>
      </c>
      <c r="G2265" t="n">
        <v>18.956783</v>
      </c>
      <c r="H2265" t="n">
        <v>7.794237178</v>
      </c>
    </row>
    <row r="2266">
      <c r="A2266" t="inlineStr">
        <is>
          <t>CHL|mit.ghg.tot.2</t>
        </is>
      </c>
      <c r="B2266" t="inlineStr">
        <is>
          <t>CHL</t>
        </is>
      </c>
      <c r="C2266" t="inlineStr">
        <is>
          <t>mit.ghg.tot.2</t>
        </is>
      </c>
      <c r="D2266" t="n">
        <v>138.572</v>
      </c>
      <c r="E2266" t="n">
        <v>134.6924157</v>
      </c>
      <c r="F2266" t="n">
        <v>112.1948024</v>
      </c>
      <c r="G2266" t="n">
        <v>66.05797975</v>
      </c>
      <c r="H2266" t="n">
        <v>33.49873715</v>
      </c>
    </row>
    <row r="2267">
      <c r="A2267" t="inlineStr">
        <is>
          <t>CHN|mit.ghg.tot.2</t>
        </is>
      </c>
      <c r="B2267" t="inlineStr">
        <is>
          <t>CHN</t>
        </is>
      </c>
      <c r="C2267" t="inlineStr">
        <is>
          <t>mit.ghg.tot.2</t>
        </is>
      </c>
      <c r="D2267" t="n">
        <v>16257.103</v>
      </c>
      <c r="E2267" t="n">
        <v>15968.09039</v>
      </c>
      <c r="F2267" t="n">
        <v>13657.92947</v>
      </c>
      <c r="G2267" t="n">
        <v>5522.812789</v>
      </c>
      <c r="H2267" t="n">
        <v>1962.246135</v>
      </c>
    </row>
    <row r="2268">
      <c r="A2268" t="inlineStr">
        <is>
          <t>CIV|mit.ghg.tot.2</t>
        </is>
      </c>
      <c r="B2268" t="inlineStr">
        <is>
          <t>CIV</t>
        </is>
      </c>
      <c r="C2268" t="inlineStr">
        <is>
          <t>mit.ghg.tot.2</t>
        </is>
      </c>
      <c r="D2268" t="n">
        <v>37.30257411</v>
      </c>
      <c r="E2268" t="n">
        <v>36.42867109</v>
      </c>
      <c r="F2268" t="n">
        <v>31.14537426</v>
      </c>
      <c r="G2268" t="n">
        <v>22.88800049</v>
      </c>
      <c r="H2268" t="n">
        <v>12.46360043</v>
      </c>
    </row>
    <row r="2269">
      <c r="A2269" t="inlineStr">
        <is>
          <t>CMR|mit.ghg.tot.2</t>
        </is>
      </c>
      <c r="B2269" t="inlineStr">
        <is>
          <t>CMR</t>
        </is>
      </c>
      <c r="C2269" t="inlineStr">
        <is>
          <t>mit.ghg.tot.2</t>
        </is>
      </c>
      <c r="D2269" t="n">
        <v>78.489</v>
      </c>
      <c r="E2269" t="n">
        <v>70.77031312</v>
      </c>
      <c r="F2269" t="n">
        <v>31.96173903</v>
      </c>
      <c r="G2269" t="n">
        <v>23.52112123</v>
      </c>
      <c r="H2269" t="n">
        <v>15.89247302</v>
      </c>
    </row>
    <row r="2270">
      <c r="A2270" t="inlineStr">
        <is>
          <t>COD|mit.ghg.tot.2</t>
        </is>
      </c>
      <c r="B2270" t="inlineStr">
        <is>
          <t>COD</t>
        </is>
      </c>
      <c r="C2270" t="inlineStr">
        <is>
          <t>mit.ghg.tot.2</t>
        </is>
      </c>
      <c r="D2270" t="n">
        <v>669.183</v>
      </c>
      <c r="E2270" t="n">
        <v>565.6568508</v>
      </c>
      <c r="F2270" t="n">
        <v>47.79448708</v>
      </c>
      <c r="G2270" t="n">
        <v>37.20035551</v>
      </c>
      <c r="H2270" t="n">
        <v>26.41675421</v>
      </c>
    </row>
    <row r="2271">
      <c r="A2271" t="inlineStr">
        <is>
          <t>COG|mit.ghg.tot.2</t>
        </is>
      </c>
      <c r="B2271" t="inlineStr">
        <is>
          <t>COG</t>
        </is>
      </c>
      <c r="C2271" t="inlineStr">
        <is>
          <t>mit.ghg.tot.2</t>
        </is>
      </c>
      <c r="D2271" t="n">
        <v>36.275</v>
      </c>
      <c r="E2271" t="n">
        <v>33.6023083</v>
      </c>
      <c r="F2271" t="n">
        <v>20.08859559</v>
      </c>
      <c r="G2271" t="n">
        <v>14.68650085</v>
      </c>
      <c r="H2271" t="n">
        <v>9.216713387</v>
      </c>
    </row>
    <row r="2272">
      <c r="A2272" t="inlineStr">
        <is>
          <t>COL|mit.ghg.tot.2</t>
        </is>
      </c>
      <c r="B2272" t="inlineStr">
        <is>
          <t>COL</t>
        </is>
      </c>
      <c r="C2272" t="inlineStr">
        <is>
          <t>mit.ghg.tot.2</t>
        </is>
      </c>
      <c r="D2272" t="n">
        <v>293.577</v>
      </c>
      <c r="E2272" t="n">
        <v>272.7516797</v>
      </c>
      <c r="F2272" t="n">
        <v>165.5324926</v>
      </c>
      <c r="G2272" t="n">
        <v>117.4772398</v>
      </c>
      <c r="H2272" t="n">
        <v>68.19251263</v>
      </c>
    </row>
    <row r="2273">
      <c r="A2273" t="inlineStr">
        <is>
          <t>COM|mit.ghg.tot.2</t>
        </is>
      </c>
      <c r="B2273" t="inlineStr">
        <is>
          <t>COM</t>
        </is>
      </c>
      <c r="C2273" t="inlineStr">
        <is>
          <t>mit.ghg.tot.2</t>
        </is>
      </c>
      <c r="D2273" t="n">
        <v>1.29666381</v>
      </c>
      <c r="E2273" t="n">
        <v>1.268789052</v>
      </c>
      <c r="F2273" t="n">
        <v>1.112011819</v>
      </c>
      <c r="G2273" t="n">
        <v>0.8608788023</v>
      </c>
      <c r="H2273" t="n">
        <v>0.4176981885</v>
      </c>
    </row>
    <row r="2274">
      <c r="A2274" t="inlineStr">
        <is>
          <t>CPV|mit.ghg.tot.2</t>
        </is>
      </c>
      <c r="B2274" t="inlineStr">
        <is>
          <t>CPV</t>
        </is>
      </c>
      <c r="C2274" t="inlineStr">
        <is>
          <t>mit.ghg.tot.2</t>
        </is>
      </c>
      <c r="D2274" t="n">
        <v>1.331</v>
      </c>
      <c r="E2274" t="n">
        <v>1.332130639</v>
      </c>
      <c r="F2274" t="n">
        <v>1.271241335</v>
      </c>
      <c r="G2274" t="n">
        <v>0.9215618303999999</v>
      </c>
      <c r="H2274" t="n">
        <v>0.3726408367</v>
      </c>
    </row>
    <row r="2275">
      <c r="A2275" t="inlineStr">
        <is>
          <t>CRI|mit.ghg.tot.2</t>
        </is>
      </c>
      <c r="B2275" t="inlineStr">
        <is>
          <t>CRI</t>
        </is>
      </c>
      <c r="C2275" t="inlineStr">
        <is>
          <t>mit.ghg.tot.2</t>
        </is>
      </c>
      <c r="D2275" t="n">
        <v>16.028</v>
      </c>
      <c r="E2275" t="n">
        <v>15.65766138</v>
      </c>
      <c r="F2275" t="n">
        <v>13.17266193</v>
      </c>
      <c r="G2275" t="n">
        <v>9.366895336000001</v>
      </c>
      <c r="H2275" t="n">
        <v>5.443241425</v>
      </c>
    </row>
    <row r="2276">
      <c r="A2276" t="inlineStr">
        <is>
          <t>CYP|mit.ghg.tot.2</t>
        </is>
      </c>
      <c r="B2276" t="inlineStr">
        <is>
          <t>CYP</t>
        </is>
      </c>
      <c r="C2276" t="inlineStr">
        <is>
          <t>mit.ghg.tot.2</t>
        </is>
      </c>
      <c r="D2276" t="n">
        <v>10.98015756</v>
      </c>
      <c r="E2276" t="n">
        <v>10.78576482</v>
      </c>
      <c r="F2276" t="n">
        <v>8.646345468</v>
      </c>
      <c r="G2276" t="n">
        <v>3.759150416</v>
      </c>
      <c r="H2276" t="n">
        <v>1.505282419</v>
      </c>
    </row>
    <row r="2277">
      <c r="A2277" t="inlineStr">
        <is>
          <t>CZE|mit.ghg.tot.2</t>
        </is>
      </c>
      <c r="B2277" t="inlineStr">
        <is>
          <t>CZE</t>
        </is>
      </c>
      <c r="C2277" t="inlineStr">
        <is>
          <t>mit.ghg.tot.2</t>
        </is>
      </c>
      <c r="D2277" t="n">
        <v>118.786</v>
      </c>
      <c r="E2277" t="n">
        <v>113.8110534</v>
      </c>
      <c r="F2277" t="n">
        <v>83.24864460000001</v>
      </c>
      <c r="G2277" t="n">
        <v>39.43179078</v>
      </c>
      <c r="H2277" t="n">
        <v>16.19795033</v>
      </c>
    </row>
    <row r="2278">
      <c r="A2278" t="inlineStr">
        <is>
          <t>DEU|mit.ghg.tot.2</t>
        </is>
      </c>
      <c r="B2278" t="inlineStr">
        <is>
          <t>DEU</t>
        </is>
      </c>
      <c r="C2278" t="inlineStr">
        <is>
          <t>mit.ghg.tot.2</t>
        </is>
      </c>
      <c r="D2278" t="n">
        <v>744.658</v>
      </c>
      <c r="E2278" t="n">
        <v>713.4270557999999</v>
      </c>
      <c r="F2278" t="n">
        <v>545.8374811</v>
      </c>
      <c r="G2278" t="n">
        <v>250.6489476</v>
      </c>
      <c r="H2278" t="n">
        <v>86.35545234999999</v>
      </c>
    </row>
    <row r="2279">
      <c r="A2279" t="inlineStr">
        <is>
          <t>DJI|mit.ghg.tot.2</t>
        </is>
      </c>
      <c r="B2279" t="inlineStr">
        <is>
          <t>DJI</t>
        </is>
      </c>
      <c r="C2279" t="inlineStr">
        <is>
          <t>mit.ghg.tot.2</t>
        </is>
      </c>
      <c r="D2279" t="n">
        <v>2.266</v>
      </c>
      <c r="E2279" t="n">
        <v>2.198958309</v>
      </c>
      <c r="F2279" t="n">
        <v>1.828543062</v>
      </c>
      <c r="G2279" t="n">
        <v>1.343484453</v>
      </c>
      <c r="H2279" t="n">
        <v>0.7509474703</v>
      </c>
    </row>
    <row r="2280">
      <c r="A2280" t="inlineStr">
        <is>
          <t>DMA|mit.ghg.tot.2</t>
        </is>
      </c>
      <c r="B2280" t="inlineStr">
        <is>
          <t>DMA</t>
        </is>
      </c>
      <c r="C2280" t="inlineStr">
        <is>
          <t>mit.ghg.tot.2</t>
        </is>
      </c>
      <c r="D2280" t="n">
        <v>0.3502023483</v>
      </c>
      <c r="E2280" t="n">
        <v>0.3491819462</v>
      </c>
      <c r="F2280" t="n">
        <v>0.3191354446</v>
      </c>
      <c r="G2280" t="n">
        <v>0.2137887303</v>
      </c>
      <c r="H2280" t="n">
        <v>0.08104991877999999</v>
      </c>
    </row>
    <row r="2281">
      <c r="A2281" t="inlineStr">
        <is>
          <t>DNK|mit.ghg.tot.2</t>
        </is>
      </c>
      <c r="B2281" t="inlineStr">
        <is>
          <t>DNK</t>
        </is>
      </c>
      <c r="C2281" t="inlineStr">
        <is>
          <t>mit.ghg.tot.2</t>
        </is>
      </c>
      <c r="D2281" t="n">
        <v>49.102</v>
      </c>
      <c r="E2281" t="n">
        <v>46.81975802</v>
      </c>
      <c r="F2281" t="n">
        <v>35.178795</v>
      </c>
      <c r="G2281" t="n">
        <v>20.71701631</v>
      </c>
      <c r="H2281" t="n">
        <v>9.493595064999999</v>
      </c>
    </row>
    <row r="2282">
      <c r="A2282" t="inlineStr">
        <is>
          <t>DOM|mit.ghg.tot.2</t>
        </is>
      </c>
      <c r="B2282" t="inlineStr">
        <is>
          <t>DOM</t>
        </is>
      </c>
      <c r="C2282" t="inlineStr">
        <is>
          <t>mit.ghg.tot.2</t>
        </is>
      </c>
      <c r="D2282" t="n">
        <v>54.89325574</v>
      </c>
      <c r="E2282" t="n">
        <v>53.58520567</v>
      </c>
      <c r="F2282" t="n">
        <v>47.66080478</v>
      </c>
      <c r="G2282" t="n">
        <v>32.33893849</v>
      </c>
      <c r="H2282" t="n">
        <v>13.77404987</v>
      </c>
    </row>
    <row r="2283">
      <c r="A2283" t="inlineStr">
        <is>
          <t>DZA|mit.ghg.tot.2</t>
        </is>
      </c>
      <c r="B2283" t="inlineStr">
        <is>
          <t>DZA</t>
        </is>
      </c>
      <c r="C2283" t="inlineStr">
        <is>
          <t>mit.ghg.tot.2</t>
        </is>
      </c>
      <c r="D2283" t="n">
        <v>287.012</v>
      </c>
      <c r="E2283" t="n">
        <v>281.0006674</v>
      </c>
      <c r="F2283" t="n">
        <v>244.1902336</v>
      </c>
      <c r="G2283" t="n">
        <v>167.141687</v>
      </c>
      <c r="H2283" t="n">
        <v>74.22657647</v>
      </c>
    </row>
    <row r="2284">
      <c r="A2284" t="inlineStr">
        <is>
          <t>ECU|mit.ghg.tot.2</t>
        </is>
      </c>
      <c r="B2284" t="inlineStr">
        <is>
          <t>ECU</t>
        </is>
      </c>
      <c r="C2284" t="inlineStr">
        <is>
          <t>mit.ghg.tot.2</t>
        </is>
      </c>
      <c r="D2284" t="n">
        <v>101.698</v>
      </c>
      <c r="E2284" t="n">
        <v>95.87446429000001</v>
      </c>
      <c r="F2284" t="n">
        <v>63.33839034</v>
      </c>
      <c r="G2284" t="n">
        <v>42.49644657</v>
      </c>
      <c r="H2284" t="n">
        <v>22.86694667</v>
      </c>
    </row>
    <row r="2285">
      <c r="A2285" t="inlineStr">
        <is>
          <t>EGY|mit.ghg.tot.2</t>
        </is>
      </c>
      <c r="B2285" t="inlineStr">
        <is>
          <t>EGY</t>
        </is>
      </c>
      <c r="C2285" t="inlineStr">
        <is>
          <t>mit.ghg.tot.2</t>
        </is>
      </c>
      <c r="D2285" t="n">
        <v>402.239</v>
      </c>
      <c r="E2285" t="n">
        <v>397.6086468</v>
      </c>
      <c r="F2285" t="n">
        <v>362.0717588</v>
      </c>
      <c r="G2285" t="n">
        <v>246.4709683</v>
      </c>
      <c r="H2285" t="n">
        <v>99.49250986</v>
      </c>
    </row>
    <row r="2286">
      <c r="A2286" t="inlineStr">
        <is>
          <t>ESP|mit.ghg.tot.2</t>
        </is>
      </c>
      <c r="B2286" t="inlineStr">
        <is>
          <t>ESP</t>
        </is>
      </c>
      <c r="C2286" t="inlineStr">
        <is>
          <t>mit.ghg.tot.2</t>
        </is>
      </c>
      <c r="D2286" t="n">
        <v>339.165</v>
      </c>
      <c r="E2286" t="n">
        <v>329.9034999</v>
      </c>
      <c r="F2286" t="n">
        <v>265.9994198</v>
      </c>
      <c r="G2286" t="n">
        <v>140.4872868</v>
      </c>
      <c r="H2286" t="n">
        <v>54.26337332</v>
      </c>
    </row>
    <row r="2287">
      <c r="A2287" t="inlineStr">
        <is>
          <t>EST|mit.ghg.tot.2</t>
        </is>
      </c>
      <c r="B2287" t="inlineStr">
        <is>
          <t>EST</t>
        </is>
      </c>
      <c r="C2287" t="inlineStr">
        <is>
          <t>mit.ghg.tot.2</t>
        </is>
      </c>
      <c r="D2287" t="n">
        <v>13.753</v>
      </c>
      <c r="E2287" t="n">
        <v>12.86083384</v>
      </c>
      <c r="F2287" t="n">
        <v>8.266169627</v>
      </c>
      <c r="G2287" t="n">
        <v>4.118674</v>
      </c>
      <c r="H2287" t="n">
        <v>1.694166787</v>
      </c>
    </row>
    <row r="2288">
      <c r="A2288" t="inlineStr">
        <is>
          <t>ETH|mit.ghg.tot.2</t>
        </is>
      </c>
      <c r="B2288" t="inlineStr">
        <is>
          <t>ETH</t>
        </is>
      </c>
      <c r="C2288" t="inlineStr">
        <is>
          <t>mit.ghg.tot.2</t>
        </is>
      </c>
      <c r="D2288" t="n">
        <v>234.697</v>
      </c>
      <c r="E2288" t="n">
        <v>221.1015355</v>
      </c>
      <c r="F2288" t="n">
        <v>152.0927707</v>
      </c>
      <c r="G2288" t="n">
        <v>119.6929134</v>
      </c>
      <c r="H2288" t="n">
        <v>81.72861263</v>
      </c>
    </row>
    <row r="2289">
      <c r="A2289" t="inlineStr">
        <is>
          <t>FIN|mit.ghg.tot.2</t>
        </is>
      </c>
      <c r="B2289" t="inlineStr">
        <is>
          <t>FIN</t>
        </is>
      </c>
      <c r="C2289" t="inlineStr">
        <is>
          <t>mit.ghg.tot.2</t>
        </is>
      </c>
      <c r="D2289" t="n">
        <v>47.19</v>
      </c>
      <c r="E2289" t="n">
        <v>44.20548956</v>
      </c>
      <c r="F2289" t="n">
        <v>34.85334591</v>
      </c>
      <c r="G2289" t="n">
        <v>20.47825869</v>
      </c>
      <c r="H2289" t="n">
        <v>8.302615468000001</v>
      </c>
    </row>
    <row r="2290">
      <c r="A2290" t="inlineStr">
        <is>
          <t>FJI|mit.ghg.tot.2</t>
        </is>
      </c>
      <c r="B2290" t="inlineStr">
        <is>
          <t>FJI</t>
        </is>
      </c>
      <c r="C2290" t="inlineStr">
        <is>
          <t>mit.ghg.tot.2</t>
        </is>
      </c>
      <c r="D2290" t="n">
        <v>3.104</v>
      </c>
      <c r="E2290" t="n">
        <v>3.025686595</v>
      </c>
      <c r="F2290" t="n">
        <v>2.542514895</v>
      </c>
      <c r="G2290" t="n">
        <v>1.750136329</v>
      </c>
      <c r="H2290" t="n">
        <v>0.8829715549</v>
      </c>
    </row>
    <row r="2291">
      <c r="A2291" t="inlineStr">
        <is>
          <t>FRA|mit.ghg.tot.2</t>
        </is>
      </c>
      <c r="B2291" t="inlineStr">
        <is>
          <t>FRA</t>
        </is>
      </c>
      <c r="C2291" t="inlineStr">
        <is>
          <t>mit.ghg.tot.2</t>
        </is>
      </c>
      <c r="D2291" t="n">
        <v>423.894</v>
      </c>
      <c r="E2291" t="n">
        <v>402.7929303</v>
      </c>
      <c r="F2291" t="n">
        <v>310.0165985</v>
      </c>
      <c r="G2291" t="n">
        <v>170.8384404</v>
      </c>
      <c r="H2291" t="n">
        <v>72.18519143</v>
      </c>
    </row>
    <row r="2292">
      <c r="A2292" t="inlineStr">
        <is>
          <t>GAB|mit.ghg.tot.2</t>
        </is>
      </c>
      <c r="B2292" t="inlineStr">
        <is>
          <t>GAB</t>
        </is>
      </c>
      <c r="C2292" t="inlineStr">
        <is>
          <t>mit.ghg.tot.2</t>
        </is>
      </c>
      <c r="D2292" t="n">
        <v>25.777</v>
      </c>
      <c r="E2292" t="n">
        <v>23.94539422</v>
      </c>
      <c r="F2292" t="n">
        <v>14.72070123</v>
      </c>
      <c r="G2292" t="n">
        <v>10.81720592</v>
      </c>
      <c r="H2292" t="n">
        <v>6.746849063</v>
      </c>
    </row>
    <row r="2293">
      <c r="A2293" t="inlineStr">
        <is>
          <t>GBR|mit.ghg.tot.2</t>
        </is>
      </c>
      <c r="B2293" t="inlineStr">
        <is>
          <t>GBR</t>
        </is>
      </c>
      <c r="C2293" t="inlineStr">
        <is>
          <t>mit.ghg.tot.2</t>
        </is>
      </c>
      <c r="D2293" t="n">
        <v>454.233</v>
      </c>
      <c r="E2293" t="n">
        <v>437.8034988</v>
      </c>
      <c r="F2293" t="n">
        <v>337.5557068</v>
      </c>
      <c r="G2293" t="n">
        <v>162.3671073</v>
      </c>
      <c r="H2293" t="n">
        <v>63.51641893</v>
      </c>
    </row>
    <row r="2294">
      <c r="A2294" t="inlineStr">
        <is>
          <t>GEO|mit.ghg.tot.2</t>
        </is>
      </c>
      <c r="B2294" t="inlineStr">
        <is>
          <t>GEO</t>
        </is>
      </c>
      <c r="C2294" t="inlineStr">
        <is>
          <t>mit.ghg.tot.2</t>
        </is>
      </c>
      <c r="D2294" t="n">
        <v>18.98</v>
      </c>
      <c r="E2294" t="n">
        <v>18.6891962</v>
      </c>
      <c r="F2294" t="n">
        <v>16.16940923</v>
      </c>
      <c r="G2294" t="n">
        <v>10.88696577</v>
      </c>
      <c r="H2294" t="n">
        <v>5.281080614</v>
      </c>
    </row>
    <row r="2295">
      <c r="A2295" t="inlineStr">
        <is>
          <t>GHA|mit.ghg.tot.2</t>
        </is>
      </c>
      <c r="B2295" t="inlineStr">
        <is>
          <t>GHA</t>
        </is>
      </c>
      <c r="C2295" t="inlineStr">
        <is>
          <t>mit.ghg.tot.2</t>
        </is>
      </c>
      <c r="D2295" t="n">
        <v>52.092</v>
      </c>
      <c r="E2295" t="n">
        <v>51.1060583</v>
      </c>
      <c r="F2295" t="n">
        <v>42.99094201</v>
      </c>
      <c r="G2295" t="n">
        <v>31.27030077</v>
      </c>
      <c r="H2295" t="n">
        <v>17.75180842</v>
      </c>
    </row>
    <row r="2296">
      <c r="A2296" t="inlineStr">
        <is>
          <t>GIN|mit.ghg.tot.2</t>
        </is>
      </c>
      <c r="B2296" t="inlineStr">
        <is>
          <t>GIN</t>
        </is>
      </c>
      <c r="C2296" t="inlineStr">
        <is>
          <t>mit.ghg.tot.2</t>
        </is>
      </c>
      <c r="D2296" t="n">
        <v>42.40931189</v>
      </c>
      <c r="E2296" t="n">
        <v>39.55027494</v>
      </c>
      <c r="F2296" t="n">
        <v>24.28571864</v>
      </c>
      <c r="G2296" t="n">
        <v>19.28411507</v>
      </c>
      <c r="H2296" t="n">
        <v>12.59702978</v>
      </c>
    </row>
    <row r="2297">
      <c r="A2297" t="inlineStr">
        <is>
          <t>GMB|mit.ghg.tot.2</t>
        </is>
      </c>
      <c r="B2297" t="inlineStr">
        <is>
          <t>GMB</t>
        </is>
      </c>
      <c r="C2297" t="inlineStr">
        <is>
          <t>mit.ghg.tot.2</t>
        </is>
      </c>
      <c r="D2297" t="n">
        <v>3.537484405</v>
      </c>
      <c r="E2297" t="n">
        <v>3.412417552</v>
      </c>
      <c r="F2297" t="n">
        <v>2.6854222</v>
      </c>
      <c r="G2297" t="n">
        <v>2.139850419</v>
      </c>
      <c r="H2297" t="n">
        <v>1.090628976</v>
      </c>
    </row>
    <row r="2298">
      <c r="A2298" t="inlineStr">
        <is>
          <t>GNB|mit.ghg.tot.2</t>
        </is>
      </c>
      <c r="B2298" t="inlineStr">
        <is>
          <t>GNB</t>
        </is>
      </c>
      <c r="C2298" t="inlineStr">
        <is>
          <t>mit.ghg.tot.2</t>
        </is>
      </c>
      <c r="D2298" t="n">
        <v>5.155259012</v>
      </c>
      <c r="E2298" t="n">
        <v>4.745734253</v>
      </c>
      <c r="F2298" t="n">
        <v>2.664436423</v>
      </c>
      <c r="G2298" t="n">
        <v>2.092070697</v>
      </c>
      <c r="H2298" t="n">
        <v>1.357990223</v>
      </c>
    </row>
    <row r="2299">
      <c r="A2299" t="inlineStr">
        <is>
          <t>GNQ|mit.ghg.tot.2</t>
        </is>
      </c>
      <c r="B2299" t="inlineStr">
        <is>
          <t>GNQ</t>
        </is>
      </c>
      <c r="C2299" t="inlineStr">
        <is>
          <t>mit.ghg.tot.2</t>
        </is>
      </c>
      <c r="D2299" t="n">
        <v>16.133</v>
      </c>
      <c r="E2299" t="n">
        <v>14.88994862</v>
      </c>
      <c r="F2299" t="n">
        <v>9.135871608</v>
      </c>
      <c r="G2299" t="n">
        <v>6.523884915</v>
      </c>
      <c r="H2299" t="n">
        <v>3.896416521</v>
      </c>
    </row>
    <row r="2300">
      <c r="A2300" t="inlineStr">
        <is>
          <t>GRC|mit.ghg.tot.2</t>
        </is>
      </c>
      <c r="B2300" t="inlineStr">
        <is>
          <t>GRC</t>
        </is>
      </c>
      <c r="C2300" t="inlineStr">
        <is>
          <t>mit.ghg.tot.2</t>
        </is>
      </c>
      <c r="D2300" t="n">
        <v>91.748</v>
      </c>
      <c r="E2300" t="n">
        <v>88.55479810999999</v>
      </c>
      <c r="F2300" t="n">
        <v>69.13790121</v>
      </c>
      <c r="G2300" t="n">
        <v>35.91508648</v>
      </c>
      <c r="H2300" t="n">
        <v>14.83162855</v>
      </c>
    </row>
    <row r="2301">
      <c r="A2301" t="inlineStr">
        <is>
          <t>GRD|mit.ghg.tot.2</t>
        </is>
      </c>
      <c r="B2301" t="inlineStr">
        <is>
          <t>GRD</t>
        </is>
      </c>
      <c r="C2301" t="inlineStr">
        <is>
          <t>mit.ghg.tot.2</t>
        </is>
      </c>
      <c r="D2301" t="n">
        <v>0.5818259461</v>
      </c>
      <c r="E2301" t="n">
        <v>0.5860681043</v>
      </c>
      <c r="F2301" t="n">
        <v>0.560826961</v>
      </c>
      <c r="G2301" t="n">
        <v>0.3773777331</v>
      </c>
      <c r="H2301" t="n">
        <v>0.1234711049</v>
      </c>
    </row>
    <row r="2302">
      <c r="A2302" t="inlineStr">
        <is>
          <t>GTM|mit.ghg.tot.2</t>
        </is>
      </c>
      <c r="B2302" t="inlineStr">
        <is>
          <t>GTM</t>
        </is>
      </c>
      <c r="C2302" t="inlineStr">
        <is>
          <t>mit.ghg.tot.2</t>
        </is>
      </c>
      <c r="D2302" t="n">
        <v>53.762</v>
      </c>
      <c r="E2302" t="n">
        <v>51.78959683</v>
      </c>
      <c r="F2302" t="n">
        <v>40.78682552</v>
      </c>
      <c r="G2302" t="n">
        <v>28.36460827</v>
      </c>
      <c r="H2302" t="n">
        <v>15.1941082</v>
      </c>
    </row>
    <row r="2303">
      <c r="A2303" t="inlineStr">
        <is>
          <t>GUY|mit.ghg.tot.2</t>
        </is>
      </c>
      <c r="B2303" t="inlineStr">
        <is>
          <t>GUY</t>
        </is>
      </c>
      <c r="C2303" t="inlineStr">
        <is>
          <t>mit.ghg.tot.2</t>
        </is>
      </c>
      <c r="D2303" t="n">
        <v>21.47124684</v>
      </c>
      <c r="E2303" t="n">
        <v>19.70414193</v>
      </c>
      <c r="F2303" t="n">
        <v>10.47522468</v>
      </c>
      <c r="G2303" t="n">
        <v>9.27101278</v>
      </c>
      <c r="H2303" t="n">
        <v>4.087891454</v>
      </c>
    </row>
    <row r="2304">
      <c r="A2304" t="inlineStr">
        <is>
          <t>HKG|mit.ghg.tot.2</t>
        </is>
      </c>
      <c r="B2304" t="inlineStr">
        <is>
          <t>HKG</t>
        </is>
      </c>
      <c r="C2304" t="inlineStr">
        <is>
          <t>mit.ghg.tot.2</t>
        </is>
      </c>
      <c r="D2304" t="n">
        <v>47.0750993</v>
      </c>
      <c r="E2304" t="n">
        <v>45.01974582</v>
      </c>
      <c r="F2304" t="n">
        <v>30.74196002</v>
      </c>
      <c r="G2304" t="n">
        <v>9.775948561</v>
      </c>
      <c r="H2304" t="n">
        <v>4.537180588</v>
      </c>
    </row>
    <row r="2305">
      <c r="A2305" t="inlineStr">
        <is>
          <t>HND|mit.ghg.tot.2</t>
        </is>
      </c>
      <c r="B2305" t="inlineStr">
        <is>
          <t>HND</t>
        </is>
      </c>
      <c r="C2305" t="inlineStr">
        <is>
          <t>mit.ghg.tot.2</t>
        </is>
      </c>
      <c r="D2305" t="n">
        <v>33.489</v>
      </c>
      <c r="E2305" t="n">
        <v>31.55001575</v>
      </c>
      <c r="F2305" t="n">
        <v>21.25857705</v>
      </c>
      <c r="G2305" t="n">
        <v>15.01953435</v>
      </c>
      <c r="H2305" t="n">
        <v>7.948182438</v>
      </c>
    </row>
    <row r="2306">
      <c r="A2306" t="inlineStr">
        <is>
          <t>HRV|mit.ghg.tot.2</t>
        </is>
      </c>
      <c r="B2306" t="inlineStr">
        <is>
          <t>HRV</t>
        </is>
      </c>
      <c r="C2306" t="inlineStr">
        <is>
          <t>mit.ghg.tot.2</t>
        </is>
      </c>
      <c r="D2306" t="n">
        <v>26.337</v>
      </c>
      <c r="E2306" t="n">
        <v>25.51878965</v>
      </c>
      <c r="F2306" t="n">
        <v>20.24337403</v>
      </c>
      <c r="G2306" t="n">
        <v>10.95186938</v>
      </c>
      <c r="H2306" t="n">
        <v>4.938577801</v>
      </c>
    </row>
    <row r="2307">
      <c r="A2307" t="inlineStr">
        <is>
          <t>HTI|mit.ghg.tot.2</t>
        </is>
      </c>
      <c r="B2307" t="inlineStr">
        <is>
          <t>HTI</t>
        </is>
      </c>
      <c r="C2307" t="inlineStr">
        <is>
          <t>mit.ghg.tot.2</t>
        </is>
      </c>
      <c r="D2307" t="n">
        <v>15.32050381</v>
      </c>
      <c r="E2307" t="n">
        <v>14.54335149</v>
      </c>
      <c r="F2307" t="n">
        <v>10.78739714</v>
      </c>
      <c r="G2307" t="n">
        <v>8.126478284999999</v>
      </c>
      <c r="H2307" t="n">
        <v>5.201858859</v>
      </c>
    </row>
    <row r="2308">
      <c r="A2308" t="inlineStr">
        <is>
          <t>HUN|mit.ghg.tot.2</t>
        </is>
      </c>
      <c r="B2308" t="inlineStr">
        <is>
          <t>HUN</t>
        </is>
      </c>
      <c r="C2308" t="inlineStr">
        <is>
          <t>mit.ghg.tot.2</t>
        </is>
      </c>
      <c r="D2308" t="n">
        <v>65.467</v>
      </c>
      <c r="E2308" t="n">
        <v>63.02468754</v>
      </c>
      <c r="F2308" t="n">
        <v>51.10647246</v>
      </c>
      <c r="G2308" t="n">
        <v>29.73127291</v>
      </c>
      <c r="H2308" t="n">
        <v>13.06916151</v>
      </c>
    </row>
    <row r="2309">
      <c r="A2309" t="inlineStr">
        <is>
          <t>IDN|mit.ghg.tot.2</t>
        </is>
      </c>
      <c r="B2309" t="inlineStr">
        <is>
          <t>IDN</t>
        </is>
      </c>
      <c r="C2309" t="inlineStr">
        <is>
          <t>mit.ghg.tot.2</t>
        </is>
      </c>
      <c r="D2309" t="n">
        <v>1416.823</v>
      </c>
      <c r="E2309" t="n">
        <v>1367.346445</v>
      </c>
      <c r="F2309" t="n">
        <v>1088.044185</v>
      </c>
      <c r="G2309" t="n">
        <v>780.6774574999999</v>
      </c>
      <c r="H2309" t="n">
        <v>367.5397344</v>
      </c>
    </row>
    <row r="2310">
      <c r="A2310" t="inlineStr">
        <is>
          <t>IND|mit.ghg.tot.2</t>
        </is>
      </c>
      <c r="B2310" t="inlineStr">
        <is>
          <t>IND</t>
        </is>
      </c>
      <c r="C2310" t="inlineStr">
        <is>
          <t>mit.ghg.tot.2</t>
        </is>
      </c>
      <c r="D2310" t="n">
        <v>4131.845</v>
      </c>
      <c r="E2310" t="n">
        <v>4126.19492</v>
      </c>
      <c r="F2310" t="n">
        <v>3882.648197</v>
      </c>
      <c r="G2310" t="n">
        <v>2659.753719</v>
      </c>
      <c r="H2310" t="n">
        <v>1010.269904</v>
      </c>
    </row>
    <row r="2311">
      <c r="A2311" t="inlineStr">
        <is>
          <t>IRL|mit.ghg.tot.2</t>
        </is>
      </c>
      <c r="B2311" t="inlineStr">
        <is>
          <t>IRL</t>
        </is>
      </c>
      <c r="C2311" t="inlineStr">
        <is>
          <t>mit.ghg.tot.2</t>
        </is>
      </c>
      <c r="D2311" t="n">
        <v>73.70999999999999</v>
      </c>
      <c r="E2311" t="n">
        <v>72.13563191999999</v>
      </c>
      <c r="F2311" t="n">
        <v>51.80239643</v>
      </c>
      <c r="G2311" t="n">
        <v>28.74153571</v>
      </c>
      <c r="H2311" t="n">
        <v>13.95204887</v>
      </c>
    </row>
    <row r="2312">
      <c r="A2312" t="inlineStr">
        <is>
          <t>IRN|mit.ghg.tot.2</t>
        </is>
      </c>
      <c r="B2312" t="inlineStr">
        <is>
          <t>IRN</t>
        </is>
      </c>
      <c r="C2312" t="inlineStr">
        <is>
          <t>mit.ghg.tot.2</t>
        </is>
      </c>
      <c r="D2312" t="n">
        <v>1024.852</v>
      </c>
      <c r="E2312" t="n">
        <v>987.6593942</v>
      </c>
      <c r="F2312" t="n">
        <v>721.6729368</v>
      </c>
      <c r="G2312" t="n">
        <v>418.7376847</v>
      </c>
      <c r="H2312" t="n">
        <v>165.2688244</v>
      </c>
    </row>
    <row r="2313">
      <c r="A2313" t="inlineStr">
        <is>
          <t>IRQ|mit.ghg.tot.2</t>
        </is>
      </c>
      <c r="B2313" t="inlineStr">
        <is>
          <t>IRQ</t>
        </is>
      </c>
      <c r="C2313" t="inlineStr">
        <is>
          <t>mit.ghg.tot.2</t>
        </is>
      </c>
      <c r="D2313" t="n">
        <v>351.508</v>
      </c>
      <c r="E2313" t="n">
        <v>338.89733</v>
      </c>
      <c r="F2313" t="n">
        <v>248.1458612</v>
      </c>
      <c r="G2313" t="n">
        <v>162.1768796</v>
      </c>
      <c r="H2313" t="n">
        <v>88.12909737</v>
      </c>
    </row>
    <row r="2314">
      <c r="A2314" t="inlineStr">
        <is>
          <t>ISL|mit.ghg.tot.2</t>
        </is>
      </c>
      <c r="B2314" t="inlineStr">
        <is>
          <t>ISL</t>
        </is>
      </c>
      <c r="C2314" t="inlineStr">
        <is>
          <t>mit.ghg.tot.2</t>
        </is>
      </c>
      <c r="D2314" t="n">
        <v>13.867</v>
      </c>
      <c r="E2314" t="n">
        <v>12.209413</v>
      </c>
      <c r="F2314" t="n">
        <v>3.878869227</v>
      </c>
      <c r="G2314" t="n">
        <v>2.323994149</v>
      </c>
      <c r="H2314" t="n">
        <v>0.9324819814999999</v>
      </c>
    </row>
    <row r="2315">
      <c r="A2315" t="inlineStr">
        <is>
          <t>ISR|mit.ghg.tot.2</t>
        </is>
      </c>
      <c r="B2315" t="inlineStr">
        <is>
          <t>ISR</t>
        </is>
      </c>
      <c r="C2315" t="inlineStr">
        <is>
          <t>mit.ghg.tot.2</t>
        </is>
      </c>
      <c r="D2315" t="n">
        <v>91.06699999999999</v>
      </c>
      <c r="E2315" t="n">
        <v>87.48644523</v>
      </c>
      <c r="F2315" t="n">
        <v>66.52437931</v>
      </c>
      <c r="G2315" t="n">
        <v>32.99423742</v>
      </c>
      <c r="H2315" t="n">
        <v>16.89577041</v>
      </c>
    </row>
    <row r="2316">
      <c r="A2316" t="inlineStr">
        <is>
          <t>ITA|mit.ghg.tot.2</t>
        </is>
      </c>
      <c r="B2316" t="inlineStr">
        <is>
          <t>ITA</t>
        </is>
      </c>
      <c r="C2316" t="inlineStr">
        <is>
          <t>mit.ghg.tot.2</t>
        </is>
      </c>
      <c r="D2316" t="n">
        <v>447.538</v>
      </c>
      <c r="E2316" t="n">
        <v>429.4666387</v>
      </c>
      <c r="F2316" t="n">
        <v>328.2703804</v>
      </c>
      <c r="G2316" t="n">
        <v>160.1110776</v>
      </c>
      <c r="H2316" t="n">
        <v>63.41355934</v>
      </c>
    </row>
    <row r="2317">
      <c r="A2317" t="inlineStr">
        <is>
          <t>JAM|mit.ghg.tot.2</t>
        </is>
      </c>
      <c r="B2317" t="inlineStr">
        <is>
          <t>JAM</t>
        </is>
      </c>
      <c r="C2317" t="inlineStr">
        <is>
          <t>mit.ghg.tot.2</t>
        </is>
      </c>
      <c r="D2317" t="n">
        <v>10.04412373</v>
      </c>
      <c r="E2317" t="n">
        <v>9.765092787</v>
      </c>
      <c r="F2317" t="n">
        <v>8.014884229</v>
      </c>
      <c r="G2317" t="n">
        <v>5.069899772</v>
      </c>
      <c r="H2317" t="n">
        <v>2.057835462</v>
      </c>
    </row>
    <row r="2318">
      <c r="A2318" t="inlineStr">
        <is>
          <t>JOR|mit.ghg.tot.2</t>
        </is>
      </c>
      <c r="B2318" t="inlineStr">
        <is>
          <t>JOR</t>
        </is>
      </c>
      <c r="C2318" t="inlineStr">
        <is>
          <t>mit.ghg.tot.2</t>
        </is>
      </c>
      <c r="D2318" t="n">
        <v>36.495</v>
      </c>
      <c r="E2318" t="n">
        <v>35.61643177</v>
      </c>
      <c r="F2318" t="n">
        <v>30.46824328</v>
      </c>
      <c r="G2318" t="n">
        <v>19.22512332</v>
      </c>
      <c r="H2318" t="n">
        <v>8.135155398</v>
      </c>
    </row>
    <row r="2319">
      <c r="A2319" t="inlineStr">
        <is>
          <t>JPN|mit.ghg.tot.2</t>
        </is>
      </c>
      <c r="B2319" t="inlineStr">
        <is>
          <t>JPN</t>
        </is>
      </c>
      <c r="C2319" t="inlineStr">
        <is>
          <t>mit.ghg.tot.2</t>
        </is>
      </c>
      <c r="D2319" t="n">
        <v>1316.091</v>
      </c>
      <c r="E2319" t="n">
        <v>1261.282881</v>
      </c>
      <c r="F2319" t="n">
        <v>925.1890399</v>
      </c>
      <c r="G2319" t="n">
        <v>377.1642375</v>
      </c>
      <c r="H2319" t="n">
        <v>120.7745417</v>
      </c>
    </row>
    <row r="2320">
      <c r="A2320" t="inlineStr">
        <is>
          <t>KAZ|mit.ghg.tot.2</t>
        </is>
      </c>
      <c r="B2320" t="inlineStr">
        <is>
          <t>KAZ</t>
        </is>
      </c>
      <c r="C2320" t="inlineStr">
        <is>
          <t>mit.ghg.tot.2</t>
        </is>
      </c>
      <c r="D2320" t="n">
        <v>322.744</v>
      </c>
      <c r="E2320" t="n">
        <v>321.8924347</v>
      </c>
      <c r="F2320" t="n">
        <v>294.5346907</v>
      </c>
      <c r="G2320" t="n">
        <v>199.7457008</v>
      </c>
      <c r="H2320" t="n">
        <v>73.40470275</v>
      </c>
    </row>
    <row r="2321">
      <c r="A2321" t="inlineStr">
        <is>
          <t>KEN|mit.ghg.tot.2</t>
        </is>
      </c>
      <c r="B2321" t="inlineStr">
        <is>
          <t>KEN</t>
        </is>
      </c>
      <c r="C2321" t="inlineStr">
        <is>
          <t>mit.ghg.tot.2</t>
        </is>
      </c>
      <c r="D2321" t="n">
        <v>119.389</v>
      </c>
      <c r="E2321" t="n">
        <v>114.5616167</v>
      </c>
      <c r="F2321" t="n">
        <v>89.16427318</v>
      </c>
      <c r="G2321" t="n">
        <v>67.64306483999999</v>
      </c>
      <c r="H2321" t="n">
        <v>45.44664023</v>
      </c>
    </row>
    <row r="2322">
      <c r="A2322" t="inlineStr">
        <is>
          <t>KGZ|mit.ghg.tot.2</t>
        </is>
      </c>
      <c r="B2322" t="inlineStr">
        <is>
          <t>KGZ</t>
        </is>
      </c>
      <c r="C2322" t="inlineStr">
        <is>
          <t>mit.ghg.tot.2</t>
        </is>
      </c>
      <c r="D2322" t="n">
        <v>22.672</v>
      </c>
      <c r="E2322" t="n">
        <v>22.25010742</v>
      </c>
      <c r="F2322" t="n">
        <v>18.07315929</v>
      </c>
      <c r="G2322" t="n">
        <v>12.49008743</v>
      </c>
      <c r="H2322" t="n">
        <v>7.148117886</v>
      </c>
    </row>
    <row r="2323">
      <c r="A2323" t="inlineStr">
        <is>
          <t>KHM|mit.ghg.tot.2</t>
        </is>
      </c>
      <c r="B2323" t="inlineStr">
        <is>
          <t>KHM</t>
        </is>
      </c>
      <c r="C2323" t="inlineStr">
        <is>
          <t>mit.ghg.tot.2</t>
        </is>
      </c>
      <c r="D2323" t="n">
        <v>84.73636614</v>
      </c>
      <c r="E2323" t="n">
        <v>77.88164317</v>
      </c>
      <c r="F2323" t="n">
        <v>42.20567992</v>
      </c>
      <c r="G2323" t="n">
        <v>30.45689424</v>
      </c>
      <c r="H2323" t="n">
        <v>17.31166019</v>
      </c>
    </row>
    <row r="2324">
      <c r="A2324" t="inlineStr">
        <is>
          <t>KNA|mit.ghg.tot.2</t>
        </is>
      </c>
      <c r="B2324" t="inlineStr">
        <is>
          <t>KNA</t>
        </is>
      </c>
      <c r="C2324" t="inlineStr">
        <is>
          <t>mit.ghg.tot.2</t>
        </is>
      </c>
      <c r="D2324" t="n">
        <v>0.7058460644</v>
      </c>
      <c r="E2324" t="n">
        <v>0.7028985644</v>
      </c>
      <c r="F2324" t="n">
        <v>0.6708940619</v>
      </c>
      <c r="G2324" t="n">
        <v>0.4294880288</v>
      </c>
      <c r="H2324" t="n">
        <v>0.1326271052</v>
      </c>
    </row>
    <row r="2325">
      <c r="A2325" t="inlineStr">
        <is>
          <t>KOR|mit.ghg.tot.2</t>
        </is>
      </c>
      <c r="B2325" t="inlineStr">
        <is>
          <t>KOR</t>
        </is>
      </c>
      <c r="C2325" t="inlineStr">
        <is>
          <t>mit.ghg.tot.2</t>
        </is>
      </c>
      <c r="D2325" t="n">
        <v>825.612</v>
      </c>
      <c r="E2325" t="n">
        <v>790.5623765</v>
      </c>
      <c r="F2325" t="n">
        <v>598.6343222</v>
      </c>
      <c r="G2325" t="n">
        <v>254.4513139</v>
      </c>
      <c r="H2325" t="n">
        <v>84.69379746</v>
      </c>
    </row>
    <row r="2326">
      <c r="A2326" t="inlineStr">
        <is>
          <t>KWT|mit.ghg.tot.2</t>
        </is>
      </c>
      <c r="B2326" t="inlineStr">
        <is>
          <t>KWT</t>
        </is>
      </c>
      <c r="C2326" t="inlineStr">
        <is>
          <t>mit.ghg.tot.2</t>
        </is>
      </c>
      <c r="D2326" t="n">
        <v>184.7446653</v>
      </c>
      <c r="E2326" t="n">
        <v>182.2030112</v>
      </c>
      <c r="F2326" t="n">
        <v>147.1463628</v>
      </c>
      <c r="G2326" t="n">
        <v>88.02042118999999</v>
      </c>
      <c r="H2326" t="n">
        <v>36.40425482</v>
      </c>
    </row>
    <row r="2327">
      <c r="A2327" t="inlineStr">
        <is>
          <t>LAO|mit.ghg.tot.2</t>
        </is>
      </c>
      <c r="B2327" t="inlineStr">
        <is>
          <t>LAO</t>
        </is>
      </c>
      <c r="C2327" t="inlineStr">
        <is>
          <t>mit.ghg.tot.2</t>
        </is>
      </c>
      <c r="D2327" t="n">
        <v>53.894</v>
      </c>
      <c r="E2327" t="n">
        <v>49.64037251</v>
      </c>
      <c r="F2327" t="n">
        <v>28.16059349</v>
      </c>
      <c r="G2327" t="n">
        <v>19.61013856</v>
      </c>
      <c r="H2327" t="n">
        <v>10.96292011</v>
      </c>
    </row>
    <row r="2328">
      <c r="A2328" t="inlineStr">
        <is>
          <t>LBN|mit.ghg.tot.2</t>
        </is>
      </c>
      <c r="B2328" t="inlineStr">
        <is>
          <t>LBN</t>
        </is>
      </c>
      <c r="C2328" t="inlineStr">
        <is>
          <t>mit.ghg.tot.2</t>
        </is>
      </c>
      <c r="D2328" t="n">
        <v>46.29</v>
      </c>
      <c r="E2328" t="n">
        <v>45.96003627</v>
      </c>
      <c r="F2328" t="n">
        <v>41.74115881</v>
      </c>
      <c r="G2328" t="n">
        <v>28.42506567</v>
      </c>
      <c r="H2328" t="n">
        <v>11.79448649</v>
      </c>
    </row>
    <row r="2329">
      <c r="A2329" t="inlineStr">
        <is>
          <t>LBR|mit.ghg.tot.2</t>
        </is>
      </c>
      <c r="B2329" t="inlineStr">
        <is>
          <t>LBR</t>
        </is>
      </c>
      <c r="C2329" t="inlineStr">
        <is>
          <t>mit.ghg.tot.2</t>
        </is>
      </c>
      <c r="D2329" t="n">
        <v>18.246</v>
      </c>
      <c r="E2329" t="n">
        <v>15.92821174</v>
      </c>
      <c r="F2329" t="n">
        <v>4.262692267</v>
      </c>
      <c r="G2329" t="n">
        <v>3.204549951</v>
      </c>
      <c r="H2329" t="n">
        <v>1.956364763</v>
      </c>
    </row>
    <row r="2330">
      <c r="A2330" t="inlineStr">
        <is>
          <t>LBY|mit.ghg.tot.2</t>
        </is>
      </c>
      <c r="B2330" t="inlineStr">
        <is>
          <t>LBY</t>
        </is>
      </c>
      <c r="C2330" t="inlineStr">
        <is>
          <t>mit.ghg.tot.2</t>
        </is>
      </c>
      <c r="D2330" t="n">
        <v>108.974</v>
      </c>
      <c r="E2330" t="n">
        <v>112.5133117</v>
      </c>
      <c r="F2330" t="n">
        <v>106.5897839</v>
      </c>
      <c r="G2330" t="n">
        <v>75.80708211</v>
      </c>
      <c r="H2330" t="n">
        <v>32.15557201</v>
      </c>
    </row>
    <row r="2331">
      <c r="A2331" t="inlineStr">
        <is>
          <t>LCA|mit.ghg.tot.2</t>
        </is>
      </c>
      <c r="B2331" t="inlineStr">
        <is>
          <t>LCA</t>
        </is>
      </c>
      <c r="C2331" t="inlineStr">
        <is>
          <t>mit.ghg.tot.2</t>
        </is>
      </c>
      <c r="D2331" t="n">
        <v>1.008347719</v>
      </c>
      <c r="E2331" t="n">
        <v>0.9912508717</v>
      </c>
      <c r="F2331" t="n">
        <v>0.8899603812</v>
      </c>
      <c r="G2331" t="n">
        <v>0.5763768512</v>
      </c>
      <c r="H2331" t="n">
        <v>0.2079802583</v>
      </c>
    </row>
    <row r="2332">
      <c r="A2332" t="inlineStr">
        <is>
          <t>LKA|mit.ghg.tot.2</t>
        </is>
      </c>
      <c r="B2332" t="inlineStr">
        <is>
          <t>LKA</t>
        </is>
      </c>
      <c r="C2332" t="inlineStr">
        <is>
          <t>mit.ghg.tot.2</t>
        </is>
      </c>
      <c r="D2332" t="n">
        <v>41.94789409</v>
      </c>
      <c r="E2332" t="n">
        <v>40.52277313</v>
      </c>
      <c r="F2332" t="n">
        <v>32.77045181</v>
      </c>
      <c r="G2332" t="n">
        <v>22.68097437</v>
      </c>
      <c r="H2332" t="n">
        <v>11.60341452</v>
      </c>
    </row>
    <row r="2333">
      <c r="A2333" t="inlineStr">
        <is>
          <t>LSO|mit.ghg.tot.2</t>
        </is>
      </c>
      <c r="B2333" t="inlineStr">
        <is>
          <t>LSO</t>
        </is>
      </c>
      <c r="C2333" t="inlineStr">
        <is>
          <t>mit.ghg.tot.2</t>
        </is>
      </c>
      <c r="D2333" t="n">
        <v>6.80587711</v>
      </c>
      <c r="E2333" t="n">
        <v>6.667945254</v>
      </c>
      <c r="F2333" t="n">
        <v>5.81555452</v>
      </c>
      <c r="G2333" t="n">
        <v>4.181820713</v>
      </c>
      <c r="H2333" t="n">
        <v>1.936399125</v>
      </c>
    </row>
    <row r="2334">
      <c r="A2334" t="inlineStr">
        <is>
          <t>LTU|mit.ghg.tot.2</t>
        </is>
      </c>
      <c r="B2334" t="inlineStr">
        <is>
          <t>LTU</t>
        </is>
      </c>
      <c r="C2334" t="inlineStr">
        <is>
          <t>mit.ghg.tot.2</t>
        </is>
      </c>
      <c r="D2334" t="n">
        <v>21.85</v>
      </c>
      <c r="E2334" t="n">
        <v>21.19036078</v>
      </c>
      <c r="F2334" t="n">
        <v>17.18025036</v>
      </c>
      <c r="G2334" t="n">
        <v>9.768110050000001</v>
      </c>
      <c r="H2334" t="n">
        <v>4.422229893</v>
      </c>
    </row>
    <row r="2335">
      <c r="A2335" t="inlineStr">
        <is>
          <t>LUX|mit.ghg.tot.2</t>
        </is>
      </c>
      <c r="B2335" t="inlineStr">
        <is>
          <t>LUX</t>
        </is>
      </c>
      <c r="C2335" t="inlineStr">
        <is>
          <t>mit.ghg.tot.2</t>
        </is>
      </c>
      <c r="D2335" t="n">
        <v>8.861000000000001</v>
      </c>
      <c r="E2335" t="n">
        <v>8.530161096</v>
      </c>
      <c r="F2335" t="n">
        <v>6.800032168</v>
      </c>
      <c r="G2335" t="n">
        <v>3.503861256</v>
      </c>
      <c r="H2335" t="n">
        <v>1.347084</v>
      </c>
    </row>
    <row r="2336">
      <c r="A2336" t="inlineStr">
        <is>
          <t>LVA|mit.ghg.tot.2</t>
        </is>
      </c>
      <c r="B2336" t="inlineStr">
        <is>
          <t>LVA</t>
        </is>
      </c>
      <c r="C2336" t="inlineStr">
        <is>
          <t>mit.ghg.tot.2</t>
        </is>
      </c>
      <c r="D2336" t="n">
        <v>12.693</v>
      </c>
      <c r="E2336" t="n">
        <v>12.02457796</v>
      </c>
      <c r="F2336" t="n">
        <v>8.347357908999999</v>
      </c>
      <c r="G2336" t="n">
        <v>4.693420438</v>
      </c>
      <c r="H2336" t="n">
        <v>2.238304928</v>
      </c>
    </row>
    <row r="2337">
      <c r="A2337" t="inlineStr">
        <is>
          <t>MAC|mit.ghg.tot.2</t>
        </is>
      </c>
      <c r="B2337" t="inlineStr">
        <is>
          <t>MAC</t>
        </is>
      </c>
      <c r="C2337" t="inlineStr">
        <is>
          <t>mit.ghg.tot.2</t>
        </is>
      </c>
      <c r="D2337" t="n">
        <v>2.695576093</v>
      </c>
      <c r="E2337" t="n">
        <v>2.589193858</v>
      </c>
      <c r="F2337" t="n">
        <v>1.747465742</v>
      </c>
      <c r="G2337" t="n">
        <v>0.4927523371</v>
      </c>
      <c r="H2337" t="n">
        <v>0.1876862458</v>
      </c>
    </row>
    <row r="2338">
      <c r="A2338" t="inlineStr">
        <is>
          <t>MAR|mit.ghg.tot.2</t>
        </is>
      </c>
      <c r="B2338" t="inlineStr">
        <is>
          <t>MAR</t>
        </is>
      </c>
      <c r="C2338" t="inlineStr">
        <is>
          <t>mit.ghg.tot.2</t>
        </is>
      </c>
      <c r="D2338" t="n">
        <v>104.079</v>
      </c>
      <c r="E2338" t="n">
        <v>102.1780493</v>
      </c>
      <c r="F2338" t="n">
        <v>90.10263095000001</v>
      </c>
      <c r="G2338" t="n">
        <v>62.2612809</v>
      </c>
      <c r="H2338" t="n">
        <v>27.41769119</v>
      </c>
    </row>
    <row r="2339">
      <c r="A2339" t="inlineStr">
        <is>
          <t>MDA|mit.ghg.tot.2</t>
        </is>
      </c>
      <c r="B2339" t="inlineStr">
        <is>
          <t>MDA</t>
        </is>
      </c>
      <c r="C2339" t="inlineStr">
        <is>
          <t>mit.ghg.tot.2</t>
        </is>
      </c>
      <c r="D2339" t="n">
        <v>14.178</v>
      </c>
      <c r="E2339" t="n">
        <v>13.82719791</v>
      </c>
      <c r="F2339" t="n">
        <v>11.7089993</v>
      </c>
      <c r="G2339" t="n">
        <v>7.820502337</v>
      </c>
      <c r="H2339" t="n">
        <v>3.283738617</v>
      </c>
    </row>
    <row r="2340">
      <c r="A2340" t="inlineStr">
        <is>
          <t>MDG|mit.ghg.tot.2</t>
        </is>
      </c>
      <c r="B2340" t="inlineStr">
        <is>
          <t>MDG</t>
        </is>
      </c>
      <c r="C2340" t="inlineStr">
        <is>
          <t>mit.ghg.tot.2</t>
        </is>
      </c>
      <c r="D2340" t="n">
        <v>48.36041459</v>
      </c>
      <c r="E2340" t="n">
        <v>45.06123507</v>
      </c>
      <c r="F2340" t="n">
        <v>28.53427884</v>
      </c>
      <c r="G2340" t="n">
        <v>21.87803187</v>
      </c>
      <c r="H2340" t="n">
        <v>14.77035544</v>
      </c>
    </row>
    <row r="2341">
      <c r="A2341" t="inlineStr">
        <is>
          <t>MDV|mit.ghg.tot.2</t>
        </is>
      </c>
      <c r="B2341" t="inlineStr">
        <is>
          <t>MDV</t>
        </is>
      </c>
      <c r="C2341" t="inlineStr">
        <is>
          <t>mit.ghg.tot.2</t>
        </is>
      </c>
      <c r="D2341" t="n">
        <v>3.698208539</v>
      </c>
      <c r="E2341" t="n">
        <v>3.734392257</v>
      </c>
      <c r="F2341" t="n">
        <v>3.532764865</v>
      </c>
      <c r="G2341" t="n">
        <v>2.304896511</v>
      </c>
      <c r="H2341" t="n">
        <v>0.7713446706</v>
      </c>
    </row>
    <row r="2342">
      <c r="A2342" t="inlineStr">
        <is>
          <t>MEX|mit.ghg.tot.2</t>
        </is>
      </c>
      <c r="B2342" t="inlineStr">
        <is>
          <t>MEX</t>
        </is>
      </c>
      <c r="C2342" t="inlineStr">
        <is>
          <t>mit.ghg.tot.2</t>
        </is>
      </c>
      <c r="D2342" t="n">
        <v>959.826</v>
      </c>
      <c r="E2342" t="n">
        <v>925.3202733000001</v>
      </c>
      <c r="F2342" t="n">
        <v>758.5247846</v>
      </c>
      <c r="G2342" t="n">
        <v>509.7210855</v>
      </c>
      <c r="H2342" t="n">
        <v>248.2155621</v>
      </c>
    </row>
    <row r="2343">
      <c r="A2343" t="inlineStr">
        <is>
          <t>MKD|mit.ghg.tot.2</t>
        </is>
      </c>
      <c r="B2343" t="inlineStr">
        <is>
          <t>MKD</t>
        </is>
      </c>
      <c r="C2343" t="inlineStr">
        <is>
          <t>mit.ghg.tot.2</t>
        </is>
      </c>
      <c r="D2343" t="n">
        <v>12.22</v>
      </c>
      <c r="E2343" t="n">
        <v>11.97683738</v>
      </c>
      <c r="F2343" t="n">
        <v>10.38714212</v>
      </c>
      <c r="G2343" t="n">
        <v>6.718412175</v>
      </c>
      <c r="H2343" t="n">
        <v>2.953721534</v>
      </c>
    </row>
    <row r="2344">
      <c r="A2344" t="inlineStr">
        <is>
          <t>MLI|mit.ghg.tot.2</t>
        </is>
      </c>
      <c r="B2344" t="inlineStr">
        <is>
          <t>MLI</t>
        </is>
      </c>
      <c r="C2344" t="inlineStr">
        <is>
          <t>mit.ghg.tot.2</t>
        </is>
      </c>
      <c r="D2344" t="n">
        <v>55.06081625</v>
      </c>
      <c r="E2344" t="n">
        <v>53.03840886</v>
      </c>
      <c r="F2344" t="n">
        <v>42.70397299</v>
      </c>
      <c r="G2344" t="n">
        <v>32.97947469</v>
      </c>
      <c r="H2344" t="n">
        <v>20.50564515</v>
      </c>
    </row>
    <row r="2345">
      <c r="A2345" t="inlineStr">
        <is>
          <t>MLT|mit.ghg.tot.2</t>
        </is>
      </c>
      <c r="B2345" t="inlineStr">
        <is>
          <t>MLT</t>
        </is>
      </c>
      <c r="C2345" t="inlineStr">
        <is>
          <t>mit.ghg.tot.2</t>
        </is>
      </c>
      <c r="D2345" t="n">
        <v>2.658025093</v>
      </c>
      <c r="E2345" t="n">
        <v>2.562601211</v>
      </c>
      <c r="F2345" t="n">
        <v>1.901068552</v>
      </c>
      <c r="G2345" t="n">
        <v>0.7790180678</v>
      </c>
      <c r="H2345" t="n">
        <v>0.3860533933</v>
      </c>
    </row>
    <row r="2346">
      <c r="A2346" t="inlineStr">
        <is>
          <t>MMR|mit.ghg.tot.2</t>
        </is>
      </c>
      <c r="B2346" t="inlineStr">
        <is>
          <t>MMR</t>
        </is>
      </c>
      <c r="C2346" t="inlineStr">
        <is>
          <t>mit.ghg.tot.2</t>
        </is>
      </c>
      <c r="D2346" t="n">
        <v>310.039</v>
      </c>
      <c r="E2346" t="n">
        <v>279.1253556</v>
      </c>
      <c r="F2346" t="n">
        <v>129.2726014</v>
      </c>
      <c r="G2346" t="n">
        <v>97.86594372</v>
      </c>
      <c r="H2346" t="n">
        <v>62.58021423</v>
      </c>
    </row>
    <row r="2347">
      <c r="A2347" t="inlineStr">
        <is>
          <t>MNE|mit.ghg.tot.2</t>
        </is>
      </c>
      <c r="B2347" t="inlineStr">
        <is>
          <t>MNE</t>
        </is>
      </c>
      <c r="C2347" t="inlineStr">
        <is>
          <t>mit.ghg.tot.2</t>
        </is>
      </c>
      <c r="D2347" t="n">
        <v>2.312309182</v>
      </c>
      <c r="E2347" t="n">
        <v>2.242146137</v>
      </c>
      <c r="F2347" t="n">
        <v>1.788871061</v>
      </c>
      <c r="G2347" t="n">
        <v>0.7525332285</v>
      </c>
      <c r="H2347" t="n">
        <v>0.3413543001</v>
      </c>
    </row>
    <row r="2348">
      <c r="A2348" t="inlineStr">
        <is>
          <t>MNG|mit.ghg.tot.2</t>
        </is>
      </c>
      <c r="B2348" t="inlineStr">
        <is>
          <t>MNG</t>
        </is>
      </c>
      <c r="C2348" t="inlineStr">
        <is>
          <t>mit.ghg.tot.2</t>
        </is>
      </c>
      <c r="D2348" t="n">
        <v>86.509</v>
      </c>
      <c r="E2348" t="n">
        <v>81.16738262</v>
      </c>
      <c r="F2348" t="n">
        <v>52.4063082</v>
      </c>
      <c r="G2348" t="n">
        <v>37.22819341</v>
      </c>
      <c r="H2348" t="n">
        <v>19.66420868</v>
      </c>
    </row>
    <row r="2349">
      <c r="A2349" t="inlineStr">
        <is>
          <t>MOZ|mit.ghg.tot.2</t>
        </is>
      </c>
      <c r="B2349" t="inlineStr">
        <is>
          <t>MOZ</t>
        </is>
      </c>
      <c r="C2349" t="inlineStr">
        <is>
          <t>mit.ghg.tot.2</t>
        </is>
      </c>
      <c r="D2349" t="n">
        <v>104.042</v>
      </c>
      <c r="E2349" t="n">
        <v>91.50178141000001</v>
      </c>
      <c r="F2349" t="n">
        <v>28.95965932</v>
      </c>
      <c r="G2349" t="n">
        <v>21.55264814</v>
      </c>
      <c r="H2349" t="n">
        <v>14.26012459</v>
      </c>
    </row>
    <row r="2350">
      <c r="A2350" t="inlineStr">
        <is>
          <t>MRT|mit.ghg.tot.2</t>
        </is>
      </c>
      <c r="B2350" t="inlineStr">
        <is>
          <t>MRT</t>
        </is>
      </c>
      <c r="C2350" t="inlineStr">
        <is>
          <t>mit.ghg.tot.2</t>
        </is>
      </c>
      <c r="D2350" t="n">
        <v>19.12408036</v>
      </c>
      <c r="E2350" t="n">
        <v>18.55460506</v>
      </c>
      <c r="F2350" t="n">
        <v>15.48629373</v>
      </c>
      <c r="G2350" t="n">
        <v>11.83861695</v>
      </c>
      <c r="H2350" t="n">
        <v>6.867966759</v>
      </c>
    </row>
    <row r="2351">
      <c r="A2351" t="inlineStr">
        <is>
          <t>MUS|mit.ghg.tot.2</t>
        </is>
      </c>
      <c r="B2351" t="inlineStr">
        <is>
          <t>MUS</t>
        </is>
      </c>
      <c r="C2351" t="inlineStr">
        <is>
          <t>mit.ghg.tot.2</t>
        </is>
      </c>
      <c r="D2351" t="n">
        <v>6.966</v>
      </c>
      <c r="E2351" t="n">
        <v>6.798054097</v>
      </c>
      <c r="F2351" t="n">
        <v>5.844714294</v>
      </c>
      <c r="G2351" t="n">
        <v>3.571585912</v>
      </c>
      <c r="H2351" t="n">
        <v>1.353758422</v>
      </c>
    </row>
    <row r="2352">
      <c r="A2352" t="inlineStr">
        <is>
          <t>MWI|mit.ghg.tot.2</t>
        </is>
      </c>
      <c r="B2352" t="inlineStr">
        <is>
          <t>MWI</t>
        </is>
      </c>
      <c r="C2352" t="inlineStr">
        <is>
          <t>mit.ghg.tot.2</t>
        </is>
      </c>
      <c r="D2352" t="n">
        <v>29.604</v>
      </c>
      <c r="E2352" t="n">
        <v>27.30797047</v>
      </c>
      <c r="F2352" t="n">
        <v>15.76994365</v>
      </c>
      <c r="G2352" t="n">
        <v>11.65517364</v>
      </c>
      <c r="H2352" t="n">
        <v>7.505789711</v>
      </c>
    </row>
    <row r="2353">
      <c r="A2353" t="inlineStr">
        <is>
          <t>MYS|mit.ghg.tot.2</t>
        </is>
      </c>
      <c r="B2353" t="inlineStr">
        <is>
          <t>MYS</t>
        </is>
      </c>
      <c r="C2353" t="inlineStr">
        <is>
          <t>mit.ghg.tot.2</t>
        </is>
      </c>
      <c r="D2353" t="n">
        <v>409.34</v>
      </c>
      <c r="E2353" t="n">
        <v>397.8973535</v>
      </c>
      <c r="F2353" t="n">
        <v>324.9271422</v>
      </c>
      <c r="G2353" t="n">
        <v>213.9096916</v>
      </c>
      <c r="H2353" t="n">
        <v>81.15519247</v>
      </c>
    </row>
    <row r="2354">
      <c r="A2354" t="inlineStr">
        <is>
          <t>NAM|mit.ghg.tot.2</t>
        </is>
      </c>
      <c r="B2354" t="inlineStr">
        <is>
          <t>NAM</t>
        </is>
      </c>
      <c r="C2354" t="inlineStr">
        <is>
          <t>mit.ghg.tot.2</t>
        </is>
      </c>
      <c r="D2354" t="n">
        <v>23.616</v>
      </c>
      <c r="E2354" t="n">
        <v>21.4301094</v>
      </c>
      <c r="F2354" t="n">
        <v>10.35316881</v>
      </c>
      <c r="G2354" t="n">
        <v>7.635052938</v>
      </c>
      <c r="H2354" t="n">
        <v>4.848538151</v>
      </c>
    </row>
    <row r="2355">
      <c r="A2355" t="inlineStr">
        <is>
          <t>NER|mit.ghg.tot.2</t>
        </is>
      </c>
      <c r="B2355" t="inlineStr">
        <is>
          <t>NER</t>
        </is>
      </c>
      <c r="C2355" t="inlineStr">
        <is>
          <t>mit.ghg.tot.2</t>
        </is>
      </c>
      <c r="D2355" t="n">
        <v>46.64930443</v>
      </c>
      <c r="E2355" t="n">
        <v>44.42522358</v>
      </c>
      <c r="F2355" t="n">
        <v>33.12997239</v>
      </c>
      <c r="G2355" t="n">
        <v>25.77722688</v>
      </c>
      <c r="H2355" t="n">
        <v>17.65252852</v>
      </c>
    </row>
    <row r="2356">
      <c r="A2356" t="inlineStr">
        <is>
          <t>NGA|mit.ghg.tot.2</t>
        </is>
      </c>
      <c r="B2356" t="inlineStr">
        <is>
          <t>NGA</t>
        </is>
      </c>
      <c r="C2356" t="inlineStr">
        <is>
          <t>mit.ghg.tot.2</t>
        </is>
      </c>
      <c r="D2356" t="n">
        <v>468.575</v>
      </c>
      <c r="E2356" t="n">
        <v>446.2927178</v>
      </c>
      <c r="F2356" t="n">
        <v>330.5924188</v>
      </c>
      <c r="G2356" t="n">
        <v>248.3654908</v>
      </c>
      <c r="H2356" t="n">
        <v>151.3431333</v>
      </c>
    </row>
    <row r="2357">
      <c r="A2357" t="inlineStr">
        <is>
          <t>NIC|mit.ghg.tot.2</t>
        </is>
      </c>
      <c r="B2357" t="inlineStr">
        <is>
          <t>NIC</t>
        </is>
      </c>
      <c r="C2357" t="inlineStr">
        <is>
          <t>mit.ghg.tot.2</t>
        </is>
      </c>
      <c r="D2357" t="n">
        <v>41.17907489</v>
      </c>
      <c r="E2357" t="n">
        <v>37.29035857</v>
      </c>
      <c r="F2357" t="n">
        <v>17.34506289</v>
      </c>
      <c r="G2357" t="n">
        <v>13.03230506</v>
      </c>
      <c r="H2357" t="n">
        <v>8.013366347</v>
      </c>
    </row>
    <row r="2358">
      <c r="A2358" t="inlineStr">
        <is>
          <t>NLD|mit.ghg.tot.2</t>
        </is>
      </c>
      <c r="B2358" t="inlineStr">
        <is>
          <t>NLD</t>
        </is>
      </c>
      <c r="C2358" t="inlineStr">
        <is>
          <t>mit.ghg.tot.2</t>
        </is>
      </c>
      <c r="D2358" t="n">
        <v>155.8126752</v>
      </c>
      <c r="E2358" t="n">
        <v>150.044669</v>
      </c>
      <c r="F2358" t="n">
        <v>112.6057722</v>
      </c>
      <c r="G2358" t="n">
        <v>51.52755723</v>
      </c>
      <c r="H2358" t="n">
        <v>19.76904451</v>
      </c>
    </row>
    <row r="2359">
      <c r="A2359" t="inlineStr">
        <is>
          <t>NOR|mit.ghg.tot.2</t>
        </is>
      </c>
      <c r="B2359" t="inlineStr">
        <is>
          <t>NOR</t>
        </is>
      </c>
      <c r="C2359" t="inlineStr">
        <is>
          <t>mit.ghg.tot.2</t>
        </is>
      </c>
      <c r="D2359" t="n">
        <v>49.318</v>
      </c>
      <c r="E2359" t="n">
        <v>47.65269173</v>
      </c>
      <c r="F2359" t="n">
        <v>38.82308616</v>
      </c>
      <c r="G2359" t="n">
        <v>22.54265969</v>
      </c>
      <c r="H2359" t="n">
        <v>8.414274968999999</v>
      </c>
    </row>
    <row r="2360">
      <c r="A2360" t="inlineStr">
        <is>
          <t>NPL|mit.ghg.tot.2</t>
        </is>
      </c>
      <c r="B2360" t="inlineStr">
        <is>
          <t>NPL</t>
        </is>
      </c>
      <c r="C2360" t="inlineStr">
        <is>
          <t>mit.ghg.tot.2</t>
        </is>
      </c>
      <c r="D2360" t="n">
        <v>61.605</v>
      </c>
      <c r="E2360" t="n">
        <v>59.04588302</v>
      </c>
      <c r="F2360" t="n">
        <v>45.12433988</v>
      </c>
      <c r="G2360" t="n">
        <v>34.16419899</v>
      </c>
      <c r="H2360" t="n">
        <v>21.81698849</v>
      </c>
    </row>
    <row r="2361">
      <c r="A2361" t="inlineStr">
        <is>
          <t>NRU|mit.ghg.tot.2</t>
        </is>
      </c>
      <c r="B2361" t="inlineStr">
        <is>
          <t>NRU</t>
        </is>
      </c>
      <c r="C2361" t="inlineStr">
        <is>
          <t>mit.ghg.tot.2</t>
        </is>
      </c>
      <c r="D2361" t="n">
        <v>0.1322536747</v>
      </c>
      <c r="E2361" t="n">
        <v>0.1328605436</v>
      </c>
      <c r="F2361" t="n">
        <v>0.1302647339</v>
      </c>
      <c r="G2361" t="n">
        <v>0.0896680453</v>
      </c>
      <c r="H2361" t="n">
        <v>0.02887277432</v>
      </c>
    </row>
    <row r="2362">
      <c r="A2362" t="inlineStr">
        <is>
          <t>NZL|mit.ghg.tot.2</t>
        </is>
      </c>
      <c r="B2362" t="inlineStr">
        <is>
          <t>NZL</t>
        </is>
      </c>
      <c r="C2362" t="inlineStr">
        <is>
          <t>mit.ghg.tot.2</t>
        </is>
      </c>
      <c r="D2362" t="n">
        <v>75.34399999999999</v>
      </c>
      <c r="E2362" t="n">
        <v>71.97595815</v>
      </c>
      <c r="F2362" t="n">
        <v>55.51657615</v>
      </c>
      <c r="G2362" t="n">
        <v>35.41190674</v>
      </c>
      <c r="H2362" t="n">
        <v>20.90913649</v>
      </c>
    </row>
    <row r="2363">
      <c r="A2363" t="inlineStr">
        <is>
          <t>OMN|mit.ghg.tot.2</t>
        </is>
      </c>
      <c r="B2363" t="inlineStr">
        <is>
          <t>OMN</t>
        </is>
      </c>
      <c r="C2363" t="inlineStr">
        <is>
          <t>mit.ghg.tot.2</t>
        </is>
      </c>
      <c r="D2363" t="n">
        <v>145.358</v>
      </c>
      <c r="E2363" t="n">
        <v>141.7362369</v>
      </c>
      <c r="F2363" t="n">
        <v>122.8062552</v>
      </c>
      <c r="G2363" t="n">
        <v>80.32905312</v>
      </c>
      <c r="H2363" t="n">
        <v>33.58236716</v>
      </c>
    </row>
    <row r="2364">
      <c r="A2364" t="inlineStr">
        <is>
          <t>PAK|mit.ghg.tot.2</t>
        </is>
      </c>
      <c r="B2364" t="inlineStr">
        <is>
          <t>PAK</t>
        </is>
      </c>
      <c r="C2364" t="inlineStr">
        <is>
          <t>mit.ghg.tot.2</t>
        </is>
      </c>
      <c r="D2364" t="n">
        <v>546.769</v>
      </c>
      <c r="E2364" t="n">
        <v>526.1007685</v>
      </c>
      <c r="F2364" t="n">
        <v>419.2189575</v>
      </c>
      <c r="G2364" t="n">
        <v>300.0396443</v>
      </c>
      <c r="H2364" t="n">
        <v>179.760092</v>
      </c>
    </row>
    <row r="2365">
      <c r="A2365" t="inlineStr">
        <is>
          <t>PAN|mit.ghg.tot.2</t>
        </is>
      </c>
      <c r="B2365" t="inlineStr">
        <is>
          <t>PAN</t>
        </is>
      </c>
      <c r="C2365" t="inlineStr">
        <is>
          <t>mit.ghg.tot.2</t>
        </is>
      </c>
      <c r="D2365" t="n">
        <v>24.855</v>
      </c>
      <c r="E2365" t="n">
        <v>23.81548404</v>
      </c>
      <c r="F2365" t="n">
        <v>17.76093752</v>
      </c>
      <c r="G2365" t="n">
        <v>11.63516252</v>
      </c>
      <c r="H2365" t="n">
        <v>5.554816705</v>
      </c>
    </row>
    <row r="2366">
      <c r="A2366" t="inlineStr">
        <is>
          <t>PER|mit.ghg.tot.2</t>
        </is>
      </c>
      <c r="B2366" t="inlineStr">
        <is>
          <t>PER</t>
        </is>
      </c>
      <c r="C2366" t="inlineStr">
        <is>
          <t>mit.ghg.tot.2</t>
        </is>
      </c>
      <c r="D2366" t="n">
        <v>190.373</v>
      </c>
      <c r="E2366" t="n">
        <v>173.6210608</v>
      </c>
      <c r="F2366" t="n">
        <v>86.25354268</v>
      </c>
      <c r="G2366" t="n">
        <v>57.20380723</v>
      </c>
      <c r="H2366" t="n">
        <v>30.82553598</v>
      </c>
    </row>
    <row r="2367">
      <c r="A2367" t="inlineStr">
        <is>
          <t>PHL|mit.ghg.tot.2</t>
        </is>
      </c>
      <c r="B2367" t="inlineStr">
        <is>
          <t>PHL</t>
        </is>
      </c>
      <c r="C2367" t="inlineStr">
        <is>
          <t>mit.ghg.tot.2</t>
        </is>
      </c>
      <c r="D2367" t="n">
        <v>273.064</v>
      </c>
      <c r="E2367" t="n">
        <v>266.4910995</v>
      </c>
      <c r="F2367" t="n">
        <v>226.6378234</v>
      </c>
      <c r="G2367" t="n">
        <v>153.3368802</v>
      </c>
      <c r="H2367" t="n">
        <v>70.7972431</v>
      </c>
    </row>
    <row r="2368">
      <c r="A2368" t="inlineStr">
        <is>
          <t>PLW|mit.ghg.tot.2</t>
        </is>
      </c>
      <c r="B2368" t="inlineStr">
        <is>
          <t>PLW</t>
        </is>
      </c>
      <c r="C2368" t="inlineStr">
        <is>
          <t>mit.ghg.tot.2</t>
        </is>
      </c>
      <c r="D2368" t="n">
        <v>1.403</v>
      </c>
      <c r="E2368" t="n">
        <v>1.374680327</v>
      </c>
      <c r="F2368" t="n">
        <v>1.189853297</v>
      </c>
      <c r="G2368" t="n">
        <v>0.7493421823</v>
      </c>
      <c r="H2368" t="n">
        <v>0.2900878549</v>
      </c>
    </row>
    <row r="2369">
      <c r="A2369" t="inlineStr">
        <is>
          <t>PNG|mit.ghg.tot.2</t>
        </is>
      </c>
      <c r="B2369" t="inlineStr">
        <is>
          <t>PNG</t>
        </is>
      </c>
      <c r="C2369" t="inlineStr">
        <is>
          <t>mit.ghg.tot.2</t>
        </is>
      </c>
      <c r="D2369" t="n">
        <v>45.68537536</v>
      </c>
      <c r="E2369" t="n">
        <v>40.29110036</v>
      </c>
      <c r="F2369" t="n">
        <v>12.30983018</v>
      </c>
      <c r="G2369" t="n">
        <v>9.086228353999999</v>
      </c>
      <c r="H2369" t="n">
        <v>4.02297721</v>
      </c>
    </row>
    <row r="2370">
      <c r="A2370" t="inlineStr">
        <is>
          <t>POL|mit.ghg.tot.2</t>
        </is>
      </c>
      <c r="B2370" t="inlineStr">
        <is>
          <t>POL</t>
        </is>
      </c>
      <c r="C2370" t="inlineStr">
        <is>
          <t>mit.ghg.tot.2</t>
        </is>
      </c>
      <c r="D2370" t="n">
        <v>423.937</v>
      </c>
      <c r="E2370" t="n">
        <v>418.2678173</v>
      </c>
      <c r="F2370" t="n">
        <v>372.4045637</v>
      </c>
      <c r="G2370" t="n">
        <v>218.1934695</v>
      </c>
      <c r="H2370" t="n">
        <v>66.7253113</v>
      </c>
    </row>
    <row r="2371">
      <c r="A2371" t="inlineStr">
        <is>
          <t>PRI|mit.ghg.tot.2</t>
        </is>
      </c>
      <c r="B2371" t="inlineStr">
        <is>
          <t>PRI</t>
        </is>
      </c>
      <c r="C2371" t="inlineStr">
        <is>
          <t>mit.ghg.tot.2</t>
        </is>
      </c>
      <c r="D2371" t="n">
        <v>16.167</v>
      </c>
      <c r="E2371" t="n">
        <v>15.71372913</v>
      </c>
      <c r="F2371" t="n">
        <v>12.97630791</v>
      </c>
      <c r="G2371" t="n">
        <v>6.536268187</v>
      </c>
      <c r="H2371" t="n">
        <v>2.676426386</v>
      </c>
    </row>
    <row r="2372">
      <c r="A2372" t="inlineStr">
        <is>
          <t>PRT|mit.ghg.tot.2</t>
        </is>
      </c>
      <c r="B2372" t="inlineStr">
        <is>
          <t>PRT</t>
        </is>
      </c>
      <c r="C2372" t="inlineStr">
        <is>
          <t>mit.ghg.tot.2</t>
        </is>
      </c>
      <c r="D2372" t="n">
        <v>62.361</v>
      </c>
      <c r="E2372" t="n">
        <v>60.14784988</v>
      </c>
      <c r="F2372" t="n">
        <v>47.36410172</v>
      </c>
      <c r="G2372" t="n">
        <v>26.62149999</v>
      </c>
      <c r="H2372" t="n">
        <v>11.88645775</v>
      </c>
    </row>
    <row r="2373">
      <c r="A2373" t="inlineStr">
        <is>
          <t>PRY|mit.ghg.tot.2</t>
        </is>
      </c>
      <c r="B2373" t="inlineStr">
        <is>
          <t>PRY</t>
        </is>
      </c>
      <c r="C2373" t="inlineStr">
        <is>
          <t>mit.ghg.tot.2</t>
        </is>
      </c>
      <c r="D2373" t="n">
        <v>100.565</v>
      </c>
      <c r="E2373" t="n">
        <v>91.5052843</v>
      </c>
      <c r="F2373" t="n">
        <v>44.52618983</v>
      </c>
      <c r="G2373" t="n">
        <v>33.29637803</v>
      </c>
      <c r="H2373" t="n">
        <v>20.76215584</v>
      </c>
    </row>
    <row r="2374">
      <c r="A2374" t="inlineStr">
        <is>
          <t>QAT|mit.ghg.tot.2</t>
        </is>
      </c>
      <c r="B2374" t="inlineStr">
        <is>
          <t>QAT</t>
        </is>
      </c>
      <c r="C2374" t="inlineStr">
        <is>
          <t>mit.ghg.tot.2</t>
        </is>
      </c>
      <c r="D2374" t="n">
        <v>208.241</v>
      </c>
      <c r="E2374" t="n">
        <v>202.8416465</v>
      </c>
      <c r="F2374" t="n">
        <v>141.5476823</v>
      </c>
      <c r="G2374" t="n">
        <v>90.31320291999999</v>
      </c>
      <c r="H2374" t="n">
        <v>51.53771155</v>
      </c>
    </row>
    <row r="2375">
      <c r="A2375" t="inlineStr">
        <is>
          <t>ROU|mit.ghg.tot.2</t>
        </is>
      </c>
      <c r="B2375" t="inlineStr">
        <is>
          <t>ROU</t>
        </is>
      </c>
      <c r="C2375" t="inlineStr">
        <is>
          <t>mit.ghg.tot.2</t>
        </is>
      </c>
      <c r="D2375" t="n">
        <v>130.282</v>
      </c>
      <c r="E2375" t="n">
        <v>125.9910726</v>
      </c>
      <c r="F2375" t="n">
        <v>103.5534231</v>
      </c>
      <c r="G2375" t="n">
        <v>68.02419166999999</v>
      </c>
      <c r="H2375" t="n">
        <v>31.98086767</v>
      </c>
    </row>
    <row r="2376">
      <c r="A2376" t="inlineStr">
        <is>
          <t>RUS|mit.ghg.tot.2</t>
        </is>
      </c>
      <c r="B2376" t="inlineStr">
        <is>
          <t>RUS</t>
        </is>
      </c>
      <c r="C2376" t="inlineStr">
        <is>
          <t>mit.ghg.tot.2</t>
        </is>
      </c>
      <c r="D2376" t="n">
        <v>2446.295</v>
      </c>
      <c r="E2376" t="n">
        <v>2392.199359</v>
      </c>
      <c r="F2376" t="n">
        <v>2079.004802</v>
      </c>
      <c r="G2376" t="n">
        <v>1307.589345</v>
      </c>
      <c r="H2376" t="n">
        <v>447.8180258</v>
      </c>
    </row>
    <row r="2377">
      <c r="A2377" t="inlineStr">
        <is>
          <t>RWA|mit.ghg.tot.2</t>
        </is>
      </c>
      <c r="B2377" t="inlineStr">
        <is>
          <t>RWA</t>
        </is>
      </c>
      <c r="C2377" t="inlineStr">
        <is>
          <t>mit.ghg.tot.2</t>
        </is>
      </c>
      <c r="D2377" t="n">
        <v>10.949</v>
      </c>
      <c r="E2377" t="n">
        <v>10.38784604</v>
      </c>
      <c r="F2377" t="n">
        <v>7.512165235</v>
      </c>
      <c r="G2377" t="n">
        <v>5.785749832</v>
      </c>
      <c r="H2377" t="n">
        <v>3.687374163</v>
      </c>
    </row>
    <row r="2378">
      <c r="A2378" t="inlineStr">
        <is>
          <t>SAU|mit.ghg.tot.2</t>
        </is>
      </c>
      <c r="B2378" t="inlineStr">
        <is>
          <t>SAU</t>
        </is>
      </c>
      <c r="C2378" t="inlineStr">
        <is>
          <t>mit.ghg.tot.2</t>
        </is>
      </c>
      <c r="D2378" t="n">
        <v>802.3437108000001</v>
      </c>
      <c r="E2378" t="n">
        <v>797.4716922</v>
      </c>
      <c r="F2378" t="n">
        <v>714.0539707</v>
      </c>
      <c r="G2378" t="n">
        <v>426.6166626</v>
      </c>
      <c r="H2378" t="n">
        <v>142.8523849</v>
      </c>
    </row>
    <row r="2379">
      <c r="A2379" t="inlineStr">
        <is>
          <t>SDN|mit.ghg.tot.2</t>
        </is>
      </c>
      <c r="B2379" t="inlineStr">
        <is>
          <t>SDN</t>
        </is>
      </c>
      <c r="C2379" t="inlineStr">
        <is>
          <t>mit.ghg.tot.2</t>
        </is>
      </c>
      <c r="D2379" t="n">
        <v>163.544</v>
      </c>
      <c r="E2379" t="n">
        <v>153.9207503</v>
      </c>
      <c r="F2379" t="n">
        <v>103.4030007</v>
      </c>
      <c r="G2379" t="n">
        <v>77.97631256</v>
      </c>
      <c r="H2379" t="n">
        <v>54.06760732</v>
      </c>
    </row>
    <row r="2380">
      <c r="A2380" t="inlineStr">
        <is>
          <t>SEN|mit.ghg.tot.2</t>
        </is>
      </c>
      <c r="B2380" t="inlineStr">
        <is>
          <t>SEN</t>
        </is>
      </c>
      <c r="C2380" t="inlineStr">
        <is>
          <t>mit.ghg.tot.2</t>
        </is>
      </c>
      <c r="D2380" t="n">
        <v>36.347</v>
      </c>
      <c r="E2380" t="n">
        <v>34.98970953</v>
      </c>
      <c r="F2380" t="n">
        <v>25.50482218</v>
      </c>
      <c r="G2380" t="n">
        <v>18.17043425</v>
      </c>
      <c r="H2380" t="n">
        <v>9.982295773000001</v>
      </c>
    </row>
    <row r="2381">
      <c r="A2381" t="inlineStr">
        <is>
          <t>SGP|mit.ghg.tot.2</t>
        </is>
      </c>
      <c r="B2381" t="inlineStr">
        <is>
          <t>SGP</t>
        </is>
      </c>
      <c r="C2381" t="inlineStr">
        <is>
          <t>mit.ghg.tot.2</t>
        </is>
      </c>
      <c r="D2381" t="n">
        <v>74.42100000000001</v>
      </c>
      <c r="E2381" t="n">
        <v>72.54935666999999</v>
      </c>
      <c r="F2381" t="n">
        <v>56.87874179</v>
      </c>
      <c r="G2381" t="n">
        <v>29.04442682</v>
      </c>
      <c r="H2381" t="n">
        <v>12.10006339</v>
      </c>
    </row>
    <row r="2382">
      <c r="A2382" t="inlineStr">
        <is>
          <t>SLB|mit.ghg.tot.2</t>
        </is>
      </c>
      <c r="B2382" t="inlineStr">
        <is>
          <t>SLB</t>
        </is>
      </c>
      <c r="C2382" t="inlineStr">
        <is>
          <t>mit.ghg.tot.2</t>
        </is>
      </c>
      <c r="D2382" t="n">
        <v>43.8209287</v>
      </c>
      <c r="E2382" t="n">
        <v>36.61818003</v>
      </c>
      <c r="F2382" t="n">
        <v>0.5927750514</v>
      </c>
      <c r="G2382" t="n">
        <v>0.435284587</v>
      </c>
      <c r="H2382" t="n">
        <v>0.2142808684</v>
      </c>
    </row>
    <row r="2383">
      <c r="A2383" t="inlineStr">
        <is>
          <t>SLE|mit.ghg.tot.2</t>
        </is>
      </c>
      <c r="B2383" t="inlineStr">
        <is>
          <t>SLE</t>
        </is>
      </c>
      <c r="C2383" t="inlineStr">
        <is>
          <t>mit.ghg.tot.2</t>
        </is>
      </c>
      <c r="D2383" t="n">
        <v>10.8624691</v>
      </c>
      <c r="E2383" t="n">
        <v>10.03125561</v>
      </c>
      <c r="F2383" t="n">
        <v>5.822115295</v>
      </c>
      <c r="G2383" t="n">
        <v>4.545058064</v>
      </c>
      <c r="H2383" t="n">
        <v>3.056958127</v>
      </c>
    </row>
    <row r="2384">
      <c r="A2384" t="inlineStr">
        <is>
          <t>SLV|mit.ghg.tot.2</t>
        </is>
      </c>
      <c r="B2384" t="inlineStr">
        <is>
          <t>SLV</t>
        </is>
      </c>
      <c r="C2384" t="inlineStr">
        <is>
          <t>mit.ghg.tot.2</t>
        </is>
      </c>
      <c r="D2384" t="n">
        <v>15.819</v>
      </c>
      <c r="E2384" t="n">
        <v>15.36851001</v>
      </c>
      <c r="F2384" t="n">
        <v>12.64406122</v>
      </c>
      <c r="G2384" t="n">
        <v>9.143287278000001</v>
      </c>
      <c r="H2384" t="n">
        <v>4.904985548</v>
      </c>
    </row>
    <row r="2385">
      <c r="A2385" t="inlineStr">
        <is>
          <t>SOM|mit.ghg.tot.2</t>
        </is>
      </c>
      <c r="B2385" t="inlineStr">
        <is>
          <t>SOM</t>
        </is>
      </c>
      <c r="C2385" t="inlineStr">
        <is>
          <t>mit.ghg.tot.2</t>
        </is>
      </c>
      <c r="D2385" t="n">
        <v>52.5809922</v>
      </c>
      <c r="E2385" t="n">
        <v>48.10905862</v>
      </c>
      <c r="F2385" t="n">
        <v>25.68017985</v>
      </c>
      <c r="G2385" t="n">
        <v>20.05579736</v>
      </c>
      <c r="H2385" t="n">
        <v>14.17937866</v>
      </c>
    </row>
    <row r="2386">
      <c r="A2386" t="inlineStr">
        <is>
          <t>SRB|mit.ghg.tot.2</t>
        </is>
      </c>
      <c r="B2386" t="inlineStr">
        <is>
          <t>SRB</t>
        </is>
      </c>
      <c r="C2386" t="inlineStr">
        <is>
          <t>mit.ghg.tot.2</t>
        </is>
      </c>
      <c r="D2386" t="n">
        <v>68.85299999999999</v>
      </c>
      <c r="E2386" t="n">
        <v>67.00841414</v>
      </c>
      <c r="F2386" t="n">
        <v>57.61566939</v>
      </c>
      <c r="G2386" t="n">
        <v>35.6017169</v>
      </c>
      <c r="H2386" t="n">
        <v>13.46398218</v>
      </c>
    </row>
    <row r="2387">
      <c r="A2387" t="inlineStr">
        <is>
          <t>STP|mit.ghg.tot.2</t>
        </is>
      </c>
      <c r="B2387" t="inlineStr">
        <is>
          <t>STP</t>
        </is>
      </c>
      <c r="C2387" t="inlineStr">
        <is>
          <t>mit.ghg.tot.2</t>
        </is>
      </c>
      <c r="D2387" t="n">
        <v>0.5059478358</v>
      </c>
      <c r="E2387" t="n">
        <v>0.4683014837</v>
      </c>
      <c r="F2387" t="n">
        <v>0.2779952549</v>
      </c>
      <c r="G2387" t="n">
        <v>0.2070915481</v>
      </c>
      <c r="H2387" t="n">
        <v>0.08604900317</v>
      </c>
    </row>
    <row r="2388">
      <c r="A2388" t="inlineStr">
        <is>
          <t>SUR|mit.ghg.tot.2</t>
        </is>
      </c>
      <c r="B2388" t="inlineStr">
        <is>
          <t>SUR</t>
        </is>
      </c>
      <c r="C2388" t="inlineStr">
        <is>
          <t>mit.ghg.tot.2</t>
        </is>
      </c>
      <c r="D2388" t="n">
        <v>13.78730397</v>
      </c>
      <c r="E2388" t="n">
        <v>12.2119514</v>
      </c>
      <c r="F2388" t="n">
        <v>4.535847015</v>
      </c>
      <c r="G2388" t="n">
        <v>3.28173182</v>
      </c>
      <c r="H2388" t="n">
        <v>1.46243646</v>
      </c>
    </row>
    <row r="2389">
      <c r="A2389" t="inlineStr">
        <is>
          <t>SVK|mit.ghg.tot.2</t>
        </is>
      </c>
      <c r="B2389" t="inlineStr">
        <is>
          <t>SVK</t>
        </is>
      </c>
      <c r="C2389" t="inlineStr">
        <is>
          <t>mit.ghg.tot.2</t>
        </is>
      </c>
      <c r="D2389" t="n">
        <v>44.904</v>
      </c>
      <c r="E2389" t="n">
        <v>43.21154833</v>
      </c>
      <c r="F2389" t="n">
        <v>33.96814691</v>
      </c>
      <c r="G2389" t="n">
        <v>17.8035978</v>
      </c>
      <c r="H2389" t="n">
        <v>6.064758148</v>
      </c>
    </row>
    <row r="2390">
      <c r="A2390" t="inlineStr">
        <is>
          <t>SVN|mit.ghg.tot.2</t>
        </is>
      </c>
      <c r="B2390" t="inlineStr">
        <is>
          <t>SVN</t>
        </is>
      </c>
      <c r="C2390" t="inlineStr">
        <is>
          <t>mit.ghg.tot.2</t>
        </is>
      </c>
      <c r="D2390" t="n">
        <v>16.534</v>
      </c>
      <c r="E2390" t="n">
        <v>15.90858334</v>
      </c>
      <c r="F2390" t="n">
        <v>12.48372504</v>
      </c>
      <c r="G2390" t="n">
        <v>6.263576768</v>
      </c>
      <c r="H2390" t="n">
        <v>2.706928103</v>
      </c>
    </row>
    <row r="2391">
      <c r="A2391" t="inlineStr">
        <is>
          <t>SWE|mit.ghg.tot.2</t>
        </is>
      </c>
      <c r="B2391" t="inlineStr">
        <is>
          <t>SWE</t>
        </is>
      </c>
      <c r="C2391" t="inlineStr">
        <is>
          <t>mit.ghg.tot.2</t>
        </is>
      </c>
      <c r="D2391" t="n">
        <v>44.434</v>
      </c>
      <c r="E2391" t="n">
        <v>43.04122762</v>
      </c>
      <c r="F2391" t="n">
        <v>34.98137713</v>
      </c>
      <c r="G2391" t="n">
        <v>19.83364051</v>
      </c>
      <c r="H2391" t="n">
        <v>8.350922506</v>
      </c>
    </row>
    <row r="2392">
      <c r="A2392" t="inlineStr">
        <is>
          <t>SWZ|mit.ghg.tot.2</t>
        </is>
      </c>
      <c r="B2392" t="inlineStr">
        <is>
          <t>SWZ</t>
        </is>
      </c>
      <c r="C2392" t="inlineStr">
        <is>
          <t>mit.ghg.tot.2</t>
        </is>
      </c>
      <c r="D2392" t="n">
        <v>3.409</v>
      </c>
      <c r="E2392" t="n">
        <v>3.296775333</v>
      </c>
      <c r="F2392" t="n">
        <v>2.689943957</v>
      </c>
      <c r="G2392" t="n">
        <v>1.931361424</v>
      </c>
      <c r="H2392" t="n">
        <v>1.176719868</v>
      </c>
    </row>
    <row r="2393">
      <c r="A2393" t="inlineStr">
        <is>
          <t>SYC|mit.ghg.tot.2</t>
        </is>
      </c>
      <c r="B2393" t="inlineStr">
        <is>
          <t>SYC</t>
        </is>
      </c>
      <c r="C2393" t="inlineStr">
        <is>
          <t>mit.ghg.tot.2</t>
        </is>
      </c>
      <c r="D2393" t="n">
        <v>1.166298929</v>
      </c>
      <c r="E2393" t="n">
        <v>1.179731249</v>
      </c>
      <c r="F2393" t="n">
        <v>1.063912076</v>
      </c>
      <c r="G2393" t="n">
        <v>0.6338312384</v>
      </c>
      <c r="H2393" t="n">
        <v>0.1852463536</v>
      </c>
    </row>
    <row r="2394">
      <c r="A2394" t="inlineStr">
        <is>
          <t>SYR|mit.ghg.tot.2</t>
        </is>
      </c>
      <c r="B2394" t="inlineStr">
        <is>
          <t>SYR</t>
        </is>
      </c>
      <c r="C2394" t="inlineStr">
        <is>
          <t>mit.ghg.tot.2</t>
        </is>
      </c>
      <c r="D2394" t="n">
        <v>54.06021131</v>
      </c>
      <c r="E2394" t="n">
        <v>52.66999593</v>
      </c>
      <c r="F2394" t="n">
        <v>44.85136193</v>
      </c>
      <c r="G2394" t="n">
        <v>30.30454558</v>
      </c>
      <c r="H2394" t="n">
        <v>13.38813394</v>
      </c>
    </row>
    <row r="2395">
      <c r="A2395" t="inlineStr">
        <is>
          <t>TCD|mit.ghg.tot.2</t>
        </is>
      </c>
      <c r="B2395" t="inlineStr">
        <is>
          <t>TCD</t>
        </is>
      </c>
      <c r="C2395" t="inlineStr">
        <is>
          <t>mit.ghg.tot.2</t>
        </is>
      </c>
      <c r="D2395" t="n">
        <v>116.6412521</v>
      </c>
      <c r="E2395" t="n">
        <v>108.3070683</v>
      </c>
      <c r="F2395" t="n">
        <v>66.49426112</v>
      </c>
      <c r="G2395" t="n">
        <v>52.41131099</v>
      </c>
      <c r="H2395" t="n">
        <v>37.23696971</v>
      </c>
    </row>
    <row r="2396">
      <c r="A2396" t="inlineStr">
        <is>
          <t>TGO|mit.ghg.tot.2</t>
        </is>
      </c>
      <c r="B2396" t="inlineStr">
        <is>
          <t>TGO</t>
        </is>
      </c>
      <c r="C2396" t="inlineStr">
        <is>
          <t>mit.ghg.tot.2</t>
        </is>
      </c>
      <c r="D2396" t="n">
        <v>12.213</v>
      </c>
      <c r="E2396" t="n">
        <v>11.66368492</v>
      </c>
      <c r="F2396" t="n">
        <v>8.733749812999999</v>
      </c>
      <c r="G2396" t="n">
        <v>6.581523733</v>
      </c>
      <c r="H2396" t="n">
        <v>4.169942423</v>
      </c>
    </row>
    <row r="2397">
      <c r="A2397" t="inlineStr">
        <is>
          <t>THA|mit.ghg.tot.2</t>
        </is>
      </c>
      <c r="B2397" t="inlineStr">
        <is>
          <t>THA</t>
        </is>
      </c>
      <c r="C2397" t="inlineStr">
        <is>
          <t>mit.ghg.tot.2</t>
        </is>
      </c>
      <c r="D2397" t="n">
        <v>490.432</v>
      </c>
      <c r="E2397" t="n">
        <v>474.3945587</v>
      </c>
      <c r="F2397" t="n">
        <v>380.306863</v>
      </c>
      <c r="G2397" t="n">
        <v>253.0116329</v>
      </c>
      <c r="H2397" t="n">
        <v>123.4409423</v>
      </c>
    </row>
    <row r="2398">
      <c r="A2398" t="inlineStr">
        <is>
          <t>TJK|mit.ghg.tot.2</t>
        </is>
      </c>
      <c r="B2398" t="inlineStr">
        <is>
          <t>TJK</t>
        </is>
      </c>
      <c r="C2398" t="inlineStr">
        <is>
          <t>mit.ghg.tot.2</t>
        </is>
      </c>
      <c r="D2398" t="n">
        <v>23.055</v>
      </c>
      <c r="E2398" t="n">
        <v>23.37244324</v>
      </c>
      <c r="F2398" t="n">
        <v>19.33530328</v>
      </c>
      <c r="G2398" t="n">
        <v>13.61677393</v>
      </c>
      <c r="H2398" t="n">
        <v>7.979312476</v>
      </c>
    </row>
    <row r="2399">
      <c r="A2399" t="inlineStr">
        <is>
          <t>TKM|mit.ghg.tot.2</t>
        </is>
      </c>
      <c r="B2399" t="inlineStr">
        <is>
          <t>TKM</t>
        </is>
      </c>
      <c r="C2399" t="inlineStr">
        <is>
          <t>mit.ghg.tot.2</t>
        </is>
      </c>
      <c r="D2399" t="n">
        <v>146.0996213</v>
      </c>
      <c r="E2399" t="n">
        <v>144.3706133</v>
      </c>
      <c r="F2399" t="n">
        <v>128.6678209</v>
      </c>
      <c r="G2399" t="n">
        <v>93.73174111</v>
      </c>
      <c r="H2399" t="n">
        <v>41.01263595</v>
      </c>
    </row>
    <row r="2400">
      <c r="A2400" t="inlineStr">
        <is>
          <t>TLS|mit.ghg.tot.2</t>
        </is>
      </c>
      <c r="B2400" t="inlineStr">
        <is>
          <t>TLS</t>
        </is>
      </c>
      <c r="C2400" t="inlineStr">
        <is>
          <t>mit.ghg.tot.2</t>
        </is>
      </c>
      <c r="D2400" t="n">
        <v>3.911940454</v>
      </c>
      <c r="E2400" t="n">
        <v>3.769474671</v>
      </c>
      <c r="F2400" t="n">
        <v>2.970983424</v>
      </c>
      <c r="G2400" t="n">
        <v>2.290095129</v>
      </c>
      <c r="H2400" t="n">
        <v>1.227078308</v>
      </c>
    </row>
    <row r="2401">
      <c r="A2401" t="inlineStr">
        <is>
          <t>TON|mit.ghg.tot.2</t>
        </is>
      </c>
      <c r="B2401" t="inlineStr">
        <is>
          <t>TON</t>
        </is>
      </c>
      <c r="C2401" t="inlineStr">
        <is>
          <t>mit.ghg.tot.2</t>
        </is>
      </c>
      <c r="D2401" t="n">
        <v>0.3171025297</v>
      </c>
      <c r="E2401" t="n">
        <v>0.3113719292</v>
      </c>
      <c r="F2401" t="n">
        <v>0.272457438</v>
      </c>
      <c r="G2401" t="n">
        <v>0.1864873198</v>
      </c>
      <c r="H2401" t="n">
        <v>0.08563719121</v>
      </c>
    </row>
    <row r="2402">
      <c r="A2402" t="inlineStr">
        <is>
          <t>TTO|mit.ghg.tot.2</t>
        </is>
      </c>
      <c r="B2402" t="inlineStr">
        <is>
          <t>TTO</t>
        </is>
      </c>
      <c r="C2402" t="inlineStr">
        <is>
          <t>mit.ghg.tot.2</t>
        </is>
      </c>
      <c r="D2402" t="n">
        <v>45.816</v>
      </c>
      <c r="E2402" t="n">
        <v>44.24341649</v>
      </c>
      <c r="F2402" t="n">
        <v>36.00931534</v>
      </c>
      <c r="G2402" t="n">
        <v>23.65354825</v>
      </c>
      <c r="H2402" t="n">
        <v>11.50971798</v>
      </c>
    </row>
    <row r="2403">
      <c r="A2403" t="inlineStr">
        <is>
          <t>TUN|mit.ghg.tot.2</t>
        </is>
      </c>
      <c r="B2403" t="inlineStr">
        <is>
          <t>TUN</t>
        </is>
      </c>
      <c r="C2403" t="inlineStr">
        <is>
          <t>mit.ghg.tot.2</t>
        </is>
      </c>
      <c r="D2403" t="n">
        <v>50.973</v>
      </c>
      <c r="E2403" t="n">
        <v>49.72718951</v>
      </c>
      <c r="F2403" t="n">
        <v>42.41597788</v>
      </c>
      <c r="G2403" t="n">
        <v>28.32782917</v>
      </c>
      <c r="H2403" t="n">
        <v>12.37110025</v>
      </c>
    </row>
    <row r="2404">
      <c r="A2404" t="inlineStr">
        <is>
          <t>TUR|mit.ghg.tot.2</t>
        </is>
      </c>
      <c r="B2404" t="inlineStr">
        <is>
          <t>TUR</t>
        </is>
      </c>
      <c r="C2404" t="inlineStr">
        <is>
          <t>mit.ghg.tot.2</t>
        </is>
      </c>
      <c r="D2404" t="n">
        <v>693.478</v>
      </c>
      <c r="E2404" t="n">
        <v>683.7224858</v>
      </c>
      <c r="F2404" t="n">
        <v>611.0930203</v>
      </c>
      <c r="G2404" t="n">
        <v>369.2939838</v>
      </c>
      <c r="H2404" t="n">
        <v>112.7119535</v>
      </c>
    </row>
    <row r="2405">
      <c r="A2405" t="inlineStr">
        <is>
          <t>TZA|mit.ghg.tot.2</t>
        </is>
      </c>
      <c r="B2405" t="inlineStr">
        <is>
          <t>TZA</t>
        </is>
      </c>
      <c r="C2405" t="inlineStr">
        <is>
          <t>mit.ghg.tot.2</t>
        </is>
      </c>
      <c r="D2405" t="n">
        <v>159.4499658</v>
      </c>
      <c r="E2405" t="n">
        <v>145.1030455</v>
      </c>
      <c r="F2405" t="n">
        <v>72.52140203</v>
      </c>
      <c r="G2405" t="n">
        <v>55.63839863</v>
      </c>
      <c r="H2405" t="n">
        <v>35.99833049</v>
      </c>
    </row>
    <row r="2406">
      <c r="A2406" t="inlineStr">
        <is>
          <t>UGA|mit.ghg.tot.2</t>
        </is>
      </c>
      <c r="B2406" t="inlineStr">
        <is>
          <t>UGA</t>
        </is>
      </c>
      <c r="C2406" t="inlineStr">
        <is>
          <t>mit.ghg.tot.2</t>
        </is>
      </c>
      <c r="D2406" t="n">
        <v>72.345</v>
      </c>
      <c r="E2406" t="n">
        <v>67.63434749</v>
      </c>
      <c r="F2406" t="n">
        <v>43.87158522</v>
      </c>
      <c r="G2406" t="n">
        <v>34.33752873</v>
      </c>
      <c r="H2406" t="n">
        <v>23.49029871</v>
      </c>
    </row>
    <row r="2407">
      <c r="A2407" t="inlineStr">
        <is>
          <t>UKR|mit.ghg.tot.2</t>
        </is>
      </c>
      <c r="B2407" t="inlineStr">
        <is>
          <t>UKR</t>
        </is>
      </c>
      <c r="C2407" t="inlineStr">
        <is>
          <t>mit.ghg.tot.2</t>
        </is>
      </c>
      <c r="D2407" t="n">
        <v>266.91</v>
      </c>
      <c r="E2407" t="n">
        <v>255.7659449</v>
      </c>
      <c r="F2407" t="n">
        <v>197.8051521</v>
      </c>
      <c r="G2407" t="n">
        <v>130.572152</v>
      </c>
      <c r="H2407" t="n">
        <v>73.31313371</v>
      </c>
    </row>
    <row r="2408">
      <c r="A2408" t="inlineStr">
        <is>
          <t>URY|mit.ghg.tot.2</t>
        </is>
      </c>
      <c r="B2408" t="inlineStr">
        <is>
          <t>URY</t>
        </is>
      </c>
      <c r="C2408" t="inlineStr">
        <is>
          <t>mit.ghg.tot.2</t>
        </is>
      </c>
      <c r="D2408" t="n">
        <v>42.335</v>
      </c>
      <c r="E2408" t="n">
        <v>40.322029</v>
      </c>
      <c r="F2408" t="n">
        <v>30.9352391</v>
      </c>
      <c r="G2408" t="n">
        <v>23.01900016</v>
      </c>
      <c r="H2408" t="n">
        <v>15.28645162</v>
      </c>
    </row>
    <row r="2409">
      <c r="A2409" t="inlineStr">
        <is>
          <t>USA|mit.ghg.tot.2</t>
        </is>
      </c>
      <c r="B2409" t="inlineStr">
        <is>
          <t>USA</t>
        </is>
      </c>
      <c r="C2409" t="inlineStr">
        <is>
          <t>mit.ghg.tot.2</t>
        </is>
      </c>
      <c r="D2409" t="n">
        <v>6817.344</v>
      </c>
      <c r="E2409" t="n">
        <v>6578.192621</v>
      </c>
      <c r="F2409" t="n">
        <v>5077.478426</v>
      </c>
      <c r="G2409" t="n">
        <v>2300.397476</v>
      </c>
      <c r="H2409" t="n">
        <v>982.2613004</v>
      </c>
    </row>
    <row r="2410">
      <c r="A2410" t="inlineStr">
        <is>
          <t>UZB|mit.ghg.tot.2</t>
        </is>
      </c>
      <c r="B2410" t="inlineStr">
        <is>
          <t>UZB</t>
        </is>
      </c>
      <c r="C2410" t="inlineStr">
        <is>
          <t>mit.ghg.tot.2</t>
        </is>
      </c>
      <c r="D2410" t="n">
        <v>243.852</v>
      </c>
      <c r="E2410" t="n">
        <v>240.7251166</v>
      </c>
      <c r="F2410" t="n">
        <v>215.2652845</v>
      </c>
      <c r="G2410" t="n">
        <v>154.5101259</v>
      </c>
      <c r="H2410" t="n">
        <v>66.84016222</v>
      </c>
    </row>
    <row r="2411">
      <c r="A2411" t="inlineStr">
        <is>
          <t>VCT|mit.ghg.tot.2</t>
        </is>
      </c>
      <c r="B2411" t="inlineStr">
        <is>
          <t>VCT</t>
        </is>
      </c>
      <c r="C2411" t="inlineStr">
        <is>
          <t>mit.ghg.tot.2</t>
        </is>
      </c>
      <c r="D2411" t="n">
        <v>0.4194399267</v>
      </c>
      <c r="E2411" t="n">
        <v>0.4176932704</v>
      </c>
      <c r="F2411" t="n">
        <v>0.3903455819</v>
      </c>
      <c r="G2411" t="n">
        <v>0.2635169034</v>
      </c>
      <c r="H2411" t="n">
        <v>0.09810424515000001</v>
      </c>
    </row>
    <row r="2412">
      <c r="A2412" t="inlineStr">
        <is>
          <t>VEN|mit.ghg.tot.2</t>
        </is>
      </c>
      <c r="B2412" t="inlineStr">
        <is>
          <t>VEN</t>
        </is>
      </c>
      <c r="C2412" t="inlineStr">
        <is>
          <t>mit.ghg.tot.2</t>
        </is>
      </c>
      <c r="D2412" t="n">
        <v>227.448</v>
      </c>
      <c r="E2412" t="n">
        <v>212.9367149</v>
      </c>
      <c r="F2412" t="n">
        <v>143.9612923</v>
      </c>
      <c r="G2412" t="n">
        <v>101.5848194</v>
      </c>
      <c r="H2412" t="n">
        <v>54.83608659</v>
      </c>
    </row>
    <row r="2413">
      <c r="A2413" t="inlineStr">
        <is>
          <t>VNM|mit.ghg.tot.2</t>
        </is>
      </c>
      <c r="B2413" t="inlineStr">
        <is>
          <t>VNM</t>
        </is>
      </c>
      <c r="C2413" t="inlineStr">
        <is>
          <t>mit.ghg.tot.2</t>
        </is>
      </c>
      <c r="D2413" t="n">
        <v>455.866</v>
      </c>
      <c r="E2413" t="n">
        <v>452.3609605</v>
      </c>
      <c r="F2413" t="n">
        <v>414.4879239</v>
      </c>
      <c r="G2413" t="n">
        <v>277.0683114</v>
      </c>
      <c r="H2413" t="n">
        <v>108.5208522</v>
      </c>
    </row>
    <row r="2414">
      <c r="A2414" t="inlineStr">
        <is>
          <t>VUT|mit.ghg.tot.2</t>
        </is>
      </c>
      <c r="B2414" t="inlineStr">
        <is>
          <t>VUT</t>
        </is>
      </c>
      <c r="C2414" t="inlineStr">
        <is>
          <t>mit.ghg.tot.2</t>
        </is>
      </c>
      <c r="D2414" t="n">
        <v>0.7110104639</v>
      </c>
      <c r="E2414" t="n">
        <v>0.6906385313</v>
      </c>
      <c r="F2414" t="n">
        <v>0.5825133419</v>
      </c>
      <c r="G2414" t="n">
        <v>0.4302827718</v>
      </c>
      <c r="H2414" t="n">
        <v>0.2419725594</v>
      </c>
    </row>
    <row r="2415">
      <c r="A2415" t="inlineStr">
        <is>
          <t>WSM|mit.ghg.tot.2</t>
        </is>
      </c>
      <c r="B2415" t="inlineStr">
        <is>
          <t>WSM</t>
        </is>
      </c>
      <c r="C2415" t="inlineStr">
        <is>
          <t>mit.ghg.tot.2</t>
        </is>
      </c>
      <c r="D2415" t="n">
        <v>0.6860000000000001</v>
      </c>
      <c r="E2415" t="n">
        <v>0.6615609525</v>
      </c>
      <c r="F2415" t="n">
        <v>0.5113406157</v>
      </c>
      <c r="G2415" t="n">
        <v>0.3568165117</v>
      </c>
      <c r="H2415" t="n">
        <v>0.1707604403</v>
      </c>
    </row>
    <row r="2416">
      <c r="A2416" t="inlineStr">
        <is>
          <t>XKX|mit.ghg.tot.2</t>
        </is>
      </c>
      <c r="B2416" t="inlineStr">
        <is>
          <t>XKX</t>
        </is>
      </c>
      <c r="C2416" t="inlineStr">
        <is>
          <t>mit.ghg.tot.2</t>
        </is>
      </c>
      <c r="D2416" t="n">
        <v>8.673999999999999</v>
      </c>
      <c r="E2416" t="n">
        <v>8.584850779</v>
      </c>
      <c r="F2416" t="n">
        <v>7.80132614</v>
      </c>
      <c r="G2416" t="n">
        <v>4.391109603</v>
      </c>
      <c r="H2416" t="n">
        <v>0.8950666117</v>
      </c>
    </row>
    <row r="2417">
      <c r="A2417" t="inlineStr">
        <is>
          <t>YEM|mit.ghg.tot.2</t>
        </is>
      </c>
      <c r="B2417" t="inlineStr">
        <is>
          <t>YEM</t>
        </is>
      </c>
      <c r="C2417" t="inlineStr">
        <is>
          <t>mit.ghg.tot.2</t>
        </is>
      </c>
      <c r="D2417" t="n">
        <v>40.539</v>
      </c>
      <c r="E2417" t="n">
        <v>38.9124153</v>
      </c>
      <c r="F2417" t="n">
        <v>30.93431807</v>
      </c>
      <c r="G2417" t="n">
        <v>22.8057059</v>
      </c>
      <c r="H2417" t="n">
        <v>13.13035351</v>
      </c>
    </row>
    <row r="2418">
      <c r="A2418" t="inlineStr">
        <is>
          <t>ZAF|mit.ghg.tot.2</t>
        </is>
      </c>
      <c r="B2418" t="inlineStr">
        <is>
          <t>ZAF</t>
        </is>
      </c>
      <c r="C2418" t="inlineStr">
        <is>
          <t>mit.ghg.tot.2</t>
        </is>
      </c>
      <c r="D2418" t="n">
        <v>546.776</v>
      </c>
      <c r="E2418" t="n">
        <v>531.6121079</v>
      </c>
      <c r="F2418" t="n">
        <v>445.9769207</v>
      </c>
      <c r="G2418" t="n">
        <v>269.4320185</v>
      </c>
      <c r="H2418" t="n">
        <v>92.69712918</v>
      </c>
    </row>
    <row r="2419">
      <c r="A2419" t="inlineStr">
        <is>
          <t>ZMB|mit.ghg.tot.2</t>
        </is>
      </c>
      <c r="B2419" t="inlineStr">
        <is>
          <t>ZMB</t>
        </is>
      </c>
      <c r="C2419" t="inlineStr">
        <is>
          <t>mit.ghg.tot.2</t>
        </is>
      </c>
      <c r="D2419" t="n">
        <v>82.986</v>
      </c>
      <c r="E2419" t="n">
        <v>73.63364077999999</v>
      </c>
      <c r="F2419" t="n">
        <v>26.68249003</v>
      </c>
      <c r="G2419" t="n">
        <v>19.60188742</v>
      </c>
      <c r="H2419" t="n">
        <v>11.75829166</v>
      </c>
    </row>
    <row r="2420">
      <c r="A2420" t="inlineStr">
        <is>
          <t>ZWE|mit.ghg.tot.2</t>
        </is>
      </c>
      <c r="B2420" t="inlineStr">
        <is>
          <t>ZWE</t>
        </is>
      </c>
      <c r="C2420" t="inlineStr">
        <is>
          <t>mit.ghg.tot.2</t>
        </is>
      </c>
      <c r="D2420" t="n">
        <v>113.046</v>
      </c>
      <c r="E2420" t="n">
        <v>98.38018008</v>
      </c>
      <c r="F2420" t="n">
        <v>23.870787</v>
      </c>
      <c r="G2420" t="n">
        <v>17.51108247</v>
      </c>
      <c r="H2420" t="n">
        <v>10.05363593</v>
      </c>
    </row>
    <row r="2421">
      <c r="A2421" t="inlineStr">
        <is>
          <t>ABW|mit.ic.a</t>
        </is>
      </c>
      <c r="B2421" t="inlineStr">
        <is>
          <t>ABW</t>
        </is>
      </c>
      <c r="C2421" t="inlineStr">
        <is>
          <t>mit.ic.a</t>
        </is>
      </c>
      <c r="D2421" t="n">
        <v>0</v>
      </c>
      <c r="E2421" t="n">
        <v>0.006054283182</v>
      </c>
      <c r="F2421" t="n">
        <v>0.03072070533</v>
      </c>
      <c r="G2421" t="n">
        <v>0.02554256507</v>
      </c>
      <c r="H2421" t="n">
        <v>0.03258993573</v>
      </c>
    </row>
    <row r="2422">
      <c r="A2422" t="inlineStr">
        <is>
          <t>AFG|mit.ic.a</t>
        </is>
      </c>
      <c r="B2422" t="inlineStr">
        <is>
          <t>AFG</t>
        </is>
      </c>
      <c r="C2422" t="inlineStr">
        <is>
          <t>mit.ic.a</t>
        </is>
      </c>
      <c r="D2422" t="n">
        <v>0</v>
      </c>
      <c r="E2422" t="n">
        <v>0.05484649319</v>
      </c>
      <c r="F2422" t="n">
        <v>0.2683107445</v>
      </c>
      <c r="G2422" t="n">
        <v>-0.2784244675</v>
      </c>
      <c r="H2422" t="n">
        <v>-1.031842065</v>
      </c>
    </row>
    <row r="2423">
      <c r="A2423" t="inlineStr">
        <is>
          <t>AGO|mit.ic.a</t>
        </is>
      </c>
      <c r="B2423" t="inlineStr">
        <is>
          <t>AGO</t>
        </is>
      </c>
      <c r="C2423" t="inlineStr">
        <is>
          <t>mit.ic.a</t>
        </is>
      </c>
      <c r="D2423" t="n">
        <v>0</v>
      </c>
      <c r="E2423" t="n">
        <v>0.479245312</v>
      </c>
      <c r="F2423" t="n">
        <v>2.794866614</v>
      </c>
      <c r="G2423" t="n">
        <v>2.224713334</v>
      </c>
      <c r="H2423" t="n">
        <v>1.520010119</v>
      </c>
    </row>
    <row r="2424">
      <c r="A2424" t="inlineStr">
        <is>
          <t>ALB|mit.ic.a</t>
        </is>
      </c>
      <c r="B2424" t="inlineStr">
        <is>
          <t>ALB</t>
        </is>
      </c>
      <c r="C2424" t="inlineStr">
        <is>
          <t>mit.ic.a</t>
        </is>
      </c>
      <c r="D2424" t="n">
        <v>0</v>
      </c>
      <c r="E2424" t="n">
        <v>0.01790927855</v>
      </c>
      <c r="F2424" t="n">
        <v>0.1009629843</v>
      </c>
      <c r="G2424" t="n">
        <v>0.07101250622999999</v>
      </c>
      <c r="H2424" t="n">
        <v>0.06588428675000001</v>
      </c>
    </row>
    <row r="2425">
      <c r="A2425" t="inlineStr">
        <is>
          <t>ARE|mit.ic.a</t>
        </is>
      </c>
      <c r="B2425" t="inlineStr">
        <is>
          <t>ARE</t>
        </is>
      </c>
      <c r="C2425" t="inlineStr">
        <is>
          <t>mit.ic.a</t>
        </is>
      </c>
      <c r="D2425" t="n">
        <v>0</v>
      </c>
      <c r="E2425" t="n">
        <v>0.8513260898</v>
      </c>
      <c r="F2425" t="n">
        <v>4.789171613</v>
      </c>
      <c r="G2425" t="n">
        <v>7.691531354</v>
      </c>
      <c r="H2425" t="n">
        <v>12.61364849</v>
      </c>
    </row>
    <row r="2426">
      <c r="A2426" t="inlineStr">
        <is>
          <t>ARG|mit.ic.a</t>
        </is>
      </c>
      <c r="B2426" t="inlineStr">
        <is>
          <t>ARG</t>
        </is>
      </c>
      <c r="C2426" t="inlineStr">
        <is>
          <t>mit.ic.a</t>
        </is>
      </c>
      <c r="D2426" t="n">
        <v>0</v>
      </c>
      <c r="E2426" t="n">
        <v>1.453098848</v>
      </c>
      <c r="F2426" t="n">
        <v>8.617993562000001</v>
      </c>
      <c r="G2426" t="n">
        <v>12.96556623</v>
      </c>
      <c r="H2426" t="n">
        <v>18.3224051</v>
      </c>
    </row>
    <row r="2427">
      <c r="A2427" t="inlineStr">
        <is>
          <t>ARM|mit.ic.a</t>
        </is>
      </c>
      <c r="B2427" t="inlineStr">
        <is>
          <t>ARM</t>
        </is>
      </c>
      <c r="C2427" t="inlineStr">
        <is>
          <t>mit.ic.a</t>
        </is>
      </c>
      <c r="D2427" t="n">
        <v>0</v>
      </c>
      <c r="E2427" t="n">
        <v>0.03996542574</v>
      </c>
      <c r="F2427" t="n">
        <v>0.2638719317</v>
      </c>
      <c r="G2427" t="n">
        <v>0.6992898706</v>
      </c>
      <c r="H2427" t="n">
        <v>1.297622258</v>
      </c>
    </row>
    <row r="2428">
      <c r="A2428" t="inlineStr">
        <is>
          <t>ATG|mit.ic.a</t>
        </is>
      </c>
      <c r="B2428" t="inlineStr">
        <is>
          <t>ATG</t>
        </is>
      </c>
      <c r="C2428" t="inlineStr">
        <is>
          <t>mit.ic.a</t>
        </is>
      </c>
      <c r="D2428" t="n">
        <v>0</v>
      </c>
      <c r="E2428" t="n">
        <v>0.006512297937</v>
      </c>
      <c r="F2428" t="n">
        <v>0.03506536745</v>
      </c>
      <c r="G2428" t="n">
        <v>0.04055585901</v>
      </c>
      <c r="H2428" t="n">
        <v>0.04780690717</v>
      </c>
    </row>
    <row r="2429">
      <c r="A2429" t="inlineStr">
        <is>
          <t>AUS|mit.ic.a</t>
        </is>
      </c>
      <c r="B2429" t="inlineStr">
        <is>
          <t>AUS</t>
        </is>
      </c>
      <c r="C2429" t="inlineStr">
        <is>
          <t>mit.ic.a</t>
        </is>
      </c>
      <c r="D2429" t="n">
        <v>0</v>
      </c>
      <c r="E2429" t="n">
        <v>0.9017321451</v>
      </c>
      <c r="F2429" t="n">
        <v>6.312404771</v>
      </c>
      <c r="G2429" t="n">
        <v>13.08783127</v>
      </c>
      <c r="H2429" t="n">
        <v>20.36132624</v>
      </c>
    </row>
    <row r="2430">
      <c r="A2430" t="inlineStr">
        <is>
          <t>AUT|mit.ic.a</t>
        </is>
      </c>
      <c r="B2430" t="inlineStr">
        <is>
          <t>AUT</t>
        </is>
      </c>
      <c r="C2430" t="inlineStr">
        <is>
          <t>mit.ic.a</t>
        </is>
      </c>
      <c r="D2430" t="n">
        <v>0</v>
      </c>
      <c r="E2430" t="n">
        <v>0.1042996521</v>
      </c>
      <c r="F2430" t="n">
        <v>0.5916153453</v>
      </c>
      <c r="G2430" t="n">
        <v>0.5450649188</v>
      </c>
      <c r="H2430" t="n">
        <v>1.4713569</v>
      </c>
    </row>
    <row r="2431">
      <c r="A2431" t="inlineStr">
        <is>
          <t>AZE|mit.ic.a</t>
        </is>
      </c>
      <c r="B2431" t="inlineStr">
        <is>
          <t>AZE</t>
        </is>
      </c>
      <c r="C2431" t="inlineStr">
        <is>
          <t>mit.ic.a</t>
        </is>
      </c>
      <c r="D2431" t="n">
        <v>0</v>
      </c>
      <c r="E2431" t="n">
        <v>0.1812169076</v>
      </c>
      <c r="F2431" t="n">
        <v>1.054776181</v>
      </c>
      <c r="G2431" t="n">
        <v>2.137114492</v>
      </c>
      <c r="H2431" t="n">
        <v>3.772117713</v>
      </c>
    </row>
    <row r="2432">
      <c r="A2432" t="inlineStr">
        <is>
          <t>BDI|mit.ic.a</t>
        </is>
      </c>
      <c r="B2432" t="inlineStr">
        <is>
          <t>BDI</t>
        </is>
      </c>
      <c r="C2432" t="inlineStr">
        <is>
          <t>mit.ic.a</t>
        </is>
      </c>
      <c r="D2432" t="n">
        <v>0</v>
      </c>
      <c r="E2432" t="n">
        <v>0.04172339458</v>
      </c>
      <c r="F2432" t="n">
        <v>0.2451327656</v>
      </c>
      <c r="G2432" t="n">
        <v>0.2222208475</v>
      </c>
      <c r="H2432" t="n">
        <v>0.1887941539</v>
      </c>
    </row>
    <row r="2433">
      <c r="A2433" t="inlineStr">
        <is>
          <t>BEL|mit.ic.a</t>
        </is>
      </c>
      <c r="B2433" t="inlineStr">
        <is>
          <t>BEL</t>
        </is>
      </c>
      <c r="C2433" t="inlineStr">
        <is>
          <t>mit.ic.a</t>
        </is>
      </c>
      <c r="D2433" t="n">
        <v>0</v>
      </c>
      <c r="E2433" t="n">
        <v>0.02157160177</v>
      </c>
      <c r="F2433" t="n">
        <v>0.01933858099</v>
      </c>
      <c r="G2433" t="n">
        <v>-0.69474393</v>
      </c>
      <c r="H2433" t="n">
        <v>0.0898312879</v>
      </c>
    </row>
    <row r="2434">
      <c r="A2434" t="inlineStr">
        <is>
          <t>BEN|mit.ic.a</t>
        </is>
      </c>
      <c r="B2434" t="inlineStr">
        <is>
          <t>BEN</t>
        </is>
      </c>
      <c r="C2434" t="inlineStr">
        <is>
          <t>mit.ic.a</t>
        </is>
      </c>
      <c r="D2434" t="n">
        <v>0</v>
      </c>
      <c r="E2434" t="n">
        <v>0.1253272573</v>
      </c>
      <c r="F2434" t="n">
        <v>0.7061610212</v>
      </c>
      <c r="G2434" t="n">
        <v>0.03544754837</v>
      </c>
      <c r="H2434" t="n">
        <v>-0.8490822494</v>
      </c>
    </row>
    <row r="2435">
      <c r="A2435" t="inlineStr">
        <is>
          <t>BFA|mit.ic.a</t>
        </is>
      </c>
      <c r="B2435" t="inlineStr">
        <is>
          <t>BFA</t>
        </is>
      </c>
      <c r="C2435" t="inlineStr">
        <is>
          <t>mit.ic.a</t>
        </is>
      </c>
      <c r="D2435" t="n">
        <v>0</v>
      </c>
      <c r="E2435" t="n">
        <v>0.267616486</v>
      </c>
      <c r="F2435" t="n">
        <v>1.559735284</v>
      </c>
      <c r="G2435" t="n">
        <v>1.122561876</v>
      </c>
      <c r="H2435" t="n">
        <v>0.4831460424</v>
      </c>
    </row>
    <row r="2436">
      <c r="A2436" t="inlineStr">
        <is>
          <t>BGD|mit.ic.a</t>
        </is>
      </c>
      <c r="B2436" t="inlineStr">
        <is>
          <t>BGD</t>
        </is>
      </c>
      <c r="C2436" t="inlineStr">
        <is>
          <t>mit.ic.a</t>
        </is>
      </c>
      <c r="D2436" t="n">
        <v>0</v>
      </c>
      <c r="E2436" t="n">
        <v>0.5907568984</v>
      </c>
      <c r="F2436" t="n">
        <v>3.318637991</v>
      </c>
      <c r="G2436" t="n">
        <v>3.516151895</v>
      </c>
      <c r="H2436" t="n">
        <v>5.466148175</v>
      </c>
    </row>
    <row r="2437">
      <c r="A2437" t="inlineStr">
        <is>
          <t>BGR|mit.ic.a</t>
        </is>
      </c>
      <c r="B2437" t="inlineStr">
        <is>
          <t>BGR</t>
        </is>
      </c>
      <c r="C2437" t="inlineStr">
        <is>
          <t>mit.ic.a</t>
        </is>
      </c>
      <c r="D2437" t="n">
        <v>0</v>
      </c>
      <c r="E2437" t="n">
        <v>0.125474171</v>
      </c>
      <c r="F2437" t="n">
        <v>0.7265101521</v>
      </c>
      <c r="G2437" t="n">
        <v>1.08207767</v>
      </c>
      <c r="H2437" t="n">
        <v>1.696608541</v>
      </c>
    </row>
    <row r="2438">
      <c r="A2438" t="inlineStr">
        <is>
          <t>BHR|mit.ic.a</t>
        </is>
      </c>
      <c r="B2438" t="inlineStr">
        <is>
          <t>BHR</t>
        </is>
      </c>
      <c r="C2438" t="inlineStr">
        <is>
          <t>mit.ic.a</t>
        </is>
      </c>
      <c r="D2438" t="n">
        <v>0</v>
      </c>
      <c r="E2438" t="n">
        <v>0.1253040406</v>
      </c>
      <c r="F2438" t="n">
        <v>0.8120619569999999</v>
      </c>
      <c r="G2438" t="n">
        <v>1.531841754</v>
      </c>
      <c r="H2438" t="n">
        <v>2.40287411</v>
      </c>
    </row>
    <row r="2439">
      <c r="A2439" t="inlineStr">
        <is>
          <t>BHS|mit.ic.a</t>
        </is>
      </c>
      <c r="B2439" t="inlineStr">
        <is>
          <t>BHS</t>
        </is>
      </c>
      <c r="C2439" t="inlineStr">
        <is>
          <t>mit.ic.a</t>
        </is>
      </c>
      <c r="D2439" t="n">
        <v>0</v>
      </c>
      <c r="E2439" t="n">
        <v>0.01705794505</v>
      </c>
      <c r="F2439" t="n">
        <v>0.08310969822</v>
      </c>
      <c r="G2439" t="n">
        <v>-0.004772263659</v>
      </c>
      <c r="H2439" t="n">
        <v>-0.04996529499</v>
      </c>
    </row>
    <row r="2440">
      <c r="A2440" t="inlineStr">
        <is>
          <t>BIH|mit.ic.a</t>
        </is>
      </c>
      <c r="B2440" t="inlineStr">
        <is>
          <t>BIH</t>
        </is>
      </c>
      <c r="C2440" t="inlineStr">
        <is>
          <t>mit.ic.a</t>
        </is>
      </c>
      <c r="D2440" t="n">
        <v>0</v>
      </c>
      <c r="E2440" t="n">
        <v>0.06322592515</v>
      </c>
      <c r="F2440" t="n">
        <v>0.3863376897</v>
      </c>
      <c r="G2440" t="n">
        <v>0.8056812224</v>
      </c>
      <c r="H2440" t="n">
        <v>1.382208734</v>
      </c>
    </row>
    <row r="2441">
      <c r="A2441" t="inlineStr">
        <is>
          <t>BLR|mit.ic.a</t>
        </is>
      </c>
      <c r="B2441" t="inlineStr">
        <is>
          <t>BLR</t>
        </is>
      </c>
      <c r="C2441" t="inlineStr">
        <is>
          <t>mit.ic.a</t>
        </is>
      </c>
      <c r="D2441" t="n">
        <v>0</v>
      </c>
      <c r="E2441" t="n">
        <v>0.2516013959</v>
      </c>
      <c r="F2441" t="n">
        <v>1.376113353</v>
      </c>
      <c r="G2441" t="n">
        <v>2.409862666</v>
      </c>
      <c r="H2441" t="n">
        <v>4.182666354</v>
      </c>
    </row>
    <row r="2442">
      <c r="A2442" t="inlineStr">
        <is>
          <t>BLZ|mit.ic.a</t>
        </is>
      </c>
      <c r="B2442" t="inlineStr">
        <is>
          <t>BLZ</t>
        </is>
      </c>
      <c r="C2442" t="inlineStr">
        <is>
          <t>mit.ic.a</t>
        </is>
      </c>
      <c r="D2442" t="n">
        <v>0</v>
      </c>
      <c r="E2442" t="n">
        <v>0.04749325536</v>
      </c>
      <c r="F2442" t="n">
        <v>0.2819351873</v>
      </c>
      <c r="G2442" t="n">
        <v>0.246471294</v>
      </c>
      <c r="H2442" t="n">
        <v>0.2153756786</v>
      </c>
    </row>
    <row r="2443">
      <c r="A2443" t="inlineStr">
        <is>
          <t>BOL|mit.ic.a</t>
        </is>
      </c>
      <c r="B2443" t="inlineStr">
        <is>
          <t>BOL</t>
        </is>
      </c>
      <c r="C2443" t="inlineStr">
        <is>
          <t>mit.ic.a</t>
        </is>
      </c>
      <c r="D2443" t="n">
        <v>0</v>
      </c>
      <c r="E2443" t="n">
        <v>0.6937192019</v>
      </c>
      <c r="F2443" t="n">
        <v>4.054194763</v>
      </c>
      <c r="G2443" t="n">
        <v>3.824799672</v>
      </c>
      <c r="H2443" t="n">
        <v>3.659676632</v>
      </c>
    </row>
    <row r="2444">
      <c r="A2444" t="inlineStr">
        <is>
          <t>BRA|mit.ic.a</t>
        </is>
      </c>
      <c r="B2444" t="inlineStr">
        <is>
          <t>BRA</t>
        </is>
      </c>
      <c r="C2444" t="inlineStr">
        <is>
          <t>mit.ic.a</t>
        </is>
      </c>
      <c r="D2444" t="n">
        <v>0</v>
      </c>
      <c r="E2444" t="n">
        <v>6.20106281</v>
      </c>
      <c r="F2444" t="n">
        <v>36.67995439</v>
      </c>
      <c r="G2444" t="n">
        <v>36.2473031</v>
      </c>
      <c r="H2444" t="n">
        <v>38.11983052</v>
      </c>
    </row>
    <row r="2445">
      <c r="A2445" t="inlineStr">
        <is>
          <t>BRB|mit.ic.a</t>
        </is>
      </c>
      <c r="B2445" t="inlineStr">
        <is>
          <t>BRB</t>
        </is>
      </c>
      <c r="C2445" t="inlineStr">
        <is>
          <t>mit.ic.a</t>
        </is>
      </c>
      <c r="D2445" t="n">
        <v>0</v>
      </c>
      <c r="E2445" t="n">
        <v>0.00521545193</v>
      </c>
      <c r="F2445" t="n">
        <v>0.02793305491</v>
      </c>
      <c r="G2445" t="n">
        <v>0.01989415323</v>
      </c>
      <c r="H2445" t="n">
        <v>0.03977636725</v>
      </c>
    </row>
    <row r="2446">
      <c r="A2446" t="inlineStr">
        <is>
          <t>BRN|mit.ic.a</t>
        </is>
      </c>
      <c r="B2446" t="inlineStr">
        <is>
          <t>BRN</t>
        </is>
      </c>
      <c r="C2446" t="inlineStr">
        <is>
          <t>mit.ic.a</t>
        </is>
      </c>
      <c r="D2446" t="n">
        <v>0</v>
      </c>
      <c r="E2446" t="n">
        <v>0.0391429136</v>
      </c>
      <c r="F2446" t="n">
        <v>0.2230347232</v>
      </c>
      <c r="G2446" t="n">
        <v>0.3587854222</v>
      </c>
      <c r="H2446" t="n">
        <v>0.5709841744</v>
      </c>
    </row>
    <row r="2447">
      <c r="A2447" t="inlineStr">
        <is>
          <t>BTN|mit.ic.a</t>
        </is>
      </c>
      <c r="B2447" t="inlineStr">
        <is>
          <t>BTN</t>
        </is>
      </c>
      <c r="C2447" t="inlineStr">
        <is>
          <t>mit.ic.a</t>
        </is>
      </c>
      <c r="D2447" t="n">
        <v>0</v>
      </c>
      <c r="E2447" t="n">
        <v>0.004835363695</v>
      </c>
      <c r="F2447" t="n">
        <v>0.02636208652</v>
      </c>
      <c r="G2447" t="n">
        <v>0.0207225144</v>
      </c>
      <c r="H2447" t="n">
        <v>0.1532123752</v>
      </c>
    </row>
    <row r="2448">
      <c r="A2448" t="inlineStr">
        <is>
          <t>BWA|mit.ic.a</t>
        </is>
      </c>
      <c r="B2448" t="inlineStr">
        <is>
          <t>BWA</t>
        </is>
      </c>
      <c r="C2448" t="inlineStr">
        <is>
          <t>mit.ic.a</t>
        </is>
      </c>
      <c r="D2448" t="n">
        <v>0</v>
      </c>
      <c r="E2448" t="n">
        <v>0.344051038</v>
      </c>
      <c r="F2448" t="n">
        <v>2.044080439</v>
      </c>
      <c r="G2448" t="n">
        <v>1.900083083</v>
      </c>
      <c r="H2448" t="n">
        <v>1.81021262</v>
      </c>
    </row>
    <row r="2449">
      <c r="A2449" t="inlineStr">
        <is>
          <t>CAF|mit.ic.a</t>
        </is>
      </c>
      <c r="B2449" t="inlineStr">
        <is>
          <t>CAF</t>
        </is>
      </c>
      <c r="C2449" t="inlineStr">
        <is>
          <t>mit.ic.a</t>
        </is>
      </c>
      <c r="D2449" t="n">
        <v>0</v>
      </c>
      <c r="E2449" t="n">
        <v>0.2867806809</v>
      </c>
      <c r="F2449" t="n">
        <v>1.721761469</v>
      </c>
      <c r="G2449" t="n">
        <v>1.797541419</v>
      </c>
      <c r="H2449" t="n">
        <v>1.87043541</v>
      </c>
    </row>
    <row r="2450">
      <c r="A2450" t="inlineStr">
        <is>
          <t>CAN|mit.ic.a</t>
        </is>
      </c>
      <c r="B2450" t="inlineStr">
        <is>
          <t>CAN</t>
        </is>
      </c>
      <c r="C2450" t="inlineStr">
        <is>
          <t>mit.ic.a</t>
        </is>
      </c>
      <c r="D2450" t="n">
        <v>0</v>
      </c>
      <c r="E2450" t="n">
        <v>2.32301972</v>
      </c>
      <c r="F2450" t="n">
        <v>14.12548664</v>
      </c>
      <c r="G2450" t="n">
        <v>31.94621366</v>
      </c>
      <c r="H2450" t="n">
        <v>50.4555852</v>
      </c>
    </row>
    <row r="2451">
      <c r="A2451" t="inlineStr">
        <is>
          <t>CHE|mit.ic.a</t>
        </is>
      </c>
      <c r="B2451" t="inlineStr">
        <is>
          <t>CHE</t>
        </is>
      </c>
      <c r="C2451" t="inlineStr">
        <is>
          <t>mit.ic.a</t>
        </is>
      </c>
      <c r="D2451" t="n">
        <v>0</v>
      </c>
      <c r="E2451" t="n">
        <v>-0.02346393297</v>
      </c>
      <c r="F2451" t="n">
        <v>-0.1119610164</v>
      </c>
      <c r="G2451" t="n">
        <v>-0.779356892</v>
      </c>
      <c r="H2451" t="n">
        <v>-0.4369244284</v>
      </c>
    </row>
    <row r="2452">
      <c r="A2452" t="inlineStr">
        <is>
          <t>CHL|mit.ic.a</t>
        </is>
      </c>
      <c r="B2452" t="inlineStr">
        <is>
          <t>CHL</t>
        </is>
      </c>
      <c r="C2452" t="inlineStr">
        <is>
          <t>mit.ic.a</t>
        </is>
      </c>
      <c r="D2452" t="n">
        <v>0</v>
      </c>
      <c r="E2452" t="n">
        <v>0.1581358987</v>
      </c>
      <c r="F2452" t="n">
        <v>0.6987588745</v>
      </c>
      <c r="G2452" t="n">
        <v>-1.209471227</v>
      </c>
      <c r="H2452" t="n">
        <v>-2.611042831</v>
      </c>
    </row>
    <row r="2453">
      <c r="A2453" t="inlineStr">
        <is>
          <t>CHN|mit.ic.a</t>
        </is>
      </c>
      <c r="B2453" t="inlineStr">
        <is>
          <t>CHN</t>
        </is>
      </c>
      <c r="C2453" t="inlineStr">
        <is>
          <t>mit.ic.a</t>
        </is>
      </c>
      <c r="D2453" t="n">
        <v>0</v>
      </c>
      <c r="E2453" t="n">
        <v>23.78272516</v>
      </c>
      <c r="F2453" t="n">
        <v>152.4875544</v>
      </c>
      <c r="G2453" t="n">
        <v>453.2859522</v>
      </c>
      <c r="H2453" t="n">
        <v>795.1997663</v>
      </c>
    </row>
    <row r="2454">
      <c r="A2454" t="inlineStr">
        <is>
          <t>CIV|mit.ic.a</t>
        </is>
      </c>
      <c r="B2454" t="inlineStr">
        <is>
          <t>CIV</t>
        </is>
      </c>
      <c r="C2454" t="inlineStr">
        <is>
          <t>mit.ic.a</t>
        </is>
      </c>
      <c r="D2454" t="n">
        <v>0</v>
      </c>
      <c r="E2454" t="n">
        <v>0.06227480111</v>
      </c>
      <c r="F2454" t="n">
        <v>0.3282552498</v>
      </c>
      <c r="G2454" t="n">
        <v>-0.3233454928</v>
      </c>
      <c r="H2454" t="n">
        <v>-0.9082495655</v>
      </c>
    </row>
    <row r="2455">
      <c r="A2455" t="inlineStr">
        <is>
          <t>CMR|mit.ic.a</t>
        </is>
      </c>
      <c r="B2455" t="inlineStr">
        <is>
          <t>CMR</t>
        </is>
      </c>
      <c r="C2455" t="inlineStr">
        <is>
          <t>mit.ic.a</t>
        </is>
      </c>
      <c r="D2455" t="n">
        <v>0</v>
      </c>
      <c r="E2455" t="n">
        <v>0.3898860189</v>
      </c>
      <c r="F2455" t="n">
        <v>2.319306296</v>
      </c>
      <c r="G2455" t="n">
        <v>2.395003634</v>
      </c>
      <c r="H2455" t="n">
        <v>2.455086154</v>
      </c>
    </row>
    <row r="2456">
      <c r="A2456" t="inlineStr">
        <is>
          <t>COD|mit.ic.a</t>
        </is>
      </c>
      <c r="B2456" t="inlineStr">
        <is>
          <t>COD</t>
        </is>
      </c>
      <c r="C2456" t="inlineStr">
        <is>
          <t>mit.ic.a</t>
        </is>
      </c>
      <c r="D2456" t="n">
        <v>0</v>
      </c>
      <c r="E2456" t="n">
        <v>5.181653928</v>
      </c>
      <c r="F2456" t="n">
        <v>31.06741431</v>
      </c>
      <c r="G2456" t="n">
        <v>31.09964485</v>
      </c>
      <c r="H2456" t="n">
        <v>31.05624701</v>
      </c>
    </row>
    <row r="2457">
      <c r="A2457" t="inlineStr">
        <is>
          <t>COG|mit.ic.a</t>
        </is>
      </c>
      <c r="B2457" t="inlineStr">
        <is>
          <t>COG</t>
        </is>
      </c>
      <c r="C2457" t="inlineStr">
        <is>
          <t>mit.ic.a</t>
        </is>
      </c>
      <c r="D2457" t="n">
        <v>0</v>
      </c>
      <c r="E2457" t="n">
        <v>0.1449759954</v>
      </c>
      <c r="F2457" t="n">
        <v>0.8454331886999999</v>
      </c>
      <c r="G2457" t="n">
        <v>0.9133157601</v>
      </c>
      <c r="H2457" t="n">
        <v>0.9745188798</v>
      </c>
    </row>
    <row r="2458">
      <c r="A2458" t="inlineStr">
        <is>
          <t>COL|mit.ic.a</t>
        </is>
      </c>
      <c r="B2458" t="inlineStr">
        <is>
          <t>COL</t>
        </is>
      </c>
      <c r="C2458" t="inlineStr">
        <is>
          <t>mit.ic.a</t>
        </is>
      </c>
      <c r="D2458" t="n">
        <v>0</v>
      </c>
      <c r="E2458" t="n">
        <v>1.040691916</v>
      </c>
      <c r="F2458" t="n">
        <v>5.907133544</v>
      </c>
      <c r="G2458" t="n">
        <v>3.790900933</v>
      </c>
      <c r="H2458" t="n">
        <v>1.84602428</v>
      </c>
    </row>
    <row r="2459">
      <c r="A2459" t="inlineStr">
        <is>
          <t>COM|mit.ic.a</t>
        </is>
      </c>
      <c r="B2459" t="inlineStr">
        <is>
          <t>COM</t>
        </is>
      </c>
      <c r="C2459" t="inlineStr">
        <is>
          <t>mit.ic.a</t>
        </is>
      </c>
      <c r="D2459" t="n">
        <v>0</v>
      </c>
      <c r="E2459" t="n">
        <v>0.003969727389</v>
      </c>
      <c r="F2459" t="n">
        <v>0.02174554959</v>
      </c>
      <c r="G2459" t="n">
        <v>-0.01046069386</v>
      </c>
      <c r="H2459" t="n">
        <v>-0.06369415488000001</v>
      </c>
    </row>
    <row r="2460">
      <c r="A2460" t="inlineStr">
        <is>
          <t>CPV|mit.ic.a</t>
        </is>
      </c>
      <c r="B2460" t="inlineStr">
        <is>
          <t>CPV</t>
        </is>
      </c>
      <c r="C2460" t="inlineStr">
        <is>
          <t>mit.ic.a</t>
        </is>
      </c>
      <c r="D2460" t="n">
        <v>0</v>
      </c>
      <c r="E2460" t="n">
        <v>0.004283289083</v>
      </c>
      <c r="F2460" t="n">
        <v>0.02447632337</v>
      </c>
      <c r="G2460" t="n">
        <v>0.01882001366</v>
      </c>
      <c r="H2460" t="n">
        <v>0.02008345473</v>
      </c>
    </row>
    <row r="2461">
      <c r="A2461" t="inlineStr">
        <is>
          <t>CRI|mit.ic.a</t>
        </is>
      </c>
      <c r="B2461" t="inlineStr">
        <is>
          <t>CRI</t>
        </is>
      </c>
      <c r="C2461" t="inlineStr">
        <is>
          <t>mit.ic.a</t>
        </is>
      </c>
      <c r="D2461" t="n">
        <v>0</v>
      </c>
      <c r="E2461" t="n">
        <v>0.02775004143</v>
      </c>
      <c r="F2461" t="n">
        <v>0.1328436689</v>
      </c>
      <c r="G2461" t="n">
        <v>-0.311147511</v>
      </c>
      <c r="H2461" t="n">
        <v>-0.741494399</v>
      </c>
    </row>
    <row r="2462">
      <c r="A2462" t="inlineStr">
        <is>
          <t>CYP|mit.ic.a</t>
        </is>
      </c>
      <c r="B2462" t="inlineStr">
        <is>
          <t>CYP</t>
        </is>
      </c>
      <c r="C2462" t="inlineStr">
        <is>
          <t>mit.ic.a</t>
        </is>
      </c>
      <c r="D2462" t="n">
        <v>0</v>
      </c>
      <c r="E2462" t="n">
        <v>0.005895563481</v>
      </c>
      <c r="F2462" t="n">
        <v>-0.020397868</v>
      </c>
      <c r="G2462" t="n">
        <v>-0.06432504075999999</v>
      </c>
      <c r="H2462" t="n">
        <v>0.2865930693</v>
      </c>
    </row>
    <row r="2463">
      <c r="A2463" t="inlineStr">
        <is>
          <t>CZE|mit.ic.a</t>
        </is>
      </c>
      <c r="B2463" t="inlineStr">
        <is>
          <t>CZE</t>
        </is>
      </c>
      <c r="C2463" t="inlineStr">
        <is>
          <t>mit.ic.a</t>
        </is>
      </c>
      <c r="D2463" t="n">
        <v>0</v>
      </c>
      <c r="E2463" t="n">
        <v>0.1485233863</v>
      </c>
      <c r="F2463" t="n">
        <v>0.9896922339999999</v>
      </c>
      <c r="G2463" t="n">
        <v>1.429396136</v>
      </c>
      <c r="H2463" t="n">
        <v>2.586390129</v>
      </c>
    </row>
    <row r="2464">
      <c r="A2464" t="inlineStr">
        <is>
          <t>DEU|mit.ic.a</t>
        </is>
      </c>
      <c r="B2464" t="inlineStr">
        <is>
          <t>DEU</t>
        </is>
      </c>
      <c r="C2464" t="inlineStr">
        <is>
          <t>mit.ic.a</t>
        </is>
      </c>
      <c r="D2464" t="n">
        <v>0</v>
      </c>
      <c r="E2464" t="n">
        <v>-0.8076723619</v>
      </c>
      <c r="F2464" t="n">
        <v>-5.716665856</v>
      </c>
      <c r="G2464" t="n">
        <v>-20.09684819</v>
      </c>
      <c r="H2464" t="n">
        <v>-22.33537546</v>
      </c>
    </row>
    <row r="2465">
      <c r="A2465" t="inlineStr">
        <is>
          <t>DJI|mit.ic.a</t>
        </is>
      </c>
      <c r="B2465" t="inlineStr">
        <is>
          <t>DJI</t>
        </is>
      </c>
      <c r="C2465" t="inlineStr">
        <is>
          <t>mit.ic.a</t>
        </is>
      </c>
      <c r="D2465" t="n">
        <v>0</v>
      </c>
      <c r="E2465" t="n">
        <v>0.002854338232</v>
      </c>
      <c r="F2465" t="n">
        <v>0.01359173817</v>
      </c>
      <c r="G2465" t="n">
        <v>-0.02684961747</v>
      </c>
      <c r="H2465" t="n">
        <v>-0.06777466774</v>
      </c>
    </row>
    <row r="2466">
      <c r="A2466" t="inlineStr">
        <is>
          <t>DMA|mit.ic.a</t>
        </is>
      </c>
      <c r="B2466" t="inlineStr">
        <is>
          <t>DMA</t>
        </is>
      </c>
      <c r="C2466" t="inlineStr">
        <is>
          <t>mit.ic.a</t>
        </is>
      </c>
      <c r="D2466" t="n">
        <v>0</v>
      </c>
      <c r="E2466" t="n">
        <v>0.00037981622</v>
      </c>
      <c r="F2466" t="n">
        <v>0.001120962742</v>
      </c>
      <c r="G2466" t="n">
        <v>-0.009127281819000001</v>
      </c>
      <c r="H2466" t="n">
        <v>-0.01907835176</v>
      </c>
    </row>
    <row r="2467">
      <c r="A2467" t="inlineStr">
        <is>
          <t>DNK|mit.ic.a</t>
        </is>
      </c>
      <c r="B2467" t="inlineStr">
        <is>
          <t>DNK</t>
        </is>
      </c>
      <c r="C2467" t="inlineStr">
        <is>
          <t>mit.ic.a</t>
        </is>
      </c>
      <c r="D2467" t="n">
        <v>0</v>
      </c>
      <c r="E2467" t="n">
        <v>0.09191438192</v>
      </c>
      <c r="F2467" t="n">
        <v>0.471543182</v>
      </c>
      <c r="G2467" t="n">
        <v>0.1038468841</v>
      </c>
      <c r="H2467" t="n">
        <v>0.2038227709</v>
      </c>
    </row>
    <row r="2468">
      <c r="A2468" t="inlineStr">
        <is>
          <t>DOM|mit.ic.a</t>
        </is>
      </c>
      <c r="B2468" t="inlineStr">
        <is>
          <t>DOM</t>
        </is>
      </c>
      <c r="C2468" t="inlineStr">
        <is>
          <t>mit.ic.a</t>
        </is>
      </c>
      <c r="D2468" t="n">
        <v>0</v>
      </c>
      <c r="E2468" t="n">
        <v>0.06641818754000001</v>
      </c>
      <c r="F2468" t="n">
        <v>0.3176743734</v>
      </c>
      <c r="G2468" t="n">
        <v>-0.4553728613</v>
      </c>
      <c r="H2468" t="n">
        <v>-0.9704364601</v>
      </c>
    </row>
    <row r="2469">
      <c r="A2469" t="inlineStr">
        <is>
          <t>DZA|mit.ic.a</t>
        </is>
      </c>
      <c r="B2469" t="inlineStr">
        <is>
          <t>DZA</t>
        </is>
      </c>
      <c r="C2469" t="inlineStr">
        <is>
          <t>mit.ic.a</t>
        </is>
      </c>
      <c r="D2469" t="n">
        <v>0</v>
      </c>
      <c r="E2469" t="n">
        <v>0.8764631885</v>
      </c>
      <c r="F2469" t="n">
        <v>4.926624979</v>
      </c>
      <c r="G2469" t="n">
        <v>7.160382814</v>
      </c>
      <c r="H2469" t="n">
        <v>10.8803584</v>
      </c>
    </row>
    <row r="2470">
      <c r="A2470" t="inlineStr">
        <is>
          <t>ECU|mit.ic.a</t>
        </is>
      </c>
      <c r="B2470" t="inlineStr">
        <is>
          <t>ECU</t>
        </is>
      </c>
      <c r="C2470" t="inlineStr">
        <is>
          <t>mit.ic.a</t>
        </is>
      </c>
      <c r="D2470" t="n">
        <v>0</v>
      </c>
      <c r="E2470" t="n">
        <v>0.4447586193</v>
      </c>
      <c r="F2470" t="n">
        <v>2.616843737</v>
      </c>
      <c r="G2470" t="n">
        <v>3.039473192</v>
      </c>
      <c r="H2470" t="n">
        <v>4.039369735</v>
      </c>
    </row>
    <row r="2471">
      <c r="A2471" t="inlineStr">
        <is>
          <t>EGY|mit.ic.a</t>
        </is>
      </c>
      <c r="B2471" t="inlineStr">
        <is>
          <t>EGY</t>
        </is>
      </c>
      <c r="C2471" t="inlineStr">
        <is>
          <t>mit.ic.a</t>
        </is>
      </c>
      <c r="D2471" t="n">
        <v>0</v>
      </c>
      <c r="E2471" t="n">
        <v>-0.1042633682</v>
      </c>
      <c r="F2471" t="n">
        <v>-2.295468378</v>
      </c>
      <c r="G2471" t="n">
        <v>-21.503947</v>
      </c>
      <c r="H2471" t="n">
        <v>-44.11624992</v>
      </c>
    </row>
    <row r="2472">
      <c r="A2472" t="inlineStr">
        <is>
          <t>ESP|mit.ic.a</t>
        </is>
      </c>
      <c r="B2472" t="inlineStr">
        <is>
          <t>ESP</t>
        </is>
      </c>
      <c r="C2472" t="inlineStr">
        <is>
          <t>mit.ic.a</t>
        </is>
      </c>
      <c r="D2472" t="n">
        <v>0</v>
      </c>
      <c r="E2472" t="n">
        <v>0.3942072855</v>
      </c>
      <c r="F2472" t="n">
        <v>1.801436754</v>
      </c>
      <c r="G2472" t="n">
        <v>-0.2914556951</v>
      </c>
      <c r="H2472" t="n">
        <v>0.9925893755</v>
      </c>
    </row>
    <row r="2473">
      <c r="A2473" t="inlineStr">
        <is>
          <t>EST|mit.ic.a</t>
        </is>
      </c>
      <c r="B2473" t="inlineStr">
        <is>
          <t>EST</t>
        </is>
      </c>
      <c r="C2473" t="inlineStr">
        <is>
          <t>mit.ic.a</t>
        </is>
      </c>
      <c r="D2473" t="n">
        <v>0</v>
      </c>
      <c r="E2473" t="n">
        <v>0.0385620814</v>
      </c>
      <c r="F2473" t="n">
        <v>0.2214129502</v>
      </c>
      <c r="G2473" t="n">
        <v>0.3140776685</v>
      </c>
      <c r="H2473" t="n">
        <v>0.4832820922</v>
      </c>
    </row>
    <row r="2474">
      <c r="A2474" t="inlineStr">
        <is>
          <t>ETH|mit.ic.a</t>
        </is>
      </c>
      <c r="B2474" t="inlineStr">
        <is>
          <t>ETH</t>
        </is>
      </c>
      <c r="C2474" t="inlineStr">
        <is>
          <t>mit.ic.a</t>
        </is>
      </c>
      <c r="D2474" t="n">
        <v>0</v>
      </c>
      <c r="E2474" t="n">
        <v>0.7173245304</v>
      </c>
      <c r="F2474" t="n">
        <v>4.468031088</v>
      </c>
      <c r="G2474" t="n">
        <v>5.89830569</v>
      </c>
      <c r="H2474" t="n">
        <v>7.539160693</v>
      </c>
    </row>
    <row r="2475">
      <c r="A2475" t="inlineStr">
        <is>
          <t>FIN|mit.ic.a</t>
        </is>
      </c>
      <c r="B2475" t="inlineStr">
        <is>
          <t>FIN</t>
        </is>
      </c>
      <c r="C2475" t="inlineStr">
        <is>
          <t>mit.ic.a</t>
        </is>
      </c>
      <c r="D2475" t="n">
        <v>0</v>
      </c>
      <c r="E2475" t="n">
        <v>0.04177666123</v>
      </c>
      <c r="F2475" t="n">
        <v>0.1794225389</v>
      </c>
      <c r="G2475" t="n">
        <v>-0.2652391867</v>
      </c>
      <c r="H2475" t="n">
        <v>-0.4085073628</v>
      </c>
    </row>
    <row r="2476">
      <c r="A2476" t="inlineStr">
        <is>
          <t>FJI|mit.ic.a</t>
        </is>
      </c>
      <c r="B2476" t="inlineStr">
        <is>
          <t>FJI</t>
        </is>
      </c>
      <c r="C2476" t="inlineStr">
        <is>
          <t>mit.ic.a</t>
        </is>
      </c>
      <c r="D2476" t="n">
        <v>0</v>
      </c>
      <c r="E2476" t="n">
        <v>0.005072235956</v>
      </c>
      <c r="F2476" t="n">
        <v>0.02436093696</v>
      </c>
      <c r="G2476" t="n">
        <v>-0.02501007793</v>
      </c>
      <c r="H2476" t="n">
        <v>-0.06712051382000001</v>
      </c>
    </row>
    <row r="2477">
      <c r="A2477" t="inlineStr">
        <is>
          <t>FRA|mit.ic.a</t>
        </is>
      </c>
      <c r="B2477" t="inlineStr">
        <is>
          <t>FRA</t>
        </is>
      </c>
      <c r="C2477" t="inlineStr">
        <is>
          <t>mit.ic.a</t>
        </is>
      </c>
      <c r="D2477" t="n">
        <v>0</v>
      </c>
      <c r="E2477" t="n">
        <v>-0.03182908084</v>
      </c>
      <c r="F2477" t="n">
        <v>-0.7779211058</v>
      </c>
      <c r="G2477" t="n">
        <v>-8.272128101</v>
      </c>
      <c r="H2477" t="n">
        <v>-9.015961051</v>
      </c>
    </row>
    <row r="2478">
      <c r="A2478" t="inlineStr">
        <is>
          <t>GAB|mit.ic.a</t>
        </is>
      </c>
      <c r="B2478" t="inlineStr">
        <is>
          <t>GAB</t>
        </is>
      </c>
      <c r="C2478" t="inlineStr">
        <is>
          <t>mit.ic.a</t>
        </is>
      </c>
      <c r="D2478" t="n">
        <v>0</v>
      </c>
      <c r="E2478" t="n">
        <v>0.0943227495</v>
      </c>
      <c r="F2478" t="n">
        <v>0.5561536311</v>
      </c>
      <c r="G2478" t="n">
        <v>0.6777380884999999</v>
      </c>
      <c r="H2478" t="n">
        <v>0.8159659804</v>
      </c>
    </row>
    <row r="2479">
      <c r="A2479" t="inlineStr">
        <is>
          <t>GBR|mit.ic.a</t>
        </is>
      </c>
      <c r="B2479" t="inlineStr">
        <is>
          <t>GBR</t>
        </is>
      </c>
      <c r="C2479" t="inlineStr">
        <is>
          <t>mit.ic.a</t>
        </is>
      </c>
      <c r="D2479" t="n">
        <v>0</v>
      </c>
      <c r="E2479" t="n">
        <v>-0.4527344757</v>
      </c>
      <c r="F2479" t="n">
        <v>-4.780494472</v>
      </c>
      <c r="G2479" t="n">
        <v>-15.82525139</v>
      </c>
      <c r="H2479" t="n">
        <v>-17.3311655</v>
      </c>
    </row>
    <row r="2480">
      <c r="A2480" t="inlineStr">
        <is>
          <t>GEO|mit.ic.a</t>
        </is>
      </c>
      <c r="B2480" t="inlineStr">
        <is>
          <t>GEO</t>
        </is>
      </c>
      <c r="C2480" t="inlineStr">
        <is>
          <t>mit.ic.a</t>
        </is>
      </c>
      <c r="D2480" t="n">
        <v>0</v>
      </c>
      <c r="E2480" t="n">
        <v>0.04801026055</v>
      </c>
      <c r="F2480" t="n">
        <v>0.2780438504</v>
      </c>
      <c r="G2480" t="n">
        <v>0.3501393129</v>
      </c>
      <c r="H2480" t="n">
        <v>0.4884165723</v>
      </c>
    </row>
    <row r="2481">
      <c r="A2481" t="inlineStr">
        <is>
          <t>GHA|mit.ic.a</t>
        </is>
      </c>
      <c r="B2481" t="inlineStr">
        <is>
          <t>GHA</t>
        </is>
      </c>
      <c r="C2481" t="inlineStr">
        <is>
          <t>mit.ic.a</t>
        </is>
      </c>
      <c r="D2481" t="n">
        <v>0</v>
      </c>
      <c r="E2481" t="n">
        <v>0.1083782027</v>
      </c>
      <c r="F2481" t="n">
        <v>0.6436209531</v>
      </c>
      <c r="G2481" t="n">
        <v>0.4795383814</v>
      </c>
      <c r="H2481" t="n">
        <v>0.7082333178</v>
      </c>
    </row>
    <row r="2482">
      <c r="A2482" t="inlineStr">
        <is>
          <t>GIN|mit.ic.a</t>
        </is>
      </c>
      <c r="B2482" t="inlineStr">
        <is>
          <t>GIN</t>
        </is>
      </c>
      <c r="C2482" t="inlineStr">
        <is>
          <t>mit.ic.a</t>
        </is>
      </c>
      <c r="D2482" t="n">
        <v>0</v>
      </c>
      <c r="E2482" t="n">
        <v>0.1855663473</v>
      </c>
      <c r="F2482" t="n">
        <v>1.024254907</v>
      </c>
      <c r="G2482" t="n">
        <v>0.9583799428000001</v>
      </c>
      <c r="H2482" t="n">
        <v>0.882353817</v>
      </c>
    </row>
    <row r="2483">
      <c r="A2483" t="inlineStr">
        <is>
          <t>GMB|mit.ic.a</t>
        </is>
      </c>
      <c r="B2483" t="inlineStr">
        <is>
          <t>GMB</t>
        </is>
      </c>
      <c r="C2483" t="inlineStr">
        <is>
          <t>mit.ic.a</t>
        </is>
      </c>
      <c r="D2483" t="n">
        <v>0</v>
      </c>
      <c r="E2483" t="n">
        <v>0.01343963685</v>
      </c>
      <c r="F2483" t="n">
        <v>0.07296104490999999</v>
      </c>
      <c r="G2483" t="n">
        <v>0.0420134369</v>
      </c>
      <c r="H2483" t="n">
        <v>-0.03468016062</v>
      </c>
    </row>
    <row r="2484">
      <c r="A2484" t="inlineStr">
        <is>
          <t>GNB|mit.ic.a</t>
        </is>
      </c>
      <c r="B2484" t="inlineStr">
        <is>
          <t>GNB</t>
        </is>
      </c>
      <c r="C2484" t="inlineStr">
        <is>
          <t>mit.ic.a</t>
        </is>
      </c>
      <c r="D2484" t="n">
        <v>0</v>
      </c>
      <c r="E2484" t="n">
        <v>0.02202675143</v>
      </c>
      <c r="F2484" t="n">
        <v>0.1289954239</v>
      </c>
      <c r="G2484" t="n">
        <v>0.1203482802</v>
      </c>
      <c r="H2484" t="n">
        <v>0.09288054246000001</v>
      </c>
    </row>
    <row r="2485">
      <c r="A2485" t="inlineStr">
        <is>
          <t>GNQ|mit.ic.a</t>
        </is>
      </c>
      <c r="B2485" t="inlineStr">
        <is>
          <t>GNQ</t>
        </is>
      </c>
      <c r="C2485" t="inlineStr">
        <is>
          <t>mit.ic.a</t>
        </is>
      </c>
      <c r="D2485" t="n">
        <v>0</v>
      </c>
      <c r="E2485" t="n">
        <v>0.07079711106</v>
      </c>
      <c r="F2485" t="n">
        <v>0.4133098867</v>
      </c>
      <c r="G2485" t="n">
        <v>0.6358032323</v>
      </c>
      <c r="H2485" t="n">
        <v>0.9180537921</v>
      </c>
    </row>
    <row r="2486">
      <c r="A2486" t="inlineStr">
        <is>
          <t>GRC|mit.ic.a</t>
        </is>
      </c>
      <c r="B2486" t="inlineStr">
        <is>
          <t>GRC</t>
        </is>
      </c>
      <c r="C2486" t="inlineStr">
        <is>
          <t>mit.ic.a</t>
        </is>
      </c>
      <c r="D2486" t="n">
        <v>0</v>
      </c>
      <c r="E2486" t="n">
        <v>0.05977060655</v>
      </c>
      <c r="F2486" t="n">
        <v>0.2642646777</v>
      </c>
      <c r="G2486" t="n">
        <v>0.01116227354</v>
      </c>
      <c r="H2486" t="n">
        <v>0.9005682447</v>
      </c>
    </row>
    <row r="2487">
      <c r="A2487" t="inlineStr">
        <is>
          <t>GRD|mit.ic.a</t>
        </is>
      </c>
      <c r="B2487" t="inlineStr">
        <is>
          <t>GRD</t>
        </is>
      </c>
      <c r="C2487" t="inlineStr">
        <is>
          <t>mit.ic.a</t>
        </is>
      </c>
      <c r="D2487" t="n">
        <v>0</v>
      </c>
      <c r="E2487" t="n">
        <v>0.001055253073</v>
      </c>
      <c r="F2487" t="n">
        <v>0.003046599186</v>
      </c>
      <c r="G2487" t="n">
        <v>-0.02393915412</v>
      </c>
      <c r="H2487" t="n">
        <v>-0.05395514738</v>
      </c>
    </row>
    <row r="2488">
      <c r="A2488" t="inlineStr">
        <is>
          <t>GTM|mit.ic.a</t>
        </is>
      </c>
      <c r="B2488" t="inlineStr">
        <is>
          <t>GTM</t>
        </is>
      </c>
      <c r="C2488" t="inlineStr">
        <is>
          <t>mit.ic.a</t>
        </is>
      </c>
      <c r="D2488" t="n">
        <v>0</v>
      </c>
      <c r="E2488" t="n">
        <v>0.08295699356</v>
      </c>
      <c r="F2488" t="n">
        <v>0.3714307625</v>
      </c>
      <c r="G2488" t="n">
        <v>-1.202879066</v>
      </c>
      <c r="H2488" t="n">
        <v>-2.812397969</v>
      </c>
    </row>
    <row r="2489">
      <c r="A2489" t="inlineStr">
        <is>
          <t>GUY|mit.ic.a</t>
        </is>
      </c>
      <c r="B2489" t="inlineStr">
        <is>
          <t>GUY</t>
        </is>
      </c>
      <c r="C2489" t="inlineStr">
        <is>
          <t>mit.ic.a</t>
        </is>
      </c>
      <c r="D2489" t="n">
        <v>0</v>
      </c>
      <c r="E2489" t="n">
        <v>0.1255474131</v>
      </c>
      <c r="F2489" t="n">
        <v>0.7432170821</v>
      </c>
      <c r="G2489" t="n">
        <v>0.3638327332</v>
      </c>
      <c r="H2489" t="n">
        <v>-0.09650246916999999</v>
      </c>
    </row>
    <row r="2490">
      <c r="A2490" t="inlineStr">
        <is>
          <t>HKG|mit.ic.a</t>
        </is>
      </c>
      <c r="B2490" t="inlineStr">
        <is>
          <t>HKG</t>
        </is>
      </c>
      <c r="C2490" t="inlineStr">
        <is>
          <t>mit.ic.a</t>
        </is>
      </c>
      <c r="D2490" t="n">
        <v>0</v>
      </c>
      <c r="E2490" t="n">
        <v>-0.4475041431</v>
      </c>
      <c r="F2490" t="n">
        <v>-2.790841294</v>
      </c>
      <c r="G2490" t="n">
        <v>-5.794120794</v>
      </c>
      <c r="H2490" t="n">
        <v>-6.157232257</v>
      </c>
    </row>
    <row r="2491">
      <c r="A2491" t="inlineStr">
        <is>
          <t>HND|mit.ic.a</t>
        </is>
      </c>
      <c r="B2491" t="inlineStr">
        <is>
          <t>HND</t>
        </is>
      </c>
      <c r="C2491" t="inlineStr">
        <is>
          <t>mit.ic.a</t>
        </is>
      </c>
      <c r="D2491" t="n">
        <v>0</v>
      </c>
      <c r="E2491" t="n">
        <v>0.07423483241000001</v>
      </c>
      <c r="F2491" t="n">
        <v>0.3816508948</v>
      </c>
      <c r="G2491" t="n">
        <v>-0.6363642537</v>
      </c>
      <c r="H2491" t="n">
        <v>-1.849737327</v>
      </c>
    </row>
    <row r="2492">
      <c r="A2492" t="inlineStr">
        <is>
          <t>HRV|mit.ic.a</t>
        </is>
      </c>
      <c r="B2492" t="inlineStr">
        <is>
          <t>HRV</t>
        </is>
      </c>
      <c r="C2492" t="inlineStr">
        <is>
          <t>mit.ic.a</t>
        </is>
      </c>
      <c r="D2492" t="n">
        <v>0</v>
      </c>
      <c r="E2492" t="n">
        <v>0.02855678906</v>
      </c>
      <c r="F2492" t="n">
        <v>0.1183047328</v>
      </c>
      <c r="G2492" t="n">
        <v>-0.1446835584</v>
      </c>
      <c r="H2492" t="n">
        <v>-0.123001976</v>
      </c>
    </row>
    <row r="2493">
      <c r="A2493" t="inlineStr">
        <is>
          <t>HTI|mit.ic.a</t>
        </is>
      </c>
      <c r="B2493" t="inlineStr">
        <is>
          <t>HTI</t>
        </is>
      </c>
      <c r="C2493" t="inlineStr">
        <is>
          <t>mit.ic.a</t>
        </is>
      </c>
      <c r="D2493" t="n">
        <v>0</v>
      </c>
      <c r="E2493" t="n">
        <v>0.05006953887</v>
      </c>
      <c r="F2493" t="n">
        <v>0.2899220214</v>
      </c>
      <c r="G2493" t="n">
        <v>0.3550333736</v>
      </c>
      <c r="H2493" t="n">
        <v>0.4253144312</v>
      </c>
    </row>
    <row r="2494">
      <c r="A2494" t="inlineStr">
        <is>
          <t>HUN|mit.ic.a</t>
        </is>
      </c>
      <c r="B2494" t="inlineStr">
        <is>
          <t>HUN</t>
        </is>
      </c>
      <c r="C2494" t="inlineStr">
        <is>
          <t>mit.ic.a</t>
        </is>
      </c>
      <c r="D2494" t="n">
        <v>0</v>
      </c>
      <c r="E2494" t="n">
        <v>0.3507078423</v>
      </c>
      <c r="F2494" t="n">
        <v>2.21716685</v>
      </c>
      <c r="G2494" t="n">
        <v>4.999284854</v>
      </c>
      <c r="H2494" t="n">
        <v>7.716165264</v>
      </c>
    </row>
    <row r="2495">
      <c r="A2495" t="inlineStr">
        <is>
          <t>IDN|mit.ic.a</t>
        </is>
      </c>
      <c r="B2495" t="inlineStr">
        <is>
          <t>IDN</t>
        </is>
      </c>
      <c r="C2495" t="inlineStr">
        <is>
          <t>mit.ic.a</t>
        </is>
      </c>
      <c r="D2495" t="n">
        <v>0</v>
      </c>
      <c r="E2495" t="n">
        <v>3.294031439</v>
      </c>
      <c r="F2495" t="n">
        <v>17.91204686</v>
      </c>
      <c r="G2495" t="n">
        <v>4.225328744</v>
      </c>
      <c r="H2495" t="n">
        <v>-9.822269002000001</v>
      </c>
    </row>
    <row r="2496">
      <c r="A2496" t="inlineStr">
        <is>
          <t>IND|mit.ic.a</t>
        </is>
      </c>
      <c r="B2496" t="inlineStr">
        <is>
          <t>IND</t>
        </is>
      </c>
      <c r="C2496" t="inlineStr">
        <is>
          <t>mit.ic.a</t>
        </is>
      </c>
      <c r="D2496" t="n">
        <v>0</v>
      </c>
      <c r="E2496" t="n">
        <v>7.788686347</v>
      </c>
      <c r="F2496" t="n">
        <v>51.36507888</v>
      </c>
      <c r="G2496" t="n">
        <v>122.8154528</v>
      </c>
      <c r="H2496" t="n">
        <v>228.576778</v>
      </c>
    </row>
    <row r="2497">
      <c r="A2497" t="inlineStr">
        <is>
          <t>IRL|mit.ic.a</t>
        </is>
      </c>
      <c r="B2497" t="inlineStr">
        <is>
          <t>IRL</t>
        </is>
      </c>
      <c r="C2497" t="inlineStr">
        <is>
          <t>mit.ic.a</t>
        </is>
      </c>
      <c r="D2497" t="n">
        <v>0</v>
      </c>
      <c r="E2497" t="n">
        <v>0.1421252279</v>
      </c>
      <c r="F2497" t="n">
        <v>0.9339430037999999</v>
      </c>
      <c r="G2497" t="n">
        <v>1.267471449</v>
      </c>
      <c r="H2497" t="n">
        <v>2.204597371</v>
      </c>
    </row>
    <row r="2498">
      <c r="A2498" t="inlineStr">
        <is>
          <t>IRN|mit.ic.a</t>
        </is>
      </c>
      <c r="B2498" t="inlineStr">
        <is>
          <t>IRN</t>
        </is>
      </c>
      <c r="C2498" t="inlineStr">
        <is>
          <t>mit.ic.a</t>
        </is>
      </c>
      <c r="D2498" t="n">
        <v>0</v>
      </c>
      <c r="E2498" t="n">
        <v>3.181194325</v>
      </c>
      <c r="F2498" t="n">
        <v>15.53707458</v>
      </c>
      <c r="G2498" t="n">
        <v>32.66893653</v>
      </c>
      <c r="H2498" t="n">
        <v>55.61517282</v>
      </c>
    </row>
    <row r="2499">
      <c r="A2499" t="inlineStr">
        <is>
          <t>IRQ|mit.ic.a</t>
        </is>
      </c>
      <c r="B2499" t="inlineStr">
        <is>
          <t>IRQ</t>
        </is>
      </c>
      <c r="C2499" t="inlineStr">
        <is>
          <t>mit.ic.a</t>
        </is>
      </c>
      <c r="D2499" t="n">
        <v>0</v>
      </c>
      <c r="E2499" t="n">
        <v>0.7680926863999999</v>
      </c>
      <c r="F2499" t="n">
        <v>3.955917248</v>
      </c>
      <c r="G2499" t="n">
        <v>3.420717263</v>
      </c>
      <c r="H2499" t="n">
        <v>2.125423564</v>
      </c>
    </row>
    <row r="2500">
      <c r="A2500" t="inlineStr">
        <is>
          <t>ISL|mit.ic.a</t>
        </is>
      </c>
      <c r="B2500" t="inlineStr">
        <is>
          <t>ISL</t>
        </is>
      </c>
      <c r="C2500" t="inlineStr">
        <is>
          <t>mit.ic.a</t>
        </is>
      </c>
      <c r="D2500" t="n">
        <v>0</v>
      </c>
      <c r="E2500" t="n">
        <v>0.08659265977</v>
      </c>
      <c r="F2500" t="n">
        <v>0.5153170662</v>
      </c>
      <c r="G2500" t="n">
        <v>0.5486372497000001</v>
      </c>
      <c r="H2500" t="n">
        <v>0.6099793313</v>
      </c>
    </row>
    <row r="2501">
      <c r="A2501" t="inlineStr">
        <is>
          <t>ISR|mit.ic.a</t>
        </is>
      </c>
      <c r="B2501" t="inlineStr">
        <is>
          <t>ISR</t>
        </is>
      </c>
      <c r="C2501" t="inlineStr">
        <is>
          <t>mit.ic.a</t>
        </is>
      </c>
      <c r="D2501" t="n">
        <v>0</v>
      </c>
      <c r="E2501" t="n">
        <v>0.2919218522</v>
      </c>
      <c r="F2501" t="n">
        <v>2.310112317</v>
      </c>
      <c r="G2501" t="n">
        <v>5.179292553</v>
      </c>
      <c r="H2501" t="n">
        <v>6.355544616</v>
      </c>
    </row>
    <row r="2502">
      <c r="A2502" t="inlineStr">
        <is>
          <t>ITA|mit.ic.a</t>
        </is>
      </c>
      <c r="B2502" t="inlineStr">
        <is>
          <t>ITA</t>
        </is>
      </c>
      <c r="C2502" t="inlineStr">
        <is>
          <t>mit.ic.a</t>
        </is>
      </c>
      <c r="D2502" t="n">
        <v>0</v>
      </c>
      <c r="E2502" t="n">
        <v>-0.6435921685</v>
      </c>
      <c r="F2502" t="n">
        <v>-4.388734413</v>
      </c>
      <c r="G2502" t="n">
        <v>-13.85902934</v>
      </c>
      <c r="H2502" t="n">
        <v>-12.48133652</v>
      </c>
    </row>
    <row r="2503">
      <c r="A2503" t="inlineStr">
        <is>
          <t>JAM|mit.ic.a</t>
        </is>
      </c>
      <c r="B2503" t="inlineStr">
        <is>
          <t>JAM</t>
        </is>
      </c>
      <c r="C2503" t="inlineStr">
        <is>
          <t>mit.ic.a</t>
        </is>
      </c>
      <c r="D2503" t="n">
        <v>0</v>
      </c>
      <c r="E2503" t="n">
        <v>0.009043925045</v>
      </c>
      <c r="F2503" t="n">
        <v>0.01457987331</v>
      </c>
      <c r="G2503" t="n">
        <v>-0.3232558787</v>
      </c>
      <c r="H2503" t="n">
        <v>-0.7192447982</v>
      </c>
    </row>
    <row r="2504">
      <c r="A2504" t="inlineStr">
        <is>
          <t>JOR|mit.ic.a</t>
        </is>
      </c>
      <c r="B2504" t="inlineStr">
        <is>
          <t>JOR</t>
        </is>
      </c>
      <c r="C2504" t="inlineStr">
        <is>
          <t>mit.ic.a</t>
        </is>
      </c>
      <c r="D2504" t="n">
        <v>0</v>
      </c>
      <c r="E2504" t="n">
        <v>-0.01469090582</v>
      </c>
      <c r="F2504" t="n">
        <v>-0.1863796841</v>
      </c>
      <c r="G2504" t="n">
        <v>-1.807764963</v>
      </c>
      <c r="H2504" t="n">
        <v>-3.342720612</v>
      </c>
    </row>
    <row r="2505">
      <c r="A2505" t="inlineStr">
        <is>
          <t>JPN|mit.ic.a</t>
        </is>
      </c>
      <c r="B2505" t="inlineStr">
        <is>
          <t>JPN</t>
        </is>
      </c>
      <c r="C2505" t="inlineStr">
        <is>
          <t>mit.ic.a</t>
        </is>
      </c>
      <c r="D2505" t="n">
        <v>0</v>
      </c>
      <c r="E2505" t="n">
        <v>-0.4043167178</v>
      </c>
      <c r="F2505" t="n">
        <v>-2.433228639</v>
      </c>
      <c r="G2505" t="n">
        <v>3.584972477</v>
      </c>
      <c r="H2505" t="n">
        <v>28.28957115</v>
      </c>
    </row>
    <row r="2506">
      <c r="A2506" t="inlineStr">
        <is>
          <t>KAZ|mit.ic.a</t>
        </is>
      </c>
      <c r="B2506" t="inlineStr">
        <is>
          <t>KAZ</t>
        </is>
      </c>
      <c r="C2506" t="inlineStr">
        <is>
          <t>mit.ic.a</t>
        </is>
      </c>
      <c r="D2506" t="n">
        <v>0</v>
      </c>
      <c r="E2506" t="n">
        <v>0.8911012379</v>
      </c>
      <c r="F2506" t="n">
        <v>5.101155391</v>
      </c>
      <c r="G2506" t="n">
        <v>9.174864953</v>
      </c>
      <c r="H2506" t="n">
        <v>14.75386265</v>
      </c>
    </row>
    <row r="2507">
      <c r="A2507" t="inlineStr">
        <is>
          <t>KEN|mit.ic.a</t>
        </is>
      </c>
      <c r="B2507" t="inlineStr">
        <is>
          <t>KEN</t>
        </is>
      </c>
      <c r="C2507" t="inlineStr">
        <is>
          <t>mit.ic.a</t>
        </is>
      </c>
      <c r="D2507" t="n">
        <v>0</v>
      </c>
      <c r="E2507" t="n">
        <v>0.2668566521</v>
      </c>
      <c r="F2507" t="n">
        <v>1.519915304</v>
      </c>
      <c r="G2507" t="n">
        <v>1.224365789</v>
      </c>
      <c r="H2507" t="n">
        <v>0.8132216019</v>
      </c>
    </row>
    <row r="2508">
      <c r="A2508" t="inlineStr">
        <is>
          <t>KGZ|mit.ic.a</t>
        </is>
      </c>
      <c r="B2508" t="inlineStr">
        <is>
          <t>KGZ</t>
        </is>
      </c>
      <c r="C2508" t="inlineStr">
        <is>
          <t>mit.ic.a</t>
        </is>
      </c>
      <c r="D2508" t="n">
        <v>0</v>
      </c>
      <c r="E2508" t="n">
        <v>0.05316283604</v>
      </c>
      <c r="F2508" t="n">
        <v>0.3106625005</v>
      </c>
      <c r="G2508" t="n">
        <v>0.5049058946</v>
      </c>
      <c r="H2508" t="n">
        <v>0.7265228499</v>
      </c>
    </row>
    <row r="2509">
      <c r="A2509" t="inlineStr">
        <is>
          <t>KHM|mit.ic.a</t>
        </is>
      </c>
      <c r="B2509" t="inlineStr">
        <is>
          <t>KHM</t>
        </is>
      </c>
      <c r="C2509" t="inlineStr">
        <is>
          <t>mit.ic.a</t>
        </is>
      </c>
      <c r="D2509" t="n">
        <v>0</v>
      </c>
      <c r="E2509" t="n">
        <v>0.3554967917</v>
      </c>
      <c r="F2509" t="n">
        <v>2.086224875</v>
      </c>
      <c r="G2509" t="n">
        <v>1.687448553</v>
      </c>
      <c r="H2509" t="n">
        <v>1.318205864</v>
      </c>
    </row>
    <row r="2510">
      <c r="A2510" t="inlineStr">
        <is>
          <t>KNA|mit.ic.a</t>
        </is>
      </c>
      <c r="B2510" t="inlineStr">
        <is>
          <t>KNA</t>
        </is>
      </c>
      <c r="C2510" t="inlineStr">
        <is>
          <t>mit.ic.a</t>
        </is>
      </c>
      <c r="D2510" t="n">
        <v>0</v>
      </c>
      <c r="E2510" t="n">
        <v>0.003430556944</v>
      </c>
      <c r="F2510" t="n">
        <v>0.01825170426</v>
      </c>
      <c r="G2510" t="n">
        <v>0.01723262627</v>
      </c>
      <c r="H2510" t="n">
        <v>0.01848779419</v>
      </c>
    </row>
    <row r="2511">
      <c r="A2511" t="inlineStr">
        <is>
          <t>KOR|mit.ic.a</t>
        </is>
      </c>
      <c r="B2511" t="inlineStr">
        <is>
          <t>KOR</t>
        </is>
      </c>
      <c r="C2511" t="inlineStr">
        <is>
          <t>mit.ic.a</t>
        </is>
      </c>
      <c r="D2511" t="n">
        <v>0</v>
      </c>
      <c r="E2511" t="n">
        <v>0.4320491899</v>
      </c>
      <c r="F2511" t="n">
        <v>2.834424638</v>
      </c>
      <c r="G2511" t="n">
        <v>10.59422203</v>
      </c>
      <c r="H2511" t="n">
        <v>23.85304463</v>
      </c>
    </row>
    <row r="2512">
      <c r="A2512" t="inlineStr">
        <is>
          <t>KWT|mit.ic.a</t>
        </is>
      </c>
      <c r="B2512" t="inlineStr">
        <is>
          <t>KWT</t>
        </is>
      </c>
      <c r="C2512" t="inlineStr">
        <is>
          <t>mit.ic.a</t>
        </is>
      </c>
      <c r="D2512" t="n">
        <v>0</v>
      </c>
      <c r="E2512" t="n">
        <v>0.3544922101</v>
      </c>
      <c r="F2512" t="n">
        <v>1.550768347</v>
      </c>
      <c r="G2512" t="n">
        <v>0.1611520724</v>
      </c>
      <c r="H2512" t="n">
        <v>-0.2384005506</v>
      </c>
    </row>
    <row r="2513">
      <c r="A2513" t="inlineStr">
        <is>
          <t>LAO|mit.ic.a</t>
        </is>
      </c>
      <c r="B2513" t="inlineStr">
        <is>
          <t>LAO</t>
        </is>
      </c>
      <c r="C2513" t="inlineStr">
        <is>
          <t>mit.ic.a</t>
        </is>
      </c>
      <c r="D2513" t="n">
        <v>0</v>
      </c>
      <c r="E2513" t="n">
        <v>0.2389393815</v>
      </c>
      <c r="F2513" t="n">
        <v>1.407143773</v>
      </c>
      <c r="G2513" t="n">
        <v>1.761601151</v>
      </c>
      <c r="H2513" t="n">
        <v>2.077999089</v>
      </c>
    </row>
    <row r="2514">
      <c r="A2514" t="inlineStr">
        <is>
          <t>LBN|mit.ic.a</t>
        </is>
      </c>
      <c r="B2514" t="inlineStr">
        <is>
          <t>LBN</t>
        </is>
      </c>
      <c r="C2514" t="inlineStr">
        <is>
          <t>mit.ic.a</t>
        </is>
      </c>
      <c r="D2514" t="n">
        <v>0</v>
      </c>
      <c r="E2514" t="n">
        <v>0.2947141416</v>
      </c>
      <c r="F2514" t="n">
        <v>1.85484361</v>
      </c>
      <c r="G2514" t="n">
        <v>4.134116463</v>
      </c>
      <c r="H2514" t="n">
        <v>7.390360758</v>
      </c>
    </row>
    <row r="2515">
      <c r="A2515" t="inlineStr">
        <is>
          <t>LBR|mit.ic.a</t>
        </is>
      </c>
      <c r="B2515" t="inlineStr">
        <is>
          <t>LBR</t>
        </is>
      </c>
      <c r="C2515" t="inlineStr">
        <is>
          <t>mit.ic.a</t>
        </is>
      </c>
      <c r="D2515" t="n">
        <v>0</v>
      </c>
      <c r="E2515" t="n">
        <v>0.1212943276</v>
      </c>
      <c r="F2515" t="n">
        <v>0.7281346853</v>
      </c>
      <c r="G2515" t="n">
        <v>0.7665182238</v>
      </c>
      <c r="H2515" t="n">
        <v>0.7980201609000001</v>
      </c>
    </row>
    <row r="2516">
      <c r="A2516" t="inlineStr">
        <is>
          <t>LBY|mit.ic.a</t>
        </is>
      </c>
      <c r="B2516" t="inlineStr">
        <is>
          <t>LBY</t>
        </is>
      </c>
      <c r="C2516" t="inlineStr">
        <is>
          <t>mit.ic.a</t>
        </is>
      </c>
      <c r="D2516" t="n">
        <v>0</v>
      </c>
      <c r="E2516" t="n">
        <v>0.153740223</v>
      </c>
      <c r="F2516" t="n">
        <v>0.5299186424</v>
      </c>
      <c r="G2516" t="n">
        <v>-3.140119458</v>
      </c>
      <c r="H2516" t="n">
        <v>-6.583244007</v>
      </c>
    </row>
    <row r="2517">
      <c r="A2517" t="inlineStr">
        <is>
          <t>LCA|mit.ic.a</t>
        </is>
      </c>
      <c r="B2517" t="inlineStr">
        <is>
          <t>LCA</t>
        </is>
      </c>
      <c r="C2517" t="inlineStr">
        <is>
          <t>mit.ic.a</t>
        </is>
      </c>
      <c r="D2517" t="n">
        <v>0</v>
      </c>
      <c r="E2517" t="n">
        <v>0.0008486558239</v>
      </c>
      <c r="F2517" t="n">
        <v>0.001826336921</v>
      </c>
      <c r="G2517" t="n">
        <v>-0.03512444965</v>
      </c>
      <c r="H2517" t="n">
        <v>-0.07349195457</v>
      </c>
    </row>
    <row r="2518">
      <c r="A2518" t="inlineStr">
        <is>
          <t>LKA|mit.ic.a</t>
        </is>
      </c>
      <c r="B2518" t="inlineStr">
        <is>
          <t>LKA</t>
        </is>
      </c>
      <c r="C2518" t="inlineStr">
        <is>
          <t>mit.ic.a</t>
        </is>
      </c>
      <c r="D2518" t="n">
        <v>0</v>
      </c>
      <c r="E2518" t="n">
        <v>0.08055890358999999</v>
      </c>
      <c r="F2518" t="n">
        <v>0.4435797494</v>
      </c>
      <c r="G2518" t="n">
        <v>-0.1641436835</v>
      </c>
      <c r="H2518" t="n">
        <v>-0.8456670536000001</v>
      </c>
    </row>
    <row r="2519">
      <c r="A2519" t="inlineStr">
        <is>
          <t>LSO|mit.ic.a</t>
        </is>
      </c>
      <c r="B2519" t="inlineStr">
        <is>
          <t>LSO</t>
        </is>
      </c>
      <c r="C2519" t="inlineStr">
        <is>
          <t>mit.ic.a</t>
        </is>
      </c>
      <c r="D2519" t="n">
        <v>0</v>
      </c>
      <c r="E2519" t="n">
        <v>0.02925361853</v>
      </c>
      <c r="F2519" t="n">
        <v>0.1513628857</v>
      </c>
      <c r="G2519" t="n">
        <v>0.2128833111</v>
      </c>
      <c r="H2519" t="n">
        <v>0.2381349936</v>
      </c>
    </row>
    <row r="2520">
      <c r="A2520" t="inlineStr">
        <is>
          <t>LTU|mit.ic.a</t>
        </is>
      </c>
      <c r="B2520" t="inlineStr">
        <is>
          <t>LTU</t>
        </is>
      </c>
      <c r="C2520" t="inlineStr">
        <is>
          <t>mit.ic.a</t>
        </is>
      </c>
      <c r="D2520" t="n">
        <v>0</v>
      </c>
      <c r="E2520" t="n">
        <v>0.06694922171999999</v>
      </c>
      <c r="F2520" t="n">
        <v>0.4316759792</v>
      </c>
      <c r="G2520" t="n">
        <v>0.8147705711</v>
      </c>
      <c r="H2520" t="n">
        <v>1.274848569</v>
      </c>
    </row>
    <row r="2521">
      <c r="A2521" t="inlineStr">
        <is>
          <t>LUX|mit.ic.a</t>
        </is>
      </c>
      <c r="B2521" t="inlineStr">
        <is>
          <t>LUX</t>
        </is>
      </c>
      <c r="C2521" t="inlineStr">
        <is>
          <t>mit.ic.a</t>
        </is>
      </c>
      <c r="D2521" t="n">
        <v>0</v>
      </c>
      <c r="E2521" t="n">
        <v>0.006114182547</v>
      </c>
      <c r="F2521" t="n">
        <v>0.02245673158</v>
      </c>
      <c r="G2521" t="n">
        <v>-0.1732814696</v>
      </c>
      <c r="H2521" t="n">
        <v>-0.2149773939</v>
      </c>
    </row>
    <row r="2522">
      <c r="A2522" t="inlineStr">
        <is>
          <t>LVA|mit.ic.a</t>
        </is>
      </c>
      <c r="B2522" t="inlineStr">
        <is>
          <t>LVA</t>
        </is>
      </c>
      <c r="C2522" t="inlineStr">
        <is>
          <t>mit.ic.a</t>
        </is>
      </c>
      <c r="D2522" t="n">
        <v>0</v>
      </c>
      <c r="E2522" t="n">
        <v>0.01955369222</v>
      </c>
      <c r="F2522" t="n">
        <v>0.1176481434</v>
      </c>
      <c r="G2522" t="n">
        <v>0.06137849238</v>
      </c>
      <c r="H2522" t="n">
        <v>0.1943181788</v>
      </c>
    </row>
    <row r="2523">
      <c r="A2523" t="inlineStr">
        <is>
          <t>MAC|mit.ic.a</t>
        </is>
      </c>
      <c r="B2523" t="inlineStr">
        <is>
          <t>MAC</t>
        </is>
      </c>
      <c r="C2523" t="inlineStr">
        <is>
          <t>mit.ic.a</t>
        </is>
      </c>
      <c r="D2523" t="n">
        <v>0</v>
      </c>
      <c r="E2523" t="n">
        <v>-0.0362647556</v>
      </c>
      <c r="F2523" t="n">
        <v>-0.2111313566</v>
      </c>
      <c r="G2523" t="n">
        <v>-0.4563611595</v>
      </c>
      <c r="H2523" t="n">
        <v>-0.5689310076</v>
      </c>
    </row>
    <row r="2524">
      <c r="A2524" t="inlineStr">
        <is>
          <t>MAR|mit.ic.a</t>
        </is>
      </c>
      <c r="B2524" t="inlineStr">
        <is>
          <t>MAR</t>
        </is>
      </c>
      <c r="C2524" t="inlineStr">
        <is>
          <t>mit.ic.a</t>
        </is>
      </c>
      <c r="D2524" t="n">
        <v>0</v>
      </c>
      <c r="E2524" t="n">
        <v>0.1094500113</v>
      </c>
      <c r="F2524" t="n">
        <v>0.4836762005</v>
      </c>
      <c r="G2524" t="n">
        <v>-1.691258313</v>
      </c>
      <c r="H2524" t="n">
        <v>-3.84786189</v>
      </c>
    </row>
    <row r="2525">
      <c r="A2525" t="inlineStr">
        <is>
          <t>MDA|mit.ic.a</t>
        </is>
      </c>
      <c r="B2525" t="inlineStr">
        <is>
          <t>MDA</t>
        </is>
      </c>
      <c r="C2525" t="inlineStr">
        <is>
          <t>mit.ic.a</t>
        </is>
      </c>
      <c r="D2525" t="n">
        <v>0</v>
      </c>
      <c r="E2525" t="n">
        <v>0.03684925102</v>
      </c>
      <c r="F2525" t="n">
        <v>0.1799799852</v>
      </c>
      <c r="G2525" t="n">
        <v>0.02172084892</v>
      </c>
      <c r="H2525" t="n">
        <v>-0.08854870486999999</v>
      </c>
    </row>
    <row r="2526">
      <c r="A2526" t="inlineStr">
        <is>
          <t>MDG|mit.ic.a</t>
        </is>
      </c>
      <c r="B2526" t="inlineStr">
        <is>
          <t>MDG</t>
        </is>
      </c>
      <c r="C2526" t="inlineStr">
        <is>
          <t>mit.ic.a</t>
        </is>
      </c>
      <c r="D2526" t="n">
        <v>0</v>
      </c>
      <c r="E2526" t="n">
        <v>0.1670288729</v>
      </c>
      <c r="F2526" t="n">
        <v>0.9898612291</v>
      </c>
      <c r="G2526" t="n">
        <v>1.078121656</v>
      </c>
      <c r="H2526" t="n">
        <v>1.173264842</v>
      </c>
    </row>
    <row r="2527">
      <c r="A2527" t="inlineStr">
        <is>
          <t>MDV|mit.ic.a</t>
        </is>
      </c>
      <c r="B2527" t="inlineStr">
        <is>
          <t>MDV</t>
        </is>
      </c>
      <c r="C2527" t="inlineStr">
        <is>
          <t>mit.ic.a</t>
        </is>
      </c>
      <c r="D2527" t="n">
        <v>0</v>
      </c>
      <c r="E2527" t="n">
        <v>0.004797957563</v>
      </c>
      <c r="F2527" t="n">
        <v>0.01612904005</v>
      </c>
      <c r="G2527" t="n">
        <v>-0.1188019545</v>
      </c>
      <c r="H2527" t="n">
        <v>-0.2377141997</v>
      </c>
    </row>
    <row r="2528">
      <c r="A2528" t="inlineStr">
        <is>
          <t>MEX|mit.ic.a</t>
        </is>
      </c>
      <c r="B2528" t="inlineStr">
        <is>
          <t>MEX</t>
        </is>
      </c>
      <c r="C2528" t="inlineStr">
        <is>
          <t>mit.ic.a</t>
        </is>
      </c>
      <c r="D2528" t="n">
        <v>0</v>
      </c>
      <c r="E2528" t="n">
        <v>2.525053936</v>
      </c>
      <c r="F2528" t="n">
        <v>14.3442656</v>
      </c>
      <c r="G2528" t="n">
        <v>21.29388347</v>
      </c>
      <c r="H2528" t="n">
        <v>33.19294951</v>
      </c>
    </row>
    <row r="2529">
      <c r="A2529" t="inlineStr">
        <is>
          <t>MKD|mit.ic.a</t>
        </is>
      </c>
      <c r="B2529" t="inlineStr">
        <is>
          <t>MKD</t>
        </is>
      </c>
      <c r="C2529" t="inlineStr">
        <is>
          <t>mit.ic.a</t>
        </is>
      </c>
      <c r="D2529" t="n">
        <v>0</v>
      </c>
      <c r="E2529" t="n">
        <v>0.01903801835</v>
      </c>
      <c r="F2529" t="n">
        <v>0.08985238894</v>
      </c>
      <c r="G2529" t="n">
        <v>-0.1016113747</v>
      </c>
      <c r="H2529" t="n">
        <v>-0.271612811</v>
      </c>
    </row>
    <row r="2530">
      <c r="A2530" t="inlineStr">
        <is>
          <t>MLI|mit.ic.a</t>
        </is>
      </c>
      <c r="B2530" t="inlineStr">
        <is>
          <t>MLI</t>
        </is>
      </c>
      <c r="C2530" t="inlineStr">
        <is>
          <t>mit.ic.a</t>
        </is>
      </c>
      <c r="D2530" t="n">
        <v>0</v>
      </c>
      <c r="E2530" t="n">
        <v>0.1187365245</v>
      </c>
      <c r="F2530" t="n">
        <v>0.6822879154</v>
      </c>
      <c r="G2530" t="n">
        <v>0.3470192261</v>
      </c>
      <c r="H2530" t="n">
        <v>-0.1594003464</v>
      </c>
    </row>
    <row r="2531">
      <c r="A2531" t="inlineStr">
        <is>
          <t>MLT|mit.ic.a</t>
        </is>
      </c>
      <c r="B2531" t="inlineStr">
        <is>
          <t>MLT</t>
        </is>
      </c>
      <c r="C2531" t="inlineStr">
        <is>
          <t>mit.ic.a</t>
        </is>
      </c>
      <c r="D2531" t="n">
        <v>0</v>
      </c>
      <c r="E2531" t="n">
        <v>-0.01087330471</v>
      </c>
      <c r="F2531" t="n">
        <v>-0.06908412227000001</v>
      </c>
      <c r="G2531" t="n">
        <v>-0.1671782521</v>
      </c>
      <c r="H2531" t="n">
        <v>-0.1686268547</v>
      </c>
    </row>
    <row r="2532">
      <c r="A2532" t="inlineStr">
        <is>
          <t>MMR|mit.ic.a</t>
        </is>
      </c>
      <c r="B2532" t="inlineStr">
        <is>
          <t>MMR</t>
        </is>
      </c>
      <c r="C2532" t="inlineStr">
        <is>
          <t>mit.ic.a</t>
        </is>
      </c>
      <c r="D2532" t="n">
        <v>0</v>
      </c>
      <c r="E2532" t="n">
        <v>1.540056657</v>
      </c>
      <c r="F2532" t="n">
        <v>9.270068950000001</v>
      </c>
      <c r="G2532" t="n">
        <v>10.9319721</v>
      </c>
      <c r="H2532" t="n">
        <v>12.99743078</v>
      </c>
    </row>
    <row r="2533">
      <c r="A2533" t="inlineStr">
        <is>
          <t>MNE|mit.ic.a</t>
        </is>
      </c>
      <c r="B2533" t="inlineStr">
        <is>
          <t>MNE</t>
        </is>
      </c>
      <c r="C2533" t="inlineStr">
        <is>
          <t>mit.ic.a</t>
        </is>
      </c>
      <c r="D2533" t="n">
        <v>0</v>
      </c>
      <c r="E2533" t="n">
        <v>0.001037188979</v>
      </c>
      <c r="F2533" t="n">
        <v>0.001105430212</v>
      </c>
      <c r="G2533" t="n">
        <v>-0.07369404928999999</v>
      </c>
      <c r="H2533" t="n">
        <v>-0.1420349859</v>
      </c>
    </row>
    <row r="2534">
      <c r="A2534" t="inlineStr">
        <is>
          <t>MNG|mit.ic.a</t>
        </is>
      </c>
      <c r="B2534" t="inlineStr">
        <is>
          <t>MNG</t>
        </is>
      </c>
      <c r="C2534" t="inlineStr">
        <is>
          <t>mit.ic.a</t>
        </is>
      </c>
      <c r="D2534" t="n">
        <v>0</v>
      </c>
      <c r="E2534" t="n">
        <v>0.3059451778</v>
      </c>
      <c r="F2534" t="n">
        <v>1.809432852</v>
      </c>
      <c r="G2534" t="n">
        <v>2.018162669</v>
      </c>
      <c r="H2534" t="n">
        <v>2.243595435</v>
      </c>
    </row>
    <row r="2535">
      <c r="A2535" t="inlineStr">
        <is>
          <t>MOZ|mit.ic.a</t>
        </is>
      </c>
      <c r="B2535" t="inlineStr">
        <is>
          <t>MOZ</t>
        </is>
      </c>
      <c r="C2535" t="inlineStr">
        <is>
          <t>mit.ic.a</t>
        </is>
      </c>
      <c r="D2535" t="n">
        <v>0</v>
      </c>
      <c r="E2535" t="n">
        <v>0.6306851693</v>
      </c>
      <c r="F2535" t="n">
        <v>3.785684846</v>
      </c>
      <c r="G2535" t="n">
        <v>3.901885129</v>
      </c>
      <c r="H2535" t="n">
        <v>4.163309106</v>
      </c>
    </row>
    <row r="2536">
      <c r="A2536" t="inlineStr">
        <is>
          <t>MRT|mit.ic.a</t>
        </is>
      </c>
      <c r="B2536" t="inlineStr">
        <is>
          <t>MRT</t>
        </is>
      </c>
      <c r="C2536" t="inlineStr">
        <is>
          <t>mit.ic.a</t>
        </is>
      </c>
      <c r="D2536" t="n">
        <v>0</v>
      </c>
      <c r="E2536" t="n">
        <v>0.04405201585</v>
      </c>
      <c r="F2536" t="n">
        <v>0.2526436775</v>
      </c>
      <c r="G2536" t="n">
        <v>0.199364025</v>
      </c>
      <c r="H2536" t="n">
        <v>0.1447024996</v>
      </c>
    </row>
    <row r="2537">
      <c r="A2537" t="inlineStr">
        <is>
          <t>MUS|mit.ic.a</t>
        </is>
      </c>
      <c r="B2537" t="inlineStr">
        <is>
          <t>MUS</t>
        </is>
      </c>
      <c r="C2537" t="inlineStr">
        <is>
          <t>mit.ic.a</t>
        </is>
      </c>
      <c r="D2537" t="n">
        <v>0</v>
      </c>
      <c r="E2537" t="n">
        <v>-0.005475321694</v>
      </c>
      <c r="F2537" t="n">
        <v>-0.05298738491</v>
      </c>
      <c r="G2537" t="n">
        <v>-0.3489777695</v>
      </c>
      <c r="H2537" t="n">
        <v>-0.6321145311</v>
      </c>
    </row>
    <row r="2538">
      <c r="A2538" t="inlineStr">
        <is>
          <t>MWI|mit.ic.a</t>
        </is>
      </c>
      <c r="B2538" t="inlineStr">
        <is>
          <t>MWI</t>
        </is>
      </c>
      <c r="C2538" t="inlineStr">
        <is>
          <t>mit.ic.a</t>
        </is>
      </c>
      <c r="D2538" t="n">
        <v>0</v>
      </c>
      <c r="E2538" t="n">
        <v>0.120828982</v>
      </c>
      <c r="F2538" t="n">
        <v>0.7136594602</v>
      </c>
      <c r="G2538" t="n">
        <v>0.8190666798</v>
      </c>
      <c r="H2538" t="n">
        <v>0.9012329288000001</v>
      </c>
    </row>
    <row r="2539">
      <c r="A2539" t="inlineStr">
        <is>
          <t>MYS|mit.ic.a</t>
        </is>
      </c>
      <c r="B2539" t="inlineStr">
        <is>
          <t>MYS</t>
        </is>
      </c>
      <c r="C2539" t="inlineStr">
        <is>
          <t>mit.ic.a</t>
        </is>
      </c>
      <c r="D2539" t="n">
        <v>0</v>
      </c>
      <c r="E2539" t="n">
        <v>0.703312804</v>
      </c>
      <c r="F2539" t="n">
        <v>3.355826832</v>
      </c>
      <c r="G2539" t="n">
        <v>-4.100279231</v>
      </c>
      <c r="H2539" t="n">
        <v>-10.24711436</v>
      </c>
    </row>
    <row r="2540">
      <c r="A2540" t="inlineStr">
        <is>
          <t>NAM|mit.ic.a</t>
        </is>
      </c>
      <c r="B2540" t="inlineStr">
        <is>
          <t>NAM</t>
        </is>
      </c>
      <c r="C2540" t="inlineStr">
        <is>
          <t>mit.ic.a</t>
        </is>
      </c>
      <c r="D2540" t="n">
        <v>0</v>
      </c>
      <c r="E2540" t="n">
        <v>0.1065024685</v>
      </c>
      <c r="F2540" t="n">
        <v>0.6150498966</v>
      </c>
      <c r="G2540" t="n">
        <v>0.4319166199</v>
      </c>
      <c r="H2540" t="n">
        <v>0.238547484</v>
      </c>
    </row>
    <row r="2541">
      <c r="A2541" t="inlineStr">
        <is>
          <t>NER|mit.ic.a</t>
        </is>
      </c>
      <c r="B2541" t="inlineStr">
        <is>
          <t>NER</t>
        </is>
      </c>
      <c r="C2541" t="inlineStr">
        <is>
          <t>mit.ic.a</t>
        </is>
      </c>
      <c r="D2541" t="n">
        <v>0</v>
      </c>
      <c r="E2541" t="n">
        <v>0.1134047604</v>
      </c>
      <c r="F2541" t="n">
        <v>0.6617895984</v>
      </c>
      <c r="G2541" t="n">
        <v>0.6700994205</v>
      </c>
      <c r="H2541" t="n">
        <v>0.6153537998</v>
      </c>
    </row>
    <row r="2542">
      <c r="A2542" t="inlineStr">
        <is>
          <t>NGA|mit.ic.a</t>
        </is>
      </c>
      <c r="B2542" t="inlineStr">
        <is>
          <t>NGA</t>
        </is>
      </c>
      <c r="C2542" t="inlineStr">
        <is>
          <t>mit.ic.a</t>
        </is>
      </c>
      <c r="D2542" t="n">
        <v>0</v>
      </c>
      <c r="E2542" t="n">
        <v>1.252849016</v>
      </c>
      <c r="F2542" t="n">
        <v>6.635996435</v>
      </c>
      <c r="G2542" t="n">
        <v>1.404571864</v>
      </c>
      <c r="H2542" t="n">
        <v>-4.321973154</v>
      </c>
    </row>
    <row r="2543">
      <c r="A2543" t="inlineStr">
        <is>
          <t>NIC|mit.ic.a</t>
        </is>
      </c>
      <c r="B2543" t="inlineStr">
        <is>
          <t>NIC</t>
        </is>
      </c>
      <c r="C2543" t="inlineStr">
        <is>
          <t>mit.ic.a</t>
        </is>
      </c>
      <c r="D2543" t="n">
        <v>0</v>
      </c>
      <c r="E2543" t="n">
        <v>0.1952501067</v>
      </c>
      <c r="F2543" t="n">
        <v>1.1451134</v>
      </c>
      <c r="G2543" t="n">
        <v>0.8555482004</v>
      </c>
      <c r="H2543" t="n">
        <v>0.505549294</v>
      </c>
    </row>
    <row r="2544">
      <c r="A2544" t="inlineStr">
        <is>
          <t>NLD|mit.ic.a</t>
        </is>
      </c>
      <c r="B2544" t="inlineStr">
        <is>
          <t>NLD</t>
        </is>
      </c>
      <c r="C2544" t="inlineStr">
        <is>
          <t>mit.ic.a</t>
        </is>
      </c>
      <c r="D2544" t="n">
        <v>0</v>
      </c>
      <c r="E2544" t="n">
        <v>-0.07508016132000001</v>
      </c>
      <c r="F2544" t="n">
        <v>-0.7772873744</v>
      </c>
      <c r="G2544" t="n">
        <v>-3.39343</v>
      </c>
      <c r="H2544" t="n">
        <v>-2.677092808</v>
      </c>
    </row>
    <row r="2545">
      <c r="A2545" t="inlineStr">
        <is>
          <t>NOR|mit.ic.a</t>
        </is>
      </c>
      <c r="B2545" t="inlineStr">
        <is>
          <t>NOR</t>
        </is>
      </c>
      <c r="C2545" t="inlineStr">
        <is>
          <t>mit.ic.a</t>
        </is>
      </c>
      <c r="D2545" t="n">
        <v>0</v>
      </c>
      <c r="E2545" t="n">
        <v>0.2307603568</v>
      </c>
      <c r="F2545" t="n">
        <v>1.378927885</v>
      </c>
      <c r="G2545" t="n">
        <v>3.252654815</v>
      </c>
      <c r="H2545" t="n">
        <v>5.550696794</v>
      </c>
    </row>
    <row r="2546">
      <c r="A2546" t="inlineStr">
        <is>
          <t>NPL|mit.ic.a</t>
        </is>
      </c>
      <c r="B2546" t="inlineStr">
        <is>
          <t>NPL</t>
        </is>
      </c>
      <c r="C2546" t="inlineStr">
        <is>
          <t>mit.ic.a</t>
        </is>
      </c>
      <c r="D2546" t="n">
        <v>0</v>
      </c>
      <c r="E2546" t="n">
        <v>0.1517701842</v>
      </c>
      <c r="F2546" t="n">
        <v>0.8897011883</v>
      </c>
      <c r="G2546" t="n">
        <v>1.173494787</v>
      </c>
      <c r="H2546" t="n">
        <v>1.485441359</v>
      </c>
    </row>
    <row r="2547">
      <c r="A2547" t="inlineStr">
        <is>
          <t>NRU|mit.ic.a</t>
        </is>
      </c>
      <c r="B2547" t="inlineStr">
        <is>
          <t>NRU</t>
        </is>
      </c>
      <c r="C2547" t="inlineStr">
        <is>
          <t>mit.ic.a</t>
        </is>
      </c>
      <c r="D2547" t="n">
        <v>0</v>
      </c>
      <c r="E2547" t="n">
        <v>0.0009893445444</v>
      </c>
      <c r="F2547" t="n">
        <v>0.006086103879</v>
      </c>
      <c r="G2547" t="n">
        <v>0.01297971747</v>
      </c>
      <c r="H2547" t="n">
        <v>0.02253086069</v>
      </c>
    </row>
    <row r="2548">
      <c r="A2548" t="inlineStr">
        <is>
          <t>NZL|mit.ic.a</t>
        </is>
      </c>
      <c r="B2548" t="inlineStr">
        <is>
          <t>NZL</t>
        </is>
      </c>
      <c r="C2548" t="inlineStr">
        <is>
          <t>mit.ic.a</t>
        </is>
      </c>
      <c r="D2548" t="n">
        <v>0</v>
      </c>
      <c r="E2548" t="n">
        <v>0.1571577569</v>
      </c>
      <c r="F2548" t="n">
        <v>0.9024277079</v>
      </c>
      <c r="G2548" t="n">
        <v>1.053511886</v>
      </c>
      <c r="H2548" t="n">
        <v>1.660561464</v>
      </c>
    </row>
    <row r="2549">
      <c r="A2549" t="inlineStr">
        <is>
          <t>OMN|mit.ic.a</t>
        </is>
      </c>
      <c r="B2549" t="inlineStr">
        <is>
          <t>OMN</t>
        </is>
      </c>
      <c r="C2549" t="inlineStr">
        <is>
          <t>mit.ic.a</t>
        </is>
      </c>
      <c r="D2549" t="n">
        <v>0</v>
      </c>
      <c r="E2549" t="n">
        <v>0.5847761049</v>
      </c>
      <c r="F2549" t="n">
        <v>3.493841948</v>
      </c>
      <c r="G2549" t="n">
        <v>7.747662723</v>
      </c>
      <c r="H2549" t="n">
        <v>12.60321133</v>
      </c>
    </row>
    <row r="2550">
      <c r="A2550" t="inlineStr">
        <is>
          <t>PAK|mit.ic.a</t>
        </is>
      </c>
      <c r="B2550" t="inlineStr">
        <is>
          <t>PAK</t>
        </is>
      </c>
      <c r="C2550" t="inlineStr">
        <is>
          <t>mit.ic.a</t>
        </is>
      </c>
      <c r="D2550" t="n">
        <v>0</v>
      </c>
      <c r="E2550" t="n">
        <v>1.259064833</v>
      </c>
      <c r="F2550" t="n">
        <v>6.993636304</v>
      </c>
      <c r="G2550" t="n">
        <v>5.851629128</v>
      </c>
      <c r="H2550" t="n">
        <v>4.429992536</v>
      </c>
    </row>
    <row r="2551">
      <c r="A2551" t="inlineStr">
        <is>
          <t>PAN|mit.ic.a</t>
        </is>
      </c>
      <c r="B2551" t="inlineStr">
        <is>
          <t>PAN</t>
        </is>
      </c>
      <c r="C2551" t="inlineStr">
        <is>
          <t>mit.ic.a</t>
        </is>
      </c>
      <c r="D2551" t="n">
        <v>0</v>
      </c>
      <c r="E2551" t="n">
        <v>0.05551821311</v>
      </c>
      <c r="F2551" t="n">
        <v>0.299837883</v>
      </c>
      <c r="G2551" t="n">
        <v>-0.201406614</v>
      </c>
      <c r="H2551" t="n">
        <v>-0.5213963301</v>
      </c>
    </row>
    <row r="2552">
      <c r="A2552" t="inlineStr">
        <is>
          <t>PER|mit.ic.a</t>
        </is>
      </c>
      <c r="B2552" t="inlineStr">
        <is>
          <t>PER</t>
        </is>
      </c>
      <c r="C2552" t="inlineStr">
        <is>
          <t>mit.ic.a</t>
        </is>
      </c>
      <c r="D2552" t="n">
        <v>0</v>
      </c>
      <c r="E2552" t="n">
        <v>0.9351773045</v>
      </c>
      <c r="F2552" t="n">
        <v>5.435193805</v>
      </c>
      <c r="G2552" t="n">
        <v>4.783285754</v>
      </c>
      <c r="H2552" t="n">
        <v>4.680564612</v>
      </c>
    </row>
    <row r="2553">
      <c r="A2553" t="inlineStr">
        <is>
          <t>PHL|mit.ic.a</t>
        </is>
      </c>
      <c r="B2553" t="inlineStr">
        <is>
          <t>PHL</t>
        </is>
      </c>
      <c r="C2553" t="inlineStr">
        <is>
          <t>mit.ic.a</t>
        </is>
      </c>
      <c r="D2553" t="n">
        <v>0</v>
      </c>
      <c r="E2553" t="n">
        <v>0.233357812</v>
      </c>
      <c r="F2553" t="n">
        <v>0.9057608864</v>
      </c>
      <c r="G2553" t="n">
        <v>-3.968555492</v>
      </c>
      <c r="H2553" t="n">
        <v>-9.362485053</v>
      </c>
    </row>
    <row r="2554">
      <c r="A2554" t="inlineStr">
        <is>
          <t>PLW|mit.ic.a</t>
        </is>
      </c>
      <c r="B2554" t="inlineStr">
        <is>
          <t>PLW</t>
        </is>
      </c>
      <c r="C2554" t="inlineStr">
        <is>
          <t>mit.ic.a</t>
        </is>
      </c>
      <c r="D2554" t="n">
        <v>0</v>
      </c>
      <c r="E2554" t="n">
        <v>0.004385618688</v>
      </c>
      <c r="F2554" t="n">
        <v>0.02621597984</v>
      </c>
      <c r="G2554" t="n">
        <v>0.0545436836</v>
      </c>
      <c r="H2554" t="n">
        <v>0.08566328594</v>
      </c>
    </row>
    <row r="2555">
      <c r="A2555" t="inlineStr">
        <is>
          <t>PNG|mit.ic.a</t>
        </is>
      </c>
      <c r="B2555" t="inlineStr">
        <is>
          <t>PNG</t>
        </is>
      </c>
      <c r="C2555" t="inlineStr">
        <is>
          <t>mit.ic.a</t>
        </is>
      </c>
      <c r="D2555" t="n">
        <v>0</v>
      </c>
      <c r="E2555" t="n">
        <v>0.3070440779</v>
      </c>
      <c r="F2555" t="n">
        <v>1.82254531</v>
      </c>
      <c r="G2555" t="n">
        <v>1.814022434</v>
      </c>
      <c r="H2555" t="n">
        <v>1.862277408</v>
      </c>
    </row>
    <row r="2556">
      <c r="A2556" t="inlineStr">
        <is>
          <t>POL|mit.ic.a</t>
        </is>
      </c>
      <c r="B2556" t="inlineStr">
        <is>
          <t>POL</t>
        </is>
      </c>
      <c r="C2556" t="inlineStr">
        <is>
          <t>mit.ic.a</t>
        </is>
      </c>
      <c r="D2556" t="n">
        <v>0</v>
      </c>
      <c r="E2556" t="n">
        <v>0.2958506589</v>
      </c>
      <c r="F2556" t="n">
        <v>0.7945741674</v>
      </c>
      <c r="G2556" t="n">
        <v>-7.174622614</v>
      </c>
      <c r="H2556" t="n">
        <v>-11.86187716</v>
      </c>
    </row>
    <row r="2557">
      <c r="A2557" t="inlineStr">
        <is>
          <t>PRI|mit.ic.a</t>
        </is>
      </c>
      <c r="B2557" t="inlineStr">
        <is>
          <t>PRI</t>
        </is>
      </c>
      <c r="C2557" t="inlineStr">
        <is>
          <t>mit.ic.a</t>
        </is>
      </c>
      <c r="D2557" t="n">
        <v>0</v>
      </c>
      <c r="E2557" t="n">
        <v>0.04028460295</v>
      </c>
      <c r="F2557" t="n">
        <v>0.1963678849</v>
      </c>
      <c r="G2557" t="n">
        <v>0.04755712405</v>
      </c>
      <c r="H2557" t="n">
        <v>0.1405792882</v>
      </c>
    </row>
    <row r="2558">
      <c r="A2558" t="inlineStr">
        <is>
          <t>PRT|mit.ic.a</t>
        </is>
      </c>
      <c r="B2558" t="inlineStr">
        <is>
          <t>PRT</t>
        </is>
      </c>
      <c r="C2558" t="inlineStr">
        <is>
          <t>mit.ic.a</t>
        </is>
      </c>
      <c r="D2558" t="n">
        <v>0</v>
      </c>
      <c r="E2558" t="n">
        <v>0.1285687446</v>
      </c>
      <c r="F2558" t="n">
        <v>0.7215926158</v>
      </c>
      <c r="G2558" t="n">
        <v>0.742676549</v>
      </c>
      <c r="H2558" t="n">
        <v>1.360146031</v>
      </c>
    </row>
    <row r="2559">
      <c r="A2559" t="inlineStr">
        <is>
          <t>PRY|mit.ic.a</t>
        </is>
      </c>
      <c r="B2559" t="inlineStr">
        <is>
          <t>PRY</t>
        </is>
      </c>
      <c r="C2559" t="inlineStr">
        <is>
          <t>mit.ic.a</t>
        </is>
      </c>
      <c r="D2559" t="n">
        <v>0</v>
      </c>
      <c r="E2559" t="n">
        <v>0.4593260362</v>
      </c>
      <c r="F2559" t="n">
        <v>2.665348399</v>
      </c>
      <c r="G2559" t="n">
        <v>2.645749744</v>
      </c>
      <c r="H2559" t="n">
        <v>2.914427259</v>
      </c>
    </row>
    <row r="2560">
      <c r="A2560" t="inlineStr">
        <is>
          <t>QAT|mit.ic.a</t>
        </is>
      </c>
      <c r="B2560" t="inlineStr">
        <is>
          <t>QAT</t>
        </is>
      </c>
      <c r="C2560" t="inlineStr">
        <is>
          <t>mit.ic.a</t>
        </is>
      </c>
      <c r="D2560" t="n">
        <v>0</v>
      </c>
      <c r="E2560" t="n">
        <v>0.9153206303</v>
      </c>
      <c r="F2560" t="n">
        <v>4.315443523</v>
      </c>
      <c r="G2560" t="n">
        <v>8.877891968</v>
      </c>
      <c r="H2560" t="n">
        <v>14.31039586</v>
      </c>
    </row>
    <row r="2561">
      <c r="A2561" t="inlineStr">
        <is>
          <t>ROU|mit.ic.a</t>
        </is>
      </c>
      <c r="B2561" t="inlineStr">
        <is>
          <t>ROU</t>
        </is>
      </c>
      <c r="C2561" t="inlineStr">
        <is>
          <t>mit.ic.a</t>
        </is>
      </c>
      <c r="D2561" t="n">
        <v>0</v>
      </c>
      <c r="E2561" t="n">
        <v>0.2178129596</v>
      </c>
      <c r="F2561" t="n">
        <v>1.149326317</v>
      </c>
      <c r="G2561" t="n">
        <v>0.7503180575</v>
      </c>
      <c r="H2561" t="n">
        <v>0.6017880749</v>
      </c>
    </row>
    <row r="2562">
      <c r="A2562" t="inlineStr">
        <is>
          <t>RUS|mit.ic.a</t>
        </is>
      </c>
      <c r="B2562" t="inlineStr">
        <is>
          <t>RUS</t>
        </is>
      </c>
      <c r="C2562" t="inlineStr">
        <is>
          <t>mit.ic.a</t>
        </is>
      </c>
      <c r="D2562" t="n">
        <v>0</v>
      </c>
      <c r="E2562" t="n">
        <v>9.637128706</v>
      </c>
      <c r="F2562" t="n">
        <v>60.00538594</v>
      </c>
      <c r="G2562" t="n">
        <v>178.2108198</v>
      </c>
      <c r="H2562" t="n">
        <v>341.1571894</v>
      </c>
    </row>
    <row r="2563">
      <c r="A2563" t="inlineStr">
        <is>
          <t>RWA|mit.ic.a</t>
        </is>
      </c>
      <c r="B2563" t="inlineStr">
        <is>
          <t>RWA</t>
        </is>
      </c>
      <c r="C2563" t="inlineStr">
        <is>
          <t>mit.ic.a</t>
        </is>
      </c>
      <c r="D2563" t="n">
        <v>0</v>
      </c>
      <c r="E2563" t="n">
        <v>0.02858716855</v>
      </c>
      <c r="F2563" t="n">
        <v>0.1586544765</v>
      </c>
      <c r="G2563" t="n">
        <v>0.04682199173</v>
      </c>
      <c r="H2563" t="n">
        <v>-0.1102955747</v>
      </c>
    </row>
    <row r="2564">
      <c r="A2564" t="inlineStr">
        <is>
          <t>SAU|mit.ic.a</t>
        </is>
      </c>
      <c r="B2564" t="inlineStr">
        <is>
          <t>SAU</t>
        </is>
      </c>
      <c r="C2564" t="inlineStr">
        <is>
          <t>mit.ic.a</t>
        </is>
      </c>
      <c r="D2564" t="n">
        <v>0</v>
      </c>
      <c r="E2564" t="n">
        <v>0.1328901885</v>
      </c>
      <c r="F2564" t="n">
        <v>-1.918284728</v>
      </c>
      <c r="G2564" t="n">
        <v>-28.58457644</v>
      </c>
      <c r="H2564" t="n">
        <v>-47.53867237</v>
      </c>
    </row>
    <row r="2565">
      <c r="A2565" t="inlineStr">
        <is>
          <t>SDN|mit.ic.a</t>
        </is>
      </c>
      <c r="B2565" t="inlineStr">
        <is>
          <t>SDN</t>
        </is>
      </c>
      <c r="C2565" t="inlineStr">
        <is>
          <t>mit.ic.a</t>
        </is>
      </c>
      <c r="D2565" t="n">
        <v>0</v>
      </c>
      <c r="E2565" t="n">
        <v>0.4971460946</v>
      </c>
      <c r="F2565" t="n">
        <v>2.867601493</v>
      </c>
      <c r="G2565" t="n">
        <v>2.940589373</v>
      </c>
      <c r="H2565" t="n">
        <v>3.051137173</v>
      </c>
    </row>
    <row r="2566">
      <c r="A2566" t="inlineStr">
        <is>
          <t>SEN|mit.ic.a</t>
        </is>
      </c>
      <c r="B2566" t="inlineStr">
        <is>
          <t>SEN</t>
        </is>
      </c>
      <c r="C2566" t="inlineStr">
        <is>
          <t>mit.ic.a</t>
        </is>
      </c>
      <c r="D2566" t="n">
        <v>0</v>
      </c>
      <c r="E2566" t="n">
        <v>0.06250806765</v>
      </c>
      <c r="F2566" t="n">
        <v>0.2881534594</v>
      </c>
      <c r="G2566" t="n">
        <v>-0.7946214718</v>
      </c>
      <c r="H2566" t="n">
        <v>-2.234543523</v>
      </c>
    </row>
    <row r="2567">
      <c r="A2567" t="inlineStr">
        <is>
          <t>SGP|mit.ic.a</t>
        </is>
      </c>
      <c r="B2567" t="inlineStr">
        <is>
          <t>SGP</t>
        </is>
      </c>
      <c r="C2567" t="inlineStr">
        <is>
          <t>mit.ic.a</t>
        </is>
      </c>
      <c r="D2567" t="n">
        <v>0</v>
      </c>
      <c r="E2567" t="n">
        <v>-0.8325963722</v>
      </c>
      <c r="F2567" t="n">
        <v>-6.294045155</v>
      </c>
      <c r="G2567" t="n">
        <v>-14.40545353</v>
      </c>
      <c r="H2567" t="n">
        <v>-14.11402771</v>
      </c>
    </row>
    <row r="2568">
      <c r="A2568" t="inlineStr">
        <is>
          <t>SLB|mit.ic.a</t>
        </is>
      </c>
      <c r="B2568" t="inlineStr">
        <is>
          <t>SLB</t>
        </is>
      </c>
      <c r="C2568" t="inlineStr">
        <is>
          <t>mit.ic.a</t>
        </is>
      </c>
      <c r="D2568" t="n">
        <v>0</v>
      </c>
      <c r="E2568" t="n">
        <v>0.361800334</v>
      </c>
      <c r="F2568" t="n">
        <v>2.171110431</v>
      </c>
      <c r="G2568" t="n">
        <v>2.163240406</v>
      </c>
      <c r="H2568" t="n">
        <v>2.155512347</v>
      </c>
    </row>
    <row r="2569">
      <c r="A2569" t="inlineStr">
        <is>
          <t>SLE|mit.ic.a</t>
        </is>
      </c>
      <c r="B2569" t="inlineStr">
        <is>
          <t>SLE</t>
        </is>
      </c>
      <c r="C2569" t="inlineStr">
        <is>
          <t>mit.ic.a</t>
        </is>
      </c>
      <c r="D2569" t="n">
        <v>0</v>
      </c>
      <c r="E2569" t="n">
        <v>0.03910536438</v>
      </c>
      <c r="F2569" t="n">
        <v>0.2208022726</v>
      </c>
      <c r="G2569" t="n">
        <v>0.08439164913</v>
      </c>
      <c r="H2569" t="n">
        <v>-0.1228598646</v>
      </c>
    </row>
    <row r="2570">
      <c r="A2570" t="inlineStr">
        <is>
          <t>SLV|mit.ic.a</t>
        </is>
      </c>
      <c r="B2570" t="inlineStr">
        <is>
          <t>SLV</t>
        </is>
      </c>
      <c r="C2570" t="inlineStr">
        <is>
          <t>mit.ic.a</t>
        </is>
      </c>
      <c r="D2570" t="n">
        <v>0</v>
      </c>
      <c r="E2570" t="n">
        <v>0.01170611803</v>
      </c>
      <c r="F2570" t="n">
        <v>0.01470029984</v>
      </c>
      <c r="G2570" t="n">
        <v>-0.6909336861000001</v>
      </c>
      <c r="H2570" t="n">
        <v>-1.552329622</v>
      </c>
    </row>
    <row r="2571">
      <c r="A2571" t="inlineStr">
        <is>
          <t>SOM|mit.ic.a</t>
        </is>
      </c>
      <c r="B2571" t="inlineStr">
        <is>
          <t>SOM</t>
        </is>
      </c>
      <c r="C2571" t="inlineStr">
        <is>
          <t>mit.ic.a</t>
        </is>
      </c>
      <c r="D2571" t="n">
        <v>0</v>
      </c>
      <c r="E2571" t="n">
        <v>0.2272641705</v>
      </c>
      <c r="F2571" t="n">
        <v>1.358721191</v>
      </c>
      <c r="G2571" t="n">
        <v>1.572164225</v>
      </c>
      <c r="H2571" t="n">
        <v>1.772803457</v>
      </c>
    </row>
    <row r="2572">
      <c r="A2572" t="inlineStr">
        <is>
          <t>SRB|mit.ic.a</t>
        </is>
      </c>
      <c r="B2572" t="inlineStr">
        <is>
          <t>SRB</t>
        </is>
      </c>
      <c r="C2572" t="inlineStr">
        <is>
          <t>mit.ic.a</t>
        </is>
      </c>
      <c r="D2572" t="n">
        <v>0</v>
      </c>
      <c r="E2572" t="n">
        <v>0.1698224521</v>
      </c>
      <c r="F2572" t="n">
        <v>1.067096079</v>
      </c>
      <c r="G2572" t="n">
        <v>2.83259105</v>
      </c>
      <c r="H2572" t="n">
        <v>5.252708338</v>
      </c>
    </row>
    <row r="2573">
      <c r="A2573" t="inlineStr">
        <is>
          <t>STP|mit.ic.a</t>
        </is>
      </c>
      <c r="B2573" t="inlineStr">
        <is>
          <t>STP</t>
        </is>
      </c>
      <c r="C2573" t="inlineStr">
        <is>
          <t>mit.ic.a</t>
        </is>
      </c>
      <c r="D2573" t="n">
        <v>0</v>
      </c>
      <c r="E2573" t="n">
        <v>0.002943001025</v>
      </c>
      <c r="F2573" t="n">
        <v>0.01712136734</v>
      </c>
      <c r="G2573" t="n">
        <v>0.01906520638</v>
      </c>
      <c r="H2573" t="n">
        <v>0.0212774494</v>
      </c>
    </row>
    <row r="2574">
      <c r="A2574" t="inlineStr">
        <is>
          <t>SUR|mit.ic.a</t>
        </is>
      </c>
      <c r="B2574" t="inlineStr">
        <is>
          <t>SUR</t>
        </is>
      </c>
      <c r="C2574" t="inlineStr">
        <is>
          <t>mit.ic.a</t>
        </is>
      </c>
      <c r="D2574" t="n">
        <v>0</v>
      </c>
      <c r="E2574" t="n">
        <v>0.08508912281</v>
      </c>
      <c r="F2574" t="n">
        <v>0.5012476844</v>
      </c>
      <c r="G2574" t="n">
        <v>0.4808967072</v>
      </c>
      <c r="H2574" t="n">
        <v>0.469554133</v>
      </c>
    </row>
    <row r="2575">
      <c r="A2575" t="inlineStr">
        <is>
          <t>SVK|mit.ic.a</t>
        </is>
      </c>
      <c r="B2575" t="inlineStr">
        <is>
          <t>SVK</t>
        </is>
      </c>
      <c r="C2575" t="inlineStr">
        <is>
          <t>mit.ic.a</t>
        </is>
      </c>
      <c r="D2575" t="n">
        <v>0</v>
      </c>
      <c r="E2575" t="n">
        <v>0.02721052025</v>
      </c>
      <c r="F2575" t="n">
        <v>0.08834062551000001</v>
      </c>
      <c r="G2575" t="n">
        <v>-0.09967344225999999</v>
      </c>
      <c r="H2575" t="n">
        <v>0.1116594025</v>
      </c>
    </row>
    <row r="2576">
      <c r="A2576" t="inlineStr">
        <is>
          <t>SVN|mit.ic.a</t>
        </is>
      </c>
      <c r="B2576" t="inlineStr">
        <is>
          <t>SVN</t>
        </is>
      </c>
      <c r="C2576" t="inlineStr">
        <is>
          <t>mit.ic.a</t>
        </is>
      </c>
      <c r="D2576" t="n">
        <v>0</v>
      </c>
      <c r="E2576" t="n">
        <v>0.008322296050999999</v>
      </c>
      <c r="F2576" t="n">
        <v>0.004280904187</v>
      </c>
      <c r="G2576" t="n">
        <v>-0.3612230091</v>
      </c>
      <c r="H2576" t="n">
        <v>-0.5030097997</v>
      </c>
    </row>
    <row r="2577">
      <c r="A2577" t="inlineStr">
        <is>
          <t>SWE|mit.ic.a</t>
        </is>
      </c>
      <c r="B2577" t="inlineStr">
        <is>
          <t>SWE</t>
        </is>
      </c>
      <c r="C2577" t="inlineStr">
        <is>
          <t>mit.ic.a</t>
        </is>
      </c>
      <c r="D2577" t="n">
        <v>0</v>
      </c>
      <c r="E2577" t="n">
        <v>0.06067324639</v>
      </c>
      <c r="F2577" t="n">
        <v>0.2827868085</v>
      </c>
      <c r="G2577" t="n">
        <v>-0.2479601932</v>
      </c>
      <c r="H2577" t="n">
        <v>-0.1637835687</v>
      </c>
    </row>
    <row r="2578">
      <c r="A2578" t="inlineStr">
        <is>
          <t>SWZ|mit.ic.a</t>
        </is>
      </c>
      <c r="B2578" t="inlineStr">
        <is>
          <t>SWZ</t>
        </is>
      </c>
      <c r="C2578" t="inlineStr">
        <is>
          <t>mit.ic.a</t>
        </is>
      </c>
      <c r="D2578" t="n">
        <v>0</v>
      </c>
      <c r="E2578" t="n">
        <v>0.006091533457</v>
      </c>
      <c r="F2578" t="n">
        <v>0.02907699937</v>
      </c>
      <c r="G2578" t="n">
        <v>-0.05261452669</v>
      </c>
      <c r="H2578" t="n">
        <v>-0.1470839342</v>
      </c>
    </row>
    <row r="2579">
      <c r="A2579" t="inlineStr">
        <is>
          <t>SYC|mit.ic.a</t>
        </is>
      </c>
      <c r="B2579" t="inlineStr">
        <is>
          <t>SYC</t>
        </is>
      </c>
      <c r="C2579" t="inlineStr">
        <is>
          <t>mit.ic.a</t>
        </is>
      </c>
      <c r="D2579" t="n">
        <v>0</v>
      </c>
      <c r="E2579" t="n">
        <v>0.00287664399</v>
      </c>
      <c r="F2579" t="n">
        <v>0.01336904679</v>
      </c>
      <c r="G2579" t="n">
        <v>0.002710526824</v>
      </c>
      <c r="H2579" t="n">
        <v>0.00123913468</v>
      </c>
    </row>
    <row r="2580">
      <c r="A2580" t="inlineStr">
        <is>
          <t>SYR|mit.ic.a</t>
        </is>
      </c>
      <c r="B2580" t="inlineStr">
        <is>
          <t>SYR</t>
        </is>
      </c>
      <c r="C2580" t="inlineStr">
        <is>
          <t>mit.ic.a</t>
        </is>
      </c>
      <c r="D2580" t="n">
        <v>0</v>
      </c>
      <c r="E2580" t="n">
        <v>0.08071166162</v>
      </c>
      <c r="F2580" t="n">
        <v>0.4595428411</v>
      </c>
      <c r="G2580" t="n">
        <v>0.4736948401</v>
      </c>
      <c r="H2580" t="n">
        <v>0.9757742218</v>
      </c>
    </row>
    <row r="2581">
      <c r="A2581" t="inlineStr">
        <is>
          <t>TCD|mit.ic.a</t>
        </is>
      </c>
      <c r="B2581" t="inlineStr">
        <is>
          <t>TCD</t>
        </is>
      </c>
      <c r="C2581" t="inlineStr">
        <is>
          <t>mit.ic.a</t>
        </is>
      </c>
      <c r="D2581" t="n">
        <v>0</v>
      </c>
      <c r="E2581" t="n">
        <v>0.4404036641</v>
      </c>
      <c r="F2581" t="n">
        <v>2.634061184</v>
      </c>
      <c r="G2581" t="n">
        <v>3.333328298</v>
      </c>
      <c r="H2581" t="n">
        <v>3.945514679</v>
      </c>
    </row>
    <row r="2582">
      <c r="A2582" t="inlineStr">
        <is>
          <t>TGO|mit.ic.a</t>
        </is>
      </c>
      <c r="B2582" t="inlineStr">
        <is>
          <t>TGO</t>
        </is>
      </c>
      <c r="C2582" t="inlineStr">
        <is>
          <t>mit.ic.a</t>
        </is>
      </c>
      <c r="D2582" t="n">
        <v>0</v>
      </c>
      <c r="E2582" t="n">
        <v>0.02840141926</v>
      </c>
      <c r="F2582" t="n">
        <v>0.1557175461</v>
      </c>
      <c r="G2582" t="n">
        <v>-0.02162400132</v>
      </c>
      <c r="H2582" t="n">
        <v>-0.2097764972</v>
      </c>
    </row>
    <row r="2583">
      <c r="A2583" t="inlineStr">
        <is>
          <t>THA|mit.ic.a</t>
        </is>
      </c>
      <c r="B2583" t="inlineStr">
        <is>
          <t>THA</t>
        </is>
      </c>
      <c r="C2583" t="inlineStr">
        <is>
          <t>mit.ic.a</t>
        </is>
      </c>
      <c r="D2583" t="n">
        <v>0</v>
      </c>
      <c r="E2583" t="n">
        <v>0.652242652</v>
      </c>
      <c r="F2583" t="n">
        <v>2.981586495</v>
      </c>
      <c r="G2583" t="n">
        <v>-3.670179557</v>
      </c>
      <c r="H2583" t="n">
        <v>-9.511330054</v>
      </c>
    </row>
    <row r="2584">
      <c r="A2584" t="inlineStr">
        <is>
          <t>TJK|mit.ic.a</t>
        </is>
      </c>
      <c r="B2584" t="inlineStr">
        <is>
          <t>TJK</t>
        </is>
      </c>
      <c r="C2584" t="inlineStr">
        <is>
          <t>mit.ic.a</t>
        </is>
      </c>
      <c r="D2584" t="n">
        <v>0</v>
      </c>
      <c r="E2584" t="n">
        <v>0.0730912525</v>
      </c>
      <c r="F2584" t="n">
        <v>0.3548286649</v>
      </c>
      <c r="G2584" t="n">
        <v>0.5832304525000001</v>
      </c>
      <c r="H2584" t="n">
        <v>0.8452432771</v>
      </c>
    </row>
    <row r="2585">
      <c r="A2585" t="inlineStr">
        <is>
          <t>TKM|mit.ic.a</t>
        </is>
      </c>
      <c r="B2585" t="inlineStr">
        <is>
          <t>TKM</t>
        </is>
      </c>
      <c r="C2585" t="inlineStr">
        <is>
          <t>mit.ic.a</t>
        </is>
      </c>
      <c r="D2585" t="n">
        <v>0</v>
      </c>
      <c r="E2585" t="n">
        <v>1.010539025</v>
      </c>
      <c r="F2585" t="n">
        <v>5.780605365</v>
      </c>
      <c r="G2585" t="n">
        <v>12.47709301</v>
      </c>
      <c r="H2585" t="n">
        <v>19.82144283</v>
      </c>
    </row>
    <row r="2586">
      <c r="A2586" t="inlineStr">
        <is>
          <t>TLS|mit.ic.a</t>
        </is>
      </c>
      <c r="B2586" t="inlineStr">
        <is>
          <t>TLS</t>
        </is>
      </c>
      <c r="C2586" t="inlineStr">
        <is>
          <t>mit.ic.a</t>
        </is>
      </c>
      <c r="D2586" t="n">
        <v>0</v>
      </c>
      <c r="E2586" t="n">
        <v>0.01208094531</v>
      </c>
      <c r="F2586" t="n">
        <v>0.0656682384</v>
      </c>
      <c r="G2586" t="n">
        <v>0.01336231526</v>
      </c>
      <c r="H2586" t="n">
        <v>-0.07268824675</v>
      </c>
    </row>
    <row r="2587">
      <c r="A2587" t="inlineStr">
        <is>
          <t>TON|mit.ic.a</t>
        </is>
      </c>
      <c r="B2587" t="inlineStr">
        <is>
          <t>TON</t>
        </is>
      </c>
      <c r="C2587" t="inlineStr">
        <is>
          <t>mit.ic.a</t>
        </is>
      </c>
      <c r="D2587" t="n">
        <v>0</v>
      </c>
      <c r="E2587" t="n">
        <v>0.000578919396</v>
      </c>
      <c r="F2587" t="n">
        <v>0.003215289436</v>
      </c>
      <c r="G2587" t="n">
        <v>-0.006429468585</v>
      </c>
      <c r="H2587" t="n">
        <v>-0.01649587977</v>
      </c>
    </row>
    <row r="2588">
      <c r="A2588" t="inlineStr">
        <is>
          <t>TTO|mit.ic.a</t>
        </is>
      </c>
      <c r="B2588" t="inlineStr">
        <is>
          <t>TTO</t>
        </is>
      </c>
      <c r="C2588" t="inlineStr">
        <is>
          <t>mit.ic.a</t>
        </is>
      </c>
      <c r="D2588" t="n">
        <v>0</v>
      </c>
      <c r="E2588" t="n">
        <v>0.1301277218</v>
      </c>
      <c r="F2588" t="n">
        <v>0.7371237816</v>
      </c>
      <c r="G2588" t="n">
        <v>1.442775477</v>
      </c>
      <c r="H2588" t="n">
        <v>2.274000795</v>
      </c>
    </row>
    <row r="2589">
      <c r="A2589" t="inlineStr">
        <is>
          <t>TUN|mit.ic.a</t>
        </is>
      </c>
      <c r="B2589" t="inlineStr">
        <is>
          <t>TUN</t>
        </is>
      </c>
      <c r="C2589" t="inlineStr">
        <is>
          <t>mit.ic.a</t>
        </is>
      </c>
      <c r="D2589" t="n">
        <v>0</v>
      </c>
      <c r="E2589" t="n">
        <v>0.1077609735</v>
      </c>
      <c r="F2589" t="n">
        <v>0.6278866397</v>
      </c>
      <c r="G2589" t="n">
        <v>1.31239198</v>
      </c>
      <c r="H2589" t="n">
        <v>2.6293134</v>
      </c>
    </row>
    <row r="2590">
      <c r="A2590" t="inlineStr">
        <is>
          <t>TUR|mit.ic.a</t>
        </is>
      </c>
      <c r="B2590" t="inlineStr">
        <is>
          <t>TUR</t>
        </is>
      </c>
      <c r="C2590" t="inlineStr">
        <is>
          <t>mit.ic.a</t>
        </is>
      </c>
      <c r="D2590" t="n">
        <v>0</v>
      </c>
      <c r="E2590" t="n">
        <v>1.001040224</v>
      </c>
      <c r="F2590" t="n">
        <v>5.431459007</v>
      </c>
      <c r="G2590" t="n">
        <v>5.742883469</v>
      </c>
      <c r="H2590" t="n">
        <v>8.388902378999999</v>
      </c>
    </row>
    <row r="2591">
      <c r="A2591" t="inlineStr">
        <is>
          <t>TZA|mit.ic.a</t>
        </is>
      </c>
      <c r="B2591" t="inlineStr">
        <is>
          <t>TZA</t>
        </is>
      </c>
      <c r="C2591" t="inlineStr">
        <is>
          <t>mit.ic.a</t>
        </is>
      </c>
      <c r="D2591" t="n">
        <v>0</v>
      </c>
      <c r="E2591" t="n">
        <v>0.7408671926</v>
      </c>
      <c r="F2591" t="n">
        <v>4.353475234</v>
      </c>
      <c r="G2591" t="n">
        <v>3.609536813</v>
      </c>
      <c r="H2591" t="n">
        <v>2.73688092</v>
      </c>
    </row>
    <row r="2592">
      <c r="A2592" t="inlineStr">
        <is>
          <t>UGA|mit.ic.a</t>
        </is>
      </c>
      <c r="B2592" t="inlineStr">
        <is>
          <t>UGA</t>
        </is>
      </c>
      <c r="C2592" t="inlineStr">
        <is>
          <t>mit.ic.a</t>
        </is>
      </c>
      <c r="D2592" t="n">
        <v>0</v>
      </c>
      <c r="E2592" t="n">
        <v>0.247846436</v>
      </c>
      <c r="F2592" t="n">
        <v>1.460406555</v>
      </c>
      <c r="G2592" t="n">
        <v>1.342660109</v>
      </c>
      <c r="H2592" t="n">
        <v>1.123356286</v>
      </c>
    </row>
    <row r="2593">
      <c r="A2593" t="inlineStr">
        <is>
          <t>UKR|mit.ic.a</t>
        </is>
      </c>
      <c r="B2593" t="inlineStr">
        <is>
          <t>UKR</t>
        </is>
      </c>
      <c r="C2593" t="inlineStr">
        <is>
          <t>mit.ic.a</t>
        </is>
      </c>
      <c r="D2593" t="n">
        <v>0</v>
      </c>
      <c r="E2593" t="n">
        <v>1.262877707</v>
      </c>
      <c r="F2593" t="n">
        <v>8.061696779</v>
      </c>
      <c r="G2593" t="n">
        <v>22.86385059</v>
      </c>
      <c r="H2593" t="n">
        <v>42.29932475</v>
      </c>
    </row>
    <row r="2594">
      <c r="A2594" t="inlineStr">
        <is>
          <t>URY|mit.ic.a</t>
        </is>
      </c>
      <c r="B2594" t="inlineStr">
        <is>
          <t>URY</t>
        </is>
      </c>
      <c r="C2594" t="inlineStr">
        <is>
          <t>mit.ic.a</t>
        </is>
      </c>
      <c r="D2594" t="n">
        <v>0</v>
      </c>
      <c r="E2594" t="n">
        <v>0.08540650244</v>
      </c>
      <c r="F2594" t="n">
        <v>0.4786400883</v>
      </c>
      <c r="G2594" t="n">
        <v>0.3596638817</v>
      </c>
      <c r="H2594" t="n">
        <v>0.2985980329</v>
      </c>
    </row>
    <row r="2595">
      <c r="A2595" t="inlineStr">
        <is>
          <t>USA|mit.ic.a</t>
        </is>
      </c>
      <c r="B2595" t="inlineStr">
        <is>
          <t>USA</t>
        </is>
      </c>
      <c r="C2595" t="inlineStr">
        <is>
          <t>mit.ic.a</t>
        </is>
      </c>
      <c r="D2595" t="n">
        <v>0</v>
      </c>
      <c r="E2595" t="n">
        <v>14.19769774</v>
      </c>
      <c r="F2595" t="n">
        <v>96.76705792</v>
      </c>
      <c r="G2595" t="n">
        <v>181.4196642</v>
      </c>
      <c r="H2595" t="n">
        <v>256.9401326</v>
      </c>
    </row>
    <row r="2596">
      <c r="A2596" t="inlineStr">
        <is>
          <t>UZB|mit.ic.a</t>
        </is>
      </c>
      <c r="B2596" t="inlineStr">
        <is>
          <t>UZB</t>
        </is>
      </c>
      <c r="C2596" t="inlineStr">
        <is>
          <t>mit.ic.a</t>
        </is>
      </c>
      <c r="D2596" t="n">
        <v>0</v>
      </c>
      <c r="E2596" t="n">
        <v>0.807475688</v>
      </c>
      <c r="F2596" t="n">
        <v>4.661885988</v>
      </c>
      <c r="G2596" t="n">
        <v>8.174542858000001</v>
      </c>
      <c r="H2596" t="n">
        <v>12.91216005</v>
      </c>
    </row>
    <row r="2597">
      <c r="A2597" t="inlineStr">
        <is>
          <t>VCT|mit.ic.a</t>
        </is>
      </c>
      <c r="B2597" t="inlineStr">
        <is>
          <t>VCT</t>
        </is>
      </c>
      <c r="C2597" t="inlineStr">
        <is>
          <t>mit.ic.a</t>
        </is>
      </c>
      <c r="D2597" t="n">
        <v>0</v>
      </c>
      <c r="E2597" t="n">
        <v>0.0005219841694</v>
      </c>
      <c r="F2597" t="n">
        <v>0.001487553585</v>
      </c>
      <c r="G2597" t="n">
        <v>-0.0177883377</v>
      </c>
      <c r="H2597" t="n">
        <v>-0.03818269138</v>
      </c>
    </row>
    <row r="2598">
      <c r="A2598" t="inlineStr">
        <is>
          <t>VEN|mit.ic.a</t>
        </is>
      </c>
      <c r="B2598" t="inlineStr">
        <is>
          <t>VEN</t>
        </is>
      </c>
      <c r="C2598" t="inlineStr">
        <is>
          <t>mit.ic.a</t>
        </is>
      </c>
      <c r="D2598" t="n">
        <v>0</v>
      </c>
      <c r="E2598" t="n">
        <v>0.9214866365</v>
      </c>
      <c r="F2598" t="n">
        <v>5.626095191</v>
      </c>
      <c r="G2598" t="n">
        <v>10.06033775</v>
      </c>
      <c r="H2598" t="n">
        <v>15.36756627</v>
      </c>
    </row>
    <row r="2599">
      <c r="A2599" t="inlineStr">
        <is>
          <t>VNM|mit.ic.a</t>
        </is>
      </c>
      <c r="B2599" t="inlineStr">
        <is>
          <t>VNM</t>
        </is>
      </c>
      <c r="C2599" t="inlineStr">
        <is>
          <t>mit.ic.a</t>
        </is>
      </c>
      <c r="D2599" t="n">
        <v>0</v>
      </c>
      <c r="E2599" t="n">
        <v>0.558782103</v>
      </c>
      <c r="F2599" t="n">
        <v>2.999758323</v>
      </c>
      <c r="G2599" t="n">
        <v>1.344795538</v>
      </c>
      <c r="H2599" t="n">
        <v>0.4051892021</v>
      </c>
    </row>
    <row r="2600">
      <c r="A2600" t="inlineStr">
        <is>
          <t>VUT|mit.ic.a</t>
        </is>
      </c>
      <c r="B2600" t="inlineStr">
        <is>
          <t>VUT</t>
        </is>
      </c>
      <c r="C2600" t="inlineStr">
        <is>
          <t>mit.ic.a</t>
        </is>
      </c>
      <c r="D2600" t="n">
        <v>0</v>
      </c>
      <c r="E2600" t="n">
        <v>0.001556370697</v>
      </c>
      <c r="F2600" t="n">
        <v>0.01025714795</v>
      </c>
      <c r="G2600" t="n">
        <v>-0.002261747112</v>
      </c>
      <c r="H2600" t="n">
        <v>-0.0171170405</v>
      </c>
    </row>
    <row r="2601">
      <c r="A2601" t="inlineStr">
        <is>
          <t>WSM|mit.ic.a</t>
        </is>
      </c>
      <c r="B2601" t="inlineStr">
        <is>
          <t>WSM</t>
        </is>
      </c>
      <c r="C2601" t="inlineStr">
        <is>
          <t>mit.ic.a</t>
        </is>
      </c>
      <c r="D2601" t="n">
        <v>0</v>
      </c>
      <c r="E2601" t="n">
        <v>0.002007607072</v>
      </c>
      <c r="F2601" t="n">
        <v>0.01149854621</v>
      </c>
      <c r="G2601" t="n">
        <v>-0.002999950033</v>
      </c>
      <c r="H2601" t="n">
        <v>-0.0172133839</v>
      </c>
    </row>
    <row r="2602">
      <c r="A2602" t="inlineStr">
        <is>
          <t>XKX|mit.ic.a</t>
        </is>
      </c>
      <c r="B2602" t="inlineStr">
        <is>
          <t>XKX</t>
        </is>
      </c>
      <c r="C2602" t="inlineStr">
        <is>
          <t>mit.ic.a</t>
        </is>
      </c>
      <c r="D2602" t="n">
        <v>0</v>
      </c>
      <c r="E2602" t="n">
        <v>0.0008534701805</v>
      </c>
      <c r="F2602" t="n">
        <v>-0.006175631712</v>
      </c>
      <c r="G2602" t="n">
        <v>-0.1204360578</v>
      </c>
      <c r="H2602" t="n">
        <v>-0.1926068565</v>
      </c>
    </row>
    <row r="2603">
      <c r="A2603" t="inlineStr">
        <is>
          <t>YEM|mit.ic.a</t>
        </is>
      </c>
      <c r="B2603" t="inlineStr">
        <is>
          <t>YEM</t>
        </is>
      </c>
      <c r="C2603" t="inlineStr">
        <is>
          <t>mit.ic.a</t>
        </is>
      </c>
      <c r="D2603" t="n">
        <v>0</v>
      </c>
      <c r="E2603" t="n">
        <v>0.1129504741</v>
      </c>
      <c r="F2603" t="n">
        <v>0.6130907458</v>
      </c>
      <c r="G2603" t="n">
        <v>0.5265755231</v>
      </c>
      <c r="H2603" t="n">
        <v>0.1643664925</v>
      </c>
    </row>
    <row r="2604">
      <c r="A2604" t="inlineStr">
        <is>
          <t>ZAF|mit.ic.a</t>
        </is>
      </c>
      <c r="B2604" t="inlineStr">
        <is>
          <t>ZAF</t>
        </is>
      </c>
      <c r="C2604" t="inlineStr">
        <is>
          <t>mit.ic.a</t>
        </is>
      </c>
      <c r="D2604" t="n">
        <v>0</v>
      </c>
      <c r="E2604" t="n">
        <v>1.021077414</v>
      </c>
      <c r="F2604" t="n">
        <v>5.803523831</v>
      </c>
      <c r="G2604" t="n">
        <v>10.61234336</v>
      </c>
      <c r="H2604" t="n">
        <v>18.1790188</v>
      </c>
    </row>
    <row r="2605">
      <c r="A2605" t="inlineStr">
        <is>
          <t>ZMB|mit.ic.a</t>
        </is>
      </c>
      <c r="B2605" t="inlineStr">
        <is>
          <t>ZMB</t>
        </is>
      </c>
      <c r="C2605" t="inlineStr">
        <is>
          <t>mit.ic.a</t>
        </is>
      </c>
      <c r="D2605" t="n">
        <v>0</v>
      </c>
      <c r="E2605" t="n">
        <v>0.4651244035</v>
      </c>
      <c r="F2605" t="n">
        <v>2.753120825</v>
      </c>
      <c r="G2605" t="n">
        <v>2.588859236</v>
      </c>
      <c r="H2605" t="n">
        <v>2.372860938</v>
      </c>
    </row>
    <row r="2606">
      <c r="A2606" t="inlineStr">
        <is>
          <t>ZWE|mit.ic.a</t>
        </is>
      </c>
      <c r="B2606" t="inlineStr">
        <is>
          <t>ZWE</t>
        </is>
      </c>
      <c r="C2606" t="inlineStr">
        <is>
          <t>mit.ic.a</t>
        </is>
      </c>
      <c r="D2606" t="n">
        <v>0</v>
      </c>
      <c r="E2606" t="n">
        <v>0.7593116193</v>
      </c>
      <c r="F2606" t="n">
        <v>4.558971175</v>
      </c>
      <c r="G2606" t="n">
        <v>4.89704138</v>
      </c>
      <c r="H2606" t="n">
        <v>5.380232784</v>
      </c>
    </row>
    <row r="2607">
      <c r="A2607" t="inlineStr">
        <is>
          <t>ABW|mit.ic.b</t>
        </is>
      </c>
      <c r="B2607" t="inlineStr">
        <is>
          <t>ABW</t>
        </is>
      </c>
      <c r="C2607" t="inlineStr">
        <is>
          <t>mit.ic.b</t>
        </is>
      </c>
      <c r="D2607" t="n">
        <v>0</v>
      </c>
      <c r="E2607" t="n">
        <v>0.002741610151</v>
      </c>
      <c r="F2607" t="n">
        <v>0.00757065029</v>
      </c>
      <c r="G2607" t="n">
        <v>-0.05097313154</v>
      </c>
      <c r="H2607" t="n">
        <v>-0.1046264065</v>
      </c>
    </row>
    <row r="2608">
      <c r="A2608" t="inlineStr">
        <is>
          <t>AFG|mit.ic.b</t>
        </is>
      </c>
      <c r="B2608" t="inlineStr">
        <is>
          <t>AFG</t>
        </is>
      </c>
      <c r="C2608" t="inlineStr">
        <is>
          <t>mit.ic.b</t>
        </is>
      </c>
      <c r="D2608" t="n">
        <v>0</v>
      </c>
      <c r="E2608" t="n">
        <v>0.04418008374</v>
      </c>
      <c r="F2608" t="n">
        <v>0.1906848224</v>
      </c>
      <c r="G2608" t="n">
        <v>-0.5207354239</v>
      </c>
      <c r="H2608" t="n">
        <v>-1.494041432</v>
      </c>
    </row>
    <row r="2609">
      <c r="A2609" t="inlineStr">
        <is>
          <t>AGO|mit.ic.b</t>
        </is>
      </c>
      <c r="B2609" t="inlineStr">
        <is>
          <t>AGO</t>
        </is>
      </c>
      <c r="C2609" t="inlineStr">
        <is>
          <t>mit.ic.b</t>
        </is>
      </c>
      <c r="D2609" t="n">
        <v>0</v>
      </c>
      <c r="E2609" t="n">
        <v>0.4473408878</v>
      </c>
      <c r="F2609" t="n">
        <v>2.574776594</v>
      </c>
      <c r="G2609" t="n">
        <v>1.505852534</v>
      </c>
      <c r="H2609" t="n">
        <v>0.09816466282</v>
      </c>
    </row>
    <row r="2610">
      <c r="A2610" t="inlineStr">
        <is>
          <t>ALB|mit.ic.b</t>
        </is>
      </c>
      <c r="B2610" t="inlineStr">
        <is>
          <t>ALB</t>
        </is>
      </c>
      <c r="C2610" t="inlineStr">
        <is>
          <t>mit.ic.b</t>
        </is>
      </c>
      <c r="D2610" t="n">
        <v>0</v>
      </c>
      <c r="E2610" t="n">
        <v>0.01112739002</v>
      </c>
      <c r="F2610" t="n">
        <v>0.05120792412</v>
      </c>
      <c r="G2610" t="n">
        <v>-0.08440231727</v>
      </c>
      <c r="H2610" t="n">
        <v>-0.2177294503</v>
      </c>
    </row>
    <row r="2611">
      <c r="A2611" t="inlineStr">
        <is>
          <t>ARE|mit.ic.b</t>
        </is>
      </c>
      <c r="B2611" t="inlineStr">
        <is>
          <t>ARE</t>
        </is>
      </c>
      <c r="C2611" t="inlineStr">
        <is>
          <t>mit.ic.b</t>
        </is>
      </c>
      <c r="D2611" t="n">
        <v>0</v>
      </c>
      <c r="E2611" t="n">
        <v>0.8996789075</v>
      </c>
      <c r="F2611" t="n">
        <v>5.134302629</v>
      </c>
      <c r="G2611" t="n">
        <v>8.838671557</v>
      </c>
      <c r="H2611" t="n">
        <v>14.62650295</v>
      </c>
    </row>
    <row r="2612">
      <c r="A2612" t="inlineStr">
        <is>
          <t>ARG|mit.ic.b</t>
        </is>
      </c>
      <c r="B2612" t="inlineStr">
        <is>
          <t>ARG</t>
        </is>
      </c>
      <c r="C2612" t="inlineStr">
        <is>
          <t>mit.ic.b</t>
        </is>
      </c>
      <c r="D2612" t="n">
        <v>0</v>
      </c>
      <c r="E2612" t="n">
        <v>1.01914149</v>
      </c>
      <c r="F2612" t="n">
        <v>5.60653555</v>
      </c>
      <c r="G2612" t="n">
        <v>3.931797385</v>
      </c>
      <c r="H2612" t="n">
        <v>3.442303727</v>
      </c>
    </row>
    <row r="2613">
      <c r="A2613" t="inlineStr">
        <is>
          <t>ARM|mit.ic.b</t>
        </is>
      </c>
      <c r="B2613" t="inlineStr">
        <is>
          <t>ARM</t>
        </is>
      </c>
      <c r="C2613" t="inlineStr">
        <is>
          <t>mit.ic.b</t>
        </is>
      </c>
      <c r="D2613" t="n">
        <v>0</v>
      </c>
      <c r="E2613" t="n">
        <v>0.0229660955</v>
      </c>
      <c r="F2613" t="n">
        <v>0.1421384314</v>
      </c>
      <c r="G2613" t="n">
        <v>0.2855547357</v>
      </c>
      <c r="H2613" t="n">
        <v>0.5256789750999999</v>
      </c>
    </row>
    <row r="2614">
      <c r="A2614" t="inlineStr">
        <is>
          <t>ATG|mit.ic.b</t>
        </is>
      </c>
      <c r="B2614" t="inlineStr">
        <is>
          <t>ATG</t>
        </is>
      </c>
      <c r="C2614" t="inlineStr">
        <is>
          <t>mit.ic.b</t>
        </is>
      </c>
      <c r="D2614" t="n">
        <v>0</v>
      </c>
      <c r="E2614" t="n">
        <v>0.004346995619</v>
      </c>
      <c r="F2614" t="n">
        <v>0.01943133164</v>
      </c>
      <c r="G2614" t="n">
        <v>-0.01161020651</v>
      </c>
      <c r="H2614" t="n">
        <v>-0.04766330605</v>
      </c>
    </row>
    <row r="2615">
      <c r="A2615" t="inlineStr">
        <is>
          <t>AUS|mit.ic.b</t>
        </is>
      </c>
      <c r="B2615" t="inlineStr">
        <is>
          <t>AUS</t>
        </is>
      </c>
      <c r="C2615" t="inlineStr">
        <is>
          <t>mit.ic.b</t>
        </is>
      </c>
      <c r="D2615" t="n">
        <v>0</v>
      </c>
      <c r="E2615" t="n">
        <v>1.105686326</v>
      </c>
      <c r="F2615" t="n">
        <v>7.953714605</v>
      </c>
      <c r="G2615" t="n">
        <v>18.03820715</v>
      </c>
      <c r="H2615" t="n">
        <v>27.45933707</v>
      </c>
    </row>
    <row r="2616">
      <c r="A2616" t="inlineStr">
        <is>
          <t>AUT|mit.ic.b</t>
        </is>
      </c>
      <c r="B2616" t="inlineStr">
        <is>
          <t>AUT</t>
        </is>
      </c>
      <c r="C2616" t="inlineStr">
        <is>
          <t>mit.ic.b</t>
        </is>
      </c>
      <c r="D2616" t="n">
        <v>0</v>
      </c>
      <c r="E2616" t="n">
        <v>0.1006985498</v>
      </c>
      <c r="F2616" t="n">
        <v>0.5660524974</v>
      </c>
      <c r="G2616" t="n">
        <v>0.4709920335</v>
      </c>
      <c r="H2616" t="n">
        <v>1.357023346</v>
      </c>
    </row>
    <row r="2617">
      <c r="A2617" t="inlineStr">
        <is>
          <t>AZE|mit.ic.b</t>
        </is>
      </c>
      <c r="B2617" t="inlineStr">
        <is>
          <t>AZE</t>
        </is>
      </c>
      <c r="C2617" t="inlineStr">
        <is>
          <t>mit.ic.b</t>
        </is>
      </c>
      <c r="D2617" t="n">
        <v>0</v>
      </c>
      <c r="E2617" t="n">
        <v>0.1382984665</v>
      </c>
      <c r="F2617" t="n">
        <v>0.7574892263</v>
      </c>
      <c r="G2617" t="n">
        <v>1.04965629</v>
      </c>
      <c r="H2617" t="n">
        <v>1.697466918</v>
      </c>
    </row>
    <row r="2618">
      <c r="A2618" t="inlineStr">
        <is>
          <t>BDI|mit.ic.b</t>
        </is>
      </c>
      <c r="B2618" t="inlineStr">
        <is>
          <t>BDI</t>
        </is>
      </c>
      <c r="C2618" t="inlineStr">
        <is>
          <t>mit.ic.b</t>
        </is>
      </c>
      <c r="D2618" t="n">
        <v>0</v>
      </c>
      <c r="E2618" t="n">
        <v>0.04114450169</v>
      </c>
      <c r="F2618" t="n">
        <v>0.2390608793</v>
      </c>
      <c r="G2618" t="n">
        <v>0.2001441625</v>
      </c>
      <c r="H2618" t="n">
        <v>0.1453027227</v>
      </c>
    </row>
    <row r="2619">
      <c r="A2619" t="inlineStr">
        <is>
          <t>BEL|mit.ic.b</t>
        </is>
      </c>
      <c r="B2619" t="inlineStr">
        <is>
          <t>BEL</t>
        </is>
      </c>
      <c r="C2619" t="inlineStr">
        <is>
          <t>mit.ic.b</t>
        </is>
      </c>
      <c r="D2619" t="n">
        <v>0</v>
      </c>
      <c r="E2619" t="n">
        <v>0.1647901896</v>
      </c>
      <c r="F2619" t="n">
        <v>0.9955803168</v>
      </c>
      <c r="G2619" t="n">
        <v>2.075272805</v>
      </c>
      <c r="H2619" t="n">
        <v>4.107339971</v>
      </c>
    </row>
    <row r="2620">
      <c r="A2620" t="inlineStr">
        <is>
          <t>BEN|mit.ic.b</t>
        </is>
      </c>
      <c r="B2620" t="inlineStr">
        <is>
          <t>BEN</t>
        </is>
      </c>
      <c r="C2620" t="inlineStr">
        <is>
          <t>mit.ic.b</t>
        </is>
      </c>
      <c r="D2620" t="n">
        <v>0</v>
      </c>
      <c r="E2620" t="n">
        <v>0.1215668644</v>
      </c>
      <c r="F2620" t="n">
        <v>0.6650246635</v>
      </c>
      <c r="G2620" t="n">
        <v>-0.09588227502</v>
      </c>
      <c r="H2620" t="n">
        <v>-1.113380425</v>
      </c>
    </row>
    <row r="2621">
      <c r="A2621" t="inlineStr">
        <is>
          <t>BFA|mit.ic.b</t>
        </is>
      </c>
      <c r="B2621" t="inlineStr">
        <is>
          <t>BFA</t>
        </is>
      </c>
      <c r="C2621" t="inlineStr">
        <is>
          <t>mit.ic.b</t>
        </is>
      </c>
      <c r="D2621" t="n">
        <v>0</v>
      </c>
      <c r="E2621" t="n">
        <v>0.2645574341</v>
      </c>
      <c r="F2621" t="n">
        <v>1.533323867</v>
      </c>
      <c r="G2621" t="n">
        <v>1.019125353</v>
      </c>
      <c r="H2621" t="n">
        <v>0.2602082356</v>
      </c>
    </row>
    <row r="2622">
      <c r="A2622" t="inlineStr">
        <is>
          <t>BGD|mit.ic.b</t>
        </is>
      </c>
      <c r="B2622" t="inlineStr">
        <is>
          <t>BGD</t>
        </is>
      </c>
      <c r="C2622" t="inlineStr">
        <is>
          <t>mit.ic.b</t>
        </is>
      </c>
      <c r="D2622" t="n">
        <v>0</v>
      </c>
      <c r="E2622" t="n">
        <v>0.4889214806</v>
      </c>
      <c r="F2622" t="n">
        <v>2.571768677</v>
      </c>
      <c r="G2622" t="n">
        <v>0.3801221365</v>
      </c>
      <c r="H2622" t="n">
        <v>-0.953601424</v>
      </c>
    </row>
    <row r="2623">
      <c r="A2623" t="inlineStr">
        <is>
          <t>BGR|mit.ic.b</t>
        </is>
      </c>
      <c r="B2623" t="inlineStr">
        <is>
          <t>BGR</t>
        </is>
      </c>
      <c r="C2623" t="inlineStr">
        <is>
          <t>mit.ic.b</t>
        </is>
      </c>
      <c r="D2623" t="n">
        <v>0</v>
      </c>
      <c r="E2623" t="n">
        <v>0.09648181467</v>
      </c>
      <c r="F2623" t="n">
        <v>0.5027042771</v>
      </c>
      <c r="G2623" t="n">
        <v>0.2991683223</v>
      </c>
      <c r="H2623" t="n">
        <v>0.235597677</v>
      </c>
    </row>
    <row r="2624">
      <c r="A2624" t="inlineStr">
        <is>
          <t>BHR|mit.ic.b</t>
        </is>
      </c>
      <c r="B2624" t="inlineStr">
        <is>
          <t>BHR</t>
        </is>
      </c>
      <c r="C2624" t="inlineStr">
        <is>
          <t>mit.ic.b</t>
        </is>
      </c>
      <c r="D2624" t="n">
        <v>0</v>
      </c>
      <c r="E2624" t="n">
        <v>0.09329292887</v>
      </c>
      <c r="F2624" t="n">
        <v>0.5777989965</v>
      </c>
      <c r="G2624" t="n">
        <v>0.7731816523</v>
      </c>
      <c r="H2624" t="n">
        <v>1.139722974</v>
      </c>
    </row>
    <row r="2625">
      <c r="A2625" t="inlineStr">
        <is>
          <t>BHS|mit.ic.b</t>
        </is>
      </c>
      <c r="B2625" t="inlineStr">
        <is>
          <t>BHS</t>
        </is>
      </c>
      <c r="C2625" t="inlineStr">
        <is>
          <t>mit.ic.b</t>
        </is>
      </c>
      <c r="D2625" t="n">
        <v>0</v>
      </c>
      <c r="E2625" t="n">
        <v>0.009594139718</v>
      </c>
      <c r="F2625" t="n">
        <v>0.03201805408</v>
      </c>
      <c r="G2625" t="n">
        <v>-0.1644757428</v>
      </c>
      <c r="H2625" t="n">
        <v>-0.3399383632</v>
      </c>
    </row>
    <row r="2626">
      <c r="A2626" t="inlineStr">
        <is>
          <t>BIH|mit.ic.b</t>
        </is>
      </c>
      <c r="B2626" t="inlineStr">
        <is>
          <t>BIH</t>
        </is>
      </c>
      <c r="C2626" t="inlineStr">
        <is>
          <t>mit.ic.b</t>
        </is>
      </c>
      <c r="D2626" t="n">
        <v>0</v>
      </c>
      <c r="E2626" t="n">
        <v>0.04133188791</v>
      </c>
      <c r="F2626" t="n">
        <v>0.2179342166</v>
      </c>
      <c r="G2626" t="n">
        <v>0.1809340437</v>
      </c>
      <c r="H2626" t="n">
        <v>0.2318209341</v>
      </c>
    </row>
    <row r="2627">
      <c r="A2627" t="inlineStr">
        <is>
          <t>BLR|mit.ic.b</t>
        </is>
      </c>
      <c r="B2627" t="inlineStr">
        <is>
          <t>BLR</t>
        </is>
      </c>
      <c r="C2627" t="inlineStr">
        <is>
          <t>mit.ic.b</t>
        </is>
      </c>
      <c r="D2627" t="n">
        <v>0</v>
      </c>
      <c r="E2627" t="n">
        <v>0.1815601124</v>
      </c>
      <c r="F2627" t="n">
        <v>0.9081498835</v>
      </c>
      <c r="G2627" t="n">
        <v>0.7981410833</v>
      </c>
      <c r="H2627" t="n">
        <v>1.086145911</v>
      </c>
    </row>
    <row r="2628">
      <c r="A2628" t="inlineStr">
        <is>
          <t>BLZ|mit.ic.b</t>
        </is>
      </c>
      <c r="B2628" t="inlineStr">
        <is>
          <t>BLZ</t>
        </is>
      </c>
      <c r="C2628" t="inlineStr">
        <is>
          <t>mit.ic.b</t>
        </is>
      </c>
      <c r="D2628" t="n">
        <v>0</v>
      </c>
      <c r="E2628" t="n">
        <v>0.04610770606</v>
      </c>
      <c r="F2628" t="n">
        <v>0.2716402185</v>
      </c>
      <c r="G2628" t="n">
        <v>0.2152460138</v>
      </c>
      <c r="H2628" t="n">
        <v>0.1581590081</v>
      </c>
    </row>
    <row r="2629">
      <c r="A2629" t="inlineStr">
        <is>
          <t>BOL|mit.ic.b</t>
        </is>
      </c>
      <c r="B2629" t="inlineStr">
        <is>
          <t>BOL</t>
        </is>
      </c>
      <c r="C2629" t="inlineStr">
        <is>
          <t>mit.ic.b</t>
        </is>
      </c>
      <c r="D2629" t="n">
        <v>0</v>
      </c>
      <c r="E2629" t="n">
        <v>0.6647443977</v>
      </c>
      <c r="F2629" t="n">
        <v>3.87625693</v>
      </c>
      <c r="G2629" t="n">
        <v>3.262221067</v>
      </c>
      <c r="H2629" t="n">
        <v>2.480868435</v>
      </c>
    </row>
    <row r="2630">
      <c r="A2630" t="inlineStr">
        <is>
          <t>BRA|mit.ic.b</t>
        </is>
      </c>
      <c r="B2630" t="inlineStr">
        <is>
          <t>BRA</t>
        </is>
      </c>
      <c r="C2630" t="inlineStr">
        <is>
          <t>mit.ic.b</t>
        </is>
      </c>
      <c r="D2630" t="n">
        <v>0</v>
      </c>
      <c r="E2630" t="n">
        <v>5.605307998</v>
      </c>
      <c r="F2630" t="n">
        <v>32.317645</v>
      </c>
      <c r="G2630" t="n">
        <v>22.25214185</v>
      </c>
      <c r="H2630" t="n">
        <v>12.0819414</v>
      </c>
    </row>
    <row r="2631">
      <c r="A2631" t="inlineStr">
        <is>
          <t>BRB|mit.ic.b</t>
        </is>
      </c>
      <c r="B2631" t="inlineStr">
        <is>
          <t>BRB</t>
        </is>
      </c>
      <c r="C2631" t="inlineStr">
        <is>
          <t>mit.ic.b</t>
        </is>
      </c>
      <c r="D2631" t="n">
        <v>0</v>
      </c>
      <c r="E2631" t="n">
        <v>0.002047633458</v>
      </c>
      <c r="F2631" t="n">
        <v>0.005273338571</v>
      </c>
      <c r="G2631" t="n">
        <v>-0.05692615221</v>
      </c>
      <c r="H2631" t="n">
        <v>-0.09845338837000001</v>
      </c>
    </row>
    <row r="2632">
      <c r="A2632" t="inlineStr">
        <is>
          <t>BRN|mit.ic.b</t>
        </is>
      </c>
      <c r="B2632" t="inlineStr">
        <is>
          <t>BRN</t>
        </is>
      </c>
      <c r="C2632" t="inlineStr">
        <is>
          <t>mit.ic.b</t>
        </is>
      </c>
      <c r="D2632" t="n">
        <v>0</v>
      </c>
      <c r="E2632" t="n">
        <v>0.02806200151</v>
      </c>
      <c r="F2632" t="n">
        <v>0.1460161116</v>
      </c>
      <c r="G2632" t="n">
        <v>0.09727671893000001</v>
      </c>
      <c r="H2632" t="n">
        <v>0.09961039711</v>
      </c>
    </row>
    <row r="2633">
      <c r="A2633" t="inlineStr">
        <is>
          <t>BTN|mit.ic.b</t>
        </is>
      </c>
      <c r="B2633" t="inlineStr">
        <is>
          <t>BTN</t>
        </is>
      </c>
      <c r="C2633" t="inlineStr">
        <is>
          <t>mit.ic.b</t>
        </is>
      </c>
      <c r="D2633" t="n">
        <v>0</v>
      </c>
      <c r="E2633" t="n">
        <v>0.003512128574</v>
      </c>
      <c r="F2633" t="n">
        <v>0.01668413369</v>
      </c>
      <c r="G2633" t="n">
        <v>-0.01195733205</v>
      </c>
      <c r="H2633" t="n">
        <v>0.0482822729</v>
      </c>
    </row>
    <row r="2634">
      <c r="A2634" t="inlineStr">
        <is>
          <t>BWA|mit.ic.b</t>
        </is>
      </c>
      <c r="B2634" t="inlineStr">
        <is>
          <t>BWA</t>
        </is>
      </c>
      <c r="C2634" t="inlineStr">
        <is>
          <t>mit.ic.b</t>
        </is>
      </c>
      <c r="D2634" t="n">
        <v>0</v>
      </c>
      <c r="E2634" t="n">
        <v>0.3383642051</v>
      </c>
      <c r="F2634" t="n">
        <v>1.998795536</v>
      </c>
      <c r="G2634" t="n">
        <v>1.72593865</v>
      </c>
      <c r="H2634" t="n">
        <v>1.47701886</v>
      </c>
    </row>
    <row r="2635">
      <c r="A2635" t="inlineStr">
        <is>
          <t>CAF|mit.ic.b</t>
        </is>
      </c>
      <c r="B2635" t="inlineStr">
        <is>
          <t>CAF</t>
        </is>
      </c>
      <c r="C2635" t="inlineStr">
        <is>
          <t>mit.ic.b</t>
        </is>
      </c>
      <c r="D2635" t="n">
        <v>0</v>
      </c>
      <c r="E2635" t="n">
        <v>0.2865016188</v>
      </c>
      <c r="F2635" t="n">
        <v>1.718191487</v>
      </c>
      <c r="G2635" t="n">
        <v>1.785213921</v>
      </c>
      <c r="H2635" t="n">
        <v>1.845966777</v>
      </c>
    </row>
    <row r="2636">
      <c r="A2636" t="inlineStr">
        <is>
          <t>CAN|mit.ic.b</t>
        </is>
      </c>
      <c r="B2636" t="inlineStr">
        <is>
          <t>CAN</t>
        </is>
      </c>
      <c r="C2636" t="inlineStr">
        <is>
          <t>mit.ic.b</t>
        </is>
      </c>
      <c r="D2636" t="n">
        <v>0</v>
      </c>
      <c r="E2636" t="n">
        <v>2.521594602</v>
      </c>
      <c r="F2636" t="n">
        <v>15.49262858</v>
      </c>
      <c r="G2636" t="n">
        <v>35.92027959</v>
      </c>
      <c r="H2636" t="n">
        <v>56.49449748</v>
      </c>
    </row>
    <row r="2637">
      <c r="A2637" t="inlineStr">
        <is>
          <t>CHE|mit.ic.b</t>
        </is>
      </c>
      <c r="B2637" t="inlineStr">
        <is>
          <t>CHE</t>
        </is>
      </c>
      <c r="C2637" t="inlineStr">
        <is>
          <t>mit.ic.b</t>
        </is>
      </c>
      <c r="D2637" t="n">
        <v>0</v>
      </c>
      <c r="E2637" t="n">
        <v>0.04123406535</v>
      </c>
      <c r="F2637" t="n">
        <v>0.3293641035</v>
      </c>
      <c r="G2637" t="n">
        <v>0.50106591</v>
      </c>
      <c r="H2637" t="n">
        <v>1.538215136</v>
      </c>
    </row>
    <row r="2638">
      <c r="A2638" t="inlineStr">
        <is>
          <t>CHL|mit.ic.b</t>
        </is>
      </c>
      <c r="B2638" t="inlineStr">
        <is>
          <t>CHL</t>
        </is>
      </c>
      <c r="C2638" t="inlineStr">
        <is>
          <t>mit.ic.b</t>
        </is>
      </c>
      <c r="D2638" t="n">
        <v>0</v>
      </c>
      <c r="E2638" t="n">
        <v>0.1574549418</v>
      </c>
      <c r="F2638" t="n">
        <v>0.6937727362</v>
      </c>
      <c r="G2638" t="n">
        <v>-1.225234695</v>
      </c>
      <c r="H2638" t="n">
        <v>-2.637627689</v>
      </c>
    </row>
    <row r="2639">
      <c r="A2639" t="inlineStr">
        <is>
          <t>CHN|mit.ic.b</t>
        </is>
      </c>
      <c r="B2639" t="inlineStr">
        <is>
          <t>CHN</t>
        </is>
      </c>
      <c r="C2639" t="inlineStr">
        <is>
          <t>mit.ic.b</t>
        </is>
      </c>
      <c r="D2639" t="n">
        <v>0</v>
      </c>
      <c r="E2639" t="n">
        <v>30.7757224</v>
      </c>
      <c r="F2639" t="n">
        <v>206.8429119</v>
      </c>
      <c r="G2639" t="n">
        <v>679.1786102</v>
      </c>
      <c r="H2639" t="n">
        <v>1132.504591</v>
      </c>
    </row>
    <row r="2640">
      <c r="A2640" t="inlineStr">
        <is>
          <t>CIV|mit.ic.b</t>
        </is>
      </c>
      <c r="B2640" t="inlineStr">
        <is>
          <t>CIV</t>
        </is>
      </c>
      <c r="C2640" t="inlineStr">
        <is>
          <t>mit.ic.b</t>
        </is>
      </c>
      <c r="D2640" t="n">
        <v>0</v>
      </c>
      <c r="E2640" t="n">
        <v>0.04704068066</v>
      </c>
      <c r="F2640" t="n">
        <v>0.1985792594</v>
      </c>
      <c r="G2640" t="n">
        <v>-0.7971987453</v>
      </c>
      <c r="H2640" t="n">
        <v>-1.865207806</v>
      </c>
    </row>
    <row r="2641">
      <c r="A2641" t="inlineStr">
        <is>
          <t>CMR|mit.ic.b</t>
        </is>
      </c>
      <c r="B2641" t="inlineStr">
        <is>
          <t>CMR</t>
        </is>
      </c>
      <c r="C2641" t="inlineStr">
        <is>
          <t>mit.ic.b</t>
        </is>
      </c>
      <c r="D2641" t="n">
        <v>0</v>
      </c>
      <c r="E2641" t="n">
        <v>0.3857942841</v>
      </c>
      <c r="F2641" t="n">
        <v>2.282014705</v>
      </c>
      <c r="G2641" t="n">
        <v>2.258182088</v>
      </c>
      <c r="H2641" t="n">
        <v>2.191086864</v>
      </c>
    </row>
    <row r="2642">
      <c r="A2642" t="inlineStr">
        <is>
          <t>COD|mit.ic.b</t>
        </is>
      </c>
      <c r="B2642" t="inlineStr">
        <is>
          <t>COD</t>
        </is>
      </c>
      <c r="C2642" t="inlineStr">
        <is>
          <t>mit.ic.b</t>
        </is>
      </c>
      <c r="D2642" t="n">
        <v>0</v>
      </c>
      <c r="E2642" t="n">
        <v>5.179846221</v>
      </c>
      <c r="F2642" t="n">
        <v>31.0430037</v>
      </c>
      <c r="G2642" t="n">
        <v>31.02556936</v>
      </c>
      <c r="H2642" t="n">
        <v>30.91987034</v>
      </c>
    </row>
    <row r="2643">
      <c r="A2643" t="inlineStr">
        <is>
          <t>COG|mit.ic.b</t>
        </is>
      </c>
      <c r="B2643" t="inlineStr">
        <is>
          <t>COG</t>
        </is>
      </c>
      <c r="C2643" t="inlineStr">
        <is>
          <t>mit.ic.b</t>
        </is>
      </c>
      <c r="D2643" t="n">
        <v>0</v>
      </c>
      <c r="E2643" t="n">
        <v>0.1439156241</v>
      </c>
      <c r="F2643" t="n">
        <v>0.8325672092</v>
      </c>
      <c r="G2643" t="n">
        <v>0.853607</v>
      </c>
      <c r="H2643" t="n">
        <v>0.8450418745</v>
      </c>
    </row>
    <row r="2644">
      <c r="A2644" t="inlineStr">
        <is>
          <t>COL|mit.ic.b</t>
        </is>
      </c>
      <c r="B2644" t="inlineStr">
        <is>
          <t>COL</t>
        </is>
      </c>
      <c r="C2644" t="inlineStr">
        <is>
          <t>mit.ic.b</t>
        </is>
      </c>
      <c r="D2644" t="n">
        <v>0</v>
      </c>
      <c r="E2644" t="n">
        <v>1.024498132</v>
      </c>
      <c r="F2644" t="n">
        <v>5.790669016</v>
      </c>
      <c r="G2644" t="n">
        <v>3.436153688</v>
      </c>
      <c r="H2644" t="n">
        <v>1.203163753</v>
      </c>
    </row>
    <row r="2645">
      <c r="A2645" t="inlineStr">
        <is>
          <t>COM|mit.ic.b</t>
        </is>
      </c>
      <c r="B2645" t="inlineStr">
        <is>
          <t>COM</t>
        </is>
      </c>
      <c r="C2645" t="inlineStr">
        <is>
          <t>mit.ic.b</t>
        </is>
      </c>
      <c r="D2645" t="n">
        <v>0</v>
      </c>
      <c r="E2645" t="n">
        <v>0.003246771345</v>
      </c>
      <c r="F2645" t="n">
        <v>0.01564255897</v>
      </c>
      <c r="G2645" t="n">
        <v>-0.03340911612</v>
      </c>
      <c r="H2645" t="n">
        <v>-0.1139542552</v>
      </c>
    </row>
    <row r="2646">
      <c r="A2646" t="inlineStr">
        <is>
          <t>CPV|mit.ic.b</t>
        </is>
      </c>
      <c r="B2646" t="inlineStr">
        <is>
          <t>CPV</t>
        </is>
      </c>
      <c r="C2646" t="inlineStr">
        <is>
          <t>mit.ic.b</t>
        </is>
      </c>
      <c r="D2646" t="n">
        <v>0</v>
      </c>
      <c r="E2646" t="n">
        <v>0.002900628493</v>
      </c>
      <c r="F2646" t="n">
        <v>0.0137286296</v>
      </c>
      <c r="G2646" t="n">
        <v>-0.01980981488</v>
      </c>
      <c r="H2646" t="n">
        <v>-0.0592530258</v>
      </c>
    </row>
    <row r="2647">
      <c r="A2647" t="inlineStr">
        <is>
          <t>CRI|mit.ic.b</t>
        </is>
      </c>
      <c r="B2647" t="inlineStr">
        <is>
          <t>CRI</t>
        </is>
      </c>
      <c r="C2647" t="inlineStr">
        <is>
          <t>mit.ic.b</t>
        </is>
      </c>
      <c r="D2647" t="n">
        <v>0</v>
      </c>
      <c r="E2647" t="n">
        <v>0.026232261</v>
      </c>
      <c r="F2647" t="n">
        <v>0.119136292</v>
      </c>
      <c r="G2647" t="n">
        <v>-0.3540092482</v>
      </c>
      <c r="H2647" t="n">
        <v>-0.8194501882</v>
      </c>
    </row>
    <row r="2648">
      <c r="A2648" t="inlineStr">
        <is>
          <t>CYP|mit.ic.b</t>
        </is>
      </c>
      <c r="B2648" t="inlineStr">
        <is>
          <t>CYP</t>
        </is>
      </c>
      <c r="C2648" t="inlineStr">
        <is>
          <t>mit.ic.b</t>
        </is>
      </c>
      <c r="D2648" t="n">
        <v>0</v>
      </c>
      <c r="E2648" t="n">
        <v>0.009348225292999999</v>
      </c>
      <c r="F2648" t="n">
        <v>0.01001038112</v>
      </c>
      <c r="G2648" t="n">
        <v>0.03931279807</v>
      </c>
      <c r="H2648" t="n">
        <v>0.4411273116</v>
      </c>
    </row>
    <row r="2649">
      <c r="A2649" t="inlineStr">
        <is>
          <t>CZE|mit.ic.b</t>
        </is>
      </c>
      <c r="B2649" t="inlineStr">
        <is>
          <t>CZE</t>
        </is>
      </c>
      <c r="C2649" t="inlineStr">
        <is>
          <t>mit.ic.b</t>
        </is>
      </c>
      <c r="D2649" t="n">
        <v>0</v>
      </c>
      <c r="E2649" t="n">
        <v>0.1595351454</v>
      </c>
      <c r="F2649" t="n">
        <v>1.073741309</v>
      </c>
      <c r="G2649" t="n">
        <v>1.680016078</v>
      </c>
      <c r="H2649" t="n">
        <v>2.941043693</v>
      </c>
    </row>
    <row r="2650">
      <c r="A2650" t="inlineStr">
        <is>
          <t>DEU|mit.ic.b</t>
        </is>
      </c>
      <c r="B2650" t="inlineStr">
        <is>
          <t>DEU</t>
        </is>
      </c>
      <c r="C2650" t="inlineStr">
        <is>
          <t>mit.ic.b</t>
        </is>
      </c>
      <c r="D2650" t="n">
        <v>0</v>
      </c>
      <c r="E2650" t="n">
        <v>0.7228939529</v>
      </c>
      <c r="F2650" t="n">
        <v>5.183703578</v>
      </c>
      <c r="G2650" t="n">
        <v>9.908896302</v>
      </c>
      <c r="H2650" t="n">
        <v>19.6171403</v>
      </c>
    </row>
    <row r="2651">
      <c r="A2651" t="inlineStr">
        <is>
          <t>DJI|mit.ic.b</t>
        </is>
      </c>
      <c r="B2651" t="inlineStr">
        <is>
          <t>DJI</t>
        </is>
      </c>
      <c r="C2651" t="inlineStr">
        <is>
          <t>mit.ic.b</t>
        </is>
      </c>
      <c r="D2651" t="n">
        <v>0</v>
      </c>
      <c r="E2651" t="n">
        <v>0.002054596445</v>
      </c>
      <c r="F2651" t="n">
        <v>0.007087139839</v>
      </c>
      <c r="G2651" t="n">
        <v>-0.0525022685</v>
      </c>
      <c r="H2651" t="n">
        <v>-0.121493165</v>
      </c>
    </row>
    <row r="2652">
      <c r="A2652" t="inlineStr">
        <is>
          <t>DMA|mit.ic.b</t>
        </is>
      </c>
      <c r="B2652" t="inlineStr">
        <is>
          <t>DMA</t>
        </is>
      </c>
      <c r="C2652" t="inlineStr">
        <is>
          <t>mit.ic.b</t>
        </is>
      </c>
      <c r="D2652" t="n">
        <v>0</v>
      </c>
      <c r="E2652" t="n">
        <v>3.084971374e-05</v>
      </c>
      <c r="F2652" t="n">
        <v>-0.001395539366</v>
      </c>
      <c r="G2652" t="n">
        <v>-0.01813830361</v>
      </c>
      <c r="H2652" t="n">
        <v>-0.03698273278</v>
      </c>
    </row>
    <row r="2653">
      <c r="A2653" t="inlineStr">
        <is>
          <t>DNK|mit.ic.b</t>
        </is>
      </c>
      <c r="B2653" t="inlineStr">
        <is>
          <t>DNK</t>
        </is>
      </c>
      <c r="C2653" t="inlineStr">
        <is>
          <t>mit.ic.b</t>
        </is>
      </c>
      <c r="D2653" t="n">
        <v>0</v>
      </c>
      <c r="E2653" t="n">
        <v>0.1335455645</v>
      </c>
      <c r="F2653" t="n">
        <v>0.7638927328</v>
      </c>
      <c r="G2653" t="n">
        <v>0.9022318741000001</v>
      </c>
      <c r="H2653" t="n">
        <v>1.399052327</v>
      </c>
    </row>
    <row r="2654">
      <c r="A2654" t="inlineStr">
        <is>
          <t>DOM|mit.ic.b</t>
        </is>
      </c>
      <c r="B2654" t="inlineStr">
        <is>
          <t>DOM</t>
        </is>
      </c>
      <c r="C2654" t="inlineStr">
        <is>
          <t>mit.ic.b</t>
        </is>
      </c>
      <c r="D2654" t="n">
        <v>0</v>
      </c>
      <c r="E2654" t="n">
        <v>0.0518038242</v>
      </c>
      <c r="F2654" t="n">
        <v>0.2043501509</v>
      </c>
      <c r="G2654" t="n">
        <v>-0.8721512446</v>
      </c>
      <c r="H2654" t="n">
        <v>-1.790162792</v>
      </c>
    </row>
    <row r="2655">
      <c r="A2655" t="inlineStr">
        <is>
          <t>DZA|mit.ic.b</t>
        </is>
      </c>
      <c r="B2655" t="inlineStr">
        <is>
          <t>DZA</t>
        </is>
      </c>
      <c r="C2655" t="inlineStr">
        <is>
          <t>mit.ic.b</t>
        </is>
      </c>
      <c r="D2655" t="n">
        <v>0</v>
      </c>
      <c r="E2655" t="n">
        <v>0.5204526852</v>
      </c>
      <c r="F2655" t="n">
        <v>2.455160265</v>
      </c>
      <c r="G2655" t="n">
        <v>-0.8487935932</v>
      </c>
      <c r="H2655" t="n">
        <v>-4.194577023</v>
      </c>
    </row>
    <row r="2656">
      <c r="A2656" t="inlineStr">
        <is>
          <t>ECU|mit.ic.b</t>
        </is>
      </c>
      <c r="B2656" t="inlineStr">
        <is>
          <t>ECU</t>
        </is>
      </c>
      <c r="C2656" t="inlineStr">
        <is>
          <t>mit.ic.b</t>
        </is>
      </c>
      <c r="D2656" t="n">
        <v>0</v>
      </c>
      <c r="E2656" t="n">
        <v>0.3124679591</v>
      </c>
      <c r="F2656" t="n">
        <v>1.645850892</v>
      </c>
      <c r="G2656" t="n">
        <v>-0.2640793985</v>
      </c>
      <c r="H2656" t="n">
        <v>-2.258699017</v>
      </c>
    </row>
    <row r="2657">
      <c r="A2657" t="inlineStr">
        <is>
          <t>EGY|mit.ic.b</t>
        </is>
      </c>
      <c r="B2657" t="inlineStr">
        <is>
          <t>EGY</t>
        </is>
      </c>
      <c r="C2657" t="inlineStr">
        <is>
          <t>mit.ic.b</t>
        </is>
      </c>
      <c r="D2657" t="n">
        <v>0</v>
      </c>
      <c r="E2657" t="n">
        <v>-0.3005227993</v>
      </c>
      <c r="F2657" t="n">
        <v>-3.758257507</v>
      </c>
      <c r="G2657" t="n">
        <v>-26.81441863</v>
      </c>
      <c r="H2657" t="n">
        <v>-55.08833866</v>
      </c>
    </row>
    <row r="2658">
      <c r="A2658" t="inlineStr">
        <is>
          <t>ESP|mit.ic.b</t>
        </is>
      </c>
      <c r="B2658" t="inlineStr">
        <is>
          <t>ESP</t>
        </is>
      </c>
      <c r="C2658" t="inlineStr">
        <is>
          <t>mit.ic.b</t>
        </is>
      </c>
      <c r="D2658" t="n">
        <v>0</v>
      </c>
      <c r="E2658" t="n">
        <v>0.5106284323</v>
      </c>
      <c r="F2658" t="n">
        <v>2.654267054</v>
      </c>
      <c r="G2658" t="n">
        <v>2.208600724</v>
      </c>
      <c r="H2658" t="n">
        <v>4.877874687</v>
      </c>
    </row>
    <row r="2659">
      <c r="A2659" t="inlineStr">
        <is>
          <t>EST|mit.ic.b</t>
        </is>
      </c>
      <c r="B2659" t="inlineStr">
        <is>
          <t>EST</t>
        </is>
      </c>
      <c r="C2659" t="inlineStr">
        <is>
          <t>mit.ic.b</t>
        </is>
      </c>
      <c r="D2659" t="n">
        <v>0</v>
      </c>
      <c r="E2659" t="n">
        <v>0.03408215408</v>
      </c>
      <c r="F2659" t="n">
        <v>0.1875574167</v>
      </c>
      <c r="G2659" t="n">
        <v>0.2241153567</v>
      </c>
      <c r="H2659" t="n">
        <v>0.3617969212</v>
      </c>
    </row>
    <row r="2660">
      <c r="A2660" t="inlineStr">
        <is>
          <t>ETH|mit.ic.b</t>
        </is>
      </c>
      <c r="B2660" t="inlineStr">
        <is>
          <t>ETH</t>
        </is>
      </c>
      <c r="C2660" t="inlineStr">
        <is>
          <t>mit.ic.b</t>
        </is>
      </c>
      <c r="D2660" t="n">
        <v>0</v>
      </c>
      <c r="E2660" t="n">
        <v>0.6994496197</v>
      </c>
      <c r="F2660" t="n">
        <v>4.219970241</v>
      </c>
      <c r="G2660" t="n">
        <v>4.703798364</v>
      </c>
      <c r="H2660" t="n">
        <v>4.995671612</v>
      </c>
    </row>
    <row r="2661">
      <c r="A2661" t="inlineStr">
        <is>
          <t>FIN|mit.ic.b</t>
        </is>
      </c>
      <c r="B2661" t="inlineStr">
        <is>
          <t>FIN</t>
        </is>
      </c>
      <c r="C2661" t="inlineStr">
        <is>
          <t>mit.ic.b</t>
        </is>
      </c>
      <c r="D2661" t="n">
        <v>0</v>
      </c>
      <c r="E2661" t="n">
        <v>0.08390514139999999</v>
      </c>
      <c r="F2661" t="n">
        <v>0.4667268794</v>
      </c>
      <c r="G2661" t="n">
        <v>0.5462556916</v>
      </c>
      <c r="H2661" t="n">
        <v>0.9207397227</v>
      </c>
    </row>
    <row r="2662">
      <c r="A2662" t="inlineStr">
        <is>
          <t>FJI|mit.ic.b</t>
        </is>
      </c>
      <c r="B2662" t="inlineStr">
        <is>
          <t>FJI</t>
        </is>
      </c>
      <c r="C2662" t="inlineStr">
        <is>
          <t>mit.ic.b</t>
        </is>
      </c>
      <c r="D2662" t="n">
        <v>0</v>
      </c>
      <c r="E2662" t="n">
        <v>0.003142205791</v>
      </c>
      <c r="F2662" t="n">
        <v>0.0105314072</v>
      </c>
      <c r="G2662" t="n">
        <v>-0.06918741142</v>
      </c>
      <c r="H2662" t="n">
        <v>-0.1524683036</v>
      </c>
    </row>
    <row r="2663">
      <c r="A2663" t="inlineStr">
        <is>
          <t>FRA|mit.ic.b</t>
        </is>
      </c>
      <c r="B2663" t="inlineStr">
        <is>
          <t>FRA</t>
        </is>
      </c>
      <c r="C2663" t="inlineStr">
        <is>
          <t>mit.ic.b</t>
        </is>
      </c>
      <c r="D2663" t="n">
        <v>0</v>
      </c>
      <c r="E2663" t="n">
        <v>0.4884592131</v>
      </c>
      <c r="F2663" t="n">
        <v>2.76527294</v>
      </c>
      <c r="G2663" t="n">
        <v>1.606486334</v>
      </c>
      <c r="H2663" t="n">
        <v>5.787167042</v>
      </c>
    </row>
    <row r="2664">
      <c r="A2664" t="inlineStr">
        <is>
          <t>GAB|mit.ic.b</t>
        </is>
      </c>
      <c r="B2664" t="inlineStr">
        <is>
          <t>GAB</t>
        </is>
      </c>
      <c r="C2664" t="inlineStr">
        <is>
          <t>mit.ic.b</t>
        </is>
      </c>
      <c r="D2664" t="n">
        <v>0</v>
      </c>
      <c r="E2664" t="n">
        <v>0.09097723275</v>
      </c>
      <c r="F2664" t="n">
        <v>0.5342088315</v>
      </c>
      <c r="G2664" t="n">
        <v>0.6007920101999999</v>
      </c>
      <c r="H2664" t="n">
        <v>0.6619444383999999</v>
      </c>
    </row>
    <row r="2665">
      <c r="A2665" t="inlineStr">
        <is>
          <t>GBR|mit.ic.b</t>
        </is>
      </c>
      <c r="B2665" t="inlineStr">
        <is>
          <t>GBR</t>
        </is>
      </c>
      <c r="C2665" t="inlineStr">
        <is>
          <t>mit.ic.b</t>
        </is>
      </c>
      <c r="D2665" t="n">
        <v>0</v>
      </c>
      <c r="E2665" t="n">
        <v>0.2140729714</v>
      </c>
      <c r="F2665" t="n">
        <v>-0.08830368786999999</v>
      </c>
      <c r="G2665" t="n">
        <v>-2.725511395</v>
      </c>
      <c r="H2665" t="n">
        <v>1.098263929</v>
      </c>
    </row>
    <row r="2666">
      <c r="A2666" t="inlineStr">
        <is>
          <t>GEO|mit.ic.b</t>
        </is>
      </c>
      <c r="B2666" t="inlineStr">
        <is>
          <t>GEO</t>
        </is>
      </c>
      <c r="C2666" t="inlineStr">
        <is>
          <t>mit.ic.b</t>
        </is>
      </c>
      <c r="D2666" t="n">
        <v>0</v>
      </c>
      <c r="E2666" t="n">
        <v>0.02500009696</v>
      </c>
      <c r="F2666" t="n">
        <v>0.1142690748</v>
      </c>
      <c r="G2666" t="n">
        <v>-0.1801053855</v>
      </c>
      <c r="H2666" t="n">
        <v>-0.4909926925</v>
      </c>
    </row>
    <row r="2667">
      <c r="A2667" t="inlineStr">
        <is>
          <t>GHA|mit.ic.b</t>
        </is>
      </c>
      <c r="B2667" t="inlineStr">
        <is>
          <t>GHA</t>
        </is>
      </c>
      <c r="C2667" t="inlineStr">
        <is>
          <t>mit.ic.b</t>
        </is>
      </c>
      <c r="D2667" t="n">
        <v>0</v>
      </c>
      <c r="E2667" t="n">
        <v>0.09122171185</v>
      </c>
      <c r="F2667" t="n">
        <v>0.4118254865</v>
      </c>
      <c r="G2667" t="n">
        <v>-0.4768626471</v>
      </c>
      <c r="H2667" t="n">
        <v>-1.327822139</v>
      </c>
    </row>
    <row r="2668">
      <c r="A2668" t="inlineStr">
        <is>
          <t>GIN|mit.ic.b</t>
        </is>
      </c>
      <c r="B2668" t="inlineStr">
        <is>
          <t>GIN</t>
        </is>
      </c>
      <c r="C2668" t="inlineStr">
        <is>
          <t>mit.ic.b</t>
        </is>
      </c>
      <c r="D2668" t="n">
        <v>0</v>
      </c>
      <c r="E2668" t="n">
        <v>0.1786523308</v>
      </c>
      <c r="F2668" t="n">
        <v>0.9599952588</v>
      </c>
      <c r="G2668" t="n">
        <v>0.7014090177</v>
      </c>
      <c r="H2668" t="n">
        <v>0.3389205529</v>
      </c>
    </row>
    <row r="2669">
      <c r="A2669" t="inlineStr">
        <is>
          <t>GMB|mit.ic.b</t>
        </is>
      </c>
      <c r="B2669" t="inlineStr">
        <is>
          <t>GMB</t>
        </is>
      </c>
      <c r="C2669" t="inlineStr">
        <is>
          <t>mit.ic.b</t>
        </is>
      </c>
      <c r="D2669" t="n">
        <v>0</v>
      </c>
      <c r="E2669" t="n">
        <v>0.01188953049</v>
      </c>
      <c r="F2669" t="n">
        <v>0.06139307177</v>
      </c>
      <c r="G2669" t="n">
        <v>-0.004157744799</v>
      </c>
      <c r="H2669" t="n">
        <v>-0.139242629</v>
      </c>
    </row>
    <row r="2670">
      <c r="A2670" t="inlineStr">
        <is>
          <t>GNB|mit.ic.b</t>
        </is>
      </c>
      <c r="B2670" t="inlineStr">
        <is>
          <t>GNB</t>
        </is>
      </c>
      <c r="C2670" t="inlineStr">
        <is>
          <t>mit.ic.b</t>
        </is>
      </c>
      <c r="D2670" t="n">
        <v>0</v>
      </c>
      <c r="E2670" t="n">
        <v>0.02139939738</v>
      </c>
      <c r="F2670" t="n">
        <v>0.1241553381</v>
      </c>
      <c r="G2670" t="n">
        <v>0.1010668026</v>
      </c>
      <c r="H2670" t="n">
        <v>0.04957715586</v>
      </c>
    </row>
    <row r="2671">
      <c r="A2671" t="inlineStr">
        <is>
          <t>GNQ|mit.ic.b</t>
        </is>
      </c>
      <c r="B2671" t="inlineStr">
        <is>
          <t>GNQ</t>
        </is>
      </c>
      <c r="C2671" t="inlineStr">
        <is>
          <t>mit.ic.b</t>
        </is>
      </c>
      <c r="D2671" t="n">
        <v>0</v>
      </c>
      <c r="E2671" t="n">
        <v>0.06589547326</v>
      </c>
      <c r="F2671" t="n">
        <v>0.3821511404</v>
      </c>
      <c r="G2671" t="n">
        <v>0.5394720794</v>
      </c>
      <c r="H2671" t="n">
        <v>0.7230552204</v>
      </c>
    </row>
    <row r="2672">
      <c r="A2672" t="inlineStr">
        <is>
          <t>GRC|mit.ic.b</t>
        </is>
      </c>
      <c r="B2672" t="inlineStr">
        <is>
          <t>GRC</t>
        </is>
      </c>
      <c r="C2672" t="inlineStr">
        <is>
          <t>mit.ic.b</t>
        </is>
      </c>
      <c r="D2672" t="n">
        <v>0</v>
      </c>
      <c r="E2672" t="n">
        <v>0.1085494567</v>
      </c>
      <c r="F2672" t="n">
        <v>0.6499758669</v>
      </c>
      <c r="G2672" t="n">
        <v>1.122597181</v>
      </c>
      <c r="H2672" t="n">
        <v>2.438758784</v>
      </c>
    </row>
    <row r="2673">
      <c r="A2673" t="inlineStr">
        <is>
          <t>GRD|mit.ic.b</t>
        </is>
      </c>
      <c r="B2673" t="inlineStr">
        <is>
          <t>GRD</t>
        </is>
      </c>
      <c r="C2673" t="inlineStr">
        <is>
          <t>mit.ic.b</t>
        </is>
      </c>
      <c r="D2673" t="n">
        <v>0</v>
      </c>
      <c r="E2673" t="n">
        <v>0.0003534898089</v>
      </c>
      <c r="F2673" t="n">
        <v>-0.002038099265</v>
      </c>
      <c r="G2673" t="n">
        <v>-0.04199821585</v>
      </c>
      <c r="H2673" t="n">
        <v>-0.09019391168</v>
      </c>
    </row>
    <row r="2674">
      <c r="A2674" t="inlineStr">
        <is>
          <t>GTM|mit.ic.b</t>
        </is>
      </c>
      <c r="B2674" t="inlineStr">
        <is>
          <t>GTM</t>
        </is>
      </c>
      <c r="C2674" t="inlineStr">
        <is>
          <t>mit.ic.b</t>
        </is>
      </c>
      <c r="D2674" t="n">
        <v>0</v>
      </c>
      <c r="E2674" t="n">
        <v>0.07423199105</v>
      </c>
      <c r="F2674" t="n">
        <v>0.2967230492</v>
      </c>
      <c r="G2674" t="n">
        <v>-1.42553088</v>
      </c>
      <c r="H2674" t="n">
        <v>-3.218560793</v>
      </c>
    </row>
    <row r="2675">
      <c r="A2675" t="inlineStr">
        <is>
          <t>GUY|mit.ic.b</t>
        </is>
      </c>
      <c r="B2675" t="inlineStr">
        <is>
          <t>GUY</t>
        </is>
      </c>
      <c r="C2675" t="inlineStr">
        <is>
          <t>mit.ic.b</t>
        </is>
      </c>
      <c r="D2675" t="n">
        <v>0</v>
      </c>
      <c r="E2675" t="n">
        <v>0.1197685557</v>
      </c>
      <c r="F2675" t="n">
        <v>0.6808142679</v>
      </c>
      <c r="G2675" t="n">
        <v>0.07935762421000001</v>
      </c>
      <c r="H2675" t="n">
        <v>-0.6726781696</v>
      </c>
    </row>
    <row r="2676">
      <c r="A2676" t="inlineStr">
        <is>
          <t>HKG|mit.ic.b</t>
        </is>
      </c>
      <c r="B2676" t="inlineStr">
        <is>
          <t>HKG</t>
        </is>
      </c>
      <c r="C2676" t="inlineStr">
        <is>
          <t>mit.ic.b</t>
        </is>
      </c>
      <c r="D2676" t="n">
        <v>0</v>
      </c>
      <c r="E2676" t="n">
        <v>-0.4362002629</v>
      </c>
      <c r="F2676" t="n">
        <v>-2.69577454</v>
      </c>
      <c r="G2676" t="n">
        <v>-5.521914037</v>
      </c>
      <c r="H2676" t="n">
        <v>-5.817677805</v>
      </c>
    </row>
    <row r="2677">
      <c r="A2677" t="inlineStr">
        <is>
          <t>HND|mit.ic.b</t>
        </is>
      </c>
      <c r="B2677" t="inlineStr">
        <is>
          <t>HND</t>
        </is>
      </c>
      <c r="C2677" t="inlineStr">
        <is>
          <t>mit.ic.b</t>
        </is>
      </c>
      <c r="D2677" t="n">
        <v>0</v>
      </c>
      <c r="E2677" t="n">
        <v>0.07270986292999999</v>
      </c>
      <c r="F2677" t="n">
        <v>0.3686371958</v>
      </c>
      <c r="G2677" t="n">
        <v>-0.6826825736</v>
      </c>
      <c r="H2677" t="n">
        <v>-1.943838774</v>
      </c>
    </row>
    <row r="2678">
      <c r="A2678" t="inlineStr">
        <is>
          <t>HRV|mit.ic.b</t>
        </is>
      </c>
      <c r="B2678" t="inlineStr">
        <is>
          <t>HRV</t>
        </is>
      </c>
      <c r="C2678" t="inlineStr">
        <is>
          <t>mit.ic.b</t>
        </is>
      </c>
      <c r="D2678" t="n">
        <v>0</v>
      </c>
      <c r="E2678" t="n">
        <v>0.02373036795</v>
      </c>
      <c r="F2678" t="n">
        <v>0.08298669953</v>
      </c>
      <c r="G2678" t="n">
        <v>-0.2477997101</v>
      </c>
      <c r="H2678" t="n">
        <v>-0.2777034772</v>
      </c>
    </row>
    <row r="2679">
      <c r="A2679" t="inlineStr">
        <is>
          <t>HTI|mit.ic.b</t>
        </is>
      </c>
      <c r="B2679" t="inlineStr">
        <is>
          <t>HTI</t>
        </is>
      </c>
      <c r="C2679" t="inlineStr">
        <is>
          <t>mit.ic.b</t>
        </is>
      </c>
      <c r="D2679" t="n">
        <v>0</v>
      </c>
      <c r="E2679" t="n">
        <v>0.04424862218</v>
      </c>
      <c r="F2679" t="n">
        <v>0.250198403</v>
      </c>
      <c r="G2679" t="n">
        <v>0.2366650144</v>
      </c>
      <c r="H2679" t="n">
        <v>0.1783904591</v>
      </c>
    </row>
    <row r="2680">
      <c r="A2680" t="inlineStr">
        <is>
          <t>HUN|mit.ic.b</t>
        </is>
      </c>
      <c r="B2680" t="inlineStr">
        <is>
          <t>HUN</t>
        </is>
      </c>
      <c r="C2680" t="inlineStr">
        <is>
          <t>mit.ic.b</t>
        </is>
      </c>
      <c r="D2680" t="n">
        <v>0</v>
      </c>
      <c r="E2680" t="n">
        <v>0.03188944136</v>
      </c>
      <c r="F2680" t="n">
        <v>0.03835604691</v>
      </c>
      <c r="G2680" t="n">
        <v>-1.3695437</v>
      </c>
      <c r="H2680" t="n">
        <v>-2.476064637</v>
      </c>
    </row>
    <row r="2681">
      <c r="A2681" t="inlineStr">
        <is>
          <t>IDN|mit.ic.b</t>
        </is>
      </c>
      <c r="B2681" t="inlineStr">
        <is>
          <t>IDN</t>
        </is>
      </c>
      <c r="C2681" t="inlineStr">
        <is>
          <t>mit.ic.b</t>
        </is>
      </c>
      <c r="D2681" t="n">
        <v>0</v>
      </c>
      <c r="E2681" t="n">
        <v>2.973372218</v>
      </c>
      <c r="F2681" t="n">
        <v>15.44764835</v>
      </c>
      <c r="G2681" t="n">
        <v>-4.77939056</v>
      </c>
      <c r="H2681" t="n">
        <v>-28.34340008</v>
      </c>
    </row>
    <row r="2682">
      <c r="A2682" t="inlineStr">
        <is>
          <t>IND|mit.ic.b</t>
        </is>
      </c>
      <c r="B2682" t="inlineStr">
        <is>
          <t>IND</t>
        </is>
      </c>
      <c r="C2682" t="inlineStr">
        <is>
          <t>mit.ic.b</t>
        </is>
      </c>
      <c r="D2682" t="n">
        <v>0</v>
      </c>
      <c r="E2682" t="n">
        <v>5.804211777</v>
      </c>
      <c r="F2682" t="n">
        <v>35.04909611</v>
      </c>
      <c r="G2682" t="n">
        <v>56.63009722</v>
      </c>
      <c r="H2682" t="n">
        <v>94.23421372</v>
      </c>
    </row>
    <row r="2683">
      <c r="A2683" t="inlineStr">
        <is>
          <t>IRL|mit.ic.b</t>
        </is>
      </c>
      <c r="B2683" t="inlineStr">
        <is>
          <t>IRL</t>
        </is>
      </c>
      <c r="C2683" t="inlineStr">
        <is>
          <t>mit.ic.b</t>
        </is>
      </c>
      <c r="D2683" t="n">
        <v>0</v>
      </c>
      <c r="E2683" t="n">
        <v>0.1256022455</v>
      </c>
      <c r="F2683" t="n">
        <v>0.8029290529000001</v>
      </c>
      <c r="G2683" t="n">
        <v>0.8963530401000001</v>
      </c>
      <c r="H2683" t="n">
        <v>1.725994901</v>
      </c>
    </row>
    <row r="2684">
      <c r="A2684" t="inlineStr">
        <is>
          <t>IRN|mit.ic.b</t>
        </is>
      </c>
      <c r="B2684" t="inlineStr">
        <is>
          <t>IRN</t>
        </is>
      </c>
      <c r="C2684" t="inlineStr">
        <is>
          <t>mit.ic.b</t>
        </is>
      </c>
      <c r="D2684" t="n">
        <v>0</v>
      </c>
      <c r="E2684" t="n">
        <v>1.983791473</v>
      </c>
      <c r="F2684" t="n">
        <v>9.103300485</v>
      </c>
      <c r="G2684" t="n">
        <v>13.23016742</v>
      </c>
      <c r="H2684" t="n">
        <v>19.28198886</v>
      </c>
    </row>
    <row r="2685">
      <c r="A2685" t="inlineStr">
        <is>
          <t>IRQ|mit.ic.b</t>
        </is>
      </c>
      <c r="B2685" t="inlineStr">
        <is>
          <t>IRQ</t>
        </is>
      </c>
      <c r="C2685" t="inlineStr">
        <is>
          <t>mit.ic.b</t>
        </is>
      </c>
      <c r="D2685" t="n">
        <v>0</v>
      </c>
      <c r="E2685" t="n">
        <v>0.5598969303</v>
      </c>
      <c r="F2685" t="n">
        <v>2.702556753</v>
      </c>
      <c r="G2685" t="n">
        <v>-0.1992119182</v>
      </c>
      <c r="H2685" t="n">
        <v>-4.589015455</v>
      </c>
    </row>
    <row r="2686">
      <c r="A2686" t="inlineStr">
        <is>
          <t>ISL|mit.ic.b</t>
        </is>
      </c>
      <c r="B2686" t="inlineStr">
        <is>
          <t>ISL</t>
        </is>
      </c>
      <c r="C2686" t="inlineStr">
        <is>
          <t>mit.ic.b</t>
        </is>
      </c>
      <c r="D2686" t="n">
        <v>0</v>
      </c>
      <c r="E2686" t="n">
        <v>0.08698664104000001</v>
      </c>
      <c r="F2686" t="n">
        <v>0.5181948951999999</v>
      </c>
      <c r="G2686" t="n">
        <v>0.5563891825</v>
      </c>
      <c r="H2686" t="n">
        <v>0.6224212247000001</v>
      </c>
    </row>
    <row r="2687">
      <c r="A2687" t="inlineStr">
        <is>
          <t>ISR|mit.ic.b</t>
        </is>
      </c>
      <c r="B2687" t="inlineStr">
        <is>
          <t>ISR</t>
        </is>
      </c>
      <c r="C2687" t="inlineStr">
        <is>
          <t>mit.ic.b</t>
        </is>
      </c>
      <c r="D2687" t="n">
        <v>0</v>
      </c>
      <c r="E2687" t="n">
        <v>0.3101346372</v>
      </c>
      <c r="F2687" t="n">
        <v>2.476372926</v>
      </c>
      <c r="G2687" t="n">
        <v>5.663119828</v>
      </c>
      <c r="H2687" t="n">
        <v>6.951212247</v>
      </c>
    </row>
    <row r="2688">
      <c r="A2688" t="inlineStr">
        <is>
          <t>ITA|mit.ic.b</t>
        </is>
      </c>
      <c r="B2688" t="inlineStr">
        <is>
          <t>ITA</t>
        </is>
      </c>
      <c r="C2688" t="inlineStr">
        <is>
          <t>mit.ic.b</t>
        </is>
      </c>
      <c r="D2688" t="n">
        <v>0</v>
      </c>
      <c r="E2688" t="n">
        <v>-0.2985802434</v>
      </c>
      <c r="F2688" t="n">
        <v>-1.903546609</v>
      </c>
      <c r="G2688" t="n">
        <v>-6.853023174</v>
      </c>
      <c r="H2688" t="n">
        <v>-3.158623551</v>
      </c>
    </row>
    <row r="2689">
      <c r="A2689" t="inlineStr">
        <is>
          <t>JAM|mit.ic.b</t>
        </is>
      </c>
      <c r="B2689" t="inlineStr">
        <is>
          <t>JAM</t>
        </is>
      </c>
      <c r="C2689" t="inlineStr">
        <is>
          <t>mit.ic.b</t>
        </is>
      </c>
      <c r="D2689" t="n">
        <v>0</v>
      </c>
      <c r="E2689" t="n">
        <v>0.01474036765</v>
      </c>
      <c r="F2689" t="n">
        <v>0.05225311667</v>
      </c>
      <c r="G2689" t="n">
        <v>-0.1974977839</v>
      </c>
      <c r="H2689" t="n">
        <v>-0.4699585594</v>
      </c>
    </row>
    <row r="2690">
      <c r="A2690" t="inlineStr">
        <is>
          <t>JOR|mit.ic.b</t>
        </is>
      </c>
      <c r="B2690" t="inlineStr">
        <is>
          <t>JOR</t>
        </is>
      </c>
      <c r="C2690" t="inlineStr">
        <is>
          <t>mit.ic.b</t>
        </is>
      </c>
      <c r="D2690" t="n">
        <v>0</v>
      </c>
      <c r="E2690" t="n">
        <v>-0.03062416994</v>
      </c>
      <c r="F2690" t="n">
        <v>-0.3150616284</v>
      </c>
      <c r="G2690" t="n">
        <v>-2.262437683</v>
      </c>
      <c r="H2690" t="n">
        <v>-4.1858931</v>
      </c>
    </row>
    <row r="2691">
      <c r="A2691" t="inlineStr">
        <is>
          <t>JPN|mit.ic.b</t>
        </is>
      </c>
      <c r="B2691" t="inlineStr">
        <is>
          <t>JPN</t>
        </is>
      </c>
      <c r="C2691" t="inlineStr">
        <is>
          <t>mit.ic.b</t>
        </is>
      </c>
      <c r="D2691" t="n">
        <v>0</v>
      </c>
      <c r="E2691" t="n">
        <v>-0.1212836833</v>
      </c>
      <c r="F2691" t="n">
        <v>-0.2848946007</v>
      </c>
      <c r="G2691" t="n">
        <v>9.825898816</v>
      </c>
      <c r="H2691" t="n">
        <v>36.81464414</v>
      </c>
    </row>
    <row r="2692">
      <c r="A2692" t="inlineStr">
        <is>
          <t>KAZ|mit.ic.b</t>
        </is>
      </c>
      <c r="B2692" t="inlineStr">
        <is>
          <t>KAZ</t>
        </is>
      </c>
      <c r="C2692" t="inlineStr">
        <is>
          <t>mit.ic.b</t>
        </is>
      </c>
      <c r="D2692" t="n">
        <v>0</v>
      </c>
      <c r="E2692" t="n">
        <v>0.7336789664</v>
      </c>
      <c r="F2692" t="n">
        <v>3.956229149</v>
      </c>
      <c r="G2692" t="n">
        <v>4.990543094</v>
      </c>
      <c r="H2692" t="n">
        <v>6.68464747</v>
      </c>
    </row>
    <row r="2693">
      <c r="A2693" t="inlineStr">
        <is>
          <t>KEN|mit.ic.b</t>
        </is>
      </c>
      <c r="B2693" t="inlineStr">
        <is>
          <t>KEN</t>
        </is>
      </c>
      <c r="C2693" t="inlineStr">
        <is>
          <t>mit.ic.b</t>
        </is>
      </c>
      <c r="D2693" t="n">
        <v>0</v>
      </c>
      <c r="E2693" t="n">
        <v>0.2486376266</v>
      </c>
      <c r="F2693" t="n">
        <v>1.368018045</v>
      </c>
      <c r="G2693" t="n">
        <v>0.7120550181999999</v>
      </c>
      <c r="H2693" t="n">
        <v>-0.1697926437</v>
      </c>
    </row>
    <row r="2694">
      <c r="A2694" t="inlineStr">
        <is>
          <t>KGZ|mit.ic.b</t>
        </is>
      </c>
      <c r="B2694" t="inlineStr">
        <is>
          <t>KGZ</t>
        </is>
      </c>
      <c r="C2694" t="inlineStr">
        <is>
          <t>mit.ic.b</t>
        </is>
      </c>
      <c r="D2694" t="n">
        <v>0</v>
      </c>
      <c r="E2694" t="n">
        <v>0.03873988846</v>
      </c>
      <c r="F2694" t="n">
        <v>0.2059859281</v>
      </c>
      <c r="G2694" t="n">
        <v>0.1409441278</v>
      </c>
      <c r="H2694" t="n">
        <v>0.02492382098</v>
      </c>
    </row>
    <row r="2695">
      <c r="A2695" t="inlineStr">
        <is>
          <t>KHM|mit.ic.b</t>
        </is>
      </c>
      <c r="B2695" t="inlineStr">
        <is>
          <t>KHM</t>
        </is>
      </c>
      <c r="C2695" t="inlineStr">
        <is>
          <t>mit.ic.b</t>
        </is>
      </c>
      <c r="D2695" t="n">
        <v>0</v>
      </c>
      <c r="E2695" t="n">
        <v>0.3397429377</v>
      </c>
      <c r="F2695" t="n">
        <v>1.957417375</v>
      </c>
      <c r="G2695" t="n">
        <v>1.205294671</v>
      </c>
      <c r="H2695" t="n">
        <v>0.3506488003</v>
      </c>
    </row>
    <row r="2696">
      <c r="A2696" t="inlineStr">
        <is>
          <t>KNA|mit.ic.b</t>
        </is>
      </c>
      <c r="B2696" t="inlineStr">
        <is>
          <t>KNA</t>
        </is>
      </c>
      <c r="C2696" t="inlineStr">
        <is>
          <t>mit.ic.b</t>
        </is>
      </c>
      <c r="D2696" t="n">
        <v>0</v>
      </c>
      <c r="E2696" t="n">
        <v>0.00233921281</v>
      </c>
      <c r="F2696" t="n">
        <v>0.01055188712</v>
      </c>
      <c r="G2696" t="n">
        <v>-0.006988638088</v>
      </c>
      <c r="H2696" t="n">
        <v>-0.02531197167</v>
      </c>
    </row>
    <row r="2697">
      <c r="A2697" t="inlineStr">
        <is>
          <t>KOR|mit.ic.b</t>
        </is>
      </c>
      <c r="B2697" t="inlineStr">
        <is>
          <t>KOR</t>
        </is>
      </c>
      <c r="C2697" t="inlineStr">
        <is>
          <t>mit.ic.b</t>
        </is>
      </c>
      <c r="D2697" t="n">
        <v>0</v>
      </c>
      <c r="E2697" t="n">
        <v>0.5997588865</v>
      </c>
      <c r="F2697" t="n">
        <v>4.086697937</v>
      </c>
      <c r="G2697" t="n">
        <v>14.3838465</v>
      </c>
      <c r="H2697" t="n">
        <v>29.22571562</v>
      </c>
    </row>
    <row r="2698">
      <c r="A2698" t="inlineStr">
        <is>
          <t>KWT|mit.ic.b</t>
        </is>
      </c>
      <c r="B2698" t="inlineStr">
        <is>
          <t>KWT</t>
        </is>
      </c>
      <c r="C2698" t="inlineStr">
        <is>
          <t>mit.ic.b</t>
        </is>
      </c>
      <c r="D2698" t="n">
        <v>0</v>
      </c>
      <c r="E2698" t="n">
        <v>0.1896339702</v>
      </c>
      <c r="F2698" t="n">
        <v>0.5329766956999999</v>
      </c>
      <c r="G2698" t="n">
        <v>-3.054431538</v>
      </c>
      <c r="H2698" t="n">
        <v>-5.914002923</v>
      </c>
    </row>
    <row r="2699">
      <c r="A2699" t="inlineStr">
        <is>
          <t>LAO|mit.ic.b</t>
        </is>
      </c>
      <c r="B2699" t="inlineStr">
        <is>
          <t>LAO</t>
        </is>
      </c>
      <c r="C2699" t="inlineStr">
        <is>
          <t>mit.ic.b</t>
        </is>
      </c>
      <c r="D2699" t="n">
        <v>0</v>
      </c>
      <c r="E2699" t="n">
        <v>0.2376608153</v>
      </c>
      <c r="F2699" t="n">
        <v>1.395821539</v>
      </c>
      <c r="G2699" t="n">
        <v>1.735612619</v>
      </c>
      <c r="H2699" t="n">
        <v>2.033831723</v>
      </c>
    </row>
    <row r="2700">
      <c r="A2700" t="inlineStr">
        <is>
          <t>LBN|mit.ic.b</t>
        </is>
      </c>
      <c r="B2700" t="inlineStr">
        <is>
          <t>LBN</t>
        </is>
      </c>
      <c r="C2700" t="inlineStr">
        <is>
          <t>mit.ic.b</t>
        </is>
      </c>
      <c r="D2700" t="n">
        <v>0</v>
      </c>
      <c r="E2700" t="n">
        <v>0.07714021893</v>
      </c>
      <c r="F2700" t="n">
        <v>0.305075552</v>
      </c>
      <c r="G2700" t="n">
        <v>-0.8589993806</v>
      </c>
      <c r="H2700" t="n">
        <v>-2.054497689</v>
      </c>
    </row>
    <row r="2701">
      <c r="A2701" t="inlineStr">
        <is>
          <t>LBR|mit.ic.b</t>
        </is>
      </c>
      <c r="B2701" t="inlineStr">
        <is>
          <t>LBR</t>
        </is>
      </c>
      <c r="C2701" t="inlineStr">
        <is>
          <t>mit.ic.b</t>
        </is>
      </c>
      <c r="D2701" t="n">
        <v>0</v>
      </c>
      <c r="E2701" t="n">
        <v>0.1201851628</v>
      </c>
      <c r="F2701" t="n">
        <v>0.7185606841</v>
      </c>
      <c r="G2701" t="n">
        <v>0.7309716076</v>
      </c>
      <c r="H2701" t="n">
        <v>0.7228311703</v>
      </c>
    </row>
    <row r="2702">
      <c r="A2702" t="inlineStr">
        <is>
          <t>LBY|mit.ic.b</t>
        </is>
      </c>
      <c r="B2702" t="inlineStr">
        <is>
          <t>LBY</t>
        </is>
      </c>
      <c r="C2702" t="inlineStr">
        <is>
          <t>mit.ic.b</t>
        </is>
      </c>
      <c r="D2702" t="n">
        <v>0</v>
      </c>
      <c r="E2702" t="n">
        <v>0.07744195345</v>
      </c>
      <c r="F2702" t="n">
        <v>-0.06699580518999999</v>
      </c>
      <c r="G2702" t="n">
        <v>-5.27531171</v>
      </c>
      <c r="H2702" t="n">
        <v>-10.84318273</v>
      </c>
    </row>
    <row r="2703">
      <c r="A2703" t="inlineStr">
        <is>
          <t>LCA|mit.ic.b</t>
        </is>
      </c>
      <c r="B2703" t="inlineStr">
        <is>
          <t>LCA</t>
        </is>
      </c>
      <c r="C2703" t="inlineStr">
        <is>
          <t>mit.ic.b</t>
        </is>
      </c>
      <c r="D2703" t="n">
        <v>0</v>
      </c>
      <c r="E2703" t="n">
        <v>-5.029128161e-05</v>
      </c>
      <c r="F2703" t="n">
        <v>-0.004737944614</v>
      </c>
      <c r="G2703" t="n">
        <v>-0.05810565466</v>
      </c>
      <c r="H2703" t="n">
        <v>-0.1188715234</v>
      </c>
    </row>
    <row r="2704">
      <c r="A2704" t="inlineStr">
        <is>
          <t>LKA|mit.ic.b</t>
        </is>
      </c>
      <c r="B2704" t="inlineStr">
        <is>
          <t>LKA</t>
        </is>
      </c>
      <c r="C2704" t="inlineStr">
        <is>
          <t>mit.ic.b</t>
        </is>
      </c>
      <c r="D2704" t="n">
        <v>0</v>
      </c>
      <c r="E2704" t="n">
        <v>0.06467885863</v>
      </c>
      <c r="F2704" t="n">
        <v>0.3000049938</v>
      </c>
      <c r="G2704" t="n">
        <v>-0.6480417301</v>
      </c>
      <c r="H2704" t="n">
        <v>-1.800533748</v>
      </c>
    </row>
    <row r="2705">
      <c r="A2705" t="inlineStr">
        <is>
          <t>LSO|mit.ic.b</t>
        </is>
      </c>
      <c r="B2705" t="inlineStr">
        <is>
          <t>LSO</t>
        </is>
      </c>
      <c r="C2705" t="inlineStr">
        <is>
          <t>mit.ic.b</t>
        </is>
      </c>
      <c r="D2705" t="n">
        <v>0</v>
      </c>
      <c r="E2705" t="n">
        <v>0.02320373653</v>
      </c>
      <c r="F2705" t="n">
        <v>0.1114247218</v>
      </c>
      <c r="G2705" t="n">
        <v>0.07940307884</v>
      </c>
      <c r="H2705" t="n">
        <v>-0.02509572818</v>
      </c>
    </row>
    <row r="2706">
      <c r="A2706" t="inlineStr">
        <is>
          <t>LTU|mit.ic.b</t>
        </is>
      </c>
      <c r="B2706" t="inlineStr">
        <is>
          <t>LTU</t>
        </is>
      </c>
      <c r="C2706" t="inlineStr">
        <is>
          <t>mit.ic.b</t>
        </is>
      </c>
      <c r="D2706" t="n">
        <v>0</v>
      </c>
      <c r="E2706" t="n">
        <v>0.03856301075</v>
      </c>
      <c r="F2706" t="n">
        <v>0.217233711</v>
      </c>
      <c r="G2706" t="n">
        <v>0.2029117431</v>
      </c>
      <c r="H2706" t="n">
        <v>0.3936002816</v>
      </c>
    </row>
    <row r="2707">
      <c r="A2707" t="inlineStr">
        <is>
          <t>LUX|mit.ic.b</t>
        </is>
      </c>
      <c r="B2707" t="inlineStr">
        <is>
          <t>LUX</t>
        </is>
      </c>
      <c r="C2707" t="inlineStr">
        <is>
          <t>mit.ic.b</t>
        </is>
      </c>
      <c r="D2707" t="n">
        <v>0</v>
      </c>
      <c r="E2707" t="n">
        <v>0.008014502102</v>
      </c>
      <c r="F2707" t="n">
        <v>0.03688508263</v>
      </c>
      <c r="G2707" t="n">
        <v>-0.1331858308</v>
      </c>
      <c r="H2707" t="n">
        <v>-0.1552666238</v>
      </c>
    </row>
    <row r="2708">
      <c r="A2708" t="inlineStr">
        <is>
          <t>LVA|mit.ic.b</t>
        </is>
      </c>
      <c r="B2708" t="inlineStr">
        <is>
          <t>LVA</t>
        </is>
      </c>
      <c r="C2708" t="inlineStr">
        <is>
          <t>mit.ic.b</t>
        </is>
      </c>
      <c r="D2708" t="n">
        <v>0</v>
      </c>
      <c r="E2708" t="n">
        <v>0.002310943656</v>
      </c>
      <c r="F2708" t="n">
        <v>-0.01741344194</v>
      </c>
      <c r="G2708" t="n">
        <v>-0.3479317655</v>
      </c>
      <c r="H2708" t="n">
        <v>-0.4078881501</v>
      </c>
    </row>
    <row r="2709">
      <c r="A2709" t="inlineStr">
        <is>
          <t>MAC|mit.ic.b</t>
        </is>
      </c>
      <c r="B2709" t="inlineStr">
        <is>
          <t>MAC</t>
        </is>
      </c>
      <c r="C2709" t="inlineStr">
        <is>
          <t>mit.ic.b</t>
        </is>
      </c>
      <c r="D2709" t="n">
        <v>0</v>
      </c>
      <c r="E2709" t="n">
        <v>-0.03626028241</v>
      </c>
      <c r="F2709" t="n">
        <v>-0.2090411208</v>
      </c>
      <c r="G2709" t="n">
        <v>-0.4496652426</v>
      </c>
      <c r="H2709" t="n">
        <v>-0.5631489512</v>
      </c>
    </row>
    <row r="2710">
      <c r="A2710" t="inlineStr">
        <is>
          <t>MAR|mit.ic.b</t>
        </is>
      </c>
      <c r="B2710" t="inlineStr">
        <is>
          <t>MAR</t>
        </is>
      </c>
      <c r="C2710" t="inlineStr">
        <is>
          <t>mit.ic.b</t>
        </is>
      </c>
      <c r="D2710" t="n">
        <v>0</v>
      </c>
      <c r="E2710" t="n">
        <v>0.07294580405999999</v>
      </c>
      <c r="F2710" t="n">
        <v>0.189663153</v>
      </c>
      <c r="G2710" t="n">
        <v>-2.760854016</v>
      </c>
      <c r="H2710" t="n">
        <v>-5.986501381</v>
      </c>
    </row>
    <row r="2711">
      <c r="A2711" t="inlineStr">
        <is>
          <t>MDA|mit.ic.b</t>
        </is>
      </c>
      <c r="B2711" t="inlineStr">
        <is>
          <t>MDA</t>
        </is>
      </c>
      <c r="C2711" t="inlineStr">
        <is>
          <t>mit.ic.b</t>
        </is>
      </c>
      <c r="D2711" t="n">
        <v>0</v>
      </c>
      <c r="E2711" t="n">
        <v>0.01895075632</v>
      </c>
      <c r="F2711" t="n">
        <v>0.05756227548</v>
      </c>
      <c r="G2711" t="n">
        <v>-0.3997983648</v>
      </c>
      <c r="H2711" t="n">
        <v>-0.929685156</v>
      </c>
    </row>
    <row r="2712">
      <c r="A2712" t="inlineStr">
        <is>
          <t>MDG|mit.ic.b</t>
        </is>
      </c>
      <c r="B2712" t="inlineStr">
        <is>
          <t>MDG</t>
        </is>
      </c>
      <c r="C2712" t="inlineStr">
        <is>
          <t>mit.ic.b</t>
        </is>
      </c>
      <c r="D2712" t="n">
        <v>0</v>
      </c>
      <c r="E2712" t="n">
        <v>0.1638834403</v>
      </c>
      <c r="F2712" t="n">
        <v>0.9647411229</v>
      </c>
      <c r="G2712" t="n">
        <v>0.9926293667</v>
      </c>
      <c r="H2712" t="n">
        <v>1.001001231</v>
      </c>
    </row>
    <row r="2713">
      <c r="A2713" t="inlineStr">
        <is>
          <t>MDV|mit.ic.b</t>
        </is>
      </c>
      <c r="B2713" t="inlineStr">
        <is>
          <t>MDV</t>
        </is>
      </c>
      <c r="C2713" t="inlineStr">
        <is>
          <t>mit.ic.b</t>
        </is>
      </c>
      <c r="D2713" t="n">
        <v>0</v>
      </c>
      <c r="E2713" t="n">
        <v>0.0005557886495</v>
      </c>
      <c r="F2713" t="n">
        <v>-0.01524854377</v>
      </c>
      <c r="G2713" t="n">
        <v>-0.2284910756</v>
      </c>
      <c r="H2713" t="n">
        <v>-0.4562016535</v>
      </c>
    </row>
    <row r="2714">
      <c r="A2714" t="inlineStr">
        <is>
          <t>MEX|mit.ic.b</t>
        </is>
      </c>
      <c r="B2714" t="inlineStr">
        <is>
          <t>MEX</t>
        </is>
      </c>
      <c r="C2714" t="inlineStr">
        <is>
          <t>mit.ic.b</t>
        </is>
      </c>
      <c r="D2714" t="n">
        <v>0</v>
      </c>
      <c r="E2714" t="n">
        <v>1.862730507</v>
      </c>
      <c r="F2714" t="n">
        <v>9.732396476</v>
      </c>
      <c r="G2714" t="n">
        <v>6.081914857</v>
      </c>
      <c r="H2714" t="n">
        <v>3.805224782</v>
      </c>
    </row>
    <row r="2715">
      <c r="A2715" t="inlineStr">
        <is>
          <t>MKD|mit.ic.b</t>
        </is>
      </c>
      <c r="B2715" t="inlineStr">
        <is>
          <t>MKD</t>
        </is>
      </c>
      <c r="C2715" t="inlineStr">
        <is>
          <t>mit.ic.b</t>
        </is>
      </c>
      <c r="D2715" t="n">
        <v>0</v>
      </c>
      <c r="E2715" t="n">
        <v>0.01353548629</v>
      </c>
      <c r="F2715" t="n">
        <v>0.04675852859</v>
      </c>
      <c r="G2715" t="n">
        <v>-0.2338793321</v>
      </c>
      <c r="H2715" t="n">
        <v>-0.5106717079</v>
      </c>
    </row>
    <row r="2716">
      <c r="A2716" t="inlineStr">
        <is>
          <t>MLI|mit.ic.b</t>
        </is>
      </c>
      <c r="B2716" t="inlineStr">
        <is>
          <t>MLI</t>
        </is>
      </c>
      <c r="C2716" t="inlineStr">
        <is>
          <t>mit.ic.b</t>
        </is>
      </c>
      <c r="D2716" t="n">
        <v>0</v>
      </c>
      <c r="E2716" t="n">
        <v>0.1086889077</v>
      </c>
      <c r="F2716" t="n">
        <v>0.5911594947</v>
      </c>
      <c r="G2716" t="n">
        <v>-0.03798803737</v>
      </c>
      <c r="H2716" t="n">
        <v>-1.00494563</v>
      </c>
    </row>
    <row r="2717">
      <c r="A2717" t="inlineStr">
        <is>
          <t>MLT|mit.ic.b</t>
        </is>
      </c>
      <c r="B2717" t="inlineStr">
        <is>
          <t>MLT</t>
        </is>
      </c>
      <c r="C2717" t="inlineStr">
        <is>
          <t>mit.ic.b</t>
        </is>
      </c>
      <c r="D2717" t="n">
        <v>0</v>
      </c>
      <c r="E2717" t="n">
        <v>-0.0105284509</v>
      </c>
      <c r="F2717" t="n">
        <v>-0.06558062783</v>
      </c>
      <c r="G2717" t="n">
        <v>-0.1567826822</v>
      </c>
      <c r="H2717" t="n">
        <v>-0.1557139804</v>
      </c>
    </row>
    <row r="2718">
      <c r="A2718" t="inlineStr">
        <is>
          <t>MMR|mit.ic.b</t>
        </is>
      </c>
      <c r="B2718" t="inlineStr">
        <is>
          <t>MMR</t>
        </is>
      </c>
      <c r="C2718" t="inlineStr">
        <is>
          <t>mit.ic.b</t>
        </is>
      </c>
      <c r="D2718" t="n">
        <v>0</v>
      </c>
      <c r="E2718" t="n">
        <v>1.50213802</v>
      </c>
      <c r="F2718" t="n">
        <v>8.972637032</v>
      </c>
      <c r="G2718" t="n">
        <v>9.772140662</v>
      </c>
      <c r="H2718" t="n">
        <v>10.48939265</v>
      </c>
    </row>
    <row r="2719">
      <c r="A2719" t="inlineStr">
        <is>
          <t>MNE|mit.ic.b</t>
        </is>
      </c>
      <c r="B2719" t="inlineStr">
        <is>
          <t>MNE</t>
        </is>
      </c>
      <c r="C2719" t="inlineStr">
        <is>
          <t>mit.ic.b</t>
        </is>
      </c>
      <c r="D2719" t="n">
        <v>0</v>
      </c>
      <c r="E2719" t="n">
        <v>-0.0001744856482</v>
      </c>
      <c r="F2719" t="n">
        <v>-0.009986276624</v>
      </c>
      <c r="G2719" t="n">
        <v>-0.1094259542</v>
      </c>
      <c r="H2719" t="n">
        <v>-0.207181511</v>
      </c>
    </row>
    <row r="2720">
      <c r="A2720" t="inlineStr">
        <is>
          <t>MNG|mit.ic.b</t>
        </is>
      </c>
      <c r="B2720" t="inlineStr">
        <is>
          <t>MNG</t>
        </is>
      </c>
      <c r="C2720" t="inlineStr">
        <is>
          <t>mit.ic.b</t>
        </is>
      </c>
      <c r="D2720" t="n">
        <v>0</v>
      </c>
      <c r="E2720" t="n">
        <v>0.2925799294</v>
      </c>
      <c r="F2720" t="n">
        <v>1.706988539</v>
      </c>
      <c r="G2720" t="n">
        <v>1.63415911</v>
      </c>
      <c r="H2720" t="n">
        <v>1.480409163</v>
      </c>
    </row>
    <row r="2721">
      <c r="A2721" t="inlineStr">
        <is>
          <t>MOZ|mit.ic.b</t>
        </is>
      </c>
      <c r="B2721" t="inlineStr">
        <is>
          <t>MOZ</t>
        </is>
      </c>
      <c r="C2721" t="inlineStr">
        <is>
          <t>mit.ic.b</t>
        </is>
      </c>
      <c r="D2721" t="n">
        <v>0</v>
      </c>
      <c r="E2721" t="n">
        <v>0.6260060196</v>
      </c>
      <c r="F2721" t="n">
        <v>3.724630678</v>
      </c>
      <c r="G2721" t="n">
        <v>3.659221498</v>
      </c>
      <c r="H2721" t="n">
        <v>3.633541351</v>
      </c>
    </row>
    <row r="2722">
      <c r="A2722" t="inlineStr">
        <is>
          <t>MRT|mit.ic.b</t>
        </is>
      </c>
      <c r="B2722" t="inlineStr">
        <is>
          <t>MRT</t>
        </is>
      </c>
      <c r="C2722" t="inlineStr">
        <is>
          <t>mit.ic.b</t>
        </is>
      </c>
      <c r="D2722" t="n">
        <v>0</v>
      </c>
      <c r="E2722" t="n">
        <v>0.03638433846</v>
      </c>
      <c r="F2722" t="n">
        <v>0.1884902095</v>
      </c>
      <c r="G2722" t="n">
        <v>-0.06449513289</v>
      </c>
      <c r="H2722" t="n">
        <v>-0.4242920708</v>
      </c>
    </row>
    <row r="2723">
      <c r="A2723" t="inlineStr">
        <is>
          <t>MUS|mit.ic.b</t>
        </is>
      </c>
      <c r="B2723" t="inlineStr">
        <is>
          <t>MUS</t>
        </is>
      </c>
      <c r="C2723" t="inlineStr">
        <is>
          <t>mit.ic.b</t>
        </is>
      </c>
      <c r="D2723" t="n">
        <v>0</v>
      </c>
      <c r="E2723" t="n">
        <v>-0.005976214188</v>
      </c>
      <c r="F2723" t="n">
        <v>-0.05684813754</v>
      </c>
      <c r="G2723" t="n">
        <v>-0.3635129282</v>
      </c>
      <c r="H2723" t="n">
        <v>-0.6596481002</v>
      </c>
    </row>
    <row r="2724">
      <c r="A2724" t="inlineStr">
        <is>
          <t>MWI|mit.ic.b</t>
        </is>
      </c>
      <c r="B2724" t="inlineStr">
        <is>
          <t>MWI</t>
        </is>
      </c>
      <c r="C2724" t="inlineStr">
        <is>
          <t>mit.ic.b</t>
        </is>
      </c>
      <c r="D2724" t="n">
        <v>0</v>
      </c>
      <c r="E2724" t="n">
        <v>0.1195135468</v>
      </c>
      <c r="F2724" t="n">
        <v>0.7019999339</v>
      </c>
      <c r="G2724" t="n">
        <v>0.7800923578</v>
      </c>
      <c r="H2724" t="n">
        <v>0.8220873400000001</v>
      </c>
    </row>
    <row r="2725">
      <c r="A2725" t="inlineStr">
        <is>
          <t>MYS|mit.ic.b</t>
        </is>
      </c>
      <c r="B2725" t="inlineStr">
        <is>
          <t>MYS</t>
        </is>
      </c>
      <c r="C2725" t="inlineStr">
        <is>
          <t>mit.ic.b</t>
        </is>
      </c>
      <c r="D2725" t="n">
        <v>0</v>
      </c>
      <c r="E2725" t="n">
        <v>0.6762049669</v>
      </c>
      <c r="F2725" t="n">
        <v>3.143293928</v>
      </c>
      <c r="G2725" t="n">
        <v>-4.909453185</v>
      </c>
      <c r="H2725" t="n">
        <v>-11.8557088</v>
      </c>
    </row>
    <row r="2726">
      <c r="A2726" t="inlineStr">
        <is>
          <t>NAM|mit.ic.b</t>
        </is>
      </c>
      <c r="B2726" t="inlineStr">
        <is>
          <t>NAM</t>
        </is>
      </c>
      <c r="C2726" t="inlineStr">
        <is>
          <t>mit.ic.b</t>
        </is>
      </c>
      <c r="D2726" t="n">
        <v>0</v>
      </c>
      <c r="E2726" t="n">
        <v>0.1062867083</v>
      </c>
      <c r="F2726" t="n">
        <v>0.6133282112</v>
      </c>
      <c r="G2726" t="n">
        <v>0.426754013</v>
      </c>
      <c r="H2726" t="n">
        <v>0.228977082</v>
      </c>
    </row>
    <row r="2727">
      <c r="A2727" t="inlineStr">
        <is>
          <t>NER|mit.ic.b</t>
        </is>
      </c>
      <c r="B2727" t="inlineStr">
        <is>
          <t>NER</t>
        </is>
      </c>
      <c r="C2727" t="inlineStr">
        <is>
          <t>mit.ic.b</t>
        </is>
      </c>
      <c r="D2727" t="n">
        <v>0</v>
      </c>
      <c r="E2727" t="n">
        <v>0.1106634942</v>
      </c>
      <c r="F2727" t="n">
        <v>0.6373198289999999</v>
      </c>
      <c r="G2727" t="n">
        <v>0.5749745818999999</v>
      </c>
      <c r="H2727" t="n">
        <v>0.4119011065</v>
      </c>
    </row>
    <row r="2728">
      <c r="A2728" t="inlineStr">
        <is>
          <t>NGA|mit.ic.b</t>
        </is>
      </c>
      <c r="B2728" t="inlineStr">
        <is>
          <t>NGA</t>
        </is>
      </c>
      <c r="C2728" t="inlineStr">
        <is>
          <t>mit.ic.b</t>
        </is>
      </c>
      <c r="D2728" t="n">
        <v>0</v>
      </c>
      <c r="E2728" t="n">
        <v>1.188775837</v>
      </c>
      <c r="F2728" t="n">
        <v>6.071795237</v>
      </c>
      <c r="G2728" t="n">
        <v>-0.7013200442999999</v>
      </c>
      <c r="H2728" t="n">
        <v>-8.737089381000001</v>
      </c>
    </row>
    <row r="2729">
      <c r="A2729" t="inlineStr">
        <is>
          <t>NIC|mit.ic.b</t>
        </is>
      </c>
      <c r="B2729" t="inlineStr">
        <is>
          <t>NIC</t>
        </is>
      </c>
      <c r="C2729" t="inlineStr">
        <is>
          <t>mit.ic.b</t>
        </is>
      </c>
      <c r="D2729" t="n">
        <v>0</v>
      </c>
      <c r="E2729" t="n">
        <v>0.1885246845</v>
      </c>
      <c r="F2729" t="n">
        <v>1.091221532</v>
      </c>
      <c r="G2729" t="n">
        <v>0.6649097343</v>
      </c>
      <c r="H2729" t="n">
        <v>0.1158457513</v>
      </c>
    </row>
    <row r="2730">
      <c r="A2730" t="inlineStr">
        <is>
          <t>NLD|mit.ic.b</t>
        </is>
      </c>
      <c r="B2730" t="inlineStr">
        <is>
          <t>NLD</t>
        </is>
      </c>
      <c r="C2730" t="inlineStr">
        <is>
          <t>mit.ic.b</t>
        </is>
      </c>
      <c r="D2730" t="n">
        <v>0</v>
      </c>
      <c r="E2730" t="n">
        <v>0.3261060201</v>
      </c>
      <c r="F2730" t="n">
        <v>2.045895773</v>
      </c>
      <c r="G2730" t="n">
        <v>4.5054956</v>
      </c>
      <c r="H2730" t="n">
        <v>8.220935046999999</v>
      </c>
    </row>
    <row r="2731">
      <c r="A2731" t="inlineStr">
        <is>
          <t>NOR|mit.ic.b</t>
        </is>
      </c>
      <c r="B2731" t="inlineStr">
        <is>
          <t>NOR</t>
        </is>
      </c>
      <c r="C2731" t="inlineStr">
        <is>
          <t>mit.ic.b</t>
        </is>
      </c>
      <c r="D2731" t="n">
        <v>0</v>
      </c>
      <c r="E2731" t="n">
        <v>0.2675871683</v>
      </c>
      <c r="F2731" t="n">
        <v>1.623507443</v>
      </c>
      <c r="G2731" t="n">
        <v>3.971667262</v>
      </c>
      <c r="H2731" t="n">
        <v>6.757168786</v>
      </c>
    </row>
    <row r="2732">
      <c r="A2732" t="inlineStr">
        <is>
          <t>NPL|mit.ic.b</t>
        </is>
      </c>
      <c r="B2732" t="inlineStr">
        <is>
          <t>NPL</t>
        </is>
      </c>
      <c r="C2732" t="inlineStr">
        <is>
          <t>mit.ic.b</t>
        </is>
      </c>
      <c r="D2732" t="n">
        <v>0</v>
      </c>
      <c r="E2732" t="n">
        <v>0.1263455582</v>
      </c>
      <c r="F2732" t="n">
        <v>0.7090621665</v>
      </c>
      <c r="G2732" t="n">
        <v>0.5524587537</v>
      </c>
      <c r="H2732" t="n">
        <v>0.2432830174</v>
      </c>
    </row>
    <row r="2733">
      <c r="A2733" t="inlineStr">
        <is>
          <t>NRU|mit.ic.b</t>
        </is>
      </c>
      <c r="B2733" t="inlineStr">
        <is>
          <t>NRU</t>
        </is>
      </c>
      <c r="C2733" t="inlineStr">
        <is>
          <t>mit.ic.b</t>
        </is>
      </c>
      <c r="D2733" t="n">
        <v>0</v>
      </c>
      <c r="E2733" t="n">
        <v>0.0006887140706</v>
      </c>
      <c r="F2733" t="n">
        <v>0.003863145188</v>
      </c>
      <c r="G2733" t="n">
        <v>0.005045785706</v>
      </c>
      <c r="H2733" t="n">
        <v>0.00660387865</v>
      </c>
    </row>
    <row r="2734">
      <c r="A2734" t="inlineStr">
        <is>
          <t>NZL|mit.ic.b</t>
        </is>
      </c>
      <c r="B2734" t="inlineStr">
        <is>
          <t>NZL</t>
        </is>
      </c>
      <c r="C2734" t="inlineStr">
        <is>
          <t>mit.ic.b</t>
        </is>
      </c>
      <c r="D2734" t="n">
        <v>0</v>
      </c>
      <c r="E2734" t="n">
        <v>0.1650051095</v>
      </c>
      <c r="F2734" t="n">
        <v>0.960512672</v>
      </c>
      <c r="G2734" t="n">
        <v>1.217845397</v>
      </c>
      <c r="H2734" t="n">
        <v>1.902950306</v>
      </c>
    </row>
    <row r="2735">
      <c r="A2735" t="inlineStr">
        <is>
          <t>OMN|mit.ic.b</t>
        </is>
      </c>
      <c r="B2735" t="inlineStr">
        <is>
          <t>OMN</t>
        </is>
      </c>
      <c r="C2735" t="inlineStr">
        <is>
          <t>mit.ic.b</t>
        </is>
      </c>
      <c r="D2735" t="n">
        <v>0</v>
      </c>
      <c r="E2735" t="n">
        <v>0.386053588</v>
      </c>
      <c r="F2735" t="n">
        <v>2.137635737</v>
      </c>
      <c r="G2735" t="n">
        <v>3.3538694</v>
      </c>
      <c r="H2735" t="n">
        <v>4.961529073</v>
      </c>
    </row>
    <row r="2736">
      <c r="A2736" t="inlineStr">
        <is>
          <t>PAK|mit.ic.b</t>
        </is>
      </c>
      <c r="B2736" t="inlineStr">
        <is>
          <t>PAK</t>
        </is>
      </c>
      <c r="C2736" t="inlineStr">
        <is>
          <t>mit.ic.b</t>
        </is>
      </c>
      <c r="D2736" t="n">
        <v>0</v>
      </c>
      <c r="E2736" t="n">
        <v>1.15537471</v>
      </c>
      <c r="F2736" t="n">
        <v>6.223236014</v>
      </c>
      <c r="G2736" t="n">
        <v>3.391651501</v>
      </c>
      <c r="H2736" t="n">
        <v>-0.3053698718</v>
      </c>
    </row>
    <row r="2737">
      <c r="A2737" t="inlineStr">
        <is>
          <t>PAN|mit.ic.b</t>
        </is>
      </c>
      <c r="B2737" t="inlineStr">
        <is>
          <t>PAN</t>
        </is>
      </c>
      <c r="C2737" t="inlineStr">
        <is>
          <t>mit.ic.b</t>
        </is>
      </c>
      <c r="D2737" t="n">
        <v>0</v>
      </c>
      <c r="E2737" t="n">
        <v>0.0429302317</v>
      </c>
      <c r="F2737" t="n">
        <v>0.1951700579</v>
      </c>
      <c r="G2737" t="n">
        <v>-0.5301316852</v>
      </c>
      <c r="H2737" t="n">
        <v>-1.088785561</v>
      </c>
    </row>
    <row r="2738">
      <c r="A2738" t="inlineStr">
        <is>
          <t>PER|mit.ic.b</t>
        </is>
      </c>
      <c r="B2738" t="inlineStr">
        <is>
          <t>PER</t>
        </is>
      </c>
      <c r="C2738" t="inlineStr">
        <is>
          <t>mit.ic.b</t>
        </is>
      </c>
      <c r="D2738" t="n">
        <v>0</v>
      </c>
      <c r="E2738" t="n">
        <v>0.9047027498</v>
      </c>
      <c r="F2738" t="n">
        <v>5.212939753</v>
      </c>
      <c r="G2738" t="n">
        <v>4.028687042</v>
      </c>
      <c r="H2738" t="n">
        <v>3.232463856</v>
      </c>
    </row>
    <row r="2739">
      <c r="A2739" t="inlineStr">
        <is>
          <t>PHL|mit.ic.b</t>
        </is>
      </c>
      <c r="B2739" t="inlineStr">
        <is>
          <t>PHL</t>
        </is>
      </c>
      <c r="C2739" t="inlineStr">
        <is>
          <t>mit.ic.b</t>
        </is>
      </c>
      <c r="D2739" t="n">
        <v>0</v>
      </c>
      <c r="E2739" t="n">
        <v>0.1775743069</v>
      </c>
      <c r="F2739" t="n">
        <v>0.4668521719</v>
      </c>
      <c r="G2739" t="n">
        <v>-5.751037893</v>
      </c>
      <c r="H2739" t="n">
        <v>-13.0236636</v>
      </c>
    </row>
    <row r="2740">
      <c r="A2740" t="inlineStr">
        <is>
          <t>PLW|mit.ic.b</t>
        </is>
      </c>
      <c r="B2740" t="inlineStr">
        <is>
          <t>PLW</t>
        </is>
      </c>
      <c r="C2740" t="inlineStr">
        <is>
          <t>mit.ic.b</t>
        </is>
      </c>
      <c r="D2740" t="n">
        <v>0</v>
      </c>
      <c r="E2740" t="n">
        <v>0.003921453118</v>
      </c>
      <c r="F2740" t="n">
        <v>0.02259819962</v>
      </c>
      <c r="G2740" t="n">
        <v>0.04281597514</v>
      </c>
      <c r="H2740" t="n">
        <v>0.06462288970000001</v>
      </c>
    </row>
    <row r="2741">
      <c r="A2741" t="inlineStr">
        <is>
          <t>PNG|mit.ic.b</t>
        </is>
      </c>
      <c r="B2741" t="inlineStr">
        <is>
          <t>PNG</t>
        </is>
      </c>
      <c r="C2741" t="inlineStr">
        <is>
          <t>mit.ic.b</t>
        </is>
      </c>
      <c r="D2741" t="n">
        <v>0</v>
      </c>
      <c r="E2741" t="n">
        <v>0.2896948912</v>
      </c>
      <c r="F2741" t="n">
        <v>1.695108816</v>
      </c>
      <c r="G2741" t="n">
        <v>1.326888537</v>
      </c>
      <c r="H2741" t="n">
        <v>0.8113988245</v>
      </c>
    </row>
    <row r="2742">
      <c r="A2742" t="inlineStr">
        <is>
          <t>POL|mit.ic.b</t>
        </is>
      </c>
      <c r="B2742" t="inlineStr">
        <is>
          <t>POL</t>
        </is>
      </c>
      <c r="C2742" t="inlineStr">
        <is>
          <t>mit.ic.b</t>
        </is>
      </c>
      <c r="D2742" t="n">
        <v>0</v>
      </c>
      <c r="E2742" t="n">
        <v>0.3134352938</v>
      </c>
      <c r="F2742" t="n">
        <v>0.9234136024</v>
      </c>
      <c r="G2742" t="n">
        <v>-6.745255608</v>
      </c>
      <c r="H2742" t="n">
        <v>-11.14102174</v>
      </c>
    </row>
    <row r="2743">
      <c r="A2743" t="inlineStr">
        <is>
          <t>PRI|mit.ic.b</t>
        </is>
      </c>
      <c r="B2743" t="inlineStr">
        <is>
          <t>PRI</t>
        </is>
      </c>
      <c r="C2743" t="inlineStr">
        <is>
          <t>mit.ic.b</t>
        </is>
      </c>
      <c r="D2743" t="n">
        <v>0</v>
      </c>
      <c r="E2743" t="n">
        <v>0.04175325045</v>
      </c>
      <c r="F2743" t="n">
        <v>0.2116103277</v>
      </c>
      <c r="G2743" t="n">
        <v>0.1015705221</v>
      </c>
      <c r="H2743" t="n">
        <v>0.2189110872</v>
      </c>
    </row>
    <row r="2744">
      <c r="A2744" t="inlineStr">
        <is>
          <t>PRT|mit.ic.b</t>
        </is>
      </c>
      <c r="B2744" t="inlineStr">
        <is>
          <t>PRT</t>
        </is>
      </c>
      <c r="C2744" t="inlineStr">
        <is>
          <t>mit.ic.b</t>
        </is>
      </c>
      <c r="D2744" t="n">
        <v>0</v>
      </c>
      <c r="E2744" t="n">
        <v>0.06988685202</v>
      </c>
      <c r="F2744" t="n">
        <v>0.2843050867</v>
      </c>
      <c r="G2744" t="n">
        <v>-0.5117148436</v>
      </c>
      <c r="H2744" t="n">
        <v>-0.5583855054</v>
      </c>
    </row>
    <row r="2745">
      <c r="A2745" t="inlineStr">
        <is>
          <t>PRY|mit.ic.b</t>
        </is>
      </c>
      <c r="B2745" t="inlineStr">
        <is>
          <t>PRY</t>
        </is>
      </c>
      <c r="C2745" t="inlineStr">
        <is>
          <t>mit.ic.b</t>
        </is>
      </c>
      <c r="D2745" t="n">
        <v>0</v>
      </c>
      <c r="E2745" t="n">
        <v>0.4453363588</v>
      </c>
      <c r="F2745" t="n">
        <v>2.557831728</v>
      </c>
      <c r="G2745" t="n">
        <v>2.129209595</v>
      </c>
      <c r="H2745" t="n">
        <v>1.809077281</v>
      </c>
    </row>
    <row r="2746">
      <c r="A2746" t="inlineStr">
        <is>
          <t>QAT|mit.ic.b</t>
        </is>
      </c>
      <c r="B2746" t="inlineStr">
        <is>
          <t>QAT</t>
        </is>
      </c>
      <c r="C2746" t="inlineStr">
        <is>
          <t>mit.ic.b</t>
        </is>
      </c>
      <c r="D2746" t="n">
        <v>0</v>
      </c>
      <c r="E2746" t="n">
        <v>0.7141151144</v>
      </c>
      <c r="F2746" t="n">
        <v>3.430736794</v>
      </c>
      <c r="G2746" t="n">
        <v>6.508275128</v>
      </c>
      <c r="H2746" t="n">
        <v>10.14964727</v>
      </c>
    </row>
    <row r="2747">
      <c r="A2747" t="inlineStr">
        <is>
          <t>ROU|mit.ic.b</t>
        </is>
      </c>
      <c r="B2747" t="inlineStr">
        <is>
          <t>ROU</t>
        </is>
      </c>
      <c r="C2747" t="inlineStr">
        <is>
          <t>mit.ic.b</t>
        </is>
      </c>
      <c r="D2747" t="n">
        <v>0</v>
      </c>
      <c r="E2747" t="n">
        <v>0.1765023122</v>
      </c>
      <c r="F2747" t="n">
        <v>0.8742119652</v>
      </c>
      <c r="G2747" t="n">
        <v>-0.1047439169</v>
      </c>
      <c r="H2747" t="n">
        <v>-0.966623421</v>
      </c>
    </row>
    <row r="2748">
      <c r="A2748" t="inlineStr">
        <is>
          <t>RUS|mit.ic.b</t>
        </is>
      </c>
      <c r="B2748" t="inlineStr">
        <is>
          <t>RUS</t>
        </is>
      </c>
      <c r="C2748" t="inlineStr">
        <is>
          <t>mit.ic.b</t>
        </is>
      </c>
      <c r="D2748" t="n">
        <v>0</v>
      </c>
      <c r="E2748" t="n">
        <v>6.435653742</v>
      </c>
      <c r="F2748" t="n">
        <v>38.62791974</v>
      </c>
      <c r="G2748" t="n">
        <v>102.7634544</v>
      </c>
      <c r="H2748" t="n">
        <v>192.947297</v>
      </c>
    </row>
    <row r="2749">
      <c r="A2749" t="inlineStr">
        <is>
          <t>RWA|mit.ic.b</t>
        </is>
      </c>
      <c r="B2749" t="inlineStr">
        <is>
          <t>RWA</t>
        </is>
      </c>
      <c r="C2749" t="inlineStr">
        <is>
          <t>mit.ic.b</t>
        </is>
      </c>
      <c r="D2749" t="n">
        <v>0</v>
      </c>
      <c r="E2749" t="n">
        <v>0.02810133034</v>
      </c>
      <c r="F2749" t="n">
        <v>0.1542439549</v>
      </c>
      <c r="G2749" t="n">
        <v>0.03054240636</v>
      </c>
      <c r="H2749" t="n">
        <v>-0.1441577267</v>
      </c>
    </row>
    <row r="2750">
      <c r="A2750" t="inlineStr">
        <is>
          <t>SAU|mit.ic.b</t>
        </is>
      </c>
      <c r="B2750" t="inlineStr">
        <is>
          <t>SAU</t>
        </is>
      </c>
      <c r="C2750" t="inlineStr">
        <is>
          <t>mit.ic.b</t>
        </is>
      </c>
      <c r="D2750" t="n">
        <v>0</v>
      </c>
      <c r="E2750" t="n">
        <v>0.3584526091</v>
      </c>
      <c r="F2750" t="n">
        <v>-0.2338129702</v>
      </c>
      <c r="G2750" t="n">
        <v>-22.5167816</v>
      </c>
      <c r="H2750" t="n">
        <v>-36.57347546</v>
      </c>
    </row>
    <row r="2751">
      <c r="A2751" t="inlineStr">
        <is>
          <t>SDN|mit.ic.b</t>
        </is>
      </c>
      <c r="B2751" t="inlineStr">
        <is>
          <t>SDN</t>
        </is>
      </c>
      <c r="C2751" t="inlineStr">
        <is>
          <t>mit.ic.b</t>
        </is>
      </c>
      <c r="D2751" t="n">
        <v>0</v>
      </c>
      <c r="E2751" t="n">
        <v>0.4794148845</v>
      </c>
      <c r="F2751" t="n">
        <v>2.720080236</v>
      </c>
      <c r="G2751" t="n">
        <v>2.399427865</v>
      </c>
      <c r="H2751" t="n">
        <v>1.969880372</v>
      </c>
    </row>
    <row r="2752">
      <c r="A2752" t="inlineStr">
        <is>
          <t>SEN|mit.ic.b</t>
        </is>
      </c>
      <c r="B2752" t="inlineStr">
        <is>
          <t>SEN</t>
        </is>
      </c>
      <c r="C2752" t="inlineStr">
        <is>
          <t>mit.ic.b</t>
        </is>
      </c>
      <c r="D2752" t="n">
        <v>0</v>
      </c>
      <c r="E2752" t="n">
        <v>0.05927160981</v>
      </c>
      <c r="F2752" t="n">
        <v>0.2636222521</v>
      </c>
      <c r="G2752" t="n">
        <v>-0.877948832</v>
      </c>
      <c r="H2752" t="n">
        <v>-2.401965151</v>
      </c>
    </row>
    <row r="2753">
      <c r="A2753" t="inlineStr">
        <is>
          <t>SGP|mit.ic.b</t>
        </is>
      </c>
      <c r="B2753" t="inlineStr">
        <is>
          <t>SGP</t>
        </is>
      </c>
      <c r="C2753" t="inlineStr">
        <is>
          <t>mit.ic.b</t>
        </is>
      </c>
      <c r="D2753" t="n">
        <v>0</v>
      </c>
      <c r="E2753" t="n">
        <v>-0.8169143268</v>
      </c>
      <c r="F2753" t="n">
        <v>-6.150678628</v>
      </c>
      <c r="G2753" t="n">
        <v>-13.93713561</v>
      </c>
      <c r="H2753" t="n">
        <v>-13.44937215</v>
      </c>
    </row>
    <row r="2754">
      <c r="A2754" t="inlineStr">
        <is>
          <t>SLB|mit.ic.b</t>
        </is>
      </c>
      <c r="B2754" t="inlineStr">
        <is>
          <t>SLB</t>
        </is>
      </c>
      <c r="C2754" t="inlineStr">
        <is>
          <t>mit.ic.b</t>
        </is>
      </c>
      <c r="D2754" t="n">
        <v>0</v>
      </c>
      <c r="E2754" t="n">
        <v>0.3612360291</v>
      </c>
      <c r="F2754" t="n">
        <v>2.166516586</v>
      </c>
      <c r="G2754" t="n">
        <v>2.148528831</v>
      </c>
      <c r="H2754" t="n">
        <v>2.125240133</v>
      </c>
    </row>
    <row r="2755">
      <c r="A2755" t="inlineStr">
        <is>
          <t>SLE|mit.ic.b</t>
        </is>
      </c>
      <c r="B2755" t="inlineStr">
        <is>
          <t>SLE</t>
        </is>
      </c>
      <c r="C2755" t="inlineStr">
        <is>
          <t>mit.ic.b</t>
        </is>
      </c>
      <c r="D2755" t="n">
        <v>0</v>
      </c>
      <c r="E2755" t="n">
        <v>0.03756672664</v>
      </c>
      <c r="F2755" t="n">
        <v>0.2076679321</v>
      </c>
      <c r="G2755" t="n">
        <v>0.03801534017</v>
      </c>
      <c r="H2755" t="n">
        <v>-0.2180101007</v>
      </c>
    </row>
    <row r="2756">
      <c r="A2756" t="inlineStr">
        <is>
          <t>SLV|mit.ic.b</t>
        </is>
      </c>
      <c r="B2756" t="inlineStr">
        <is>
          <t>SLV</t>
        </is>
      </c>
      <c r="C2756" t="inlineStr">
        <is>
          <t>mit.ic.b</t>
        </is>
      </c>
      <c r="D2756" t="n">
        <v>0</v>
      </c>
      <c r="E2756" t="n">
        <v>0.01480491803</v>
      </c>
      <c r="F2756" t="n">
        <v>0.03916104</v>
      </c>
      <c r="G2756" t="n">
        <v>-0.6096733578</v>
      </c>
      <c r="H2756" t="n">
        <v>-1.390623703</v>
      </c>
    </row>
    <row r="2757">
      <c r="A2757" t="inlineStr">
        <is>
          <t>SOM|mit.ic.b</t>
        </is>
      </c>
      <c r="B2757" t="inlineStr">
        <is>
          <t>SOM</t>
        </is>
      </c>
      <c r="C2757" t="inlineStr">
        <is>
          <t>mit.ic.b</t>
        </is>
      </c>
      <c r="D2757" t="n">
        <v>0</v>
      </c>
      <c r="E2757" t="n">
        <v>0.2254021572</v>
      </c>
      <c r="F2757" t="n">
        <v>1.344653126</v>
      </c>
      <c r="G2757" t="n">
        <v>1.521865612</v>
      </c>
      <c r="H2757" t="n">
        <v>1.666628866</v>
      </c>
    </row>
    <row r="2758">
      <c r="A2758" t="inlineStr">
        <is>
          <t>SRB|mit.ic.b</t>
        </is>
      </c>
      <c r="B2758" t="inlineStr">
        <is>
          <t>SRB</t>
        </is>
      </c>
      <c r="C2758" t="inlineStr">
        <is>
          <t>mit.ic.b</t>
        </is>
      </c>
      <c r="D2758" t="n">
        <v>0</v>
      </c>
      <c r="E2758" t="n">
        <v>0.1085673329</v>
      </c>
      <c r="F2758" t="n">
        <v>0.6207930283999999</v>
      </c>
      <c r="G2758" t="n">
        <v>1.150926006</v>
      </c>
      <c r="H2758" t="n">
        <v>2.015289155</v>
      </c>
    </row>
    <row r="2759">
      <c r="A2759" t="inlineStr">
        <is>
          <t>STP|mit.ic.b</t>
        </is>
      </c>
      <c r="B2759" t="inlineStr">
        <is>
          <t>STP</t>
        </is>
      </c>
      <c r="C2759" t="inlineStr">
        <is>
          <t>mit.ic.b</t>
        </is>
      </c>
      <c r="D2759" t="n">
        <v>0</v>
      </c>
      <c r="E2759" t="n">
        <v>0.002607421577</v>
      </c>
      <c r="F2759" t="n">
        <v>0.01464160513</v>
      </c>
      <c r="G2759" t="n">
        <v>0.00957452607</v>
      </c>
      <c r="H2759" t="n">
        <v>0.0007548219567</v>
      </c>
    </row>
    <row r="2760">
      <c r="A2760" t="inlineStr">
        <is>
          <t>SUR|mit.ic.b</t>
        </is>
      </c>
      <c r="B2760" t="inlineStr">
        <is>
          <t>SUR</t>
        </is>
      </c>
      <c r="C2760" t="inlineStr">
        <is>
          <t>mit.ic.b</t>
        </is>
      </c>
      <c r="D2760" t="n">
        <v>0</v>
      </c>
      <c r="E2760" t="n">
        <v>0.07955405090000001</v>
      </c>
      <c r="F2760" t="n">
        <v>0.4621040107</v>
      </c>
      <c r="G2760" t="n">
        <v>0.3490564533</v>
      </c>
      <c r="H2760" t="n">
        <v>0.2141289301</v>
      </c>
    </row>
    <row r="2761">
      <c r="A2761" t="inlineStr">
        <is>
          <t>SVK|mit.ic.b</t>
        </is>
      </c>
      <c r="B2761" t="inlineStr">
        <is>
          <t>SVK</t>
        </is>
      </c>
      <c r="C2761" t="inlineStr">
        <is>
          <t>mit.ic.b</t>
        </is>
      </c>
      <c r="D2761" t="n">
        <v>0</v>
      </c>
      <c r="E2761" t="n">
        <v>0.03632364051</v>
      </c>
      <c r="F2761" t="n">
        <v>0.1472629655</v>
      </c>
      <c r="G2761" t="n">
        <v>0.06601472804</v>
      </c>
      <c r="H2761" t="n">
        <v>0.3621171488</v>
      </c>
    </row>
    <row r="2762">
      <c r="A2762" t="inlineStr">
        <is>
          <t>SVN|mit.ic.b</t>
        </is>
      </c>
      <c r="B2762" t="inlineStr">
        <is>
          <t>SVN</t>
        </is>
      </c>
      <c r="C2762" t="inlineStr">
        <is>
          <t>mit.ic.b</t>
        </is>
      </c>
      <c r="D2762" t="n">
        <v>0</v>
      </c>
      <c r="E2762" t="n">
        <v>0.01383498981</v>
      </c>
      <c r="F2762" t="n">
        <v>0.04734447481</v>
      </c>
      <c r="G2762" t="n">
        <v>-0.2334419807</v>
      </c>
      <c r="H2762" t="n">
        <v>-0.3039876838</v>
      </c>
    </row>
    <row r="2763">
      <c r="A2763" t="inlineStr">
        <is>
          <t>SWE|mit.ic.b</t>
        </is>
      </c>
      <c r="B2763" t="inlineStr">
        <is>
          <t>SWE</t>
        </is>
      </c>
      <c r="C2763" t="inlineStr">
        <is>
          <t>mit.ic.b</t>
        </is>
      </c>
      <c r="D2763" t="n">
        <v>0</v>
      </c>
      <c r="E2763" t="n">
        <v>0.1083832757</v>
      </c>
      <c r="F2763" t="n">
        <v>0.6349490042</v>
      </c>
      <c r="G2763" t="n">
        <v>0.7862074857</v>
      </c>
      <c r="H2763" t="n">
        <v>1.518873486</v>
      </c>
    </row>
    <row r="2764">
      <c r="A2764" t="inlineStr">
        <is>
          <t>SWZ|mit.ic.b</t>
        </is>
      </c>
      <c r="B2764" t="inlineStr">
        <is>
          <t>SWZ</t>
        </is>
      </c>
      <c r="C2764" t="inlineStr">
        <is>
          <t>mit.ic.b</t>
        </is>
      </c>
      <c r="D2764" t="n">
        <v>0</v>
      </c>
      <c r="E2764" t="n">
        <v>0.00520012062</v>
      </c>
      <c r="F2764" t="n">
        <v>0.02098776273</v>
      </c>
      <c r="G2764" t="n">
        <v>-0.07696603875999999</v>
      </c>
      <c r="H2764" t="n">
        <v>-0.1919350432</v>
      </c>
    </row>
    <row r="2765">
      <c r="A2765" t="inlineStr">
        <is>
          <t>SYC|mit.ic.b</t>
        </is>
      </c>
      <c r="B2765" t="inlineStr">
        <is>
          <t>SYC</t>
        </is>
      </c>
      <c r="C2765" t="inlineStr">
        <is>
          <t>mit.ic.b</t>
        </is>
      </c>
      <c r="D2765" t="n">
        <v>0</v>
      </c>
      <c r="E2765" t="n">
        <v>0.001391667038</v>
      </c>
      <c r="F2765" t="n">
        <v>0.002958745506</v>
      </c>
      <c r="G2765" t="n">
        <v>-0.03247558302</v>
      </c>
      <c r="H2765" t="n">
        <v>-0.06223756549</v>
      </c>
    </row>
    <row r="2766">
      <c r="A2766" t="inlineStr">
        <is>
          <t>SYR|mit.ic.b</t>
        </is>
      </c>
      <c r="B2766" t="inlineStr">
        <is>
          <t>SYR</t>
        </is>
      </c>
      <c r="C2766" t="inlineStr">
        <is>
          <t>mit.ic.b</t>
        </is>
      </c>
      <c r="D2766" t="n">
        <v>0</v>
      </c>
      <c r="E2766" t="n">
        <v>0.02607639394</v>
      </c>
      <c r="F2766" t="n">
        <v>0.06642019083</v>
      </c>
      <c r="G2766" t="n">
        <v>-1.1243103</v>
      </c>
      <c r="H2766" t="n">
        <v>-2.43651151</v>
      </c>
    </row>
    <row r="2767">
      <c r="A2767" t="inlineStr">
        <is>
          <t>TCD|mit.ic.b</t>
        </is>
      </c>
      <c r="B2767" t="inlineStr">
        <is>
          <t>TCD</t>
        </is>
      </c>
      <c r="C2767" t="inlineStr">
        <is>
          <t>mit.ic.b</t>
        </is>
      </c>
      <c r="D2767" t="n">
        <v>0</v>
      </c>
      <c r="E2767" t="n">
        <v>0.4350670703</v>
      </c>
      <c r="F2767" t="n">
        <v>2.595855275</v>
      </c>
      <c r="G2767" t="n">
        <v>3.203260443</v>
      </c>
      <c r="H2767" t="n">
        <v>3.672888279</v>
      </c>
    </row>
    <row r="2768">
      <c r="A2768" t="inlineStr">
        <is>
          <t>TGO|mit.ic.b</t>
        </is>
      </c>
      <c r="B2768" t="inlineStr">
        <is>
          <t>TGO</t>
        </is>
      </c>
      <c r="C2768" t="inlineStr">
        <is>
          <t>mit.ic.b</t>
        </is>
      </c>
      <c r="D2768" t="n">
        <v>0</v>
      </c>
      <c r="E2768" t="n">
        <v>0.02705097259</v>
      </c>
      <c r="F2768" t="n">
        <v>0.1426260179</v>
      </c>
      <c r="G2768" t="n">
        <v>-0.06477407826000001</v>
      </c>
      <c r="H2768" t="n">
        <v>-0.2995952823</v>
      </c>
    </row>
    <row r="2769">
      <c r="A2769" t="inlineStr">
        <is>
          <t>THA|mit.ic.b</t>
        </is>
      </c>
      <c r="B2769" t="inlineStr">
        <is>
          <t>THA</t>
        </is>
      </c>
      <c r="C2769" t="inlineStr">
        <is>
          <t>mit.ic.b</t>
        </is>
      </c>
      <c r="D2769" t="n">
        <v>0</v>
      </c>
      <c r="E2769" t="n">
        <v>0.4840241723</v>
      </c>
      <c r="F2769" t="n">
        <v>1.804262774</v>
      </c>
      <c r="G2769" t="n">
        <v>-7.824686494</v>
      </c>
      <c r="H2769" t="n">
        <v>-17.58956564</v>
      </c>
    </row>
    <row r="2770">
      <c r="A2770" t="inlineStr">
        <is>
          <t>TJK|mit.ic.b</t>
        </is>
      </c>
      <c r="B2770" t="inlineStr">
        <is>
          <t>TJK</t>
        </is>
      </c>
      <c r="C2770" t="inlineStr">
        <is>
          <t>mit.ic.b</t>
        </is>
      </c>
      <c r="D2770" t="n">
        <v>0</v>
      </c>
      <c r="E2770" t="n">
        <v>0.06301309285999999</v>
      </c>
      <c r="F2770" t="n">
        <v>0.2866733869</v>
      </c>
      <c r="G2770" t="n">
        <v>0.3349341211</v>
      </c>
      <c r="H2770" t="n">
        <v>0.3440934321</v>
      </c>
    </row>
    <row r="2771">
      <c r="A2771" t="inlineStr">
        <is>
          <t>TKM|mit.ic.b</t>
        </is>
      </c>
      <c r="B2771" t="inlineStr">
        <is>
          <t>TKM</t>
        </is>
      </c>
      <c r="C2771" t="inlineStr">
        <is>
          <t>mit.ic.b</t>
        </is>
      </c>
      <c r="D2771" t="n">
        <v>0</v>
      </c>
      <c r="E2771" t="n">
        <v>0.7567670571</v>
      </c>
      <c r="F2771" t="n">
        <v>4.078541823</v>
      </c>
      <c r="G2771" t="n">
        <v>6.731383403</v>
      </c>
      <c r="H2771" t="n">
        <v>8.644308547</v>
      </c>
    </row>
    <row r="2772">
      <c r="A2772" t="inlineStr">
        <is>
          <t>TLS|mit.ic.b</t>
        </is>
      </c>
      <c r="B2772" t="inlineStr">
        <is>
          <t>TLS</t>
        </is>
      </c>
      <c r="C2772" t="inlineStr">
        <is>
          <t>mit.ic.b</t>
        </is>
      </c>
      <c r="D2772" t="n">
        <v>0</v>
      </c>
      <c r="E2772" t="n">
        <v>0.01038743885</v>
      </c>
      <c r="F2772" t="n">
        <v>0.05238690805</v>
      </c>
      <c r="G2772" t="n">
        <v>-0.03672653193</v>
      </c>
      <c r="H2772" t="n">
        <v>-0.1801198219</v>
      </c>
    </row>
    <row r="2773">
      <c r="A2773" t="inlineStr">
        <is>
          <t>TON|mit.ic.b</t>
        </is>
      </c>
      <c r="B2773" t="inlineStr">
        <is>
          <t>TON</t>
        </is>
      </c>
      <c r="C2773" t="inlineStr">
        <is>
          <t>mit.ic.b</t>
        </is>
      </c>
      <c r="D2773" t="n">
        <v>0</v>
      </c>
      <c r="E2773" t="n">
        <v>0.000325702353</v>
      </c>
      <c r="F2773" t="n">
        <v>0.001125489782</v>
      </c>
      <c r="G2773" t="n">
        <v>-0.01336101499</v>
      </c>
      <c r="H2773" t="n">
        <v>-0.02978094774</v>
      </c>
    </row>
    <row r="2774">
      <c r="A2774" t="inlineStr">
        <is>
          <t>TTO|mit.ic.b</t>
        </is>
      </c>
      <c r="B2774" t="inlineStr">
        <is>
          <t>TTO</t>
        </is>
      </c>
      <c r="C2774" t="inlineStr">
        <is>
          <t>mit.ic.b</t>
        </is>
      </c>
      <c r="D2774" t="n">
        <v>0</v>
      </c>
      <c r="E2774" t="n">
        <v>0.1075330466</v>
      </c>
      <c r="F2774" t="n">
        <v>0.5899105617</v>
      </c>
      <c r="G2774" t="n">
        <v>0.960813028</v>
      </c>
      <c r="H2774" t="n">
        <v>1.41316555</v>
      </c>
    </row>
    <row r="2775">
      <c r="A2775" t="inlineStr">
        <is>
          <t>TUN|mit.ic.b</t>
        </is>
      </c>
      <c r="B2775" t="inlineStr">
        <is>
          <t>TUN</t>
        </is>
      </c>
      <c r="C2775" t="inlineStr">
        <is>
          <t>mit.ic.b</t>
        </is>
      </c>
      <c r="D2775" t="n">
        <v>0</v>
      </c>
      <c r="E2775" t="n">
        <v>0.05632537539</v>
      </c>
      <c r="F2775" t="n">
        <v>0.2505061955</v>
      </c>
      <c r="G2775" t="n">
        <v>-0.2272753976</v>
      </c>
      <c r="H2775" t="n">
        <v>-0.6217664357</v>
      </c>
    </row>
    <row r="2776">
      <c r="A2776" t="inlineStr">
        <is>
          <t>TUR|mit.ic.b</t>
        </is>
      </c>
      <c r="B2776" t="inlineStr">
        <is>
          <t>TUR</t>
        </is>
      </c>
      <c r="C2776" t="inlineStr">
        <is>
          <t>mit.ic.b</t>
        </is>
      </c>
      <c r="D2776" t="n">
        <v>0</v>
      </c>
      <c r="E2776" t="n">
        <v>0.6336246564</v>
      </c>
      <c r="F2776" t="n">
        <v>2.847316785</v>
      </c>
      <c r="G2776" t="n">
        <v>-2.72665493</v>
      </c>
      <c r="H2776" t="n">
        <v>-6.997081796</v>
      </c>
    </row>
    <row r="2777">
      <c r="A2777" t="inlineStr">
        <is>
          <t>TZA|mit.ic.b</t>
        </is>
      </c>
      <c r="B2777" t="inlineStr">
        <is>
          <t>TZA</t>
        </is>
      </c>
      <c r="C2777" t="inlineStr">
        <is>
          <t>mit.ic.b</t>
        </is>
      </c>
      <c r="D2777" t="n">
        <v>0</v>
      </c>
      <c r="E2777" t="n">
        <v>0.7263788729</v>
      </c>
      <c r="F2777" t="n">
        <v>4.2214245</v>
      </c>
      <c r="G2777" t="n">
        <v>3.137404403</v>
      </c>
      <c r="H2777" t="n">
        <v>1.768080882</v>
      </c>
    </row>
    <row r="2778">
      <c r="A2778" t="inlineStr">
        <is>
          <t>UGA|mit.ic.b</t>
        </is>
      </c>
      <c r="B2778" t="inlineStr">
        <is>
          <t>UGA</t>
        </is>
      </c>
      <c r="C2778" t="inlineStr">
        <is>
          <t>mit.ic.b</t>
        </is>
      </c>
      <c r="D2778" t="n">
        <v>0</v>
      </c>
      <c r="E2778" t="n">
        <v>0.2436050078</v>
      </c>
      <c r="F2778" t="n">
        <v>1.419113433</v>
      </c>
      <c r="G2778" t="n">
        <v>1.189508689</v>
      </c>
      <c r="H2778" t="n">
        <v>0.8112265849</v>
      </c>
    </row>
    <row r="2779">
      <c r="A2779" t="inlineStr">
        <is>
          <t>UKR|mit.ic.b</t>
        </is>
      </c>
      <c r="B2779" t="inlineStr">
        <is>
          <t>UKR</t>
        </is>
      </c>
      <c r="C2779" t="inlineStr">
        <is>
          <t>mit.ic.b</t>
        </is>
      </c>
      <c r="D2779" t="n">
        <v>0</v>
      </c>
      <c r="E2779" t="n">
        <v>0.7742275403</v>
      </c>
      <c r="F2779" t="n">
        <v>4.69315515</v>
      </c>
      <c r="G2779" t="n">
        <v>10.43135708</v>
      </c>
      <c r="H2779" t="n">
        <v>17.90345759</v>
      </c>
    </row>
    <row r="2780">
      <c r="A2780" t="inlineStr">
        <is>
          <t>URY|mit.ic.b</t>
        </is>
      </c>
      <c r="B2780" t="inlineStr">
        <is>
          <t>URY</t>
        </is>
      </c>
      <c r="C2780" t="inlineStr">
        <is>
          <t>mit.ic.b</t>
        </is>
      </c>
      <c r="D2780" t="n">
        <v>0</v>
      </c>
      <c r="E2780" t="n">
        <v>0.09027456481</v>
      </c>
      <c r="F2780" t="n">
        <v>0.5145783602</v>
      </c>
      <c r="G2780" t="n">
        <v>0.4610889801</v>
      </c>
      <c r="H2780" t="n">
        <v>0.4665499989</v>
      </c>
    </row>
    <row r="2781">
      <c r="A2781" t="inlineStr">
        <is>
          <t>USA|mit.ic.b</t>
        </is>
      </c>
      <c r="B2781" t="inlineStr">
        <is>
          <t>USA</t>
        </is>
      </c>
      <c r="C2781" t="inlineStr">
        <is>
          <t>mit.ic.b</t>
        </is>
      </c>
      <c r="D2781" t="n">
        <v>0</v>
      </c>
      <c r="E2781" t="n">
        <v>14.96707427</v>
      </c>
      <c r="F2781" t="n">
        <v>102.7929351</v>
      </c>
      <c r="G2781" t="n">
        <v>199.168886</v>
      </c>
      <c r="H2781" t="n">
        <v>281.4046657</v>
      </c>
    </row>
    <row r="2782">
      <c r="A2782" t="inlineStr">
        <is>
          <t>UZB|mit.ic.b</t>
        </is>
      </c>
      <c r="B2782" t="inlineStr">
        <is>
          <t>UZB</t>
        </is>
      </c>
      <c r="C2782" t="inlineStr">
        <is>
          <t>mit.ic.b</t>
        </is>
      </c>
      <c r="D2782" t="n">
        <v>0</v>
      </c>
      <c r="E2782" t="n">
        <v>0.5789626234</v>
      </c>
      <c r="F2782" t="n">
        <v>2.932500136</v>
      </c>
      <c r="G2782" t="n">
        <v>1.379228181</v>
      </c>
      <c r="H2782" t="n">
        <v>-0.9438390891</v>
      </c>
    </row>
    <row r="2783">
      <c r="A2783" t="inlineStr">
        <is>
          <t>VCT|mit.ic.b</t>
        </is>
      </c>
      <c r="B2783" t="inlineStr">
        <is>
          <t>VCT</t>
        </is>
      </c>
      <c r="C2783" t="inlineStr">
        <is>
          <t>mit.ic.b</t>
        </is>
      </c>
      <c r="D2783" t="n">
        <v>0</v>
      </c>
      <c r="E2783" t="n">
        <v>0.0001073309054</v>
      </c>
      <c r="F2783" t="n">
        <v>-0.001689310542</v>
      </c>
      <c r="G2783" t="n">
        <v>-0.02880011085</v>
      </c>
      <c r="H2783" t="n">
        <v>-0.05993415825</v>
      </c>
    </row>
    <row r="2784">
      <c r="A2784" t="inlineStr">
        <is>
          <t>VEN|mit.ic.b</t>
        </is>
      </c>
      <c r="B2784" t="inlineStr">
        <is>
          <t>VEN</t>
        </is>
      </c>
      <c r="C2784" t="inlineStr">
        <is>
          <t>mit.ic.b</t>
        </is>
      </c>
      <c r="D2784" t="n">
        <v>0</v>
      </c>
      <c r="E2784" t="n">
        <v>0.8189337896</v>
      </c>
      <c r="F2784" t="n">
        <v>4.842209868</v>
      </c>
      <c r="G2784" t="n">
        <v>7.408296932</v>
      </c>
      <c r="H2784" t="n">
        <v>10.30710376</v>
      </c>
    </row>
    <row r="2785">
      <c r="A2785" t="inlineStr">
        <is>
          <t>VNM|mit.ic.b</t>
        </is>
      </c>
      <c r="B2785" t="inlineStr">
        <is>
          <t>VNM</t>
        </is>
      </c>
      <c r="C2785" t="inlineStr">
        <is>
          <t>mit.ic.b</t>
        </is>
      </c>
      <c r="D2785" t="n">
        <v>0</v>
      </c>
      <c r="E2785" t="n">
        <v>0.3739192863</v>
      </c>
      <c r="F2785" t="n">
        <v>1.525858292</v>
      </c>
      <c r="G2785" t="n">
        <v>-4.329802311</v>
      </c>
      <c r="H2785" t="n">
        <v>-10.67132796</v>
      </c>
    </row>
    <row r="2786">
      <c r="A2786" t="inlineStr">
        <is>
          <t>VUT|mit.ic.b</t>
        </is>
      </c>
      <c r="B2786" t="inlineStr">
        <is>
          <t>VUT</t>
        </is>
      </c>
      <c r="C2786" t="inlineStr">
        <is>
          <t>mit.ic.b</t>
        </is>
      </c>
      <c r="D2786" t="n">
        <v>0</v>
      </c>
      <c r="E2786" t="n">
        <v>0.001243829256</v>
      </c>
      <c r="F2786" t="n">
        <v>0.00717067911</v>
      </c>
      <c r="G2786" t="n">
        <v>-0.01289873427</v>
      </c>
      <c r="H2786" t="n">
        <v>-0.03847213635</v>
      </c>
    </row>
    <row r="2787">
      <c r="A2787" t="inlineStr">
        <is>
          <t>WSM|mit.ic.b</t>
        </is>
      </c>
      <c r="B2787" t="inlineStr">
        <is>
          <t>WSM</t>
        </is>
      </c>
      <c r="C2787" t="inlineStr">
        <is>
          <t>mit.ic.b</t>
        </is>
      </c>
      <c r="D2787" t="n">
        <v>0</v>
      </c>
      <c r="E2787" t="n">
        <v>0.001510490293</v>
      </c>
      <c r="F2787" t="n">
        <v>0.007401241861</v>
      </c>
      <c r="G2787" t="n">
        <v>-0.01675806316</v>
      </c>
      <c r="H2787" t="n">
        <v>-0.04352121939</v>
      </c>
    </row>
    <row r="2788">
      <c r="A2788" t="inlineStr">
        <is>
          <t>XKX|mit.ic.b</t>
        </is>
      </c>
      <c r="B2788" t="inlineStr">
        <is>
          <t>XKX</t>
        </is>
      </c>
      <c r="C2788" t="inlineStr">
        <is>
          <t>mit.ic.b</t>
        </is>
      </c>
      <c r="D2788" t="n">
        <v>0</v>
      </c>
      <c r="E2788" t="n">
        <v>-0.002848070348</v>
      </c>
      <c r="F2788" t="n">
        <v>-0.03558216156</v>
      </c>
      <c r="G2788" t="n">
        <v>-0.2405961032</v>
      </c>
      <c r="H2788" t="n">
        <v>-0.4409620364</v>
      </c>
    </row>
    <row r="2789">
      <c r="A2789" t="inlineStr">
        <is>
          <t>YEM|mit.ic.b</t>
        </is>
      </c>
      <c r="B2789" t="inlineStr">
        <is>
          <t>YEM</t>
        </is>
      </c>
      <c r="C2789" t="inlineStr">
        <is>
          <t>mit.ic.b</t>
        </is>
      </c>
      <c r="D2789" t="n">
        <v>0</v>
      </c>
      <c r="E2789" t="n">
        <v>0.08511105714</v>
      </c>
      <c r="F2789" t="n">
        <v>0.428951899</v>
      </c>
      <c r="G2789" t="n">
        <v>-0.05779328431</v>
      </c>
      <c r="H2789" t="n">
        <v>-1.016681641</v>
      </c>
    </row>
    <row r="2790">
      <c r="A2790" t="inlineStr">
        <is>
          <t>ZAF|mit.ic.b</t>
        </is>
      </c>
      <c r="B2790" t="inlineStr">
        <is>
          <t>ZAF</t>
        </is>
      </c>
      <c r="C2790" t="inlineStr">
        <is>
          <t>mit.ic.b</t>
        </is>
      </c>
      <c r="D2790" t="n">
        <v>0</v>
      </c>
      <c r="E2790" t="n">
        <v>0.8088028651</v>
      </c>
      <c r="F2790" t="n">
        <v>4.346065506</v>
      </c>
      <c r="G2790" t="n">
        <v>5.523003053</v>
      </c>
      <c r="H2790" t="n">
        <v>8.539262352</v>
      </c>
    </row>
    <row r="2791">
      <c r="A2791" t="inlineStr">
        <is>
          <t>ZMB|mit.ic.b</t>
        </is>
      </c>
      <c r="B2791" t="inlineStr">
        <is>
          <t>ZMB</t>
        </is>
      </c>
      <c r="C2791" t="inlineStr">
        <is>
          <t>mit.ic.b</t>
        </is>
      </c>
      <c r="D2791" t="n">
        <v>0</v>
      </c>
      <c r="E2791" t="n">
        <v>0.4702835356</v>
      </c>
      <c r="F2791" t="n">
        <v>2.792534338</v>
      </c>
      <c r="G2791" t="n">
        <v>2.73524049</v>
      </c>
      <c r="H2791" t="n">
        <v>2.669893873</v>
      </c>
    </row>
    <row r="2792">
      <c r="A2792" t="inlineStr">
        <is>
          <t>ZWE|mit.ic.b</t>
        </is>
      </c>
      <c r="B2792" t="inlineStr">
        <is>
          <t>ZWE</t>
        </is>
      </c>
      <c r="C2792" t="inlineStr">
        <is>
          <t>mit.ic.b</t>
        </is>
      </c>
      <c r="D2792" t="n">
        <v>0</v>
      </c>
      <c r="E2792" t="n">
        <v>0.7470251185</v>
      </c>
      <c r="F2792" t="n">
        <v>4.468382808</v>
      </c>
      <c r="G2792" t="n">
        <v>4.542512353</v>
      </c>
      <c r="H2792" t="n">
        <v>4.632874093</v>
      </c>
    </row>
    <row r="2793">
      <c r="A2793" t="inlineStr">
        <is>
          <t>ABW|mit.ic.c</t>
        </is>
      </c>
      <c r="B2793" t="inlineStr">
        <is>
          <t>ABW</t>
        </is>
      </c>
      <c r="C2793" t="inlineStr">
        <is>
          <t>mit.ic.c</t>
        </is>
      </c>
      <c r="D2793" t="n">
        <v>0</v>
      </c>
      <c r="E2793" t="n">
        <v>0.002741610151</v>
      </c>
      <c r="F2793" t="n">
        <v>0.00757065029</v>
      </c>
      <c r="G2793" t="n">
        <v>-0.05097313154</v>
      </c>
      <c r="H2793" t="n">
        <v>-0.1046264065</v>
      </c>
    </row>
    <row r="2794">
      <c r="A2794" t="inlineStr">
        <is>
          <t>AFG|mit.ic.c</t>
        </is>
      </c>
      <c r="B2794" t="inlineStr">
        <is>
          <t>AFG</t>
        </is>
      </c>
      <c r="C2794" t="inlineStr">
        <is>
          <t>mit.ic.c</t>
        </is>
      </c>
      <c r="D2794" t="n">
        <v>0</v>
      </c>
      <c r="E2794" t="n">
        <v>0.04309690718</v>
      </c>
      <c r="F2794" t="n">
        <v>0.1823384217</v>
      </c>
      <c r="G2794" t="n">
        <v>-0.554981853</v>
      </c>
      <c r="H2794" t="n">
        <v>-1.563303456</v>
      </c>
    </row>
    <row r="2795">
      <c r="A2795" t="inlineStr">
        <is>
          <t>AGO|mit.ic.c</t>
        </is>
      </c>
      <c r="B2795" t="inlineStr">
        <is>
          <t>AGO</t>
        </is>
      </c>
      <c r="C2795" t="inlineStr">
        <is>
          <t>mit.ic.c</t>
        </is>
      </c>
      <c r="D2795" t="n">
        <v>0</v>
      </c>
      <c r="E2795" t="n">
        <v>0.4450309647</v>
      </c>
      <c r="F2795" t="n">
        <v>2.550043262</v>
      </c>
      <c r="G2795" t="n">
        <v>1.382706378</v>
      </c>
      <c r="H2795" t="n">
        <v>-0.1446324991</v>
      </c>
    </row>
    <row r="2796">
      <c r="A2796" t="inlineStr">
        <is>
          <t>ALB|mit.ic.c</t>
        </is>
      </c>
      <c r="B2796" t="inlineStr">
        <is>
          <t>ALB</t>
        </is>
      </c>
      <c r="C2796" t="inlineStr">
        <is>
          <t>mit.ic.c</t>
        </is>
      </c>
      <c r="D2796" t="n">
        <v>0</v>
      </c>
      <c r="E2796" t="n">
        <v>0.004712515348</v>
      </c>
      <c r="F2796" t="n">
        <v>-0.005073987981</v>
      </c>
      <c r="G2796" t="n">
        <v>-0.3165025002</v>
      </c>
      <c r="H2796" t="n">
        <v>-0.6470170336</v>
      </c>
    </row>
    <row r="2797">
      <c r="A2797" t="inlineStr">
        <is>
          <t>ARE|mit.ic.c</t>
        </is>
      </c>
      <c r="B2797" t="inlineStr">
        <is>
          <t>ARE</t>
        </is>
      </c>
      <c r="C2797" t="inlineStr">
        <is>
          <t>mit.ic.c</t>
        </is>
      </c>
      <c r="D2797" t="n">
        <v>0</v>
      </c>
      <c r="E2797" t="n">
        <v>0.8563938073</v>
      </c>
      <c r="F2797" t="n">
        <v>4.760799483</v>
      </c>
      <c r="G2797" t="n">
        <v>7.352516464</v>
      </c>
      <c r="H2797" t="n">
        <v>12.11335328</v>
      </c>
    </row>
    <row r="2798">
      <c r="A2798" t="inlineStr">
        <is>
          <t>ARG|mit.ic.c</t>
        </is>
      </c>
      <c r="B2798" t="inlineStr">
        <is>
          <t>ARG</t>
        </is>
      </c>
      <c r="C2798" t="inlineStr">
        <is>
          <t>mit.ic.c</t>
        </is>
      </c>
      <c r="D2798" t="n">
        <v>0</v>
      </c>
      <c r="E2798" t="n">
        <v>0.9430094505</v>
      </c>
      <c r="F2798" t="n">
        <v>4.790761334</v>
      </c>
      <c r="G2798" t="n">
        <v>0.25571611</v>
      </c>
      <c r="H2798" t="n">
        <v>-2.744509367</v>
      </c>
    </row>
    <row r="2799">
      <c r="A2799" t="inlineStr">
        <is>
          <t>ARM|mit.ic.c</t>
        </is>
      </c>
      <c r="B2799" t="inlineStr">
        <is>
          <t>ARM</t>
        </is>
      </c>
      <c r="C2799" t="inlineStr">
        <is>
          <t>mit.ic.c</t>
        </is>
      </c>
      <c r="D2799" t="n">
        <v>0</v>
      </c>
      <c r="E2799" t="n">
        <v>0.01942402063</v>
      </c>
      <c r="F2799" t="n">
        <v>0.1006830361</v>
      </c>
      <c r="G2799" t="n">
        <v>0.08121944594</v>
      </c>
      <c r="H2799" t="n">
        <v>0.1600314221</v>
      </c>
    </row>
    <row r="2800">
      <c r="A2800" t="inlineStr">
        <is>
          <t>ATG|mit.ic.c</t>
        </is>
      </c>
      <c r="B2800" t="inlineStr">
        <is>
          <t>ATG</t>
        </is>
      </c>
      <c r="C2800" t="inlineStr">
        <is>
          <t>mit.ic.c</t>
        </is>
      </c>
      <c r="D2800" t="n">
        <v>0</v>
      </c>
      <c r="E2800" t="n">
        <v>0.004346995619</v>
      </c>
      <c r="F2800" t="n">
        <v>0.01943133164</v>
      </c>
      <c r="G2800" t="n">
        <v>-0.01161020651</v>
      </c>
      <c r="H2800" t="n">
        <v>-0.04766330605</v>
      </c>
    </row>
    <row r="2801">
      <c r="A2801" t="inlineStr">
        <is>
          <t>AUS|mit.ic.c</t>
        </is>
      </c>
      <c r="B2801" t="inlineStr">
        <is>
          <t>AUS</t>
        </is>
      </c>
      <c r="C2801" t="inlineStr">
        <is>
          <t>mit.ic.c</t>
        </is>
      </c>
      <c r="D2801" t="n">
        <v>0</v>
      </c>
      <c r="E2801" t="n">
        <v>0.9024925963</v>
      </c>
      <c r="F2801" t="n">
        <v>6.311112071</v>
      </c>
      <c r="G2801" t="n">
        <v>12.99976873</v>
      </c>
      <c r="H2801" t="n">
        <v>20.35457221</v>
      </c>
    </row>
    <row r="2802">
      <c r="A2802" t="inlineStr">
        <is>
          <t>AUT|mit.ic.c</t>
        </is>
      </c>
      <c r="B2802" t="inlineStr">
        <is>
          <t>AUT</t>
        </is>
      </c>
      <c r="C2802" t="inlineStr">
        <is>
          <t>mit.ic.c</t>
        </is>
      </c>
      <c r="D2802" t="n">
        <v>0</v>
      </c>
      <c r="E2802" t="n">
        <v>0.07802444242999999</v>
      </c>
      <c r="F2802" t="n">
        <v>0.3693960831</v>
      </c>
      <c r="G2802" t="n">
        <v>-0.2021712389</v>
      </c>
      <c r="H2802" t="n">
        <v>0.3261079717</v>
      </c>
    </row>
    <row r="2803">
      <c r="A2803" t="inlineStr">
        <is>
          <t>AZE|mit.ic.c</t>
        </is>
      </c>
      <c r="B2803" t="inlineStr">
        <is>
          <t>AZE</t>
        </is>
      </c>
      <c r="C2803" t="inlineStr">
        <is>
          <t>mit.ic.c</t>
        </is>
      </c>
      <c r="D2803" t="n">
        <v>0</v>
      </c>
      <c r="E2803" t="n">
        <v>0.1101248108</v>
      </c>
      <c r="F2803" t="n">
        <v>0.5342919481</v>
      </c>
      <c r="G2803" t="n">
        <v>0.186677969</v>
      </c>
      <c r="H2803" t="n">
        <v>0.07373301748</v>
      </c>
    </row>
    <row r="2804">
      <c r="A2804" t="inlineStr">
        <is>
          <t>BDI|mit.ic.c</t>
        </is>
      </c>
      <c r="B2804" t="inlineStr">
        <is>
          <t>BDI</t>
        </is>
      </c>
      <c r="C2804" t="inlineStr">
        <is>
          <t>mit.ic.c</t>
        </is>
      </c>
      <c r="D2804" t="n">
        <v>0</v>
      </c>
      <c r="E2804" t="n">
        <v>0.04114059185</v>
      </c>
      <c r="F2804" t="n">
        <v>0.2389951142</v>
      </c>
      <c r="G2804" t="n">
        <v>0.1997566225</v>
      </c>
      <c r="H2804" t="n">
        <v>0.1445382445</v>
      </c>
    </row>
    <row r="2805">
      <c r="A2805" t="inlineStr">
        <is>
          <t>BEL|mit.ic.c</t>
        </is>
      </c>
      <c r="B2805" t="inlineStr">
        <is>
          <t>BEL</t>
        </is>
      </c>
      <c r="C2805" t="inlineStr">
        <is>
          <t>mit.ic.c</t>
        </is>
      </c>
      <c r="D2805" t="n">
        <v>0</v>
      </c>
      <c r="E2805" t="n">
        <v>0.09475049538999999</v>
      </c>
      <c r="F2805" t="n">
        <v>0.5254672689</v>
      </c>
      <c r="G2805" t="n">
        <v>0.678897804</v>
      </c>
      <c r="H2805" t="n">
        <v>1.895992356</v>
      </c>
    </row>
    <row r="2806">
      <c r="A2806" t="inlineStr">
        <is>
          <t>BEN|mit.ic.c</t>
        </is>
      </c>
      <c r="B2806" t="inlineStr">
        <is>
          <t>BEN</t>
        </is>
      </c>
      <c r="C2806" t="inlineStr">
        <is>
          <t>mit.ic.c</t>
        </is>
      </c>
      <c r="D2806" t="n">
        <v>0</v>
      </c>
      <c r="E2806" t="n">
        <v>0.121483573</v>
      </c>
      <c r="F2806" t="n">
        <v>0.6633732395</v>
      </c>
      <c r="G2806" t="n">
        <v>-0.1066402483</v>
      </c>
      <c r="H2806" t="n">
        <v>-1.134951453</v>
      </c>
    </row>
    <row r="2807">
      <c r="A2807" t="inlineStr">
        <is>
          <t>BFA|mit.ic.c</t>
        </is>
      </c>
      <c r="B2807" t="inlineStr">
        <is>
          <t>BFA</t>
        </is>
      </c>
      <c r="C2807" t="inlineStr">
        <is>
          <t>mit.ic.c</t>
        </is>
      </c>
      <c r="D2807" t="n">
        <v>0</v>
      </c>
      <c r="E2807" t="n">
        <v>0.2640404786</v>
      </c>
      <c r="F2807" t="n">
        <v>1.529127053</v>
      </c>
      <c r="G2807" t="n">
        <v>0.9958926125000001</v>
      </c>
      <c r="H2807" t="n">
        <v>0.2062766209</v>
      </c>
    </row>
    <row r="2808">
      <c r="A2808" t="inlineStr">
        <is>
          <t>BGD|mit.ic.c</t>
        </is>
      </c>
      <c r="B2808" t="inlineStr">
        <is>
          <t>BGD</t>
        </is>
      </c>
      <c r="C2808" t="inlineStr">
        <is>
          <t>mit.ic.c</t>
        </is>
      </c>
      <c r="D2808" t="n">
        <v>0</v>
      </c>
      <c r="E2808" t="n">
        <v>0.04933566668</v>
      </c>
      <c r="F2808" t="n">
        <v>-0.720804993</v>
      </c>
      <c r="G2808" t="n">
        <v>-12.42836863</v>
      </c>
      <c r="H2808" t="n">
        <v>-25.4345121</v>
      </c>
    </row>
    <row r="2809">
      <c r="A2809" t="inlineStr">
        <is>
          <t>BGR|mit.ic.c</t>
        </is>
      </c>
      <c r="B2809" t="inlineStr">
        <is>
          <t>BGR</t>
        </is>
      </c>
      <c r="C2809" t="inlineStr">
        <is>
          <t>mit.ic.c</t>
        </is>
      </c>
      <c r="D2809" t="n">
        <v>0</v>
      </c>
      <c r="E2809" t="n">
        <v>0.01629425538</v>
      </c>
      <c r="F2809" t="n">
        <v>-0.1421362842</v>
      </c>
      <c r="G2809" t="n">
        <v>-2.228854391</v>
      </c>
      <c r="H2809" t="n">
        <v>-4.389706407</v>
      </c>
    </row>
    <row r="2810">
      <c r="A2810" t="inlineStr">
        <is>
          <t>BHR|mit.ic.c</t>
        </is>
      </c>
      <c r="B2810" t="inlineStr">
        <is>
          <t>BHR</t>
        </is>
      </c>
      <c r="C2810" t="inlineStr">
        <is>
          <t>mit.ic.c</t>
        </is>
      </c>
      <c r="D2810" t="n">
        <v>0</v>
      </c>
      <c r="E2810" t="n">
        <v>0.09058059981</v>
      </c>
      <c r="F2810" t="n">
        <v>0.5553221049</v>
      </c>
      <c r="G2810" t="n">
        <v>0.6889335505</v>
      </c>
      <c r="H2810" t="n">
        <v>0.9984181483</v>
      </c>
    </row>
    <row r="2811">
      <c r="A2811" t="inlineStr">
        <is>
          <t>BHS|mit.ic.c</t>
        </is>
      </c>
      <c r="B2811" t="inlineStr">
        <is>
          <t>BHS</t>
        </is>
      </c>
      <c r="C2811" t="inlineStr">
        <is>
          <t>mit.ic.c</t>
        </is>
      </c>
      <c r="D2811" t="n">
        <v>0</v>
      </c>
      <c r="E2811" t="n">
        <v>0.008742018177</v>
      </c>
      <c r="F2811" t="n">
        <v>0.02314637969</v>
      </c>
      <c r="G2811" t="n">
        <v>-0.2131522763</v>
      </c>
      <c r="H2811" t="n">
        <v>-0.4311262894</v>
      </c>
    </row>
    <row r="2812">
      <c r="A2812" t="inlineStr">
        <is>
          <t>BIH|mit.ic.c</t>
        </is>
      </c>
      <c r="B2812" t="inlineStr">
        <is>
          <t>BIH</t>
        </is>
      </c>
      <c r="C2812" t="inlineStr">
        <is>
          <t>mit.ic.c</t>
        </is>
      </c>
      <c r="D2812" t="n">
        <v>0</v>
      </c>
      <c r="E2812" t="n">
        <v>0.02008811136</v>
      </c>
      <c r="F2812" t="n">
        <v>0.07730018601999999</v>
      </c>
      <c r="G2812" t="n">
        <v>-0.2855537764</v>
      </c>
      <c r="H2812" t="n">
        <v>-0.5423835546</v>
      </c>
    </row>
    <row r="2813">
      <c r="A2813" t="inlineStr">
        <is>
          <t>BLR|mit.ic.c</t>
        </is>
      </c>
      <c r="B2813" t="inlineStr">
        <is>
          <t>BLR</t>
        </is>
      </c>
      <c r="C2813" t="inlineStr">
        <is>
          <t>mit.ic.c</t>
        </is>
      </c>
      <c r="D2813" t="n">
        <v>0</v>
      </c>
      <c r="E2813" t="n">
        <v>0.1065433454</v>
      </c>
      <c r="F2813" t="n">
        <v>0.3201121682</v>
      </c>
      <c r="G2813" t="n">
        <v>-1.505843795</v>
      </c>
      <c r="H2813" t="n">
        <v>-3.147745053</v>
      </c>
    </row>
    <row r="2814">
      <c r="A2814" t="inlineStr">
        <is>
          <t>BLZ|mit.ic.c</t>
        </is>
      </c>
      <c r="B2814" t="inlineStr">
        <is>
          <t>BLZ</t>
        </is>
      </c>
      <c r="C2814" t="inlineStr">
        <is>
          <t>mit.ic.c</t>
        </is>
      </c>
      <c r="D2814" t="n">
        <v>0</v>
      </c>
      <c r="E2814" t="n">
        <v>0.0461363682</v>
      </c>
      <c r="F2814" t="n">
        <v>0.2716865315</v>
      </c>
      <c r="G2814" t="n">
        <v>0.2150248712</v>
      </c>
      <c r="H2814" t="n">
        <v>0.1579297571</v>
      </c>
    </row>
    <row r="2815">
      <c r="A2815" t="inlineStr">
        <is>
          <t>BOL|mit.ic.c</t>
        </is>
      </c>
      <c r="B2815" t="inlineStr">
        <is>
          <t>BOL</t>
        </is>
      </c>
      <c r="C2815" t="inlineStr">
        <is>
          <t>mit.ic.c</t>
        </is>
      </c>
      <c r="D2815" t="n">
        <v>0</v>
      </c>
      <c r="E2815" t="n">
        <v>0.6546027011</v>
      </c>
      <c r="F2815" t="n">
        <v>3.812591212</v>
      </c>
      <c r="G2815" t="n">
        <v>3.037348055</v>
      </c>
      <c r="H2815" t="n">
        <v>2.011288472</v>
      </c>
    </row>
    <row r="2816">
      <c r="A2816" t="inlineStr">
        <is>
          <t>BRA|mit.ic.c</t>
        </is>
      </c>
      <c r="B2816" t="inlineStr">
        <is>
          <t>BRA</t>
        </is>
      </c>
      <c r="C2816" t="inlineStr">
        <is>
          <t>mit.ic.c</t>
        </is>
      </c>
      <c r="D2816" t="n">
        <v>0</v>
      </c>
      <c r="E2816" t="n">
        <v>5.287587046</v>
      </c>
      <c r="F2816" t="n">
        <v>29.40998916</v>
      </c>
      <c r="G2816" t="n">
        <v>9.790827414000001</v>
      </c>
      <c r="H2816" t="n">
        <v>-10.81368993</v>
      </c>
    </row>
    <row r="2817">
      <c r="A2817" t="inlineStr">
        <is>
          <t>BRB|mit.ic.c</t>
        </is>
      </c>
      <c r="B2817" t="inlineStr">
        <is>
          <t>BRB</t>
        </is>
      </c>
      <c r="C2817" t="inlineStr">
        <is>
          <t>mit.ic.c</t>
        </is>
      </c>
      <c r="D2817" t="n">
        <v>0</v>
      </c>
      <c r="E2817" t="n">
        <v>0.001914260531</v>
      </c>
      <c r="F2817" t="n">
        <v>0.004013440742</v>
      </c>
      <c r="G2817" t="n">
        <v>-0.06271053248</v>
      </c>
      <c r="H2817" t="n">
        <v>-0.1084626711</v>
      </c>
    </row>
    <row r="2818">
      <c r="A2818" t="inlineStr">
        <is>
          <t>BRN|mit.ic.c</t>
        </is>
      </c>
      <c r="B2818" t="inlineStr">
        <is>
          <t>BRN</t>
        </is>
      </c>
      <c r="C2818" t="inlineStr">
        <is>
          <t>mit.ic.c</t>
        </is>
      </c>
      <c r="D2818" t="n">
        <v>0</v>
      </c>
      <c r="E2818" t="n">
        <v>0.02724645748</v>
      </c>
      <c r="F2818" t="n">
        <v>0.139712375</v>
      </c>
      <c r="G2818" t="n">
        <v>0.07476702089999999</v>
      </c>
      <c r="H2818" t="n">
        <v>0.06120082389</v>
      </c>
    </row>
    <row r="2819">
      <c r="A2819" t="inlineStr">
        <is>
          <t>BTN|mit.ic.c</t>
        </is>
      </c>
      <c r="B2819" t="inlineStr">
        <is>
          <t>BTN</t>
        </is>
      </c>
      <c r="C2819" t="inlineStr">
        <is>
          <t>mit.ic.c</t>
        </is>
      </c>
      <c r="D2819" t="n">
        <v>0</v>
      </c>
      <c r="E2819" t="n">
        <v>0.002564519661</v>
      </c>
      <c r="F2819" t="n">
        <v>0.009998900445</v>
      </c>
      <c r="G2819" t="n">
        <v>-0.03437549847</v>
      </c>
      <c r="H2819" t="n">
        <v>0.005105420997</v>
      </c>
    </row>
    <row r="2820">
      <c r="A2820" t="inlineStr">
        <is>
          <t>BWA|mit.ic.c</t>
        </is>
      </c>
      <c r="B2820" t="inlineStr">
        <is>
          <t>BWA</t>
        </is>
      </c>
      <c r="C2820" t="inlineStr">
        <is>
          <t>mit.ic.c</t>
        </is>
      </c>
      <c r="D2820" t="n">
        <v>0</v>
      </c>
      <c r="E2820" t="n">
        <v>0.3322786189</v>
      </c>
      <c r="F2820" t="n">
        <v>1.950765252</v>
      </c>
      <c r="G2820" t="n">
        <v>1.526370901</v>
      </c>
      <c r="H2820" t="n">
        <v>1.110415685</v>
      </c>
    </row>
    <row r="2821">
      <c r="A2821" t="inlineStr">
        <is>
          <t>CAF|mit.ic.c</t>
        </is>
      </c>
      <c r="B2821" t="inlineStr">
        <is>
          <t>CAF</t>
        </is>
      </c>
      <c r="C2821" t="inlineStr">
        <is>
          <t>mit.ic.c</t>
        </is>
      </c>
      <c r="D2821" t="n">
        <v>0</v>
      </c>
      <c r="E2821" t="n">
        <v>0.2865010801</v>
      </c>
      <c r="F2821" t="n">
        <v>1.718184997</v>
      </c>
      <c r="G2821" t="n">
        <v>1.785180332</v>
      </c>
      <c r="H2821" t="n">
        <v>1.845899983</v>
      </c>
    </row>
    <row r="2822">
      <c r="A2822" t="inlineStr">
        <is>
          <t>CAN|mit.ic.c</t>
        </is>
      </c>
      <c r="B2822" t="inlineStr">
        <is>
          <t>CAN</t>
        </is>
      </c>
      <c r="C2822" t="inlineStr">
        <is>
          <t>mit.ic.c</t>
        </is>
      </c>
      <c r="D2822" t="n">
        <v>0</v>
      </c>
      <c r="E2822" t="n">
        <v>2.377344078</v>
      </c>
      <c r="F2822" t="n">
        <v>14.44293069</v>
      </c>
      <c r="G2822" t="n">
        <v>32.78425664</v>
      </c>
      <c r="H2822" t="n">
        <v>51.70933897</v>
      </c>
    </row>
    <row r="2823">
      <c r="A2823" t="inlineStr">
        <is>
          <t>CHE|mit.ic.c</t>
        </is>
      </c>
      <c r="B2823" t="inlineStr">
        <is>
          <t>CHE</t>
        </is>
      </c>
      <c r="C2823" t="inlineStr">
        <is>
          <t>mit.ic.c</t>
        </is>
      </c>
      <c r="D2823" t="n">
        <v>0</v>
      </c>
      <c r="E2823" t="n">
        <v>0.02370900768</v>
      </c>
      <c r="F2823" t="n">
        <v>0.1446207571</v>
      </c>
      <c r="G2823" t="n">
        <v>-0.1790387356</v>
      </c>
      <c r="H2823" t="n">
        <v>0.5679259015</v>
      </c>
    </row>
    <row r="2824">
      <c r="A2824" t="inlineStr">
        <is>
          <t>CHL|mit.ic.c</t>
        </is>
      </c>
      <c r="B2824" t="inlineStr">
        <is>
          <t>CHL</t>
        </is>
      </c>
      <c r="C2824" t="inlineStr">
        <is>
          <t>mit.ic.c</t>
        </is>
      </c>
      <c r="D2824" t="n">
        <v>0</v>
      </c>
      <c r="E2824" t="n">
        <v>0.1252840278</v>
      </c>
      <c r="F2824" t="n">
        <v>0.2908383699</v>
      </c>
      <c r="G2824" t="n">
        <v>-3.117583257</v>
      </c>
      <c r="H2824" t="n">
        <v>-5.778208598</v>
      </c>
    </row>
    <row r="2825">
      <c r="A2825" t="inlineStr">
        <is>
          <t>CHN|mit.ic.c</t>
        </is>
      </c>
      <c r="B2825" t="inlineStr">
        <is>
          <t>CHN</t>
        </is>
      </c>
      <c r="C2825" t="inlineStr">
        <is>
          <t>mit.ic.c</t>
        </is>
      </c>
      <c r="D2825" t="n">
        <v>0</v>
      </c>
      <c r="E2825" t="n">
        <v>-10.85259801</v>
      </c>
      <c r="F2825" t="n">
        <v>-104.7181514</v>
      </c>
      <c r="G2825" t="n">
        <v>-500.259515</v>
      </c>
      <c r="H2825" t="n">
        <v>-386.6793022</v>
      </c>
    </row>
    <row r="2826">
      <c r="A2826" t="inlineStr">
        <is>
          <t>CIV|mit.ic.c</t>
        </is>
      </c>
      <c r="B2826" t="inlineStr">
        <is>
          <t>CIV</t>
        </is>
      </c>
      <c r="C2826" t="inlineStr">
        <is>
          <t>mit.ic.c</t>
        </is>
      </c>
      <c r="D2826" t="n">
        <v>0</v>
      </c>
      <c r="E2826" t="n">
        <v>0.04578004689</v>
      </c>
      <c r="F2826" t="n">
        <v>0.1761716892</v>
      </c>
      <c r="G2826" t="n">
        <v>-0.9327457116</v>
      </c>
      <c r="H2826" t="n">
        <v>-2.126101324</v>
      </c>
    </row>
    <row r="2827">
      <c r="A2827" t="inlineStr">
        <is>
          <t>CMR|mit.ic.c</t>
        </is>
      </c>
      <c r="B2827" t="inlineStr">
        <is>
          <t>CMR</t>
        </is>
      </c>
      <c r="C2827" t="inlineStr">
        <is>
          <t>mit.ic.c</t>
        </is>
      </c>
      <c r="D2827" t="n">
        <v>0</v>
      </c>
      <c r="E2827" t="n">
        <v>0.3854229629</v>
      </c>
      <c r="F2827" t="n">
        <v>2.277109595</v>
      </c>
      <c r="G2827" t="n">
        <v>2.231706857</v>
      </c>
      <c r="H2827" t="n">
        <v>2.139591239</v>
      </c>
    </row>
    <row r="2828">
      <c r="A2828" t="inlineStr">
        <is>
          <t>COD|mit.ic.c</t>
        </is>
      </c>
      <c r="B2828" t="inlineStr">
        <is>
          <t>COD</t>
        </is>
      </c>
      <c r="C2828" t="inlineStr">
        <is>
          <t>mit.ic.c</t>
        </is>
      </c>
      <c r="D2828" t="n">
        <v>0</v>
      </c>
      <c r="E2828" t="n">
        <v>5.179835052</v>
      </c>
      <c r="F2828" t="n">
        <v>31.04279157</v>
      </c>
      <c r="G2828" t="n">
        <v>31.02424847</v>
      </c>
      <c r="H2828" t="n">
        <v>30.91726613</v>
      </c>
    </row>
    <row r="2829">
      <c r="A2829" t="inlineStr">
        <is>
          <t>COG|mit.ic.c</t>
        </is>
      </c>
      <c r="B2829" t="inlineStr">
        <is>
          <t>COG</t>
        </is>
      </c>
      <c r="C2829" t="inlineStr">
        <is>
          <t>mit.ic.c</t>
        </is>
      </c>
      <c r="D2829" t="n">
        <v>0</v>
      </c>
      <c r="E2829" t="n">
        <v>0.1437333243</v>
      </c>
      <c r="F2829" t="n">
        <v>0.83029443</v>
      </c>
      <c r="G2829" t="n">
        <v>0.8412224094</v>
      </c>
      <c r="H2829" t="n">
        <v>0.8201912491</v>
      </c>
    </row>
    <row r="2830">
      <c r="A2830" t="inlineStr">
        <is>
          <t>COL|mit.ic.c</t>
        </is>
      </c>
      <c r="B2830" t="inlineStr">
        <is>
          <t>COL</t>
        </is>
      </c>
      <c r="C2830" t="inlineStr">
        <is>
          <t>mit.ic.c</t>
        </is>
      </c>
      <c r="D2830" t="n">
        <v>0</v>
      </c>
      <c r="E2830" t="n">
        <v>0.8261197038</v>
      </c>
      <c r="F2830" t="n">
        <v>4.357153167</v>
      </c>
      <c r="G2830" t="n">
        <v>-1.705583936</v>
      </c>
      <c r="H2830" t="n">
        <v>-8.11959081</v>
      </c>
    </row>
    <row r="2831">
      <c r="A2831" t="inlineStr">
        <is>
          <t>COM|mit.ic.c</t>
        </is>
      </c>
      <c r="B2831" t="inlineStr">
        <is>
          <t>COM</t>
        </is>
      </c>
      <c r="C2831" t="inlineStr">
        <is>
          <t>mit.ic.c</t>
        </is>
      </c>
      <c r="D2831" t="n">
        <v>0</v>
      </c>
      <c r="E2831" t="n">
        <v>0.003245990327</v>
      </c>
      <c r="F2831" t="n">
        <v>0.01561208986</v>
      </c>
      <c r="G2831" t="n">
        <v>-0.03370898995</v>
      </c>
      <c r="H2831" t="n">
        <v>-0.1146934238</v>
      </c>
    </row>
    <row r="2832">
      <c r="A2832" t="inlineStr">
        <is>
          <t>CPV|mit.ic.c</t>
        </is>
      </c>
      <c r="B2832" t="inlineStr">
        <is>
          <t>CPV</t>
        </is>
      </c>
      <c r="C2832" t="inlineStr">
        <is>
          <t>mit.ic.c</t>
        </is>
      </c>
      <c r="D2832" t="n">
        <v>0</v>
      </c>
      <c r="E2832" t="n">
        <v>0.00288771066</v>
      </c>
      <c r="F2832" t="n">
        <v>0.01351958787</v>
      </c>
      <c r="G2832" t="n">
        <v>-0.02121508881</v>
      </c>
      <c r="H2832" t="n">
        <v>-0.06219227621</v>
      </c>
    </row>
    <row r="2833">
      <c r="A2833" t="inlineStr">
        <is>
          <t>CRI|mit.ic.c</t>
        </is>
      </c>
      <c r="B2833" t="inlineStr">
        <is>
          <t>CRI</t>
        </is>
      </c>
      <c r="C2833" t="inlineStr">
        <is>
          <t>mit.ic.c</t>
        </is>
      </c>
      <c r="D2833" t="n">
        <v>0</v>
      </c>
      <c r="E2833" t="n">
        <v>0.01620964986</v>
      </c>
      <c r="F2833" t="n">
        <v>0.03401027836</v>
      </c>
      <c r="G2833" t="n">
        <v>-0.6989049437</v>
      </c>
      <c r="H2833" t="n">
        <v>-1.469431447</v>
      </c>
    </row>
    <row r="2834">
      <c r="A2834" t="inlineStr">
        <is>
          <t>CYP|mit.ic.c</t>
        </is>
      </c>
      <c r="B2834" t="inlineStr">
        <is>
          <t>CYP</t>
        </is>
      </c>
      <c r="C2834" t="inlineStr">
        <is>
          <t>mit.ic.c</t>
        </is>
      </c>
      <c r="D2834" t="n">
        <v>0</v>
      </c>
      <c r="E2834" t="n">
        <v>0.006413800214</v>
      </c>
      <c r="F2834" t="n">
        <v>-0.01929491256</v>
      </c>
      <c r="G2834" t="n">
        <v>-0.05143470497</v>
      </c>
      <c r="H2834" t="n">
        <v>0.3350403188</v>
      </c>
    </row>
    <row r="2835">
      <c r="A2835" t="inlineStr">
        <is>
          <t>CZE|mit.ic.c</t>
        </is>
      </c>
      <c r="B2835" t="inlineStr">
        <is>
          <t>CZE</t>
        </is>
      </c>
      <c r="C2835" t="inlineStr">
        <is>
          <t>mit.ic.c</t>
        </is>
      </c>
      <c r="D2835" t="n">
        <v>0</v>
      </c>
      <c r="E2835" t="n">
        <v>0.02619072456</v>
      </c>
      <c r="F2835" t="n">
        <v>0.1168812145</v>
      </c>
      <c r="G2835" t="n">
        <v>-1.061458242</v>
      </c>
      <c r="H2835" t="n">
        <v>-0.7543719904</v>
      </c>
    </row>
    <row r="2836">
      <c r="A2836" t="inlineStr">
        <is>
          <t>DEU|mit.ic.c</t>
        </is>
      </c>
      <c r="B2836" t="inlineStr">
        <is>
          <t>DEU</t>
        </is>
      </c>
      <c r="C2836" t="inlineStr">
        <is>
          <t>mit.ic.c</t>
        </is>
      </c>
      <c r="D2836" t="n">
        <v>0</v>
      </c>
      <c r="E2836" t="n">
        <v>0.27941712</v>
      </c>
      <c r="F2836" t="n">
        <v>0.8201681046</v>
      </c>
      <c r="G2836" t="n">
        <v>-4.941269796</v>
      </c>
      <c r="H2836" t="n">
        <v>-0.8643977430999999</v>
      </c>
    </row>
    <row r="2837">
      <c r="A2837" t="inlineStr">
        <is>
          <t>DJI|mit.ic.c</t>
        </is>
      </c>
      <c r="B2837" t="inlineStr">
        <is>
          <t>DJI</t>
        </is>
      </c>
      <c r="C2837" t="inlineStr">
        <is>
          <t>mit.ic.c</t>
        </is>
      </c>
      <c r="D2837" t="n">
        <v>0</v>
      </c>
      <c r="E2837" t="n">
        <v>0.002956815431</v>
      </c>
      <c r="F2837" t="n">
        <v>0.01422850585</v>
      </c>
      <c r="G2837" t="n">
        <v>-0.02114240658</v>
      </c>
      <c r="H2837" t="n">
        <v>-0.05903964607</v>
      </c>
    </row>
    <row r="2838">
      <c r="A2838" t="inlineStr">
        <is>
          <t>DMA|mit.ic.c</t>
        </is>
      </c>
      <c r="B2838" t="inlineStr">
        <is>
          <t>DMA</t>
        </is>
      </c>
      <c r="C2838" t="inlineStr">
        <is>
          <t>mit.ic.c</t>
        </is>
      </c>
      <c r="D2838" t="n">
        <v>0</v>
      </c>
      <c r="E2838" t="n">
        <v>3.084971374e-05</v>
      </c>
      <c r="F2838" t="n">
        <v>-0.001395539366</v>
      </c>
      <c r="G2838" t="n">
        <v>-0.01813830361</v>
      </c>
      <c r="H2838" t="n">
        <v>-0.03698273278</v>
      </c>
    </row>
    <row r="2839">
      <c r="A2839" t="inlineStr">
        <is>
          <t>DNK|mit.ic.c</t>
        </is>
      </c>
      <c r="B2839" t="inlineStr">
        <is>
          <t>DNK</t>
        </is>
      </c>
      <c r="C2839" t="inlineStr">
        <is>
          <t>mit.ic.c</t>
        </is>
      </c>
      <c r="D2839" t="n">
        <v>0</v>
      </c>
      <c r="E2839" t="n">
        <v>0.1229144705</v>
      </c>
      <c r="F2839" t="n">
        <v>0.6748620223</v>
      </c>
      <c r="G2839" t="n">
        <v>0.6038764879</v>
      </c>
      <c r="H2839" t="n">
        <v>0.9788415311000001</v>
      </c>
    </row>
    <row r="2840">
      <c r="A2840" t="inlineStr">
        <is>
          <t>DOM|mit.ic.c</t>
        </is>
      </c>
      <c r="B2840" t="inlineStr">
        <is>
          <t>DOM</t>
        </is>
      </c>
      <c r="C2840" t="inlineStr">
        <is>
          <t>mit.ic.c</t>
        </is>
      </c>
      <c r="D2840" t="n">
        <v>0</v>
      </c>
      <c r="E2840" t="n">
        <v>-0.005406387197</v>
      </c>
      <c r="F2840" t="n">
        <v>-0.2714793227</v>
      </c>
      <c r="G2840" t="n">
        <v>-2.919833332</v>
      </c>
      <c r="H2840" t="n">
        <v>-5.704716921</v>
      </c>
    </row>
    <row r="2841">
      <c r="A2841" t="inlineStr">
        <is>
          <t>DZA|mit.ic.c</t>
        </is>
      </c>
      <c r="B2841" t="inlineStr">
        <is>
          <t>DZA</t>
        </is>
      </c>
      <c r="C2841" t="inlineStr">
        <is>
          <t>mit.ic.c</t>
        </is>
      </c>
      <c r="D2841" t="n">
        <v>0</v>
      </c>
      <c r="E2841" t="n">
        <v>0.4190410342</v>
      </c>
      <c r="F2841" t="n">
        <v>1.547179108</v>
      </c>
      <c r="G2841" t="n">
        <v>-4.694200379</v>
      </c>
      <c r="H2841" t="n">
        <v>-11.41324948</v>
      </c>
    </row>
    <row r="2842">
      <c r="A2842" t="inlineStr">
        <is>
          <t>ECU|mit.ic.c</t>
        </is>
      </c>
      <c r="B2842" t="inlineStr">
        <is>
          <t>ECU</t>
        </is>
      </c>
      <c r="C2842" t="inlineStr">
        <is>
          <t>mit.ic.c</t>
        </is>
      </c>
      <c r="D2842" t="n">
        <v>0</v>
      </c>
      <c r="E2842" t="n">
        <v>0.2935379472</v>
      </c>
      <c r="F2842" t="n">
        <v>1.455336052</v>
      </c>
      <c r="G2842" t="n">
        <v>-1.193802342</v>
      </c>
      <c r="H2842" t="n">
        <v>-4.060844432</v>
      </c>
    </row>
    <row r="2843">
      <c r="A2843" t="inlineStr">
        <is>
          <t>EGY|mit.ic.c</t>
        </is>
      </c>
      <c r="B2843" t="inlineStr">
        <is>
          <t>EGY</t>
        </is>
      </c>
      <c r="C2843" t="inlineStr">
        <is>
          <t>mit.ic.c</t>
        </is>
      </c>
      <c r="D2843" t="n">
        <v>0</v>
      </c>
      <c r="E2843" t="n">
        <v>-1.161755435</v>
      </c>
      <c r="F2843" t="n">
        <v>-10.55342019</v>
      </c>
      <c r="G2843" t="n">
        <v>-54.74386737</v>
      </c>
      <c r="H2843" t="n">
        <v>-111.4749132</v>
      </c>
    </row>
    <row r="2844">
      <c r="A2844" t="inlineStr">
        <is>
          <t>ESP|mit.ic.c</t>
        </is>
      </c>
      <c r="B2844" t="inlineStr">
        <is>
          <t>ESP</t>
        </is>
      </c>
      <c r="C2844" t="inlineStr">
        <is>
          <t>mit.ic.c</t>
        </is>
      </c>
      <c r="D2844" t="n">
        <v>0</v>
      </c>
      <c r="E2844" t="n">
        <v>0.3022270189</v>
      </c>
      <c r="F2844" t="n">
        <v>1.05749553</v>
      </c>
      <c r="G2844" t="n">
        <v>-2.855262954</v>
      </c>
      <c r="H2844" t="n">
        <v>-3.051350457</v>
      </c>
    </row>
    <row r="2845">
      <c r="A2845" t="inlineStr">
        <is>
          <t>EST|mit.ic.c</t>
        </is>
      </c>
      <c r="B2845" t="inlineStr">
        <is>
          <t>EST</t>
        </is>
      </c>
      <c r="C2845" t="inlineStr">
        <is>
          <t>mit.ic.c</t>
        </is>
      </c>
      <c r="D2845" t="n">
        <v>0</v>
      </c>
      <c r="E2845" t="n">
        <v>0.03008419401</v>
      </c>
      <c r="F2845" t="n">
        <v>0.1538904671</v>
      </c>
      <c r="G2845" t="n">
        <v>0.1603569975</v>
      </c>
      <c r="H2845" t="n">
        <v>0.3040786342</v>
      </c>
    </row>
    <row r="2846">
      <c r="A2846" t="inlineStr">
        <is>
          <t>ETH|mit.ic.c</t>
        </is>
      </c>
      <c r="B2846" t="inlineStr">
        <is>
          <t>ETH</t>
        </is>
      </c>
      <c r="C2846" t="inlineStr">
        <is>
          <t>mit.ic.c</t>
        </is>
      </c>
      <c r="D2846" t="n">
        <v>0</v>
      </c>
      <c r="E2846" t="n">
        <v>0.6993721187</v>
      </c>
      <c r="F2846" t="n">
        <v>4.218942641</v>
      </c>
      <c r="G2846" t="n">
        <v>4.697956011</v>
      </c>
      <c r="H2846" t="n">
        <v>4.983890244</v>
      </c>
    </row>
    <row r="2847">
      <c r="A2847" t="inlineStr">
        <is>
          <t>FIN|mit.ic.c</t>
        </is>
      </c>
      <c r="B2847" t="inlineStr">
        <is>
          <t>FIN</t>
        </is>
      </c>
      <c r="C2847" t="inlineStr">
        <is>
          <t>mit.ic.c</t>
        </is>
      </c>
      <c r="D2847" t="n">
        <v>0</v>
      </c>
      <c r="E2847" t="n">
        <v>0.07291036952</v>
      </c>
      <c r="F2847" t="n">
        <v>0.394444625</v>
      </c>
      <c r="G2847" t="n">
        <v>0.3368938093</v>
      </c>
      <c r="H2847" t="n">
        <v>0.6010221498</v>
      </c>
    </row>
    <row r="2848">
      <c r="A2848" t="inlineStr">
        <is>
          <t>FJI|mit.ic.c</t>
        </is>
      </c>
      <c r="B2848" t="inlineStr">
        <is>
          <t>FJI</t>
        </is>
      </c>
      <c r="C2848" t="inlineStr">
        <is>
          <t>mit.ic.c</t>
        </is>
      </c>
      <c r="D2848" t="n">
        <v>0</v>
      </c>
      <c r="E2848" t="n">
        <v>0.002689535276</v>
      </c>
      <c r="F2848" t="n">
        <v>0.007035560363</v>
      </c>
      <c r="G2848" t="n">
        <v>-0.08416138667</v>
      </c>
      <c r="H2848" t="n">
        <v>-0.1815875362</v>
      </c>
    </row>
    <row r="2849">
      <c r="A2849" t="inlineStr">
        <is>
          <t>FRA|mit.ic.c</t>
        </is>
      </c>
      <c r="B2849" t="inlineStr">
        <is>
          <t>FRA</t>
        </is>
      </c>
      <c r="C2849" t="inlineStr">
        <is>
          <t>mit.ic.c</t>
        </is>
      </c>
      <c r="D2849" t="n">
        <v>0</v>
      </c>
      <c r="E2849" t="n">
        <v>0.2334148039</v>
      </c>
      <c r="F2849" t="n">
        <v>0.9472678583</v>
      </c>
      <c r="G2849" t="n">
        <v>-3.886463678</v>
      </c>
      <c r="H2849" t="n">
        <v>-2.589947573</v>
      </c>
    </row>
    <row r="2850">
      <c r="A2850" t="inlineStr">
        <is>
          <t>GAB|mit.ic.c</t>
        </is>
      </c>
      <c r="B2850" t="inlineStr">
        <is>
          <t>GAB</t>
        </is>
      </c>
      <c r="C2850" t="inlineStr">
        <is>
          <t>mit.ic.c</t>
        </is>
      </c>
      <c r="D2850" t="n">
        <v>0</v>
      </c>
      <c r="E2850" t="n">
        <v>0.09038456859000001</v>
      </c>
      <c r="F2850" t="n">
        <v>0.5299193568</v>
      </c>
      <c r="G2850" t="n">
        <v>0.5846711076</v>
      </c>
      <c r="H2850" t="n">
        <v>0.6310397668</v>
      </c>
    </row>
    <row r="2851">
      <c r="A2851" t="inlineStr">
        <is>
          <t>GBR|mit.ic.c</t>
        </is>
      </c>
      <c r="B2851" t="inlineStr">
        <is>
          <t>GBR</t>
        </is>
      </c>
      <c r="C2851" t="inlineStr">
        <is>
          <t>mit.ic.c</t>
        </is>
      </c>
      <c r="D2851" t="n">
        <v>0</v>
      </c>
      <c r="E2851" t="n">
        <v>-0.1090325433</v>
      </c>
      <c r="F2851" t="n">
        <v>-2.41787142</v>
      </c>
      <c r="G2851" t="n">
        <v>-9.36028074</v>
      </c>
      <c r="H2851" t="n">
        <v>-8.422903281</v>
      </c>
    </row>
    <row r="2852">
      <c r="A2852" t="inlineStr">
        <is>
          <t>GEO|mit.ic.c</t>
        </is>
      </c>
      <c r="B2852" t="inlineStr">
        <is>
          <t>GEO</t>
        </is>
      </c>
      <c r="C2852" t="inlineStr">
        <is>
          <t>mit.ic.c</t>
        </is>
      </c>
      <c r="D2852" t="n">
        <v>0</v>
      </c>
      <c r="E2852" t="n">
        <v>0.02176026317</v>
      </c>
      <c r="F2852" t="n">
        <v>0.05503011149</v>
      </c>
      <c r="G2852" t="n">
        <v>-0.5377831762</v>
      </c>
      <c r="H2852" t="n">
        <v>-1.178439687</v>
      </c>
    </row>
    <row r="2853">
      <c r="A2853" t="inlineStr">
        <is>
          <t>GHA|mit.ic.c</t>
        </is>
      </c>
      <c r="B2853" t="inlineStr">
        <is>
          <t>GHA</t>
        </is>
      </c>
      <c r="C2853" t="inlineStr">
        <is>
          <t>mit.ic.c</t>
        </is>
      </c>
      <c r="D2853" t="n">
        <v>0</v>
      </c>
      <c r="E2853" t="n">
        <v>0.08730919888999999</v>
      </c>
      <c r="F2853" t="n">
        <v>0.3657031405</v>
      </c>
      <c r="G2853" t="n">
        <v>-0.6986173083</v>
      </c>
      <c r="H2853" t="n">
        <v>-1.769828546</v>
      </c>
    </row>
    <row r="2854">
      <c r="A2854" t="inlineStr">
        <is>
          <t>GIN|mit.ic.c</t>
        </is>
      </c>
      <c r="B2854" t="inlineStr">
        <is>
          <t>GIN</t>
        </is>
      </c>
      <c r="C2854" t="inlineStr">
        <is>
          <t>mit.ic.c</t>
        </is>
      </c>
      <c r="D2854" t="n">
        <v>0</v>
      </c>
      <c r="E2854" t="n">
        <v>0.1786519642</v>
      </c>
      <c r="F2854" t="n">
        <v>0.9597555812</v>
      </c>
      <c r="G2854" t="n">
        <v>0.6999086944</v>
      </c>
      <c r="H2854" t="n">
        <v>0.3357880309</v>
      </c>
    </row>
    <row r="2855">
      <c r="A2855" t="inlineStr">
        <is>
          <t>GMB|mit.ic.c</t>
        </is>
      </c>
      <c r="B2855" t="inlineStr">
        <is>
          <t>GMB</t>
        </is>
      </c>
      <c r="C2855" t="inlineStr">
        <is>
          <t>mit.ic.c</t>
        </is>
      </c>
      <c r="D2855" t="n">
        <v>0</v>
      </c>
      <c r="E2855" t="n">
        <v>0.01188708778</v>
      </c>
      <c r="F2855" t="n">
        <v>0.06129445079</v>
      </c>
      <c r="G2855" t="n">
        <v>-0.005149652624</v>
      </c>
      <c r="H2855" t="n">
        <v>-0.1418695643</v>
      </c>
    </row>
    <row r="2856">
      <c r="A2856" t="inlineStr">
        <is>
          <t>GNB|mit.ic.c</t>
        </is>
      </c>
      <c r="B2856" t="inlineStr">
        <is>
          <t>GNB</t>
        </is>
      </c>
      <c r="C2856" t="inlineStr">
        <is>
          <t>mit.ic.c</t>
        </is>
      </c>
      <c r="D2856" t="n">
        <v>0</v>
      </c>
      <c r="E2856" t="n">
        <v>0.02139886604</v>
      </c>
      <c r="F2856" t="n">
        <v>0.1241484247</v>
      </c>
      <c r="G2856" t="n">
        <v>0.1010229991</v>
      </c>
      <c r="H2856" t="n">
        <v>0.04947783262</v>
      </c>
    </row>
    <row r="2857">
      <c r="A2857" t="inlineStr">
        <is>
          <t>GNQ|mit.ic.c</t>
        </is>
      </c>
      <c r="B2857" t="inlineStr">
        <is>
          <t>GNQ</t>
        </is>
      </c>
      <c r="C2857" t="inlineStr">
        <is>
          <t>mit.ic.c</t>
        </is>
      </c>
      <c r="D2857" t="n">
        <v>0</v>
      </c>
      <c r="E2857" t="n">
        <v>0.06572924739</v>
      </c>
      <c r="F2857" t="n">
        <v>0.3808872258</v>
      </c>
      <c r="G2857" t="n">
        <v>0.534730267</v>
      </c>
      <c r="H2857" t="n">
        <v>0.7142720347</v>
      </c>
    </row>
    <row r="2858">
      <c r="A2858" t="inlineStr">
        <is>
          <t>GRC|mit.ic.c</t>
        </is>
      </c>
      <c r="B2858" t="inlineStr">
        <is>
          <t>GRC</t>
        </is>
      </c>
      <c r="C2858" t="inlineStr">
        <is>
          <t>mit.ic.c</t>
        </is>
      </c>
      <c r="D2858" t="n">
        <v>0</v>
      </c>
      <c r="E2858" t="n">
        <v>-0.008767957901</v>
      </c>
      <c r="F2858" t="n">
        <v>-0.2905546869</v>
      </c>
      <c r="G2858" t="n">
        <v>-1.838599839</v>
      </c>
      <c r="H2858" t="n">
        <v>-1.876891602</v>
      </c>
    </row>
    <row r="2859">
      <c r="A2859" t="inlineStr">
        <is>
          <t>GRD|mit.ic.c</t>
        </is>
      </c>
      <c r="B2859" t="inlineStr">
        <is>
          <t>GRD</t>
        </is>
      </c>
      <c r="C2859" t="inlineStr">
        <is>
          <t>mit.ic.c</t>
        </is>
      </c>
      <c r="D2859" t="n">
        <v>0</v>
      </c>
      <c r="E2859" t="n">
        <v>0.0003320331832</v>
      </c>
      <c r="F2859" t="n">
        <v>-0.002263784314</v>
      </c>
      <c r="G2859" t="n">
        <v>-0.04325549632</v>
      </c>
      <c r="H2859" t="n">
        <v>-0.09276680004</v>
      </c>
    </row>
    <row r="2860">
      <c r="A2860" t="inlineStr">
        <is>
          <t>GTM|mit.ic.c</t>
        </is>
      </c>
      <c r="B2860" t="inlineStr">
        <is>
          <t>GTM</t>
        </is>
      </c>
      <c r="C2860" t="inlineStr">
        <is>
          <t>mit.ic.c</t>
        </is>
      </c>
      <c r="D2860" t="n">
        <v>0</v>
      </c>
      <c r="E2860" t="n">
        <v>0.06246174497</v>
      </c>
      <c r="F2860" t="n">
        <v>0.2029680773</v>
      </c>
      <c r="G2860" t="n">
        <v>-1.821344478</v>
      </c>
      <c r="H2860" t="n">
        <v>-3.95150014</v>
      </c>
    </row>
    <row r="2861">
      <c r="A2861" t="inlineStr">
        <is>
          <t>GUY|mit.ic.c</t>
        </is>
      </c>
      <c r="B2861" t="inlineStr">
        <is>
          <t>GUY</t>
        </is>
      </c>
      <c r="C2861" t="inlineStr">
        <is>
          <t>mit.ic.c</t>
        </is>
      </c>
      <c r="D2861" t="n">
        <v>0</v>
      </c>
      <c r="E2861" t="n">
        <v>0.1189587634</v>
      </c>
      <c r="F2861" t="n">
        <v>0.6657201273</v>
      </c>
      <c r="G2861" t="n">
        <v>-0.0421193837</v>
      </c>
      <c r="H2861" t="n">
        <v>-0.9271123398</v>
      </c>
    </row>
    <row r="2862">
      <c r="A2862" t="inlineStr">
        <is>
          <t>HKG|mit.ic.c</t>
        </is>
      </c>
      <c r="B2862" t="inlineStr">
        <is>
          <t>HKG</t>
        </is>
      </c>
      <c r="C2862" t="inlineStr">
        <is>
          <t>mit.ic.c</t>
        </is>
      </c>
      <c r="D2862" t="n">
        <v>0</v>
      </c>
      <c r="E2862" t="n">
        <v>-0.4362002629</v>
      </c>
      <c r="F2862" t="n">
        <v>-2.69577454</v>
      </c>
      <c r="G2862" t="n">
        <v>-5.521914037</v>
      </c>
      <c r="H2862" t="n">
        <v>-5.817677805</v>
      </c>
    </row>
    <row r="2863">
      <c r="A2863" t="inlineStr">
        <is>
          <t>HND|mit.ic.c</t>
        </is>
      </c>
      <c r="B2863" t="inlineStr">
        <is>
          <t>HND</t>
        </is>
      </c>
      <c r="C2863" t="inlineStr">
        <is>
          <t>mit.ic.c</t>
        </is>
      </c>
      <c r="D2863" t="n">
        <v>0</v>
      </c>
      <c r="E2863" t="n">
        <v>0.0663664739</v>
      </c>
      <c r="F2863" t="n">
        <v>0.3182089386</v>
      </c>
      <c r="G2863" t="n">
        <v>-0.9103112046</v>
      </c>
      <c r="H2863" t="n">
        <v>-2.397750182</v>
      </c>
    </row>
    <row r="2864">
      <c r="A2864" t="inlineStr">
        <is>
          <t>HRV|mit.ic.c</t>
        </is>
      </c>
      <c r="B2864" t="inlineStr">
        <is>
          <t>HRV</t>
        </is>
      </c>
      <c r="C2864" t="inlineStr">
        <is>
          <t>mit.ic.c</t>
        </is>
      </c>
      <c r="D2864" t="n">
        <v>0</v>
      </c>
      <c r="E2864" t="n">
        <v>0.01162138557</v>
      </c>
      <c r="F2864" t="n">
        <v>-0.0299618058</v>
      </c>
      <c r="G2864" t="n">
        <v>-0.6526212821</v>
      </c>
      <c r="H2864" t="n">
        <v>-0.8698886361</v>
      </c>
    </row>
    <row r="2865">
      <c r="A2865" t="inlineStr">
        <is>
          <t>HTI|mit.ic.c</t>
        </is>
      </c>
      <c r="B2865" t="inlineStr">
        <is>
          <t>HTI</t>
        </is>
      </c>
      <c r="C2865" t="inlineStr">
        <is>
          <t>mit.ic.c</t>
        </is>
      </c>
      <c r="D2865" t="n">
        <v>0</v>
      </c>
      <c r="E2865" t="n">
        <v>0.0442681316</v>
      </c>
      <c r="F2865" t="n">
        <v>0.2495274378</v>
      </c>
      <c r="G2865" t="n">
        <v>0.2288714123</v>
      </c>
      <c r="H2865" t="n">
        <v>0.1582397773</v>
      </c>
    </row>
    <row r="2866">
      <c r="A2866" t="inlineStr">
        <is>
          <t>HUN|mit.ic.c</t>
        </is>
      </c>
      <c r="B2866" t="inlineStr">
        <is>
          <t>HUN</t>
        </is>
      </c>
      <c r="C2866" t="inlineStr">
        <is>
          <t>mit.ic.c</t>
        </is>
      </c>
      <c r="D2866" t="n">
        <v>0</v>
      </c>
      <c r="E2866" t="n">
        <v>0.005184183973</v>
      </c>
      <c r="F2866" t="n">
        <v>-0.2198693443</v>
      </c>
      <c r="G2866" t="n">
        <v>-2.427785305</v>
      </c>
      <c r="H2866" t="n">
        <v>-4.216962815</v>
      </c>
    </row>
    <row r="2867">
      <c r="A2867" t="inlineStr">
        <is>
          <t>IDN|mit.ic.c</t>
        </is>
      </c>
      <c r="B2867" t="inlineStr">
        <is>
          <t>IDN</t>
        </is>
      </c>
      <c r="C2867" t="inlineStr">
        <is>
          <t>mit.ic.c</t>
        </is>
      </c>
      <c r="D2867" t="n">
        <v>0</v>
      </c>
      <c r="E2867" t="n">
        <v>2.139635767</v>
      </c>
      <c r="F2867" t="n">
        <v>8.606510508</v>
      </c>
      <c r="G2867" t="n">
        <v>-34.02130191</v>
      </c>
      <c r="H2867" t="n">
        <v>-86.38170936</v>
      </c>
    </row>
    <row r="2868">
      <c r="A2868" t="inlineStr">
        <is>
          <t>IND|mit.ic.c</t>
        </is>
      </c>
      <c r="B2868" t="inlineStr">
        <is>
          <t>IND</t>
        </is>
      </c>
      <c r="C2868" t="inlineStr">
        <is>
          <t>mit.ic.c</t>
        </is>
      </c>
      <c r="D2868" t="n">
        <v>0</v>
      </c>
      <c r="E2868" t="n">
        <v>1.773167044</v>
      </c>
      <c r="F2868" t="n">
        <v>1.892762644</v>
      </c>
      <c r="G2868" t="n">
        <v>-83.28160364</v>
      </c>
      <c r="H2868" t="n">
        <v>-179.9267794</v>
      </c>
    </row>
    <row r="2869">
      <c r="A2869" t="inlineStr">
        <is>
          <t>IRL|mit.ic.c</t>
        </is>
      </c>
      <c r="B2869" t="inlineStr">
        <is>
          <t>IRL</t>
        </is>
      </c>
      <c r="C2869" t="inlineStr">
        <is>
          <t>mit.ic.c</t>
        </is>
      </c>
      <c r="D2869" t="n">
        <v>0</v>
      </c>
      <c r="E2869" t="n">
        <v>0.06738690677</v>
      </c>
      <c r="F2869" t="n">
        <v>0.4255190747</v>
      </c>
      <c r="G2869" t="n">
        <v>-0.1595338138</v>
      </c>
      <c r="H2869" t="n">
        <v>0.3210789189</v>
      </c>
    </row>
    <row r="2870">
      <c r="A2870" t="inlineStr">
        <is>
          <t>IRN|mit.ic.c</t>
        </is>
      </c>
      <c r="B2870" t="inlineStr">
        <is>
          <t>IRN</t>
        </is>
      </c>
      <c r="C2870" t="inlineStr">
        <is>
          <t>mit.ic.c</t>
        </is>
      </c>
      <c r="D2870" t="n">
        <v>0</v>
      </c>
      <c r="E2870" t="n">
        <v>1.777944418</v>
      </c>
      <c r="F2870" t="n">
        <v>7.345884607</v>
      </c>
      <c r="G2870" t="n">
        <v>5.363311064</v>
      </c>
      <c r="H2870" t="n">
        <v>3.622424138</v>
      </c>
    </row>
    <row r="2871">
      <c r="A2871" t="inlineStr">
        <is>
          <t>IRQ|mit.ic.c</t>
        </is>
      </c>
      <c r="B2871" t="inlineStr">
        <is>
          <t>IRQ</t>
        </is>
      </c>
      <c r="C2871" t="inlineStr">
        <is>
          <t>mit.ic.c</t>
        </is>
      </c>
      <c r="D2871" t="n">
        <v>0</v>
      </c>
      <c r="E2871" t="n">
        <v>0.4795753332</v>
      </c>
      <c r="F2871" t="n">
        <v>2.042292479</v>
      </c>
      <c r="G2871" t="n">
        <v>-2.999864678</v>
      </c>
      <c r="H2871" t="n">
        <v>-10.14176806</v>
      </c>
    </row>
    <row r="2872">
      <c r="A2872" t="inlineStr">
        <is>
          <t>ISL|mit.ic.c</t>
        </is>
      </c>
      <c r="B2872" t="inlineStr">
        <is>
          <t>ISL</t>
        </is>
      </c>
      <c r="C2872" t="inlineStr">
        <is>
          <t>mit.ic.c</t>
        </is>
      </c>
      <c r="D2872" t="n">
        <v>0</v>
      </c>
      <c r="E2872" t="n">
        <v>0.08640538440999999</v>
      </c>
      <c r="F2872" t="n">
        <v>0.5143210997</v>
      </c>
      <c r="G2872" t="n">
        <v>0.5447374802</v>
      </c>
      <c r="H2872" t="n">
        <v>0.6026615429</v>
      </c>
    </row>
    <row r="2873">
      <c r="A2873" t="inlineStr">
        <is>
          <t>ISR|mit.ic.c</t>
        </is>
      </c>
      <c r="B2873" t="inlineStr">
        <is>
          <t>ISR</t>
        </is>
      </c>
      <c r="C2873" t="inlineStr">
        <is>
          <t>mit.ic.c</t>
        </is>
      </c>
      <c r="D2873" t="n">
        <v>0</v>
      </c>
      <c r="E2873" t="n">
        <v>0.2686054605</v>
      </c>
      <c r="F2873" t="n">
        <v>2.15469699</v>
      </c>
      <c r="G2873" t="n">
        <v>4.690333953</v>
      </c>
      <c r="H2873" t="n">
        <v>5.538395076</v>
      </c>
    </row>
    <row r="2874">
      <c r="A2874" t="inlineStr">
        <is>
          <t>ITA|mit.ic.c</t>
        </is>
      </c>
      <c r="B2874" t="inlineStr">
        <is>
          <t>ITA</t>
        </is>
      </c>
      <c r="C2874" t="inlineStr">
        <is>
          <t>mit.ic.c</t>
        </is>
      </c>
      <c r="D2874" t="n">
        <v>0</v>
      </c>
      <c r="E2874" t="n">
        <v>-0.7415773325</v>
      </c>
      <c r="F2874" t="n">
        <v>-5.161022471</v>
      </c>
      <c r="G2874" t="n">
        <v>-16.66851471</v>
      </c>
      <c r="H2874" t="n">
        <v>-17.03212912</v>
      </c>
    </row>
    <row r="2875">
      <c r="A2875" t="inlineStr">
        <is>
          <t>JAM|mit.ic.c</t>
        </is>
      </c>
      <c r="B2875" t="inlineStr">
        <is>
          <t>JAM</t>
        </is>
      </c>
      <c r="C2875" t="inlineStr">
        <is>
          <t>mit.ic.c</t>
        </is>
      </c>
      <c r="D2875" t="n">
        <v>0</v>
      </c>
      <c r="E2875" t="n">
        <v>0.01174306506</v>
      </c>
      <c r="F2875" t="n">
        <v>0.02792398084</v>
      </c>
      <c r="G2875" t="n">
        <v>-0.3025750571</v>
      </c>
      <c r="H2875" t="n">
        <v>-0.6768507509</v>
      </c>
    </row>
    <row r="2876">
      <c r="A2876" t="inlineStr">
        <is>
          <t>JOR|mit.ic.c</t>
        </is>
      </c>
      <c r="B2876" t="inlineStr">
        <is>
          <t>JOR</t>
        </is>
      </c>
      <c r="C2876" t="inlineStr">
        <is>
          <t>mit.ic.c</t>
        </is>
      </c>
      <c r="D2876" t="n">
        <v>0</v>
      </c>
      <c r="E2876" t="n">
        <v>-0.04435584177</v>
      </c>
      <c r="F2876" t="n">
        <v>-0.4205057667</v>
      </c>
      <c r="G2876" t="n">
        <v>-2.678020675</v>
      </c>
      <c r="H2876" t="n">
        <v>-4.944440302</v>
      </c>
    </row>
    <row r="2877">
      <c r="A2877" t="inlineStr">
        <is>
          <t>JPN|mit.ic.c</t>
        </is>
      </c>
      <c r="B2877" t="inlineStr">
        <is>
          <t>JPN</t>
        </is>
      </c>
      <c r="C2877" t="inlineStr">
        <is>
          <t>mit.ic.c</t>
        </is>
      </c>
      <c r="D2877" t="n">
        <v>0</v>
      </c>
      <c r="E2877" t="n">
        <v>-1.995795234</v>
      </c>
      <c r="F2877" t="n">
        <v>-12.70310448</v>
      </c>
      <c r="G2877" t="n">
        <v>-23.23946856</v>
      </c>
      <c r="H2877" t="n">
        <v>-7.869887527</v>
      </c>
    </row>
    <row r="2878">
      <c r="A2878" t="inlineStr">
        <is>
          <t>KAZ|mit.ic.c</t>
        </is>
      </c>
      <c r="B2878" t="inlineStr">
        <is>
          <t>KAZ</t>
        </is>
      </c>
      <c r="C2878" t="inlineStr">
        <is>
          <t>mit.ic.c</t>
        </is>
      </c>
      <c r="D2878" t="n">
        <v>0</v>
      </c>
      <c r="E2878" t="n">
        <v>0.09272870439</v>
      </c>
      <c r="F2878" t="n">
        <v>-0.5506933214</v>
      </c>
      <c r="G2878" t="n">
        <v>-10.37906189</v>
      </c>
      <c r="H2878" t="n">
        <v>-20.60915853</v>
      </c>
    </row>
    <row r="2879">
      <c r="A2879" t="inlineStr">
        <is>
          <t>KEN|mit.ic.c</t>
        </is>
      </c>
      <c r="B2879" t="inlineStr">
        <is>
          <t>KEN</t>
        </is>
      </c>
      <c r="C2879" t="inlineStr">
        <is>
          <t>mit.ic.c</t>
        </is>
      </c>
      <c r="D2879" t="n">
        <v>0</v>
      </c>
      <c r="E2879" t="n">
        <v>0.243457255</v>
      </c>
      <c r="F2879" t="n">
        <v>1.325159657</v>
      </c>
      <c r="G2879" t="n">
        <v>0.5271797206</v>
      </c>
      <c r="H2879" t="n">
        <v>-0.5471671043</v>
      </c>
    </row>
    <row r="2880">
      <c r="A2880" t="inlineStr">
        <is>
          <t>KGZ|mit.ic.c</t>
        </is>
      </c>
      <c r="B2880" t="inlineStr">
        <is>
          <t>KGZ</t>
        </is>
      </c>
      <c r="C2880" t="inlineStr">
        <is>
          <t>mit.ic.c</t>
        </is>
      </c>
      <c r="D2880" t="n">
        <v>0</v>
      </c>
      <c r="E2880" t="n">
        <v>0.02782329898</v>
      </c>
      <c r="F2880" t="n">
        <v>0.1257087312</v>
      </c>
      <c r="G2880" t="n">
        <v>-0.1428198098</v>
      </c>
      <c r="H2880" t="n">
        <v>-0.4874643171</v>
      </c>
    </row>
    <row r="2881">
      <c r="A2881" t="inlineStr">
        <is>
          <t>KHM|mit.ic.c</t>
        </is>
      </c>
      <c r="B2881" t="inlineStr">
        <is>
          <t>KHM</t>
        </is>
      </c>
      <c r="C2881" t="inlineStr">
        <is>
          <t>mit.ic.c</t>
        </is>
      </c>
      <c r="D2881" t="n">
        <v>0</v>
      </c>
      <c r="E2881" t="n">
        <v>0.332629441</v>
      </c>
      <c r="F2881" t="n">
        <v>1.897246473</v>
      </c>
      <c r="G2881" t="n">
        <v>0.9252566902</v>
      </c>
      <c r="H2881" t="n">
        <v>-0.1978638156</v>
      </c>
    </row>
    <row r="2882">
      <c r="A2882" t="inlineStr">
        <is>
          <t>KNA|mit.ic.c</t>
        </is>
      </c>
      <c r="B2882" t="inlineStr">
        <is>
          <t>KNA</t>
        </is>
      </c>
      <c r="C2882" t="inlineStr">
        <is>
          <t>mit.ic.c</t>
        </is>
      </c>
      <c r="D2882" t="n">
        <v>0</v>
      </c>
      <c r="E2882" t="n">
        <v>0.00233921281</v>
      </c>
      <c r="F2882" t="n">
        <v>0.01055188712</v>
      </c>
      <c r="G2882" t="n">
        <v>-0.006988638088</v>
      </c>
      <c r="H2882" t="n">
        <v>-0.02531197167</v>
      </c>
    </row>
    <row r="2883">
      <c r="A2883" t="inlineStr">
        <is>
          <t>KOR|mit.ic.c</t>
        </is>
      </c>
      <c r="B2883" t="inlineStr">
        <is>
          <t>KOR</t>
        </is>
      </c>
      <c r="C2883" t="inlineStr">
        <is>
          <t>mit.ic.c</t>
        </is>
      </c>
      <c r="D2883" t="n">
        <v>0</v>
      </c>
      <c r="E2883" t="n">
        <v>-0.282448895</v>
      </c>
      <c r="F2883" t="n">
        <v>-2.258050051</v>
      </c>
      <c r="G2883" t="n">
        <v>-3.425184457</v>
      </c>
      <c r="H2883" t="n">
        <v>4.191755933</v>
      </c>
    </row>
    <row r="2884">
      <c r="A2884" t="inlineStr">
        <is>
          <t>KWT|mit.ic.c</t>
        </is>
      </c>
      <c r="B2884" t="inlineStr">
        <is>
          <t>KWT</t>
        </is>
      </c>
      <c r="C2884" t="inlineStr">
        <is>
          <t>mit.ic.c</t>
        </is>
      </c>
      <c r="D2884" t="n">
        <v>0</v>
      </c>
      <c r="E2884" t="n">
        <v>0.1583051079</v>
      </c>
      <c r="F2884" t="n">
        <v>0.2586045705</v>
      </c>
      <c r="G2884" t="n">
        <v>-4.254722219</v>
      </c>
      <c r="H2884" t="n">
        <v>-7.995975296</v>
      </c>
    </row>
    <row r="2885">
      <c r="A2885" t="inlineStr">
        <is>
          <t>LAO|mit.ic.c</t>
        </is>
      </c>
      <c r="B2885" t="inlineStr">
        <is>
          <t>LAO</t>
        </is>
      </c>
      <c r="C2885" t="inlineStr">
        <is>
          <t>mit.ic.c</t>
        </is>
      </c>
      <c r="D2885" t="n">
        <v>0</v>
      </c>
      <c r="E2885" t="n">
        <v>0.2353841884</v>
      </c>
      <c r="F2885" t="n">
        <v>1.375337548</v>
      </c>
      <c r="G2885" t="n">
        <v>1.646601747</v>
      </c>
      <c r="H2885" t="n">
        <v>1.861263604</v>
      </c>
    </row>
    <row r="2886">
      <c r="A2886" t="inlineStr">
        <is>
          <t>LBN|mit.ic.c</t>
        </is>
      </c>
      <c r="B2886" t="inlineStr">
        <is>
          <t>LBN</t>
        </is>
      </c>
      <c r="C2886" t="inlineStr">
        <is>
          <t>mit.ic.c</t>
        </is>
      </c>
      <c r="D2886" t="n">
        <v>0</v>
      </c>
      <c r="E2886" t="n">
        <v>0.07714021893</v>
      </c>
      <c r="F2886" t="n">
        <v>0.305075552</v>
      </c>
      <c r="G2886" t="n">
        <v>-0.8589993806</v>
      </c>
      <c r="H2886" t="n">
        <v>-2.054497689</v>
      </c>
    </row>
    <row r="2887">
      <c r="A2887" t="inlineStr">
        <is>
          <t>LBR|mit.ic.c</t>
        </is>
      </c>
      <c r="B2887" t="inlineStr">
        <is>
          <t>LBR</t>
        </is>
      </c>
      <c r="C2887" t="inlineStr">
        <is>
          <t>mit.ic.c</t>
        </is>
      </c>
      <c r="D2887" t="n">
        <v>0</v>
      </c>
      <c r="E2887" t="n">
        <v>0.1201823689</v>
      </c>
      <c r="F2887" t="n">
        <v>0.7185185247</v>
      </c>
      <c r="G2887" t="n">
        <v>0.7305993312</v>
      </c>
      <c r="H2887" t="n">
        <v>0.7218592198</v>
      </c>
    </row>
    <row r="2888">
      <c r="A2888" t="inlineStr">
        <is>
          <t>LBY|mit.ic.c</t>
        </is>
      </c>
      <c r="B2888" t="inlineStr">
        <is>
          <t>LBY</t>
        </is>
      </c>
      <c r="C2888" t="inlineStr">
        <is>
          <t>mit.ic.c</t>
        </is>
      </c>
      <c r="D2888" t="n">
        <v>0</v>
      </c>
      <c r="E2888" t="n">
        <v>0.05685930583</v>
      </c>
      <c r="F2888" t="n">
        <v>-0.2567646153</v>
      </c>
      <c r="G2888" t="n">
        <v>-6.146959201</v>
      </c>
      <c r="H2888" t="n">
        <v>-12.51877642</v>
      </c>
    </row>
    <row r="2889">
      <c r="A2889" t="inlineStr">
        <is>
          <t>LCA|mit.ic.c</t>
        </is>
      </c>
      <c r="B2889" t="inlineStr">
        <is>
          <t>LCA</t>
        </is>
      </c>
      <c r="C2889" t="inlineStr">
        <is>
          <t>mit.ic.c</t>
        </is>
      </c>
      <c r="D2889" t="n">
        <v>0</v>
      </c>
      <c r="E2889" t="n">
        <v>-0.0001107418625</v>
      </c>
      <c r="F2889" t="n">
        <v>-0.005306926817</v>
      </c>
      <c r="G2889" t="n">
        <v>-0.06093979818</v>
      </c>
      <c r="H2889" t="n">
        <v>-0.1244138028</v>
      </c>
    </row>
    <row r="2890">
      <c r="A2890" t="inlineStr">
        <is>
          <t>LKA|mit.ic.c</t>
        </is>
      </c>
      <c r="B2890" t="inlineStr">
        <is>
          <t>LKA</t>
        </is>
      </c>
      <c r="C2890" t="inlineStr">
        <is>
          <t>mit.ic.c</t>
        </is>
      </c>
      <c r="D2890" t="n">
        <v>0</v>
      </c>
      <c r="E2890" t="n">
        <v>0.05270686572</v>
      </c>
      <c r="F2890" t="n">
        <v>0.1583169887</v>
      </c>
      <c r="G2890" t="n">
        <v>-1.479215435</v>
      </c>
      <c r="H2890" t="n">
        <v>-3.552117933</v>
      </c>
    </row>
    <row r="2891">
      <c r="A2891" t="inlineStr">
        <is>
          <t>LSO|mit.ic.c</t>
        </is>
      </c>
      <c r="B2891" t="inlineStr">
        <is>
          <t>LSO</t>
        </is>
      </c>
      <c r="C2891" t="inlineStr">
        <is>
          <t>mit.ic.c</t>
        </is>
      </c>
      <c r="D2891" t="n">
        <v>0</v>
      </c>
      <c r="E2891" t="n">
        <v>0.02319432616</v>
      </c>
      <c r="F2891" t="n">
        <v>0.1112799256</v>
      </c>
      <c r="G2891" t="n">
        <v>0.07857635774000001</v>
      </c>
      <c r="H2891" t="n">
        <v>-0.02676115979</v>
      </c>
    </row>
    <row r="2892">
      <c r="A2892" t="inlineStr">
        <is>
          <t>LTU|mit.ic.c</t>
        </is>
      </c>
      <c r="B2892" t="inlineStr">
        <is>
          <t>LTU</t>
        </is>
      </c>
      <c r="C2892" t="inlineStr">
        <is>
          <t>mit.ic.c</t>
        </is>
      </c>
      <c r="D2892" t="n">
        <v>0</v>
      </c>
      <c r="E2892" t="n">
        <v>0.01397602817</v>
      </c>
      <c r="F2892" t="n">
        <v>0.03311827223</v>
      </c>
      <c r="G2892" t="n">
        <v>-0.3730129087</v>
      </c>
      <c r="H2892" t="n">
        <v>-0.4041634326</v>
      </c>
    </row>
    <row r="2893">
      <c r="A2893" t="inlineStr">
        <is>
          <t>LUX|mit.ic.c</t>
        </is>
      </c>
      <c r="B2893" t="inlineStr">
        <is>
          <t>LUX</t>
        </is>
      </c>
      <c r="C2893" t="inlineStr">
        <is>
          <t>mit.ic.c</t>
        </is>
      </c>
      <c r="D2893" t="n">
        <v>0</v>
      </c>
      <c r="E2893" t="n">
        <v>0.005953039121</v>
      </c>
      <c r="F2893" t="n">
        <v>0.0204512371</v>
      </c>
      <c r="G2893" t="n">
        <v>-0.1829805002</v>
      </c>
      <c r="H2893" t="n">
        <v>-0.2382647509</v>
      </c>
    </row>
    <row r="2894">
      <c r="A2894" t="inlineStr">
        <is>
          <t>LVA|mit.ic.c</t>
        </is>
      </c>
      <c r="B2894" t="inlineStr">
        <is>
          <t>LVA</t>
        </is>
      </c>
      <c r="C2894" t="inlineStr">
        <is>
          <t>mit.ic.c</t>
        </is>
      </c>
      <c r="D2894" t="n">
        <v>0</v>
      </c>
      <c r="E2894" t="n">
        <v>-0.002092743248</v>
      </c>
      <c r="F2894" t="n">
        <v>-0.05931205935</v>
      </c>
      <c r="G2894" t="n">
        <v>-0.4992360416</v>
      </c>
      <c r="H2894" t="n">
        <v>-0.6285907564</v>
      </c>
    </row>
    <row r="2895">
      <c r="A2895" t="inlineStr">
        <is>
          <t>MAC|mit.ic.c</t>
        </is>
      </c>
      <c r="B2895" t="inlineStr">
        <is>
          <t>MAC</t>
        </is>
      </c>
      <c r="C2895" t="inlineStr">
        <is>
          <t>mit.ic.c</t>
        </is>
      </c>
      <c r="D2895" t="n">
        <v>0</v>
      </c>
      <c r="E2895" t="n">
        <v>-0.03626028241</v>
      </c>
      <c r="F2895" t="n">
        <v>-0.2090411208</v>
      </c>
      <c r="G2895" t="n">
        <v>-0.4496652426</v>
      </c>
      <c r="H2895" t="n">
        <v>-0.5631489512</v>
      </c>
    </row>
    <row r="2896">
      <c r="A2896" t="inlineStr">
        <is>
          <t>MAR|mit.ic.c</t>
        </is>
      </c>
      <c r="B2896" t="inlineStr">
        <is>
          <t>MAR</t>
        </is>
      </c>
      <c r="C2896" t="inlineStr">
        <is>
          <t>mit.ic.c</t>
        </is>
      </c>
      <c r="D2896" t="n">
        <v>0</v>
      </c>
      <c r="E2896" t="n">
        <v>0.02999406461</v>
      </c>
      <c r="F2896" t="n">
        <v>-0.2591342558</v>
      </c>
      <c r="G2896" t="n">
        <v>-5.091882849</v>
      </c>
      <c r="H2896" t="n">
        <v>-10.5791887</v>
      </c>
    </row>
    <row r="2897">
      <c r="A2897" t="inlineStr">
        <is>
          <t>MDA|mit.ic.c</t>
        </is>
      </c>
      <c r="B2897" t="inlineStr">
        <is>
          <t>MDA</t>
        </is>
      </c>
      <c r="C2897" t="inlineStr">
        <is>
          <t>mit.ic.c</t>
        </is>
      </c>
      <c r="D2897" t="n">
        <v>0</v>
      </c>
      <c r="E2897" t="n">
        <v>0.01457997763</v>
      </c>
      <c r="F2897" t="n">
        <v>0.01501506868</v>
      </c>
      <c r="G2897" t="n">
        <v>-0.5924295835</v>
      </c>
      <c r="H2897" t="n">
        <v>-1.292882297</v>
      </c>
    </row>
    <row r="2898">
      <c r="A2898" t="inlineStr">
        <is>
          <t>MDG|mit.ic.c</t>
        </is>
      </c>
      <c r="B2898" t="inlineStr">
        <is>
          <t>MDG</t>
        </is>
      </c>
      <c r="C2898" t="inlineStr">
        <is>
          <t>mit.ic.c</t>
        </is>
      </c>
      <c r="D2898" t="n">
        <v>0</v>
      </c>
      <c r="E2898" t="n">
        <v>0.1637888586</v>
      </c>
      <c r="F2898" t="n">
        <v>0.9639493131</v>
      </c>
      <c r="G2898" t="n">
        <v>0.9881391883</v>
      </c>
      <c r="H2898" t="n">
        <v>0.992016993</v>
      </c>
    </row>
    <row r="2899">
      <c r="A2899" t="inlineStr">
        <is>
          <t>MDV|mit.ic.c</t>
        </is>
      </c>
      <c r="B2899" t="inlineStr">
        <is>
          <t>MDV</t>
        </is>
      </c>
      <c r="C2899" t="inlineStr">
        <is>
          <t>mit.ic.c</t>
        </is>
      </c>
      <c r="D2899" t="n">
        <v>0</v>
      </c>
      <c r="E2899" t="n">
        <v>-6.43596481e-05</v>
      </c>
      <c r="F2899" t="n">
        <v>-0.02141022037</v>
      </c>
      <c r="G2899" t="n">
        <v>-0.2598737287</v>
      </c>
      <c r="H2899" t="n">
        <v>-0.5171169283</v>
      </c>
    </row>
    <row r="2900">
      <c r="A2900" t="inlineStr">
        <is>
          <t>MEX|mit.ic.c</t>
        </is>
      </c>
      <c r="B2900" t="inlineStr">
        <is>
          <t>MEX</t>
        </is>
      </c>
      <c r="C2900" t="inlineStr">
        <is>
          <t>mit.ic.c</t>
        </is>
      </c>
      <c r="D2900" t="n">
        <v>0</v>
      </c>
      <c r="E2900" t="n">
        <v>1.428054054</v>
      </c>
      <c r="F2900" t="n">
        <v>6.314930312</v>
      </c>
      <c r="G2900" t="n">
        <v>-7.817350605</v>
      </c>
      <c r="H2900" t="n">
        <v>-22.69355706</v>
      </c>
    </row>
    <row r="2901">
      <c r="A2901" t="inlineStr">
        <is>
          <t>MKD|mit.ic.c</t>
        </is>
      </c>
      <c r="B2901" t="inlineStr">
        <is>
          <t>MKD</t>
        </is>
      </c>
      <c r="C2901" t="inlineStr">
        <is>
          <t>mit.ic.c</t>
        </is>
      </c>
      <c r="D2901" t="n">
        <v>0</v>
      </c>
      <c r="E2901" t="n">
        <v>0.008602300132</v>
      </c>
      <c r="F2901" t="n">
        <v>0.004235954122</v>
      </c>
      <c r="G2901" t="n">
        <v>-0.4141702935</v>
      </c>
      <c r="H2901" t="n">
        <v>-0.843916051</v>
      </c>
    </row>
    <row r="2902">
      <c r="A2902" t="inlineStr">
        <is>
          <t>MLI|mit.ic.c</t>
        </is>
      </c>
      <c r="B2902" t="inlineStr">
        <is>
          <t>MLI</t>
        </is>
      </c>
      <c r="C2902" t="inlineStr">
        <is>
          <t>mit.ic.c</t>
        </is>
      </c>
      <c r="D2902" t="n">
        <v>0</v>
      </c>
      <c r="E2902" t="n">
        <v>0.108447189</v>
      </c>
      <c r="F2902" t="n">
        <v>0.5889597707000001</v>
      </c>
      <c r="G2902" t="n">
        <v>-0.0518414686</v>
      </c>
      <c r="H2902" t="n">
        <v>-1.037287554</v>
      </c>
    </row>
    <row r="2903">
      <c r="A2903" t="inlineStr">
        <is>
          <t>MLT|mit.ic.c</t>
        </is>
      </c>
      <c r="B2903" t="inlineStr">
        <is>
          <t>MLT</t>
        </is>
      </c>
      <c r="C2903" t="inlineStr">
        <is>
          <t>mit.ic.c</t>
        </is>
      </c>
      <c r="D2903" t="n">
        <v>0</v>
      </c>
      <c r="E2903" t="n">
        <v>-0.01079087497</v>
      </c>
      <c r="F2903" t="n">
        <v>-0.06799077178</v>
      </c>
      <c r="G2903" t="n">
        <v>-0.165100146</v>
      </c>
      <c r="H2903" t="n">
        <v>-0.1674600335</v>
      </c>
    </row>
    <row r="2904">
      <c r="A2904" t="inlineStr">
        <is>
          <t>MMR|mit.ic.c</t>
        </is>
      </c>
      <c r="B2904" t="inlineStr">
        <is>
          <t>MMR</t>
        </is>
      </c>
      <c r="C2904" t="inlineStr">
        <is>
          <t>mit.ic.c</t>
        </is>
      </c>
      <c r="D2904" t="n">
        <v>0</v>
      </c>
      <c r="E2904" t="n">
        <v>1.49596637</v>
      </c>
      <c r="F2904" t="n">
        <v>8.903159545999999</v>
      </c>
      <c r="G2904" t="n">
        <v>9.424480393</v>
      </c>
      <c r="H2904" t="n">
        <v>9.799786319000001</v>
      </c>
    </row>
    <row r="2905">
      <c r="A2905" t="inlineStr">
        <is>
          <t>MNE|mit.ic.c</t>
        </is>
      </c>
      <c r="B2905" t="inlineStr">
        <is>
          <t>MNE</t>
        </is>
      </c>
      <c r="C2905" t="inlineStr">
        <is>
          <t>mit.ic.c</t>
        </is>
      </c>
      <c r="D2905" t="n">
        <v>0</v>
      </c>
      <c r="E2905" t="n">
        <v>-0.0001744856482</v>
      </c>
      <c r="F2905" t="n">
        <v>-0.009986276624</v>
      </c>
      <c r="G2905" t="n">
        <v>-0.1094259542</v>
      </c>
      <c r="H2905" t="n">
        <v>-0.207181511</v>
      </c>
    </row>
    <row r="2906">
      <c r="A2906" t="inlineStr">
        <is>
          <t>MNG|mit.ic.c</t>
        </is>
      </c>
      <c r="B2906" t="inlineStr">
        <is>
          <t>MNG</t>
        </is>
      </c>
      <c r="C2906" t="inlineStr">
        <is>
          <t>mit.ic.c</t>
        </is>
      </c>
      <c r="D2906" t="n">
        <v>0</v>
      </c>
      <c r="E2906" t="n">
        <v>0.2648142231</v>
      </c>
      <c r="F2906" t="n">
        <v>1.504542103</v>
      </c>
      <c r="G2906" t="n">
        <v>0.8725864502</v>
      </c>
      <c r="H2906" t="n">
        <v>0.05176531658</v>
      </c>
    </row>
    <row r="2907">
      <c r="A2907" t="inlineStr">
        <is>
          <t>MOZ|mit.ic.c</t>
        </is>
      </c>
      <c r="B2907" t="inlineStr">
        <is>
          <t>MOZ</t>
        </is>
      </c>
      <c r="C2907" t="inlineStr">
        <is>
          <t>mit.ic.c</t>
        </is>
      </c>
      <c r="D2907" t="n">
        <v>0</v>
      </c>
      <c r="E2907" t="n">
        <v>0.6260018959</v>
      </c>
      <c r="F2907" t="n">
        <v>3.724560477</v>
      </c>
      <c r="G2907" t="n">
        <v>3.658824418</v>
      </c>
      <c r="H2907" t="n">
        <v>3.632759326</v>
      </c>
    </row>
    <row r="2908">
      <c r="A2908" t="inlineStr">
        <is>
          <t>MRT|mit.ic.c</t>
        </is>
      </c>
      <c r="B2908" t="inlineStr">
        <is>
          <t>MRT</t>
        </is>
      </c>
      <c r="C2908" t="inlineStr">
        <is>
          <t>mit.ic.c</t>
        </is>
      </c>
      <c r="D2908" t="n">
        <v>0</v>
      </c>
      <c r="E2908" t="n">
        <v>0.03626597049</v>
      </c>
      <c r="F2908" t="n">
        <v>0.1868947112</v>
      </c>
      <c r="G2908" t="n">
        <v>-0.07424543469</v>
      </c>
      <c r="H2908" t="n">
        <v>-0.4449400057</v>
      </c>
    </row>
    <row r="2909">
      <c r="A2909" t="inlineStr">
        <is>
          <t>MUS|mit.ic.c</t>
        </is>
      </c>
      <c r="B2909" t="inlineStr">
        <is>
          <t>MUS</t>
        </is>
      </c>
      <c r="C2909" t="inlineStr">
        <is>
          <t>mit.ic.c</t>
        </is>
      </c>
      <c r="D2909" t="n">
        <v>0</v>
      </c>
      <c r="E2909" t="n">
        <v>-0.009352510707</v>
      </c>
      <c r="F2909" t="n">
        <v>-0.08168003158000001</v>
      </c>
      <c r="G2909" t="n">
        <v>-0.4607305684</v>
      </c>
      <c r="H2909" t="n">
        <v>-0.8313719308</v>
      </c>
    </row>
    <row r="2910">
      <c r="A2910" t="inlineStr">
        <is>
          <t>MWI|mit.ic.c</t>
        </is>
      </c>
      <c r="B2910" t="inlineStr">
        <is>
          <t>MWI</t>
        </is>
      </c>
      <c r="C2910" t="inlineStr">
        <is>
          <t>mit.ic.c</t>
        </is>
      </c>
      <c r="D2910" t="n">
        <v>0</v>
      </c>
      <c r="E2910" t="n">
        <v>0.1195027925</v>
      </c>
      <c r="F2910" t="n">
        <v>0.7019233488</v>
      </c>
      <c r="G2910" t="n">
        <v>0.7798015413</v>
      </c>
      <c r="H2910" t="n">
        <v>0.8214907061</v>
      </c>
    </row>
    <row r="2911">
      <c r="A2911" t="inlineStr">
        <is>
          <t>MYS|mit.ic.c</t>
        </is>
      </c>
      <c r="B2911" t="inlineStr">
        <is>
          <t>MYS</t>
        </is>
      </c>
      <c r="C2911" t="inlineStr">
        <is>
          <t>mit.ic.c</t>
        </is>
      </c>
      <c r="D2911" t="n">
        <v>0</v>
      </c>
      <c r="E2911" t="n">
        <v>0.5198766243</v>
      </c>
      <c r="F2911" t="n">
        <v>1.543386845</v>
      </c>
      <c r="G2911" t="n">
        <v>-12.67803438</v>
      </c>
      <c r="H2911" t="n">
        <v>-26.13548097</v>
      </c>
    </row>
    <row r="2912">
      <c r="A2912" t="inlineStr">
        <is>
          <t>NAM|mit.ic.c</t>
        </is>
      </c>
      <c r="B2912" t="inlineStr">
        <is>
          <t>NAM</t>
        </is>
      </c>
      <c r="C2912" t="inlineStr">
        <is>
          <t>mit.ic.c</t>
        </is>
      </c>
      <c r="D2912" t="n">
        <v>0</v>
      </c>
      <c r="E2912" t="n">
        <v>0.1059106017</v>
      </c>
      <c r="F2912" t="n">
        <v>0.6085978441</v>
      </c>
      <c r="G2912" t="n">
        <v>0.4031843347</v>
      </c>
      <c r="H2912" t="n">
        <v>0.1858285685</v>
      </c>
    </row>
    <row r="2913">
      <c r="A2913" t="inlineStr">
        <is>
          <t>NER|mit.ic.c</t>
        </is>
      </c>
      <c r="B2913" t="inlineStr">
        <is>
          <t>NER</t>
        </is>
      </c>
      <c r="C2913" t="inlineStr">
        <is>
          <t>mit.ic.c</t>
        </is>
      </c>
      <c r="D2913" t="n">
        <v>0</v>
      </c>
      <c r="E2913" t="n">
        <v>0.1106614897</v>
      </c>
      <c r="F2913" t="n">
        <v>0.6373000521</v>
      </c>
      <c r="G2913" t="n">
        <v>0.5748667708</v>
      </c>
      <c r="H2913" t="n">
        <v>0.4116757556</v>
      </c>
    </row>
    <row r="2914">
      <c r="A2914" t="inlineStr">
        <is>
          <t>NGA|mit.ic.c</t>
        </is>
      </c>
      <c r="B2914" t="inlineStr">
        <is>
          <t>NGA</t>
        </is>
      </c>
      <c r="C2914" t="inlineStr">
        <is>
          <t>mit.ic.c</t>
        </is>
      </c>
      <c r="D2914" t="n">
        <v>0</v>
      </c>
      <c r="E2914" t="n">
        <v>1.183907732</v>
      </c>
      <c r="F2914" t="n">
        <v>6.020743436</v>
      </c>
      <c r="G2914" t="n">
        <v>-0.9536800555</v>
      </c>
      <c r="H2914" t="n">
        <v>-9.237146906</v>
      </c>
    </row>
    <row r="2915">
      <c r="A2915" t="inlineStr">
        <is>
          <t>NIC|mit.ic.c</t>
        </is>
      </c>
      <c r="B2915" t="inlineStr">
        <is>
          <t>NIC</t>
        </is>
      </c>
      <c r="C2915" t="inlineStr">
        <is>
          <t>mit.ic.c</t>
        </is>
      </c>
      <c r="D2915" t="n">
        <v>0</v>
      </c>
      <c r="E2915" t="n">
        <v>0.1872862161</v>
      </c>
      <c r="F2915" t="n">
        <v>1.080904088</v>
      </c>
      <c r="G2915" t="n">
        <v>0.6182213533000001</v>
      </c>
      <c r="H2915" t="n">
        <v>0.02022585205</v>
      </c>
    </row>
    <row r="2916">
      <c r="A2916" t="inlineStr">
        <is>
          <t>NLD|mit.ic.c</t>
        </is>
      </c>
      <c r="B2916" t="inlineStr">
        <is>
          <t>NLD</t>
        </is>
      </c>
      <c r="C2916" t="inlineStr">
        <is>
          <t>mit.ic.c</t>
        </is>
      </c>
      <c r="D2916" t="n">
        <v>0</v>
      </c>
      <c r="E2916" t="n">
        <v>0.2548541162</v>
      </c>
      <c r="F2916" t="n">
        <v>1.462542244</v>
      </c>
      <c r="G2916" t="n">
        <v>2.714153453</v>
      </c>
      <c r="H2916" t="n">
        <v>5.623051512</v>
      </c>
    </row>
    <row r="2917">
      <c r="A2917" t="inlineStr">
        <is>
          <t>NOR|mit.ic.c</t>
        </is>
      </c>
      <c r="B2917" t="inlineStr">
        <is>
          <t>NOR</t>
        </is>
      </c>
      <c r="C2917" t="inlineStr">
        <is>
          <t>mit.ic.c</t>
        </is>
      </c>
      <c r="D2917" t="n">
        <v>0</v>
      </c>
      <c r="E2917" t="n">
        <v>0.2607876113</v>
      </c>
      <c r="F2917" t="n">
        <v>1.571997914</v>
      </c>
      <c r="G2917" t="n">
        <v>3.805837448</v>
      </c>
      <c r="H2917" t="n">
        <v>6.495890491</v>
      </c>
    </row>
    <row r="2918">
      <c r="A2918" t="inlineStr">
        <is>
          <t>NPL|mit.ic.c</t>
        </is>
      </c>
      <c r="B2918" t="inlineStr">
        <is>
          <t>NPL</t>
        </is>
      </c>
      <c r="C2918" t="inlineStr">
        <is>
          <t>mit.ic.c</t>
        </is>
      </c>
      <c r="D2918" t="n">
        <v>0</v>
      </c>
      <c r="E2918" t="n">
        <v>0.1062602821</v>
      </c>
      <c r="F2918" t="n">
        <v>0.5322589147</v>
      </c>
      <c r="G2918" t="n">
        <v>-0.2138648157</v>
      </c>
      <c r="H2918" t="n">
        <v>-1.266948155</v>
      </c>
    </row>
    <row r="2919">
      <c r="A2919" t="inlineStr">
        <is>
          <t>NRU|mit.ic.c</t>
        </is>
      </c>
      <c r="B2919" t="inlineStr">
        <is>
          <t>NRU</t>
        </is>
      </c>
      <c r="C2919" t="inlineStr">
        <is>
          <t>mit.ic.c</t>
        </is>
      </c>
      <c r="D2919" t="n">
        <v>0</v>
      </c>
      <c r="E2919" t="n">
        <v>0.0006887140706</v>
      </c>
      <c r="F2919" t="n">
        <v>0.003863145188</v>
      </c>
      <c r="G2919" t="n">
        <v>0.005045785706</v>
      </c>
      <c r="H2919" t="n">
        <v>0.00660387865</v>
      </c>
    </row>
    <row r="2920">
      <c r="A2920" t="inlineStr">
        <is>
          <t>NZL|mit.ic.c</t>
        </is>
      </c>
      <c r="B2920" t="inlineStr">
        <is>
          <t>NZL</t>
        </is>
      </c>
      <c r="C2920" t="inlineStr">
        <is>
          <t>mit.ic.c</t>
        </is>
      </c>
      <c r="D2920" t="n">
        <v>0</v>
      </c>
      <c r="E2920" t="n">
        <v>0.1452413958</v>
      </c>
      <c r="F2920" t="n">
        <v>0.8297731884</v>
      </c>
      <c r="G2920" t="n">
        <v>0.8479313621</v>
      </c>
      <c r="H2920" t="n">
        <v>1.378048393</v>
      </c>
    </row>
    <row r="2921">
      <c r="A2921" t="inlineStr">
        <is>
          <t>OMN|mit.ic.c</t>
        </is>
      </c>
      <c r="B2921" t="inlineStr">
        <is>
          <t>OMN</t>
        </is>
      </c>
      <c r="C2921" t="inlineStr">
        <is>
          <t>mit.ic.c</t>
        </is>
      </c>
      <c r="D2921" t="n">
        <v>0</v>
      </c>
      <c r="E2921" t="n">
        <v>0.3719941576</v>
      </c>
      <c r="F2921" t="n">
        <v>2.018149034</v>
      </c>
      <c r="G2921" t="n">
        <v>2.859897499</v>
      </c>
      <c r="H2921" t="n">
        <v>4.078667731</v>
      </c>
    </row>
    <row r="2922">
      <c r="A2922" t="inlineStr">
        <is>
          <t>PAK|mit.ic.c</t>
        </is>
      </c>
      <c r="B2922" t="inlineStr">
        <is>
          <t>PAK</t>
        </is>
      </c>
      <c r="C2922" t="inlineStr">
        <is>
          <t>mit.ic.c</t>
        </is>
      </c>
      <c r="D2922" t="n">
        <v>0</v>
      </c>
      <c r="E2922" t="n">
        <v>0.9928650503999999</v>
      </c>
      <c r="F2922" t="n">
        <v>4.931472953</v>
      </c>
      <c r="G2922" t="n">
        <v>-1.775534147</v>
      </c>
      <c r="H2922" t="n">
        <v>-10.34748316</v>
      </c>
    </row>
    <row r="2923">
      <c r="A2923" t="inlineStr">
        <is>
          <t>PAN|mit.ic.c</t>
        </is>
      </c>
      <c r="B2923" t="inlineStr">
        <is>
          <t>PAN</t>
        </is>
      </c>
      <c r="C2923" t="inlineStr">
        <is>
          <t>mit.ic.c</t>
        </is>
      </c>
      <c r="D2923" t="n">
        <v>0</v>
      </c>
      <c r="E2923" t="n">
        <v>0.03710160055</v>
      </c>
      <c r="F2923" t="n">
        <v>0.1333791094</v>
      </c>
      <c r="G2923" t="n">
        <v>-0.8072218081</v>
      </c>
      <c r="H2923" t="n">
        <v>-1.548764285</v>
      </c>
    </row>
    <row r="2924">
      <c r="A2924" t="inlineStr">
        <is>
          <t>PER|mit.ic.c</t>
        </is>
      </c>
      <c r="B2924" t="inlineStr">
        <is>
          <t>PER</t>
        </is>
      </c>
      <c r="C2924" t="inlineStr">
        <is>
          <t>mit.ic.c</t>
        </is>
      </c>
      <c r="D2924" t="n">
        <v>0</v>
      </c>
      <c r="E2924" t="n">
        <v>0.5971152008</v>
      </c>
      <c r="F2924" t="n">
        <v>3.078405367</v>
      </c>
      <c r="G2924" t="n">
        <v>-3.234167165</v>
      </c>
      <c r="H2924" t="n">
        <v>-10.66254371</v>
      </c>
    </row>
    <row r="2925">
      <c r="A2925" t="inlineStr">
        <is>
          <t>PHL|mit.ic.c</t>
        </is>
      </c>
      <c r="B2925" t="inlineStr">
        <is>
          <t>PHL</t>
        </is>
      </c>
      <c r="C2925" t="inlineStr">
        <is>
          <t>mit.ic.c</t>
        </is>
      </c>
      <c r="D2925" t="n">
        <v>0</v>
      </c>
      <c r="E2925" t="n">
        <v>-0.2698290009</v>
      </c>
      <c r="F2925" t="n">
        <v>-2.741381126</v>
      </c>
      <c r="G2925" t="n">
        <v>-17.78508711</v>
      </c>
      <c r="H2925" t="n">
        <v>-37.28521891</v>
      </c>
    </row>
    <row r="2926">
      <c r="A2926" t="inlineStr">
        <is>
          <t>PLW|mit.ic.c</t>
        </is>
      </c>
      <c r="B2926" t="inlineStr">
        <is>
          <t>PLW</t>
        </is>
      </c>
      <c r="C2926" t="inlineStr">
        <is>
          <t>mit.ic.c</t>
        </is>
      </c>
      <c r="D2926" t="n">
        <v>0</v>
      </c>
      <c r="E2926" t="n">
        <v>0.003921453118</v>
      </c>
      <c r="F2926" t="n">
        <v>0.02259819962</v>
      </c>
      <c r="G2926" t="n">
        <v>0.04281597514</v>
      </c>
      <c r="H2926" t="n">
        <v>0.06462288970000001</v>
      </c>
    </row>
    <row r="2927">
      <c r="A2927" t="inlineStr">
        <is>
          <t>PNG|mit.ic.c</t>
        </is>
      </c>
      <c r="B2927" t="inlineStr">
        <is>
          <t>PNG</t>
        </is>
      </c>
      <c r="C2927" t="inlineStr">
        <is>
          <t>mit.ic.c</t>
        </is>
      </c>
      <c r="D2927" t="n">
        <v>0</v>
      </c>
      <c r="E2927" t="n">
        <v>0.2896681675</v>
      </c>
      <c r="F2927" t="n">
        <v>1.69483376</v>
      </c>
      <c r="G2927" t="n">
        <v>1.325401017</v>
      </c>
      <c r="H2927" t="n">
        <v>0.8082174765</v>
      </c>
    </row>
    <row r="2928">
      <c r="A2928" t="inlineStr">
        <is>
          <t>POL|mit.ic.c</t>
        </is>
      </c>
      <c r="B2928" t="inlineStr">
        <is>
          <t>POL</t>
        </is>
      </c>
      <c r="C2928" t="inlineStr">
        <is>
          <t>mit.ic.c</t>
        </is>
      </c>
      <c r="D2928" t="n">
        <v>0</v>
      </c>
      <c r="E2928" t="n">
        <v>-0.79141129</v>
      </c>
      <c r="F2928" t="n">
        <v>-6.644315272</v>
      </c>
      <c r="G2928" t="n">
        <v>-31.44377447</v>
      </c>
      <c r="H2928" t="n">
        <v>-51.15048603</v>
      </c>
    </row>
    <row r="2929">
      <c r="A2929" t="inlineStr">
        <is>
          <t>PRI|mit.ic.c</t>
        </is>
      </c>
      <c r="B2929" t="inlineStr">
        <is>
          <t>PRI</t>
        </is>
      </c>
      <c r="C2929" t="inlineStr">
        <is>
          <t>mit.ic.c</t>
        </is>
      </c>
      <c r="D2929" t="n">
        <v>0</v>
      </c>
      <c r="E2929" t="n">
        <v>0.04175325045</v>
      </c>
      <c r="F2929" t="n">
        <v>0.2116103277</v>
      </c>
      <c r="G2929" t="n">
        <v>0.1015705221</v>
      </c>
      <c r="H2929" t="n">
        <v>0.2189110872</v>
      </c>
    </row>
    <row r="2930">
      <c r="A2930" t="inlineStr">
        <is>
          <t>PRT|mit.ic.c</t>
        </is>
      </c>
      <c r="B2930" t="inlineStr">
        <is>
          <t>PRT</t>
        </is>
      </c>
      <c r="C2930" t="inlineStr">
        <is>
          <t>mit.ic.c</t>
        </is>
      </c>
      <c r="D2930" t="n">
        <v>0</v>
      </c>
      <c r="E2930" t="n">
        <v>0.05595864423</v>
      </c>
      <c r="F2930" t="n">
        <v>0.1612619779</v>
      </c>
      <c r="G2930" t="n">
        <v>-0.9426530926</v>
      </c>
      <c r="H2930" t="n">
        <v>-1.196759</v>
      </c>
    </row>
    <row r="2931">
      <c r="A2931" t="inlineStr">
        <is>
          <t>PRY|mit.ic.c</t>
        </is>
      </c>
      <c r="B2931" t="inlineStr">
        <is>
          <t>PRY</t>
        </is>
      </c>
      <c r="C2931" t="inlineStr">
        <is>
          <t>mit.ic.c</t>
        </is>
      </c>
      <c r="D2931" t="n">
        <v>0</v>
      </c>
      <c r="E2931" t="n">
        <v>0.4434791209</v>
      </c>
      <c r="F2931" t="n">
        <v>2.529955437</v>
      </c>
      <c r="G2931" t="n">
        <v>1.979147146</v>
      </c>
      <c r="H2931" t="n">
        <v>1.536275441</v>
      </c>
    </row>
    <row r="2932">
      <c r="A2932" t="inlineStr">
        <is>
          <t>QAT|mit.ic.c</t>
        </is>
      </c>
      <c r="B2932" t="inlineStr">
        <is>
          <t>QAT</t>
        </is>
      </c>
      <c r="C2932" t="inlineStr">
        <is>
          <t>mit.ic.c</t>
        </is>
      </c>
      <c r="D2932" t="n">
        <v>0</v>
      </c>
      <c r="E2932" t="n">
        <v>0.7065852236</v>
      </c>
      <c r="F2932" t="n">
        <v>3.390209762</v>
      </c>
      <c r="G2932" t="n">
        <v>6.394359547</v>
      </c>
      <c r="H2932" t="n">
        <v>9.957986029000001</v>
      </c>
    </row>
    <row r="2933">
      <c r="A2933" t="inlineStr">
        <is>
          <t>ROU|mit.ic.c</t>
        </is>
      </c>
      <c r="B2933" t="inlineStr">
        <is>
          <t>ROU</t>
        </is>
      </c>
      <c r="C2933" t="inlineStr">
        <is>
          <t>mit.ic.c</t>
        </is>
      </c>
      <c r="D2933" t="n">
        <v>0</v>
      </c>
      <c r="E2933" t="n">
        <v>0.0917252932</v>
      </c>
      <c r="F2933" t="n">
        <v>0.1244129769</v>
      </c>
      <c r="G2933" t="n">
        <v>-3.334040142</v>
      </c>
      <c r="H2933" t="n">
        <v>-7.016621592</v>
      </c>
    </row>
    <row r="2934">
      <c r="A2934" t="inlineStr">
        <is>
          <t>RUS|mit.ic.c</t>
        </is>
      </c>
      <c r="B2934" t="inlineStr">
        <is>
          <t>RUS</t>
        </is>
      </c>
      <c r="C2934" t="inlineStr">
        <is>
          <t>mit.ic.c</t>
        </is>
      </c>
      <c r="D2934" t="n">
        <v>0</v>
      </c>
      <c r="E2934" t="n">
        <v>3.991515754</v>
      </c>
      <c r="F2934" t="n">
        <v>17.48179124</v>
      </c>
      <c r="G2934" t="n">
        <v>6.597641264</v>
      </c>
      <c r="H2934" t="n">
        <v>7.020615759</v>
      </c>
    </row>
    <row r="2935">
      <c r="A2935" t="inlineStr">
        <is>
          <t>RWA|mit.ic.c</t>
        </is>
      </c>
      <c r="B2935" t="inlineStr">
        <is>
          <t>RWA</t>
        </is>
      </c>
      <c r="C2935" t="inlineStr">
        <is>
          <t>mit.ic.c</t>
        </is>
      </c>
      <c r="D2935" t="n">
        <v>0</v>
      </c>
      <c r="E2935" t="n">
        <v>0.02797070896</v>
      </c>
      <c r="F2935" t="n">
        <v>0.1530116302</v>
      </c>
      <c r="G2935" t="n">
        <v>0.02460329731</v>
      </c>
      <c r="H2935" t="n">
        <v>-0.1566242729</v>
      </c>
    </row>
    <row r="2936">
      <c r="A2936" t="inlineStr">
        <is>
          <t>SAU|mit.ic.c</t>
        </is>
      </c>
      <c r="B2936" t="inlineStr">
        <is>
          <t>SAU</t>
        </is>
      </c>
      <c r="C2936" t="inlineStr">
        <is>
          <t>mit.ic.c</t>
        </is>
      </c>
      <c r="D2936" t="n">
        <v>0</v>
      </c>
      <c r="E2936" t="n">
        <v>-0.09153376772000001</v>
      </c>
      <c r="F2936" t="n">
        <v>-4.031370411</v>
      </c>
      <c r="G2936" t="n">
        <v>-38.90866752</v>
      </c>
      <c r="H2936" t="n">
        <v>-64.24123804</v>
      </c>
    </row>
    <row r="2937">
      <c r="A2937" t="inlineStr">
        <is>
          <t>SDN|mit.ic.c</t>
        </is>
      </c>
      <c r="B2937" t="inlineStr">
        <is>
          <t>SDN</t>
        </is>
      </c>
      <c r="C2937" t="inlineStr">
        <is>
          <t>mit.ic.c</t>
        </is>
      </c>
      <c r="D2937" t="n">
        <v>0</v>
      </c>
      <c r="E2937" t="n">
        <v>0.4767544561</v>
      </c>
      <c r="F2937" t="n">
        <v>2.693254934</v>
      </c>
      <c r="G2937" t="n">
        <v>2.271463591</v>
      </c>
      <c r="H2937" t="n">
        <v>1.709535717</v>
      </c>
    </row>
    <row r="2938">
      <c r="A2938" t="inlineStr">
        <is>
          <t>SEN|mit.ic.c</t>
        </is>
      </c>
      <c r="B2938" t="inlineStr">
        <is>
          <t>SEN</t>
        </is>
      </c>
      <c r="C2938" t="inlineStr">
        <is>
          <t>mit.ic.c</t>
        </is>
      </c>
      <c r="D2938" t="n">
        <v>0</v>
      </c>
      <c r="E2938" t="n">
        <v>0.05894039158</v>
      </c>
      <c r="F2938" t="n">
        <v>0.2608111965</v>
      </c>
      <c r="G2938" t="n">
        <v>-0.8920310858</v>
      </c>
      <c r="H2938" t="n">
        <v>-2.431119344</v>
      </c>
    </row>
    <row r="2939">
      <c r="A2939" t="inlineStr">
        <is>
          <t>SGP|mit.ic.c</t>
        </is>
      </c>
      <c r="B2939" t="inlineStr">
        <is>
          <t>SGP</t>
        </is>
      </c>
      <c r="C2939" t="inlineStr">
        <is>
          <t>mit.ic.c</t>
        </is>
      </c>
      <c r="D2939" t="n">
        <v>0</v>
      </c>
      <c r="E2939" t="n">
        <v>-0.9019314356</v>
      </c>
      <c r="F2939" t="n">
        <v>-6.795370992</v>
      </c>
      <c r="G2939" t="n">
        <v>-15.93386111</v>
      </c>
      <c r="H2939" t="n">
        <v>-16.55541922</v>
      </c>
    </row>
    <row r="2940">
      <c r="A2940" t="inlineStr">
        <is>
          <t>SLB|mit.ic.c</t>
        </is>
      </c>
      <c r="B2940" t="inlineStr">
        <is>
          <t>SLB</t>
        </is>
      </c>
      <c r="C2940" t="inlineStr">
        <is>
          <t>mit.ic.c</t>
        </is>
      </c>
      <c r="D2940" t="n">
        <v>0</v>
      </c>
      <c r="E2940" t="n">
        <v>0.361235862</v>
      </c>
      <c r="F2940" t="n">
        <v>2.166513414</v>
      </c>
      <c r="G2940" t="n">
        <v>2.148510165</v>
      </c>
      <c r="H2940" t="n">
        <v>2.125204334</v>
      </c>
    </row>
    <row r="2941">
      <c r="A2941" t="inlineStr">
        <is>
          <t>SLE|mit.ic.c</t>
        </is>
      </c>
      <c r="B2941" t="inlineStr">
        <is>
          <t>SLE</t>
        </is>
      </c>
      <c r="C2941" t="inlineStr">
        <is>
          <t>mit.ic.c</t>
        </is>
      </c>
      <c r="D2941" t="n">
        <v>0</v>
      </c>
      <c r="E2941" t="n">
        <v>0.03753994508</v>
      </c>
      <c r="F2941" t="n">
        <v>0.2074664859</v>
      </c>
      <c r="G2941" t="n">
        <v>0.03721412621</v>
      </c>
      <c r="H2941" t="n">
        <v>-0.2197677747</v>
      </c>
    </row>
    <row r="2942">
      <c r="A2942" t="inlineStr">
        <is>
          <t>SLV|mit.ic.c</t>
        </is>
      </c>
      <c r="B2942" t="inlineStr">
        <is>
          <t>SLV</t>
        </is>
      </c>
      <c r="C2942" t="inlineStr">
        <is>
          <t>mit.ic.c</t>
        </is>
      </c>
      <c r="D2942" t="n">
        <v>0</v>
      </c>
      <c r="E2942" t="n">
        <v>0.006723754584</v>
      </c>
      <c r="F2942" t="n">
        <v>-0.02304428288</v>
      </c>
      <c r="G2942" t="n">
        <v>-0.8610327903</v>
      </c>
      <c r="H2942" t="n">
        <v>-1.904130835</v>
      </c>
    </row>
    <row r="2943">
      <c r="A2943" t="inlineStr">
        <is>
          <t>SOM|mit.ic.c</t>
        </is>
      </c>
      <c r="B2943" t="inlineStr">
        <is>
          <t>SOM</t>
        </is>
      </c>
      <c r="C2943" t="inlineStr">
        <is>
          <t>mit.ic.c</t>
        </is>
      </c>
      <c r="D2943" t="n">
        <v>0</v>
      </c>
      <c r="E2943" t="n">
        <v>0.2254012674</v>
      </c>
      <c r="F2943" t="n">
        <v>1.344643055</v>
      </c>
      <c r="G2943" t="n">
        <v>1.521811646</v>
      </c>
      <c r="H2943" t="n">
        <v>1.666517169</v>
      </c>
    </row>
    <row r="2944">
      <c r="A2944" t="inlineStr">
        <is>
          <t>SRB|mit.ic.c</t>
        </is>
      </c>
      <c r="B2944" t="inlineStr">
        <is>
          <t>SRB</t>
        </is>
      </c>
      <c r="C2944" t="inlineStr">
        <is>
          <t>mit.ic.c</t>
        </is>
      </c>
      <c r="D2944" t="n">
        <v>0</v>
      </c>
      <c r="E2944" t="n">
        <v>-0.07339996685</v>
      </c>
      <c r="F2944" t="n">
        <v>-0.5960108565</v>
      </c>
      <c r="G2944" t="n">
        <v>-2.776260234</v>
      </c>
      <c r="H2944" t="n">
        <v>-5.128479461</v>
      </c>
    </row>
    <row r="2945">
      <c r="A2945" t="inlineStr">
        <is>
          <t>STP|mit.ic.c</t>
        </is>
      </c>
      <c r="B2945" t="inlineStr">
        <is>
          <t>STP</t>
        </is>
      </c>
      <c r="C2945" t="inlineStr">
        <is>
          <t>mit.ic.c</t>
        </is>
      </c>
      <c r="D2945" t="n">
        <v>0</v>
      </c>
      <c r="E2945" t="n">
        <v>0.002607421577</v>
      </c>
      <c r="F2945" t="n">
        <v>0.01464160513</v>
      </c>
      <c r="G2945" t="n">
        <v>0.00957452607</v>
      </c>
      <c r="H2945" t="n">
        <v>0.0007548219567</v>
      </c>
    </row>
    <row r="2946">
      <c r="A2946" t="inlineStr">
        <is>
          <t>SUR|mit.ic.c</t>
        </is>
      </c>
      <c r="B2946" t="inlineStr">
        <is>
          <t>SUR</t>
        </is>
      </c>
      <c r="C2946" t="inlineStr">
        <is>
          <t>mit.ic.c</t>
        </is>
      </c>
      <c r="D2946" t="n">
        <v>0</v>
      </c>
      <c r="E2946" t="n">
        <v>0.07955405090000001</v>
      </c>
      <c r="F2946" t="n">
        <v>0.4621040107</v>
      </c>
      <c r="G2946" t="n">
        <v>0.3490564533</v>
      </c>
      <c r="H2946" t="n">
        <v>0.2141289301</v>
      </c>
    </row>
    <row r="2947">
      <c r="A2947" t="inlineStr">
        <is>
          <t>SVK|mit.ic.c</t>
        </is>
      </c>
      <c r="B2947" t="inlineStr">
        <is>
          <t>SVK</t>
        </is>
      </c>
      <c r="C2947" t="inlineStr">
        <is>
          <t>mit.ic.c</t>
        </is>
      </c>
      <c r="D2947" t="n">
        <v>0</v>
      </c>
      <c r="E2947" t="n">
        <v>-0.05301767017</v>
      </c>
      <c r="F2947" t="n">
        <v>-0.4280583496</v>
      </c>
      <c r="G2947" t="n">
        <v>-1.55745882</v>
      </c>
      <c r="H2947" t="n">
        <v>-1.897115719</v>
      </c>
    </row>
    <row r="2948">
      <c r="A2948" t="inlineStr">
        <is>
          <t>SVN|mit.ic.c</t>
        </is>
      </c>
      <c r="B2948" t="inlineStr">
        <is>
          <t>SVN</t>
        </is>
      </c>
      <c r="C2948" t="inlineStr">
        <is>
          <t>mit.ic.c</t>
        </is>
      </c>
      <c r="D2948" t="n">
        <v>0</v>
      </c>
      <c r="E2948" t="n">
        <v>0.01163156993</v>
      </c>
      <c r="F2948" t="n">
        <v>0.02197829432</v>
      </c>
      <c r="G2948" t="n">
        <v>-0.332929729</v>
      </c>
      <c r="H2948" t="n">
        <v>-0.4484812479</v>
      </c>
    </row>
    <row r="2949">
      <c r="A2949" t="inlineStr">
        <is>
          <t>SWE|mit.ic.c</t>
        </is>
      </c>
      <c r="B2949" t="inlineStr">
        <is>
          <t>SWE</t>
        </is>
      </c>
      <c r="C2949" t="inlineStr">
        <is>
          <t>mit.ic.c</t>
        </is>
      </c>
      <c r="D2949" t="n">
        <v>0</v>
      </c>
      <c r="E2949" t="n">
        <v>0.09763326864000001</v>
      </c>
      <c r="F2949" t="n">
        <v>0.5547752295</v>
      </c>
      <c r="G2949" t="n">
        <v>0.5287866725</v>
      </c>
      <c r="H2949" t="n">
        <v>1.104023943</v>
      </c>
    </row>
    <row r="2950">
      <c r="A2950" t="inlineStr">
        <is>
          <t>SWZ|mit.ic.c</t>
        </is>
      </c>
      <c r="B2950" t="inlineStr">
        <is>
          <t>SWZ</t>
        </is>
      </c>
      <c r="C2950" t="inlineStr">
        <is>
          <t>mit.ic.c</t>
        </is>
      </c>
      <c r="D2950" t="n">
        <v>0</v>
      </c>
      <c r="E2950" t="n">
        <v>0.00520012062</v>
      </c>
      <c r="F2950" t="n">
        <v>0.02098776273</v>
      </c>
      <c r="G2950" t="n">
        <v>-0.07696603875999999</v>
      </c>
      <c r="H2950" t="n">
        <v>-0.1919350432</v>
      </c>
    </row>
    <row r="2951">
      <c r="A2951" t="inlineStr">
        <is>
          <t>SYC|mit.ic.c</t>
        </is>
      </c>
      <c r="B2951" t="inlineStr">
        <is>
          <t>SYC</t>
        </is>
      </c>
      <c r="C2951" t="inlineStr">
        <is>
          <t>mit.ic.c</t>
        </is>
      </c>
      <c r="D2951" t="n">
        <v>0</v>
      </c>
      <c r="E2951" t="n">
        <v>0.001391667038</v>
      </c>
      <c r="F2951" t="n">
        <v>0.002958745506</v>
      </c>
      <c r="G2951" t="n">
        <v>-0.03247558302</v>
      </c>
      <c r="H2951" t="n">
        <v>-0.06223756549</v>
      </c>
    </row>
    <row r="2952">
      <c r="A2952" t="inlineStr">
        <is>
          <t>SYR|mit.ic.c</t>
        </is>
      </c>
      <c r="B2952" t="inlineStr">
        <is>
          <t>SYR</t>
        </is>
      </c>
      <c r="C2952" t="inlineStr">
        <is>
          <t>mit.ic.c</t>
        </is>
      </c>
      <c r="D2952" t="n">
        <v>0</v>
      </c>
      <c r="E2952" t="n">
        <v>0.02607639394</v>
      </c>
      <c r="F2952" t="n">
        <v>0.06642019083</v>
      </c>
      <c r="G2952" t="n">
        <v>-1.1243103</v>
      </c>
      <c r="H2952" t="n">
        <v>-2.43651151</v>
      </c>
    </row>
    <row r="2953">
      <c r="A2953" t="inlineStr">
        <is>
          <t>TCD|mit.ic.c</t>
        </is>
      </c>
      <c r="B2953" t="inlineStr">
        <is>
          <t>TCD</t>
        </is>
      </c>
      <c r="C2953" t="inlineStr">
        <is>
          <t>mit.ic.c</t>
        </is>
      </c>
      <c r="D2953" t="n">
        <v>0</v>
      </c>
      <c r="E2953" t="n">
        <v>0.4350661007</v>
      </c>
      <c r="F2953" t="n">
        <v>2.595830236</v>
      </c>
      <c r="G2953" t="n">
        <v>3.203076624</v>
      </c>
      <c r="H2953" t="n">
        <v>3.672480025</v>
      </c>
    </row>
    <row r="2954">
      <c r="A2954" t="inlineStr">
        <is>
          <t>TGO|mit.ic.c</t>
        </is>
      </c>
      <c r="B2954" t="inlineStr">
        <is>
          <t>TGO</t>
        </is>
      </c>
      <c r="C2954" t="inlineStr">
        <is>
          <t>mit.ic.c</t>
        </is>
      </c>
      <c r="D2954" t="n">
        <v>0</v>
      </c>
      <c r="E2954" t="n">
        <v>0.02701924331</v>
      </c>
      <c r="F2954" t="n">
        <v>0.1420410043</v>
      </c>
      <c r="G2954" t="n">
        <v>-0.06837341495</v>
      </c>
      <c r="H2954" t="n">
        <v>-0.306741357</v>
      </c>
    </row>
    <row r="2955">
      <c r="A2955" t="inlineStr">
        <is>
          <t>THA|mit.ic.c</t>
        </is>
      </c>
      <c r="B2955" t="inlineStr">
        <is>
          <t>THA</t>
        </is>
      </c>
      <c r="C2955" t="inlineStr">
        <is>
          <t>mit.ic.c</t>
        </is>
      </c>
      <c r="D2955" t="n">
        <v>0</v>
      </c>
      <c r="E2955" t="n">
        <v>0.1333503875</v>
      </c>
      <c r="F2955" t="n">
        <v>-0.8953532284</v>
      </c>
      <c r="G2955" t="n">
        <v>-18.37122471</v>
      </c>
      <c r="H2955" t="n">
        <v>-37.26304354</v>
      </c>
    </row>
    <row r="2956">
      <c r="A2956" t="inlineStr">
        <is>
          <t>TJK|mit.ic.c</t>
        </is>
      </c>
      <c r="B2956" t="inlineStr">
        <is>
          <t>TJK</t>
        </is>
      </c>
      <c r="C2956" t="inlineStr">
        <is>
          <t>mit.ic.c</t>
        </is>
      </c>
      <c r="D2956" t="n">
        <v>0</v>
      </c>
      <c r="E2956" t="n">
        <v>0.06164949058</v>
      </c>
      <c r="F2956" t="n">
        <v>0.2754689092</v>
      </c>
      <c r="G2956" t="n">
        <v>0.2903485655</v>
      </c>
      <c r="H2956" t="n">
        <v>0.2545634762</v>
      </c>
    </row>
    <row r="2957">
      <c r="A2957" t="inlineStr">
        <is>
          <t>TKM|mit.ic.c</t>
        </is>
      </c>
      <c r="B2957" t="inlineStr">
        <is>
          <t>TKM</t>
        </is>
      </c>
      <c r="C2957" t="inlineStr">
        <is>
          <t>mit.ic.c</t>
        </is>
      </c>
      <c r="D2957" t="n">
        <v>0</v>
      </c>
      <c r="E2957" t="n">
        <v>0.7320859046</v>
      </c>
      <c r="F2957" t="n">
        <v>3.903797814</v>
      </c>
      <c r="G2957" t="n">
        <v>6.124942983</v>
      </c>
      <c r="H2957" t="n">
        <v>7.502685929</v>
      </c>
    </row>
    <row r="2958">
      <c r="A2958" t="inlineStr">
        <is>
          <t>TLS|mit.ic.c</t>
        </is>
      </c>
      <c r="B2958" t="inlineStr">
        <is>
          <t>TLS</t>
        </is>
      </c>
      <c r="C2958" t="inlineStr">
        <is>
          <t>mit.ic.c</t>
        </is>
      </c>
      <c r="D2958" t="n">
        <v>0</v>
      </c>
      <c r="E2958" t="n">
        <v>0.01038743885</v>
      </c>
      <c r="F2958" t="n">
        <v>0.05238690805</v>
      </c>
      <c r="G2958" t="n">
        <v>-0.03672653193</v>
      </c>
      <c r="H2958" t="n">
        <v>-0.1801198219</v>
      </c>
    </row>
    <row r="2959">
      <c r="A2959" t="inlineStr">
        <is>
          <t>TON|mit.ic.c</t>
        </is>
      </c>
      <c r="B2959" t="inlineStr">
        <is>
          <t>TON</t>
        </is>
      </c>
      <c r="C2959" t="inlineStr">
        <is>
          <t>mit.ic.c</t>
        </is>
      </c>
      <c r="D2959" t="n">
        <v>0</v>
      </c>
      <c r="E2959" t="n">
        <v>0.0003253734675</v>
      </c>
      <c r="F2959" t="n">
        <v>0.001120097673</v>
      </c>
      <c r="G2959" t="n">
        <v>-0.01339038852</v>
      </c>
      <c r="H2959" t="n">
        <v>-0.02983439277</v>
      </c>
    </row>
    <row r="2960">
      <c r="A2960" t="inlineStr">
        <is>
          <t>TTO|mit.ic.c</t>
        </is>
      </c>
      <c r="B2960" t="inlineStr">
        <is>
          <t>TTO</t>
        </is>
      </c>
      <c r="C2960" t="inlineStr">
        <is>
          <t>mit.ic.c</t>
        </is>
      </c>
      <c r="D2960" t="n">
        <v>0</v>
      </c>
      <c r="E2960" t="n">
        <v>0.1070480009</v>
      </c>
      <c r="F2960" t="n">
        <v>0.5847169801</v>
      </c>
      <c r="G2960" t="n">
        <v>0.9374754397</v>
      </c>
      <c r="H2960" t="n">
        <v>1.373599903</v>
      </c>
    </row>
    <row r="2961">
      <c r="A2961" t="inlineStr">
        <is>
          <t>TUN|mit.ic.c</t>
        </is>
      </c>
      <c r="B2961" t="inlineStr">
        <is>
          <t>TUN</t>
        </is>
      </c>
      <c r="C2961" t="inlineStr">
        <is>
          <t>mit.ic.c</t>
        </is>
      </c>
      <c r="D2961" t="n">
        <v>0</v>
      </c>
      <c r="E2961" t="n">
        <v>0.03883587424</v>
      </c>
      <c r="F2961" t="n">
        <v>0.09510200195</v>
      </c>
      <c r="G2961" t="n">
        <v>-0.9081844367</v>
      </c>
      <c r="H2961" t="n">
        <v>-1.981819097</v>
      </c>
    </row>
    <row r="2962">
      <c r="A2962" t="inlineStr">
        <is>
          <t>TUR|mit.ic.c</t>
        </is>
      </c>
      <c r="B2962" t="inlineStr">
        <is>
          <t>TUR</t>
        </is>
      </c>
      <c r="C2962" t="inlineStr">
        <is>
          <t>mit.ic.c</t>
        </is>
      </c>
      <c r="D2962" t="n">
        <v>0</v>
      </c>
      <c r="E2962" t="n">
        <v>-1.570677249</v>
      </c>
      <c r="F2962" t="n">
        <v>-11.90940122</v>
      </c>
      <c r="G2962" t="n">
        <v>-50.19906079</v>
      </c>
      <c r="H2962" t="n">
        <v>-91.38727527</v>
      </c>
    </row>
    <row r="2963">
      <c r="A2963" t="inlineStr">
        <is>
          <t>TZA|mit.ic.c</t>
        </is>
      </c>
      <c r="B2963" t="inlineStr">
        <is>
          <t>TZA</t>
        </is>
      </c>
      <c r="C2963" t="inlineStr">
        <is>
          <t>mit.ic.c</t>
        </is>
      </c>
      <c r="D2963" t="n">
        <v>0</v>
      </c>
      <c r="E2963" t="n">
        <v>0.7258188276999999</v>
      </c>
      <c r="F2963" t="n">
        <v>4.214867058</v>
      </c>
      <c r="G2963" t="n">
        <v>3.102002513</v>
      </c>
      <c r="H2963" t="n">
        <v>1.696430543</v>
      </c>
    </row>
    <row r="2964">
      <c r="A2964" t="inlineStr">
        <is>
          <t>UGA|mit.ic.c</t>
        </is>
      </c>
      <c r="B2964" t="inlineStr">
        <is>
          <t>UGA</t>
        </is>
      </c>
      <c r="C2964" t="inlineStr">
        <is>
          <t>mit.ic.c</t>
        </is>
      </c>
      <c r="D2964" t="n">
        <v>0</v>
      </c>
      <c r="E2964" t="n">
        <v>0.2435344923</v>
      </c>
      <c r="F2964" t="n">
        <v>1.418473772</v>
      </c>
      <c r="G2964" t="n">
        <v>1.186587207</v>
      </c>
      <c r="H2964" t="n">
        <v>0.8051249311000001</v>
      </c>
    </row>
    <row r="2965">
      <c r="A2965" t="inlineStr">
        <is>
          <t>UKR|mit.ic.c</t>
        </is>
      </c>
      <c r="B2965" t="inlineStr">
        <is>
          <t>UKR</t>
        </is>
      </c>
      <c r="C2965" t="inlineStr">
        <is>
          <t>mit.ic.c</t>
        </is>
      </c>
      <c r="D2965" t="n">
        <v>0</v>
      </c>
      <c r="E2965" t="n">
        <v>0.6556761404</v>
      </c>
      <c r="F2965" t="n">
        <v>3.649552235</v>
      </c>
      <c r="G2965" t="n">
        <v>5.885951118</v>
      </c>
      <c r="H2965" t="n">
        <v>9.323240586000001</v>
      </c>
    </row>
    <row r="2966">
      <c r="A2966" t="inlineStr">
        <is>
          <t>URY|mit.ic.c</t>
        </is>
      </c>
      <c r="B2966" t="inlineStr">
        <is>
          <t>URY</t>
        </is>
      </c>
      <c r="C2966" t="inlineStr">
        <is>
          <t>mit.ic.c</t>
        </is>
      </c>
      <c r="D2966" t="n">
        <v>0</v>
      </c>
      <c r="E2966" t="n">
        <v>0.08506419478</v>
      </c>
      <c r="F2966" t="n">
        <v>0.4659842235</v>
      </c>
      <c r="G2966" t="n">
        <v>0.2652324702</v>
      </c>
      <c r="H2966" t="n">
        <v>0.137390138</v>
      </c>
    </row>
    <row r="2967">
      <c r="A2967" t="inlineStr">
        <is>
          <t>USA|mit.ic.c</t>
        </is>
      </c>
      <c r="B2967" t="inlineStr">
        <is>
          <t>USA</t>
        </is>
      </c>
      <c r="C2967" t="inlineStr">
        <is>
          <t>mit.ic.c</t>
        </is>
      </c>
      <c r="D2967" t="n">
        <v>0</v>
      </c>
      <c r="E2967" t="n">
        <v>10.84116382</v>
      </c>
      <c r="F2967" t="n">
        <v>70.83568532</v>
      </c>
      <c r="G2967" t="n">
        <v>107.5438871</v>
      </c>
      <c r="H2967" t="n">
        <v>164.6058039</v>
      </c>
    </row>
    <row r="2968">
      <c r="A2968" t="inlineStr">
        <is>
          <t>UZB|mit.ic.c</t>
        </is>
      </c>
      <c r="B2968" t="inlineStr">
        <is>
          <t>UZB</t>
        </is>
      </c>
      <c r="C2968" t="inlineStr">
        <is>
          <t>mit.ic.c</t>
        </is>
      </c>
      <c r="D2968" t="n">
        <v>0</v>
      </c>
      <c r="E2968" t="n">
        <v>0.3783435088</v>
      </c>
      <c r="F2968" t="n">
        <v>1.416156674</v>
      </c>
      <c r="G2968" t="n">
        <v>-4.440986081</v>
      </c>
      <c r="H2968" t="n">
        <v>-12.24387124</v>
      </c>
    </row>
    <row r="2969">
      <c r="A2969" t="inlineStr">
        <is>
          <t>VCT|mit.ic.c</t>
        </is>
      </c>
      <c r="B2969" t="inlineStr">
        <is>
          <t>VCT</t>
        </is>
      </c>
      <c r="C2969" t="inlineStr">
        <is>
          <t>mit.ic.c</t>
        </is>
      </c>
      <c r="D2969" t="n">
        <v>0</v>
      </c>
      <c r="E2969" t="n">
        <v>8.917004076e-05</v>
      </c>
      <c r="F2969" t="n">
        <v>-0.001847783583</v>
      </c>
      <c r="G2969" t="n">
        <v>-0.0296210657</v>
      </c>
      <c r="H2969" t="n">
        <v>-0.06162968043</v>
      </c>
    </row>
    <row r="2970">
      <c r="A2970" t="inlineStr">
        <is>
          <t>VEN|mit.ic.c</t>
        </is>
      </c>
      <c r="B2970" t="inlineStr">
        <is>
          <t>VEN</t>
        </is>
      </c>
      <c r="C2970" t="inlineStr">
        <is>
          <t>mit.ic.c</t>
        </is>
      </c>
      <c r="D2970" t="n">
        <v>0</v>
      </c>
      <c r="E2970" t="n">
        <v>0.8148517055</v>
      </c>
      <c r="F2970" t="n">
        <v>4.795821965</v>
      </c>
      <c r="G2970" t="n">
        <v>7.208887892</v>
      </c>
      <c r="H2970" t="n">
        <v>9.931945748</v>
      </c>
    </row>
    <row r="2971">
      <c r="A2971" t="inlineStr">
        <is>
          <t>VNM|mit.ic.c</t>
        </is>
      </c>
      <c r="B2971" t="inlineStr">
        <is>
          <t>VNM</t>
        </is>
      </c>
      <c r="C2971" t="inlineStr">
        <is>
          <t>mit.ic.c</t>
        </is>
      </c>
      <c r="D2971" t="n">
        <v>0</v>
      </c>
      <c r="E2971" t="n">
        <v>0.1302615831</v>
      </c>
      <c r="F2971" t="n">
        <v>-0.4338116657</v>
      </c>
      <c r="G2971" t="n">
        <v>-12.32174284</v>
      </c>
      <c r="H2971" t="n">
        <v>-25.75802712</v>
      </c>
    </row>
    <row r="2972">
      <c r="A2972" t="inlineStr">
        <is>
          <t>VUT|mit.ic.c</t>
        </is>
      </c>
      <c r="B2972" t="inlineStr">
        <is>
          <t>VUT</t>
        </is>
      </c>
      <c r="C2972" t="inlineStr">
        <is>
          <t>mit.ic.c</t>
        </is>
      </c>
      <c r="D2972" t="n">
        <v>0</v>
      </c>
      <c r="E2972" t="n">
        <v>0.001243673021</v>
      </c>
      <c r="F2972" t="n">
        <v>0.007167750186</v>
      </c>
      <c r="G2972" t="n">
        <v>-0.01291604137</v>
      </c>
      <c r="H2972" t="n">
        <v>-0.03850522587</v>
      </c>
    </row>
    <row r="2973">
      <c r="A2973" t="inlineStr">
        <is>
          <t>WSM|mit.ic.c</t>
        </is>
      </c>
      <c r="B2973" t="inlineStr">
        <is>
          <t>WSM</t>
        </is>
      </c>
      <c r="C2973" t="inlineStr">
        <is>
          <t>mit.ic.c</t>
        </is>
      </c>
      <c r="D2973" t="n">
        <v>0</v>
      </c>
      <c r="E2973" t="n">
        <v>0.001509714104</v>
      </c>
      <c r="F2973" t="n">
        <v>0.007387682246</v>
      </c>
      <c r="G2973" t="n">
        <v>-0.01683410346</v>
      </c>
      <c r="H2973" t="n">
        <v>-0.04365970668</v>
      </c>
    </row>
    <row r="2974">
      <c r="A2974" t="inlineStr">
        <is>
          <t>XKX|mit.ic.c</t>
        </is>
      </c>
      <c r="B2974" t="inlineStr">
        <is>
          <t>XKX</t>
        </is>
      </c>
      <c r="C2974" t="inlineStr">
        <is>
          <t>mit.ic.c</t>
        </is>
      </c>
      <c r="D2974" t="n">
        <v>0</v>
      </c>
      <c r="E2974" t="n">
        <v>-0.002848070348</v>
      </c>
      <c r="F2974" t="n">
        <v>-0.03558216156</v>
      </c>
      <c r="G2974" t="n">
        <v>-0.2405961032</v>
      </c>
      <c r="H2974" t="n">
        <v>-0.4409620364</v>
      </c>
    </row>
    <row r="2975">
      <c r="A2975" t="inlineStr">
        <is>
          <t>YEM|mit.ic.c</t>
        </is>
      </c>
      <c r="B2975" t="inlineStr">
        <is>
          <t>YEM</t>
        </is>
      </c>
      <c r="C2975" t="inlineStr">
        <is>
          <t>mit.ic.c</t>
        </is>
      </c>
      <c r="D2975" t="n">
        <v>0</v>
      </c>
      <c r="E2975" t="n">
        <v>0.0854883107</v>
      </c>
      <c r="F2975" t="n">
        <v>0.4181796632</v>
      </c>
      <c r="G2975" t="n">
        <v>-0.2004085182</v>
      </c>
      <c r="H2975" t="n">
        <v>-1.393482777</v>
      </c>
    </row>
    <row r="2976">
      <c r="A2976" t="inlineStr">
        <is>
          <t>ZAF|mit.ic.c</t>
        </is>
      </c>
      <c r="B2976" t="inlineStr">
        <is>
          <t>ZAF</t>
        </is>
      </c>
      <c r="C2976" t="inlineStr">
        <is>
          <t>mit.ic.c</t>
        </is>
      </c>
      <c r="D2976" t="n">
        <v>0</v>
      </c>
      <c r="E2976" t="n">
        <v>0.5242086013</v>
      </c>
      <c r="F2976" t="n">
        <v>2.274014557</v>
      </c>
      <c r="G2976" t="n">
        <v>-2.50028524</v>
      </c>
      <c r="H2976" t="n">
        <v>-5.80234796</v>
      </c>
    </row>
    <row r="2977">
      <c r="A2977" t="inlineStr">
        <is>
          <t>ZMB|mit.ic.c</t>
        </is>
      </c>
      <c r="B2977" t="inlineStr">
        <is>
          <t>ZMB</t>
        </is>
      </c>
      <c r="C2977" t="inlineStr">
        <is>
          <t>mit.ic.c</t>
        </is>
      </c>
      <c r="D2977" t="n">
        <v>0</v>
      </c>
      <c r="E2977" t="n">
        <v>0.4701798568</v>
      </c>
      <c r="F2977" t="n">
        <v>2.79159139</v>
      </c>
      <c r="G2977" t="n">
        <v>2.730985896</v>
      </c>
      <c r="H2977" t="n">
        <v>2.661573706</v>
      </c>
    </row>
    <row r="2978">
      <c r="A2978" t="inlineStr">
        <is>
          <t>ZWE|mit.ic.c</t>
        </is>
      </c>
      <c r="B2978" t="inlineStr">
        <is>
          <t>ZWE</t>
        </is>
      </c>
      <c r="C2978" t="inlineStr">
        <is>
          <t>mit.ic.c</t>
        </is>
      </c>
      <c r="D2978" t="n">
        <v>0</v>
      </c>
      <c r="E2978" t="n">
        <v>0.7466591203</v>
      </c>
      <c r="F2978" t="n">
        <v>4.465563338</v>
      </c>
      <c r="G2978" t="n">
        <v>4.530342646</v>
      </c>
      <c r="H2978" t="n">
        <v>4.609194556</v>
      </c>
    </row>
    <row r="2979">
      <c r="A2979" t="inlineStr">
        <is>
          <t>ABW|mit.typ.p1.2</t>
        </is>
      </c>
      <c r="B2979" t="inlineStr">
        <is>
          <t>ABW</t>
        </is>
      </c>
      <c r="C2979" t="inlineStr">
        <is>
          <t>mit.typ.p1.2</t>
        </is>
      </c>
      <c r="D2979" t="n">
        <v>0</v>
      </c>
      <c r="E2979" t="n">
        <v>0.003850818349</v>
      </c>
      <c r="F2979" t="n">
        <v>0.004402356536</v>
      </c>
      <c r="G2979" t="n">
        <v>0.004884450841</v>
      </c>
      <c r="H2979" t="n">
        <v>0.005539855722</v>
      </c>
    </row>
    <row r="2980">
      <c r="A2980" t="inlineStr">
        <is>
          <t>AFG|mit.typ.p1.2</t>
        </is>
      </c>
      <c r="B2980" t="inlineStr">
        <is>
          <t>AFG</t>
        </is>
      </c>
      <c r="C2980" t="inlineStr">
        <is>
          <t>mit.typ.p1.2</t>
        </is>
      </c>
      <c r="D2980" t="n">
        <v>0</v>
      </c>
      <c r="E2980" t="n">
        <v>0.1386848878</v>
      </c>
      <c r="F2980" t="n">
        <v>0.2758685949</v>
      </c>
      <c r="G2980" t="n">
        <v>0.4359677505</v>
      </c>
      <c r="H2980" t="n">
        <v>0.5572424897</v>
      </c>
    </row>
    <row r="2981">
      <c r="A2981" t="inlineStr">
        <is>
          <t>AGO|mit.typ.p1.2</t>
        </is>
      </c>
      <c r="B2981" t="inlineStr">
        <is>
          <t>AGO</t>
        </is>
      </c>
      <c r="C2981" t="inlineStr">
        <is>
          <t>mit.typ.p1.2</t>
        </is>
      </c>
      <c r="D2981" t="n">
        <v>0</v>
      </c>
      <c r="E2981" t="n">
        <v>0.7671377004</v>
      </c>
      <c r="F2981" t="n">
        <v>2.257172225</v>
      </c>
      <c r="G2981" t="n">
        <v>2.734034133</v>
      </c>
      <c r="H2981" t="n">
        <v>3.077067518</v>
      </c>
    </row>
    <row r="2982">
      <c r="A2982" t="inlineStr">
        <is>
          <t>ALB|mit.typ.p1.2</t>
        </is>
      </c>
      <c r="B2982" t="inlineStr">
        <is>
          <t>ALB</t>
        </is>
      </c>
      <c r="C2982" t="inlineStr">
        <is>
          <t>mit.typ.p1.2</t>
        </is>
      </c>
      <c r="D2982" t="n">
        <v>0</v>
      </c>
      <c r="E2982" t="n">
        <v>0.03313660919</v>
      </c>
      <c r="F2982" t="n">
        <v>0.04775874341</v>
      </c>
      <c r="G2982" t="n">
        <v>0.0628129709</v>
      </c>
      <c r="H2982" t="n">
        <v>0.08141998181</v>
      </c>
    </row>
    <row r="2983">
      <c r="A2983" t="inlineStr">
        <is>
          <t>ARE|mit.typ.p1.2</t>
        </is>
      </c>
      <c r="B2983" t="inlineStr">
        <is>
          <t>ARE</t>
        </is>
      </c>
      <c r="C2983" t="inlineStr">
        <is>
          <t>mit.typ.p1.2</t>
        </is>
      </c>
      <c r="D2983" t="n">
        <v>0</v>
      </c>
      <c r="E2983" t="n">
        <v>2.043734989</v>
      </c>
      <c r="F2983" t="n">
        <v>2.380747426</v>
      </c>
      <c r="G2983" t="n">
        <v>3.713606043</v>
      </c>
      <c r="H2983" t="n">
        <v>3.280923601</v>
      </c>
    </row>
    <row r="2984">
      <c r="A2984" t="inlineStr">
        <is>
          <t>ARG|mit.typ.p1.2</t>
        </is>
      </c>
      <c r="B2984" t="inlineStr">
        <is>
          <t>ARG</t>
        </is>
      </c>
      <c r="C2984" t="inlineStr">
        <is>
          <t>mit.typ.p1.2</t>
        </is>
      </c>
      <c r="D2984" t="n">
        <v>0</v>
      </c>
      <c r="E2984" t="n">
        <v>1.923131857</v>
      </c>
      <c r="F2984" t="n">
        <v>3.328107475</v>
      </c>
      <c r="G2984" t="n">
        <v>4.031155608</v>
      </c>
      <c r="H2984" t="n">
        <v>4.11865449</v>
      </c>
    </row>
    <row r="2985">
      <c r="A2985" t="inlineStr">
        <is>
          <t>ARM|mit.typ.p1.2</t>
        </is>
      </c>
      <c r="B2985" t="inlineStr">
        <is>
          <t>ARM</t>
        </is>
      </c>
      <c r="C2985" t="inlineStr">
        <is>
          <t>mit.typ.p1.2</t>
        </is>
      </c>
      <c r="D2985" t="n">
        <v>0</v>
      </c>
      <c r="E2985" t="n">
        <v>0.07364557744</v>
      </c>
      <c r="F2985" t="n">
        <v>0.09086205571</v>
      </c>
      <c r="G2985" t="n">
        <v>0.1045647923</v>
      </c>
      <c r="H2985" t="n">
        <v>0.1202821808</v>
      </c>
    </row>
    <row r="2986">
      <c r="A2986" t="inlineStr">
        <is>
          <t>ATG|mit.typ.p1.2</t>
        </is>
      </c>
      <c r="B2986" t="inlineStr">
        <is>
          <t>ATG</t>
        </is>
      </c>
      <c r="C2986" t="inlineStr">
        <is>
          <t>mit.typ.p1.2</t>
        </is>
      </c>
      <c r="D2986" t="n">
        <v>0</v>
      </c>
      <c r="E2986" t="n">
        <v>0.001935869474</v>
      </c>
      <c r="F2986" t="n">
        <v>0.002501992125</v>
      </c>
      <c r="G2986" t="n">
        <v>0.002777142338</v>
      </c>
      <c r="H2986" t="n">
        <v>0.003194912136</v>
      </c>
    </row>
    <row r="2987">
      <c r="A2987" t="inlineStr">
        <is>
          <t>AUS|mit.typ.p1.2</t>
        </is>
      </c>
      <c r="B2987" t="inlineStr">
        <is>
          <t>AUS</t>
        </is>
      </c>
      <c r="C2987" t="inlineStr">
        <is>
          <t>mit.typ.p1.2</t>
        </is>
      </c>
      <c r="D2987" t="n">
        <v>0</v>
      </c>
      <c r="E2987" t="n">
        <v>3.539931308</v>
      </c>
      <c r="F2987" t="n">
        <v>4.054784222</v>
      </c>
      <c r="G2987" t="n">
        <v>4.439815966</v>
      </c>
      <c r="H2987" t="n">
        <v>4.416446794</v>
      </c>
    </row>
    <row r="2988">
      <c r="A2988" t="inlineStr">
        <is>
          <t>AUT|mit.typ.p1.2</t>
        </is>
      </c>
      <c r="B2988" t="inlineStr">
        <is>
          <t>AUT</t>
        </is>
      </c>
      <c r="C2988" t="inlineStr">
        <is>
          <t>mit.typ.p1.2</t>
        </is>
      </c>
      <c r="D2988" t="n">
        <v>0</v>
      </c>
      <c r="E2988" t="n">
        <v>1.260468795</v>
      </c>
      <c r="F2988" t="n">
        <v>1.402890362</v>
      </c>
      <c r="G2988" t="n">
        <v>1.454112271</v>
      </c>
      <c r="H2988" t="n">
        <v>1.322484234</v>
      </c>
    </row>
    <row r="2989">
      <c r="A2989" t="inlineStr">
        <is>
          <t>AZE|mit.typ.p1.2</t>
        </is>
      </c>
      <c r="B2989" t="inlineStr">
        <is>
          <t>AZE</t>
        </is>
      </c>
      <c r="C2989" t="inlineStr">
        <is>
          <t>mit.typ.p1.2</t>
        </is>
      </c>
      <c r="D2989" t="n">
        <v>0</v>
      </c>
      <c r="E2989" t="n">
        <v>0.7245383211</v>
      </c>
      <c r="F2989" t="n">
        <v>1.018694144</v>
      </c>
      <c r="G2989" t="n">
        <v>1.924157411</v>
      </c>
      <c r="H2989" t="n">
        <v>1.702680026</v>
      </c>
    </row>
    <row r="2990">
      <c r="A2990" t="inlineStr">
        <is>
          <t>BDI|mit.typ.p1.2</t>
        </is>
      </c>
      <c r="B2990" t="inlineStr">
        <is>
          <t>BDI</t>
        </is>
      </c>
      <c r="C2990" t="inlineStr">
        <is>
          <t>mit.typ.p1.2</t>
        </is>
      </c>
      <c r="D2990" t="n">
        <v>0</v>
      </c>
      <c r="E2990" t="n">
        <v>0.03608891598</v>
      </c>
      <c r="F2990" t="n">
        <v>0.1650714808</v>
      </c>
      <c r="G2990" t="n">
        <v>0.196048086</v>
      </c>
      <c r="H2990" t="n">
        <v>0.2179201471</v>
      </c>
    </row>
    <row r="2991">
      <c r="A2991" t="inlineStr">
        <is>
          <t>BEL|mit.typ.p1.2</t>
        </is>
      </c>
      <c r="B2991" t="inlineStr">
        <is>
          <t>BEL</t>
        </is>
      </c>
      <c r="C2991" t="inlineStr">
        <is>
          <t>mit.typ.p1.2</t>
        </is>
      </c>
      <c r="D2991" t="n">
        <v>0</v>
      </c>
      <c r="E2991" t="n">
        <v>1.777204316</v>
      </c>
      <c r="F2991" t="n">
        <v>1.78697705</v>
      </c>
      <c r="G2991" t="n">
        <v>1.812184847</v>
      </c>
      <c r="H2991" t="n">
        <v>1.288702052</v>
      </c>
    </row>
    <row r="2992">
      <c r="A2992" t="inlineStr">
        <is>
          <t>BEN|mit.typ.p1.2</t>
        </is>
      </c>
      <c r="B2992" t="inlineStr">
        <is>
          <t>BEN</t>
        </is>
      </c>
      <c r="C2992" t="inlineStr">
        <is>
          <t>mit.typ.p1.2</t>
        </is>
      </c>
      <c r="D2992" t="n">
        <v>0</v>
      </c>
      <c r="E2992" t="n">
        <v>0.1210224883</v>
      </c>
      <c r="F2992" t="n">
        <v>0.5290781026</v>
      </c>
      <c r="G2992" t="n">
        <v>0.5960301558</v>
      </c>
      <c r="H2992" t="n">
        <v>0.6453644168</v>
      </c>
    </row>
    <row r="2993">
      <c r="A2993" t="inlineStr">
        <is>
          <t>BFA|mit.typ.p1.2</t>
        </is>
      </c>
      <c r="B2993" t="inlineStr">
        <is>
          <t>BFA</t>
        </is>
      </c>
      <c r="C2993" t="inlineStr">
        <is>
          <t>mit.typ.p1.2</t>
        </is>
      </c>
      <c r="D2993" t="n">
        <v>0</v>
      </c>
      <c r="E2993" t="n">
        <v>0.249256391</v>
      </c>
      <c r="F2993" t="n">
        <v>1.169374262</v>
      </c>
      <c r="G2993" t="n">
        <v>1.364715088</v>
      </c>
      <c r="H2993" t="n">
        <v>1.460263629</v>
      </c>
    </row>
    <row r="2994">
      <c r="A2994" t="inlineStr">
        <is>
          <t>BGD|mit.typ.p1.2</t>
        </is>
      </c>
      <c r="B2994" t="inlineStr">
        <is>
          <t>BGD</t>
        </is>
      </c>
      <c r="C2994" t="inlineStr">
        <is>
          <t>mit.typ.p1.2</t>
        </is>
      </c>
      <c r="D2994" t="n">
        <v>0</v>
      </c>
      <c r="E2994" t="n">
        <v>2.45817219</v>
      </c>
      <c r="F2994" t="n">
        <v>4.417934812</v>
      </c>
      <c r="G2994" t="n">
        <v>8.117132335000001</v>
      </c>
      <c r="H2994" t="n">
        <v>8.075879284000001</v>
      </c>
    </row>
    <row r="2995">
      <c r="A2995" t="inlineStr">
        <is>
          <t>BGR|mit.typ.p1.2</t>
        </is>
      </c>
      <c r="B2995" t="inlineStr">
        <is>
          <t>BGR</t>
        </is>
      </c>
      <c r="C2995" t="inlineStr">
        <is>
          <t>mit.typ.p1.2</t>
        </is>
      </c>
      <c r="D2995" t="n">
        <v>0</v>
      </c>
      <c r="E2995" t="n">
        <v>0.1500281813</v>
      </c>
      <c r="F2995" t="n">
        <v>0.1971405318</v>
      </c>
      <c r="G2995" t="n">
        <v>0.2426458378</v>
      </c>
      <c r="H2995" t="n">
        <v>0.3035133634</v>
      </c>
    </row>
    <row r="2996">
      <c r="A2996" t="inlineStr">
        <is>
          <t>BHR|mit.typ.p1.2</t>
        </is>
      </c>
      <c r="B2996" t="inlineStr">
        <is>
          <t>BHR</t>
        </is>
      </c>
      <c r="C2996" t="inlineStr">
        <is>
          <t>mit.typ.p1.2</t>
        </is>
      </c>
      <c r="D2996" t="n">
        <v>0</v>
      </c>
      <c r="E2996" t="n">
        <v>0.4321858228</v>
      </c>
      <c r="F2996" t="n">
        <v>0.5127488807</v>
      </c>
      <c r="G2996" t="n">
        <v>0.8969140439</v>
      </c>
      <c r="H2996" t="n">
        <v>0.6562871307</v>
      </c>
    </row>
    <row r="2997">
      <c r="A2997" t="inlineStr">
        <is>
          <t>BHS|mit.typ.p1.2</t>
        </is>
      </c>
      <c r="B2997" t="inlineStr">
        <is>
          <t>BHS</t>
        </is>
      </c>
      <c r="C2997" t="inlineStr">
        <is>
          <t>mit.typ.p1.2</t>
        </is>
      </c>
      <c r="D2997" t="n">
        <v>0</v>
      </c>
      <c r="E2997" t="n">
        <v>0.01470347888</v>
      </c>
      <c r="F2997" t="n">
        <v>0.01882990657</v>
      </c>
      <c r="G2997" t="n">
        <v>0.02087127725</v>
      </c>
      <c r="H2997" t="n">
        <v>0.0236557949</v>
      </c>
    </row>
    <row r="2998">
      <c r="A2998" t="inlineStr">
        <is>
          <t>BIH|mit.typ.p1.2</t>
        </is>
      </c>
      <c r="B2998" t="inlineStr">
        <is>
          <t>BIH</t>
        </is>
      </c>
      <c r="C2998" t="inlineStr">
        <is>
          <t>mit.typ.p1.2</t>
        </is>
      </c>
      <c r="D2998" t="n">
        <v>0</v>
      </c>
      <c r="E2998" t="n">
        <v>0.043163916</v>
      </c>
      <c r="F2998" t="n">
        <v>0.06717112610000001</v>
      </c>
      <c r="G2998" t="n">
        <v>0.08507334542</v>
      </c>
      <c r="H2998" t="n">
        <v>0.1078754565</v>
      </c>
    </row>
    <row r="2999">
      <c r="A2999" t="inlineStr">
        <is>
          <t>BLR|mit.typ.p1.2</t>
        </is>
      </c>
      <c r="B2999" t="inlineStr">
        <is>
          <t>BLR</t>
        </is>
      </c>
      <c r="C2999" t="inlineStr">
        <is>
          <t>mit.typ.p1.2</t>
        </is>
      </c>
      <c r="D2999" t="n">
        <v>0</v>
      </c>
      <c r="E2999" t="n">
        <v>0.6007806614</v>
      </c>
      <c r="F2999" t="n">
        <v>0.8306969887</v>
      </c>
      <c r="G2999" t="n">
        <v>1.487916943</v>
      </c>
      <c r="H2999" t="n">
        <v>1.507071521</v>
      </c>
    </row>
    <row r="3000">
      <c r="A3000" t="inlineStr">
        <is>
          <t>BLZ|mit.typ.p1.2</t>
        </is>
      </c>
      <c r="B3000" t="inlineStr">
        <is>
          <t>BLZ</t>
        </is>
      </c>
      <c r="C3000" t="inlineStr">
        <is>
          <t>mit.typ.p1.2</t>
        </is>
      </c>
      <c r="D3000" t="n">
        <v>0</v>
      </c>
      <c r="E3000" t="n">
        <v>0.04069718374</v>
      </c>
      <c r="F3000" t="n">
        <v>0.178929275</v>
      </c>
      <c r="G3000" t="n">
        <v>0.1886278132</v>
      </c>
      <c r="H3000" t="n">
        <v>0.1931793585</v>
      </c>
    </row>
    <row r="3001">
      <c r="A3001" t="inlineStr">
        <is>
          <t>BOL|mit.typ.p1.2</t>
        </is>
      </c>
      <c r="B3001" t="inlineStr">
        <is>
          <t>BOL</t>
        </is>
      </c>
      <c r="C3001" t="inlineStr">
        <is>
          <t>mit.typ.p1.2</t>
        </is>
      </c>
      <c r="D3001" t="n">
        <v>0</v>
      </c>
      <c r="E3001" t="n">
        <v>0.5444449493</v>
      </c>
      <c r="F3001" t="n">
        <v>2.628198606</v>
      </c>
      <c r="G3001" t="n">
        <v>2.749363217</v>
      </c>
      <c r="H3001" t="n">
        <v>2.861338165</v>
      </c>
    </row>
    <row r="3002">
      <c r="A3002" t="inlineStr">
        <is>
          <t>BRA|mit.typ.p1.2</t>
        </is>
      </c>
      <c r="B3002" t="inlineStr">
        <is>
          <t>BRA</t>
        </is>
      </c>
      <c r="C3002" t="inlineStr">
        <is>
          <t>mit.typ.p1.2</t>
        </is>
      </c>
      <c r="D3002" t="n">
        <v>0</v>
      </c>
      <c r="E3002" t="n">
        <v>4.865013772</v>
      </c>
      <c r="F3002" t="n">
        <v>17.4589559</v>
      </c>
      <c r="G3002" t="n">
        <v>19.27160052</v>
      </c>
      <c r="H3002" t="n">
        <v>21.41782134</v>
      </c>
    </row>
    <row r="3003">
      <c r="A3003" t="inlineStr">
        <is>
          <t>BRB|mit.typ.p1.2</t>
        </is>
      </c>
      <c r="B3003" t="inlineStr">
        <is>
          <t>BRB</t>
        </is>
      </c>
      <c r="C3003" t="inlineStr">
        <is>
          <t>mit.typ.p1.2</t>
        </is>
      </c>
      <c r="D3003" t="n">
        <v>0</v>
      </c>
      <c r="E3003" t="n">
        <v>0.0122933434</v>
      </c>
      <c r="F3003" t="n">
        <v>0.0150890769</v>
      </c>
      <c r="G3003" t="n">
        <v>0.02135952785</v>
      </c>
      <c r="H3003" t="n">
        <v>0.0193362116</v>
      </c>
    </row>
    <row r="3004">
      <c r="A3004" t="inlineStr">
        <is>
          <t>BRN|mit.typ.p1.2</t>
        </is>
      </c>
      <c r="B3004" t="inlineStr">
        <is>
          <t>BRN</t>
        </is>
      </c>
      <c r="C3004" t="inlineStr">
        <is>
          <t>mit.typ.p1.2</t>
        </is>
      </c>
      <c r="D3004" t="n">
        <v>0</v>
      </c>
      <c r="E3004" t="n">
        <v>0.06284778207</v>
      </c>
      <c r="F3004" t="n">
        <v>0.1088813218</v>
      </c>
      <c r="G3004" t="n">
        <v>0.1799458047</v>
      </c>
      <c r="H3004" t="n">
        <v>0.1553348348</v>
      </c>
    </row>
    <row r="3005">
      <c r="A3005" t="inlineStr">
        <is>
          <t>BTN|mit.typ.p1.2</t>
        </is>
      </c>
      <c r="B3005" t="inlineStr">
        <is>
          <t>BTN</t>
        </is>
      </c>
      <c r="C3005" t="inlineStr">
        <is>
          <t>mit.typ.p1.2</t>
        </is>
      </c>
      <c r="D3005" t="n">
        <v>0</v>
      </c>
      <c r="E3005" t="n">
        <v>0.006736511698</v>
      </c>
      <c r="F3005" t="n">
        <v>0.014001731</v>
      </c>
      <c r="G3005" t="n">
        <v>0.02160345774</v>
      </c>
      <c r="H3005" t="n">
        <v>0.09971691911</v>
      </c>
    </row>
    <row r="3006">
      <c r="A3006" t="inlineStr">
        <is>
          <t>BWA|mit.typ.p1.2</t>
        </is>
      </c>
      <c r="B3006" t="inlineStr">
        <is>
          <t>BWA</t>
        </is>
      </c>
      <c r="C3006" t="inlineStr">
        <is>
          <t>mit.typ.p1.2</t>
        </is>
      </c>
      <c r="D3006" t="n">
        <v>0</v>
      </c>
      <c r="E3006" t="n">
        <v>0.221294112</v>
      </c>
      <c r="F3006" t="n">
        <v>1.222033614</v>
      </c>
      <c r="G3006" t="n">
        <v>1.251573073</v>
      </c>
      <c r="H3006" t="n">
        <v>1.25962738</v>
      </c>
    </row>
    <row r="3007">
      <c r="A3007" t="inlineStr">
        <is>
          <t>CAF|mit.typ.p1.2</t>
        </is>
      </c>
      <c r="B3007" t="inlineStr">
        <is>
          <t>CAF</t>
        </is>
      </c>
      <c r="C3007" t="inlineStr">
        <is>
          <t>mit.typ.p1.2</t>
        </is>
      </c>
      <c r="D3007" t="n">
        <v>0</v>
      </c>
      <c r="E3007" t="n">
        <v>0.2180171642</v>
      </c>
      <c r="F3007" t="n">
        <v>1.287586311</v>
      </c>
      <c r="G3007" t="n">
        <v>1.324217063</v>
      </c>
      <c r="H3007" t="n">
        <v>1.358053939</v>
      </c>
    </row>
    <row r="3008">
      <c r="A3008" t="inlineStr">
        <is>
          <t>CAN|mit.typ.p1.2</t>
        </is>
      </c>
      <c r="B3008" t="inlineStr">
        <is>
          <t>CAN</t>
        </is>
      </c>
      <c r="C3008" t="inlineStr">
        <is>
          <t>mit.typ.p1.2</t>
        </is>
      </c>
      <c r="D3008" t="n">
        <v>0</v>
      </c>
      <c r="E3008" t="n">
        <v>7.200390182</v>
      </c>
      <c r="F3008" t="n">
        <v>7.539704913</v>
      </c>
      <c r="G3008" t="n">
        <v>7.625394639</v>
      </c>
      <c r="H3008" t="n">
        <v>5.245544709</v>
      </c>
    </row>
    <row r="3009">
      <c r="A3009" t="inlineStr">
        <is>
          <t>CHE|mit.typ.p1.2</t>
        </is>
      </c>
      <c r="B3009" t="inlineStr">
        <is>
          <t>CHE</t>
        </is>
      </c>
      <c r="C3009" t="inlineStr">
        <is>
          <t>mit.typ.p1.2</t>
        </is>
      </c>
      <c r="D3009" t="n">
        <v>0</v>
      </c>
      <c r="E3009" t="n">
        <v>1.583050546</v>
      </c>
      <c r="F3009" t="n">
        <v>1.675706568</v>
      </c>
      <c r="G3009" t="n">
        <v>1.839146453</v>
      </c>
      <c r="H3009" t="n">
        <v>1.858838309</v>
      </c>
    </row>
    <row r="3010">
      <c r="A3010" t="inlineStr">
        <is>
          <t>CHL|mit.typ.p1.2</t>
        </is>
      </c>
      <c r="B3010" t="inlineStr">
        <is>
          <t>CHL</t>
        </is>
      </c>
      <c r="C3010" t="inlineStr">
        <is>
          <t>mit.typ.p1.2</t>
        </is>
      </c>
      <c r="D3010" t="n">
        <v>0</v>
      </c>
      <c r="E3010" t="n">
        <v>0.4426694165</v>
      </c>
      <c r="F3010" t="n">
        <v>0.6169973556</v>
      </c>
      <c r="G3010" t="n">
        <v>0.7465162501</v>
      </c>
      <c r="H3010" t="n">
        <v>0.8285263304</v>
      </c>
    </row>
    <row r="3011">
      <c r="A3011" t="inlineStr">
        <is>
          <t>CHN|mit.typ.p1.2</t>
        </is>
      </c>
      <c r="B3011" t="inlineStr">
        <is>
          <t>CHN</t>
        </is>
      </c>
      <c r="C3011" t="inlineStr">
        <is>
          <t>mit.typ.p1.2</t>
        </is>
      </c>
      <c r="D3011" t="n">
        <v>0</v>
      </c>
      <c r="E3011" t="n">
        <v>53.92724612</v>
      </c>
      <c r="F3011" t="n">
        <v>69.70204665</v>
      </c>
      <c r="G3011" t="n">
        <v>98.64981589</v>
      </c>
      <c r="H3011" t="n">
        <v>100.1299343</v>
      </c>
    </row>
    <row r="3012">
      <c r="A3012" t="inlineStr">
        <is>
          <t>CIV|mit.typ.p1.2</t>
        </is>
      </c>
      <c r="B3012" t="inlineStr">
        <is>
          <t>CIV</t>
        </is>
      </c>
      <c r="C3012" t="inlineStr">
        <is>
          <t>mit.typ.p1.2</t>
        </is>
      </c>
      <c r="D3012" t="n">
        <v>0</v>
      </c>
      <c r="E3012" t="n">
        <v>0.1978141518</v>
      </c>
      <c r="F3012" t="n">
        <v>0.3357135802</v>
      </c>
      <c r="G3012" t="n">
        <v>0.5292975671</v>
      </c>
      <c r="H3012" t="n">
        <v>0.661552148</v>
      </c>
    </row>
    <row r="3013">
      <c r="A3013" t="inlineStr">
        <is>
          <t>CMR|mit.typ.p1.2</t>
        </is>
      </c>
      <c r="B3013" t="inlineStr">
        <is>
          <t>CMR</t>
        </is>
      </c>
      <c r="C3013" t="inlineStr">
        <is>
          <t>mit.typ.p1.2</t>
        </is>
      </c>
      <c r="D3013" t="n">
        <v>0</v>
      </c>
      <c r="E3013" t="n">
        <v>0.2927770435</v>
      </c>
      <c r="F3013" t="n">
        <v>1.432869464</v>
      </c>
      <c r="G3013" t="n">
        <v>1.536352401</v>
      </c>
      <c r="H3013" t="n">
        <v>1.647784281</v>
      </c>
    </row>
    <row r="3014">
      <c r="A3014" t="inlineStr">
        <is>
          <t>COD|mit.typ.p1.2</t>
        </is>
      </c>
      <c r="B3014" t="inlineStr">
        <is>
          <t>COD</t>
        </is>
      </c>
      <c r="C3014" t="inlineStr">
        <is>
          <t>mit.typ.p1.2</t>
        </is>
      </c>
      <c r="D3014" t="n">
        <v>0</v>
      </c>
      <c r="E3014" t="n">
        <v>4.310862761</v>
      </c>
      <c r="F3014" t="n">
        <v>24.74330292</v>
      </c>
      <c r="G3014" t="n">
        <v>25.05659744</v>
      </c>
      <c r="H3014" t="n">
        <v>25.36305693</v>
      </c>
    </row>
    <row r="3015">
      <c r="A3015" t="inlineStr">
        <is>
          <t>COG|mit.typ.p1.2</t>
        </is>
      </c>
      <c r="B3015" t="inlineStr">
        <is>
          <t>COG</t>
        </is>
      </c>
      <c r="C3015" t="inlineStr">
        <is>
          <t>mit.typ.p1.2</t>
        </is>
      </c>
      <c r="D3015" t="n">
        <v>0</v>
      </c>
      <c r="E3015" t="n">
        <v>0.1017277737</v>
      </c>
      <c r="F3015" t="n">
        <v>0.4667052075</v>
      </c>
      <c r="G3015" t="n">
        <v>0.5654299622</v>
      </c>
      <c r="H3015" t="n">
        <v>0.610646802</v>
      </c>
    </row>
    <row r="3016">
      <c r="A3016" t="inlineStr">
        <is>
          <t>COL|mit.typ.p1.2</t>
        </is>
      </c>
      <c r="B3016" t="inlineStr">
        <is>
          <t>COL</t>
        </is>
      </c>
      <c r="C3016" t="inlineStr">
        <is>
          <t>mit.typ.p1.2</t>
        </is>
      </c>
      <c r="D3016" t="n">
        <v>0</v>
      </c>
      <c r="E3016" t="n">
        <v>1.040828562</v>
      </c>
      <c r="F3016" t="n">
        <v>3.424219106</v>
      </c>
      <c r="G3016" t="n">
        <v>3.785107884</v>
      </c>
      <c r="H3016" t="n">
        <v>4.148981566</v>
      </c>
    </row>
    <row r="3017">
      <c r="A3017" t="inlineStr">
        <is>
          <t>COM|mit.typ.p1.2</t>
        </is>
      </c>
      <c r="B3017" t="inlineStr">
        <is>
          <t>COM</t>
        </is>
      </c>
      <c r="C3017" t="inlineStr">
        <is>
          <t>mit.typ.p1.2</t>
        </is>
      </c>
      <c r="D3017" t="n">
        <v>0</v>
      </c>
      <c r="E3017" t="n">
        <v>0.005026665078</v>
      </c>
      <c r="F3017" t="n">
        <v>0.01113760459</v>
      </c>
      <c r="G3017" t="n">
        <v>0.01788002985</v>
      </c>
      <c r="H3017" t="n">
        <v>0.02143176446</v>
      </c>
    </row>
    <row r="3018">
      <c r="A3018" t="inlineStr">
        <is>
          <t>CPV|mit.typ.p1.2</t>
        </is>
      </c>
      <c r="B3018" t="inlineStr">
        <is>
          <t>CPV</t>
        </is>
      </c>
      <c r="C3018" t="inlineStr">
        <is>
          <t>mit.typ.p1.2</t>
        </is>
      </c>
      <c r="D3018" t="n">
        <v>0</v>
      </c>
      <c r="E3018" t="n">
        <v>0.007359758322</v>
      </c>
      <c r="F3018" t="n">
        <v>0.01064261728</v>
      </c>
      <c r="G3018" t="n">
        <v>0.01688213862</v>
      </c>
      <c r="H3018" t="n">
        <v>0.01999682001</v>
      </c>
    </row>
    <row r="3019">
      <c r="A3019" t="inlineStr">
        <is>
          <t>CRI|mit.typ.p1.2</t>
        </is>
      </c>
      <c r="B3019" t="inlineStr">
        <is>
          <t>CRI</t>
        </is>
      </c>
      <c r="C3019" t="inlineStr">
        <is>
          <t>mit.typ.p1.2</t>
        </is>
      </c>
      <c r="D3019" t="n">
        <v>0</v>
      </c>
      <c r="E3019" t="n">
        <v>0.08763818714</v>
      </c>
      <c r="F3019" t="n">
        <v>0.1255611939</v>
      </c>
      <c r="G3019" t="n">
        <v>0.1670257418</v>
      </c>
      <c r="H3019" t="n">
        <v>0.2202146975</v>
      </c>
    </row>
    <row r="3020">
      <c r="A3020" t="inlineStr">
        <is>
          <t>CYP|mit.typ.p1.2</t>
        </is>
      </c>
      <c r="B3020" t="inlineStr">
        <is>
          <t>CYP</t>
        </is>
      </c>
      <c r="C3020" t="inlineStr">
        <is>
          <t>mit.typ.p1.2</t>
        </is>
      </c>
      <c r="D3020" t="n">
        <v>0</v>
      </c>
      <c r="E3020" t="n">
        <v>0.06239313116</v>
      </c>
      <c r="F3020" t="n">
        <v>0.07380676167</v>
      </c>
      <c r="G3020" t="n">
        <v>0.08529005605999999</v>
      </c>
      <c r="H3020" t="n">
        <v>0.09297854731000001</v>
      </c>
    </row>
    <row r="3021">
      <c r="A3021" t="inlineStr">
        <is>
          <t>CZE|mit.typ.p1.2</t>
        </is>
      </c>
      <c r="B3021" t="inlineStr">
        <is>
          <t>CZE</t>
        </is>
      </c>
      <c r="C3021" t="inlineStr">
        <is>
          <t>mit.typ.p1.2</t>
        </is>
      </c>
      <c r="D3021" t="n">
        <v>0</v>
      </c>
      <c r="E3021" t="n">
        <v>1.034868746</v>
      </c>
      <c r="F3021" t="n">
        <v>1.2897029</v>
      </c>
      <c r="G3021" t="n">
        <v>1.342898475</v>
      </c>
      <c r="H3021" t="n">
        <v>1.048648697</v>
      </c>
    </row>
    <row r="3022">
      <c r="A3022" t="inlineStr">
        <is>
          <t>DEU|mit.typ.p1.2</t>
        </is>
      </c>
      <c r="B3022" t="inlineStr">
        <is>
          <t>DEU</t>
        </is>
      </c>
      <c r="C3022" t="inlineStr">
        <is>
          <t>mit.typ.p1.2</t>
        </is>
      </c>
      <c r="D3022" t="n">
        <v>0</v>
      </c>
      <c r="E3022" t="n">
        <v>11.47838855</v>
      </c>
      <c r="F3022" t="n">
        <v>11.6466914</v>
      </c>
      <c r="G3022" t="n">
        <v>11.88522895</v>
      </c>
      <c r="H3022" t="n">
        <v>8.930711922</v>
      </c>
    </row>
    <row r="3023">
      <c r="A3023" t="inlineStr">
        <is>
          <t>DJI|mit.typ.p1.2</t>
        </is>
      </c>
      <c r="B3023" t="inlineStr">
        <is>
          <t>DJI</t>
        </is>
      </c>
      <c r="C3023" t="inlineStr">
        <is>
          <t>mit.typ.p1.2</t>
        </is>
      </c>
      <c r="D3023" t="n">
        <v>0</v>
      </c>
      <c r="E3023" t="n">
        <v>0.007734444515</v>
      </c>
      <c r="F3023" t="n">
        <v>0.01476792599</v>
      </c>
      <c r="G3023" t="n">
        <v>0.02274400238</v>
      </c>
      <c r="H3023" t="n">
        <v>0.029548119</v>
      </c>
    </row>
    <row r="3024">
      <c r="A3024" t="inlineStr">
        <is>
          <t>DMA|mit.typ.p1.2</t>
        </is>
      </c>
      <c r="B3024" t="inlineStr">
        <is>
          <t>DMA</t>
        </is>
      </c>
      <c r="C3024" t="inlineStr">
        <is>
          <t>mit.typ.p1.2</t>
        </is>
      </c>
      <c r="D3024" t="n">
        <v>0</v>
      </c>
      <c r="E3024" t="n">
        <v>0.0008225458059</v>
      </c>
      <c r="F3024" t="n">
        <v>0.001150735901</v>
      </c>
      <c r="G3024" t="n">
        <v>0.001499349773</v>
      </c>
      <c r="H3024" t="n">
        <v>0.001946367197</v>
      </c>
    </row>
    <row r="3025">
      <c r="A3025" t="inlineStr">
        <is>
          <t>DNK|mit.typ.p1.2</t>
        </is>
      </c>
      <c r="B3025" t="inlineStr">
        <is>
          <t>DNK</t>
        </is>
      </c>
      <c r="C3025" t="inlineStr">
        <is>
          <t>mit.typ.p1.2</t>
        </is>
      </c>
      <c r="D3025" t="n">
        <v>0</v>
      </c>
      <c r="E3025" t="n">
        <v>0.7847684426</v>
      </c>
      <c r="F3025" t="n">
        <v>0.9144001322999999</v>
      </c>
      <c r="G3025" t="n">
        <v>1.006287261</v>
      </c>
      <c r="H3025" t="n">
        <v>0.9937496835</v>
      </c>
    </row>
    <row r="3026">
      <c r="A3026" t="inlineStr">
        <is>
          <t>DOM|mit.typ.p1.2</t>
        </is>
      </c>
      <c r="B3026" t="inlineStr">
        <is>
          <t>DOM</t>
        </is>
      </c>
      <c r="C3026" t="inlineStr">
        <is>
          <t>mit.typ.p1.2</t>
        </is>
      </c>
      <c r="D3026" t="n">
        <v>0</v>
      </c>
      <c r="E3026" t="n">
        <v>0.330591646</v>
      </c>
      <c r="F3026" t="n">
        <v>0.5340971671</v>
      </c>
      <c r="G3026" t="n">
        <v>0.9533547501</v>
      </c>
      <c r="H3026" t="n">
        <v>0.9388285092</v>
      </c>
    </row>
    <row r="3027">
      <c r="A3027" t="inlineStr">
        <is>
          <t>DZA|mit.typ.p1.2</t>
        </is>
      </c>
      <c r="B3027" t="inlineStr">
        <is>
          <t>DZA</t>
        </is>
      </c>
      <c r="C3027" t="inlineStr">
        <is>
          <t>mit.typ.p1.2</t>
        </is>
      </c>
      <c r="D3027" t="n">
        <v>0</v>
      </c>
      <c r="E3027" t="n">
        <v>2.325083713</v>
      </c>
      <c r="F3027" t="n">
        <v>3.064594853</v>
      </c>
      <c r="G3027" t="n">
        <v>5.131402441</v>
      </c>
      <c r="H3027" t="n">
        <v>4.896922536</v>
      </c>
    </row>
    <row r="3028">
      <c r="A3028" t="inlineStr">
        <is>
          <t>ECU|mit.typ.p1.2</t>
        </is>
      </c>
      <c r="B3028" t="inlineStr">
        <is>
          <t>ECU</t>
        </is>
      </c>
      <c r="C3028" t="inlineStr">
        <is>
          <t>mit.typ.p1.2</t>
        </is>
      </c>
      <c r="D3028" t="n">
        <v>0</v>
      </c>
      <c r="E3028" t="n">
        <v>0.3868601199</v>
      </c>
      <c r="F3028" t="n">
        <v>1.131888242</v>
      </c>
      <c r="G3028" t="n">
        <v>1.314968306</v>
      </c>
      <c r="H3028" t="n">
        <v>1.429691657</v>
      </c>
    </row>
    <row r="3029">
      <c r="A3029" t="inlineStr">
        <is>
          <t>EGY|mit.typ.p1.2</t>
        </is>
      </c>
      <c r="B3029" t="inlineStr">
        <is>
          <t>EGY</t>
        </is>
      </c>
      <c r="C3029" t="inlineStr">
        <is>
          <t>mit.typ.p1.2</t>
        </is>
      </c>
      <c r="D3029" t="n">
        <v>0</v>
      </c>
      <c r="E3029" t="n">
        <v>2.716616325</v>
      </c>
      <c r="F3029" t="n">
        <v>3.820485051</v>
      </c>
      <c r="G3029" t="n">
        <v>7.238910015</v>
      </c>
      <c r="H3029" t="n">
        <v>7.477861566</v>
      </c>
    </row>
    <row r="3030">
      <c r="A3030" t="inlineStr">
        <is>
          <t>ESP|mit.typ.p1.2</t>
        </is>
      </c>
      <c r="B3030" t="inlineStr">
        <is>
          <t>ESP</t>
        </is>
      </c>
      <c r="C3030" t="inlineStr">
        <is>
          <t>mit.typ.p1.2</t>
        </is>
      </c>
      <c r="D3030" t="n">
        <v>0</v>
      </c>
      <c r="E3030" t="n">
        <v>3.607536481</v>
      </c>
      <c r="F3030" t="n">
        <v>3.938497028</v>
      </c>
      <c r="G3030" t="n">
        <v>4.250413104</v>
      </c>
      <c r="H3030" t="n">
        <v>3.863968292</v>
      </c>
    </row>
    <row r="3031">
      <c r="A3031" t="inlineStr">
        <is>
          <t>EST|mit.typ.p1.2</t>
        </is>
      </c>
      <c r="B3031" t="inlineStr">
        <is>
          <t>EST</t>
        </is>
      </c>
      <c r="C3031" t="inlineStr">
        <is>
          <t>mit.typ.p1.2</t>
        </is>
      </c>
      <c r="D3031" t="n">
        <v>0</v>
      </c>
      <c r="E3031" t="n">
        <v>0.09478856834</v>
      </c>
      <c r="F3031" t="n">
        <v>0.1548657598</v>
      </c>
      <c r="G3031" t="n">
        <v>0.1619624347</v>
      </c>
      <c r="H3031" t="n">
        <v>0.1575247704</v>
      </c>
    </row>
    <row r="3032">
      <c r="A3032" t="inlineStr">
        <is>
          <t>ETH|mit.typ.p1.2</t>
        </is>
      </c>
      <c r="B3032" t="inlineStr">
        <is>
          <t>ETH</t>
        </is>
      </c>
      <c r="C3032" t="inlineStr">
        <is>
          <t>mit.typ.p1.2</t>
        </is>
      </c>
      <c r="D3032" t="n">
        <v>0</v>
      </c>
      <c r="E3032" t="n">
        <v>0.5575800629</v>
      </c>
      <c r="F3032" t="n">
        <v>2.961185671</v>
      </c>
      <c r="G3032" t="n">
        <v>4.187095324</v>
      </c>
      <c r="H3032" t="n">
        <v>5.267753785</v>
      </c>
    </row>
    <row r="3033">
      <c r="A3033" t="inlineStr">
        <is>
          <t>FIN|mit.typ.p1.2</t>
        </is>
      </c>
      <c r="B3033" t="inlineStr">
        <is>
          <t>FIN</t>
        </is>
      </c>
      <c r="C3033" t="inlineStr">
        <is>
          <t>mit.typ.p1.2</t>
        </is>
      </c>
      <c r="D3033" t="n">
        <v>0</v>
      </c>
      <c r="E3033" t="n">
        <v>0.4364603762</v>
      </c>
      <c r="F3033" t="n">
        <v>0.4809121489</v>
      </c>
      <c r="G3033" t="n">
        <v>0.5338714255</v>
      </c>
      <c r="H3033" t="n">
        <v>0.6062468223</v>
      </c>
    </row>
    <row r="3034">
      <c r="A3034" t="inlineStr">
        <is>
          <t>FJI|mit.typ.p1.2</t>
        </is>
      </c>
      <c r="B3034" t="inlineStr">
        <is>
          <t>FJI</t>
        </is>
      </c>
      <c r="C3034" t="inlineStr">
        <is>
          <t>mit.typ.p1.2</t>
        </is>
      </c>
      <c r="D3034" t="n">
        <v>0</v>
      </c>
      <c r="E3034" t="n">
        <v>0.008477051213999999</v>
      </c>
      <c r="F3034" t="n">
        <v>0.01280069266</v>
      </c>
      <c r="G3034" t="n">
        <v>0.01677983245</v>
      </c>
      <c r="H3034" t="n">
        <v>0.02171469425</v>
      </c>
    </row>
    <row r="3035">
      <c r="A3035" t="inlineStr">
        <is>
          <t>FRA|mit.typ.p1.2</t>
        </is>
      </c>
      <c r="B3035" t="inlineStr">
        <is>
          <t>FRA</t>
        </is>
      </c>
      <c r="C3035" t="inlineStr">
        <is>
          <t>mit.typ.p1.2</t>
        </is>
      </c>
      <c r="D3035" t="n">
        <v>0</v>
      </c>
      <c r="E3035" t="n">
        <v>6.892887517</v>
      </c>
      <c r="F3035" t="n">
        <v>7.17260842</v>
      </c>
      <c r="G3035" t="n">
        <v>7.519046599</v>
      </c>
      <c r="H3035" t="n">
        <v>6.323596115</v>
      </c>
    </row>
    <row r="3036">
      <c r="A3036" t="inlineStr">
        <is>
          <t>GAB|mit.typ.p1.2</t>
        </is>
      </c>
      <c r="B3036" t="inlineStr">
        <is>
          <t>GAB</t>
        </is>
      </c>
      <c r="C3036" t="inlineStr">
        <is>
          <t>mit.typ.p1.2</t>
        </is>
      </c>
      <c r="D3036" t="n">
        <v>0</v>
      </c>
      <c r="E3036" t="n">
        <v>0.05886715813</v>
      </c>
      <c r="F3036" t="n">
        <v>0.2483827931</v>
      </c>
      <c r="G3036" t="n">
        <v>0.2810656232</v>
      </c>
      <c r="H3036" t="n">
        <v>0.3109088883</v>
      </c>
    </row>
    <row r="3037">
      <c r="A3037" t="inlineStr">
        <is>
          <t>GBR|mit.typ.p1.2</t>
        </is>
      </c>
      <c r="B3037" t="inlineStr">
        <is>
          <t>GBR</t>
        </is>
      </c>
      <c r="C3037" t="inlineStr">
        <is>
          <t>mit.typ.p1.2</t>
        </is>
      </c>
      <c r="D3037" t="n">
        <v>0</v>
      </c>
      <c r="E3037" t="n">
        <v>9.494901909999999</v>
      </c>
      <c r="F3037" t="n">
        <v>9.620117743</v>
      </c>
      <c r="G3037" t="n">
        <v>9.841745775</v>
      </c>
      <c r="H3037" t="n">
        <v>7.165915811</v>
      </c>
    </row>
    <row r="3038">
      <c r="A3038" t="inlineStr">
        <is>
          <t>GEO|mit.typ.p1.2</t>
        </is>
      </c>
      <c r="B3038" t="inlineStr">
        <is>
          <t>GEO</t>
        </is>
      </c>
      <c r="C3038" t="inlineStr">
        <is>
          <t>mit.typ.p1.2</t>
        </is>
      </c>
      <c r="D3038" t="n">
        <v>0</v>
      </c>
      <c r="E3038" t="n">
        <v>0.1672874502</v>
      </c>
      <c r="F3038" t="n">
        <v>0.208484524</v>
      </c>
      <c r="G3038" t="n">
        <v>0.267686452</v>
      </c>
      <c r="H3038" t="n">
        <v>0.3152041684</v>
      </c>
    </row>
    <row r="3039">
      <c r="A3039" t="inlineStr">
        <is>
          <t>GHA|mit.typ.p1.2</t>
        </is>
      </c>
      <c r="B3039" t="inlineStr">
        <is>
          <t>GHA</t>
        </is>
      </c>
      <c r="C3039" t="inlineStr">
        <is>
          <t>mit.typ.p1.2</t>
        </is>
      </c>
      <c r="D3039" t="n">
        <v>0</v>
      </c>
      <c r="E3039" t="n">
        <v>0.2256004381</v>
      </c>
      <c r="F3039" t="n">
        <v>0.4833176319</v>
      </c>
      <c r="G3039" t="n">
        <v>0.9391554254</v>
      </c>
      <c r="H3039" t="n">
        <v>1.05308362</v>
      </c>
    </row>
    <row r="3040">
      <c r="A3040" t="inlineStr">
        <is>
          <t>GIN|mit.typ.p1.2</t>
        </is>
      </c>
      <c r="B3040" t="inlineStr">
        <is>
          <t>GIN</t>
        </is>
      </c>
      <c r="C3040" t="inlineStr">
        <is>
          <t>mit.typ.p1.2</t>
        </is>
      </c>
      <c r="D3040" t="n">
        <v>0</v>
      </c>
      <c r="E3040" t="n">
        <v>0.1431281237</v>
      </c>
      <c r="F3040" t="n">
        <v>0.6564710933</v>
      </c>
      <c r="G3040" t="n">
        <v>0.7742799878</v>
      </c>
      <c r="H3040" t="n">
        <v>0.8747750094</v>
      </c>
    </row>
    <row r="3041">
      <c r="A3041" t="inlineStr">
        <is>
          <t>GMB|mit.typ.p1.2</t>
        </is>
      </c>
      <c r="B3041" t="inlineStr">
        <is>
          <t>GMB</t>
        </is>
      </c>
      <c r="C3041" t="inlineStr">
        <is>
          <t>mit.typ.p1.2</t>
        </is>
      </c>
      <c r="D3041" t="n">
        <v>0</v>
      </c>
      <c r="E3041" t="n">
        <v>0.009679685449000001</v>
      </c>
      <c r="F3041" t="n">
        <v>0.03510767378</v>
      </c>
      <c r="G3041" t="n">
        <v>0.04814398875</v>
      </c>
      <c r="H3041" t="n">
        <v>0.05593489076</v>
      </c>
    </row>
    <row r="3042">
      <c r="A3042" t="inlineStr">
        <is>
          <t>GNB|mit.typ.p1.2</t>
        </is>
      </c>
      <c r="B3042" t="inlineStr">
        <is>
          <t>GNB</t>
        </is>
      </c>
      <c r="C3042" t="inlineStr">
        <is>
          <t>mit.typ.p1.2</t>
        </is>
      </c>
      <c r="D3042" t="n">
        <v>0</v>
      </c>
      <c r="E3042" t="n">
        <v>0.01745079048</v>
      </c>
      <c r="F3042" t="n">
        <v>0.08517608885</v>
      </c>
      <c r="G3042" t="n">
        <v>0.09927531287999999</v>
      </c>
      <c r="H3042" t="n">
        <v>0.109037108</v>
      </c>
    </row>
    <row r="3043">
      <c r="A3043" t="inlineStr">
        <is>
          <t>GNQ|mit.typ.p1.2</t>
        </is>
      </c>
      <c r="B3043" t="inlineStr">
        <is>
          <t>GNQ</t>
        </is>
      </c>
      <c r="C3043" t="inlineStr">
        <is>
          <t>mit.typ.p1.2</t>
        </is>
      </c>
      <c r="D3043" t="n">
        <v>0</v>
      </c>
      <c r="E3043" t="n">
        <v>0.03486414272</v>
      </c>
      <c r="F3043" t="n">
        <v>0.1450800346</v>
      </c>
      <c r="G3043" t="n">
        <v>0.1624742598</v>
      </c>
      <c r="H3043" t="n">
        <v>0.1775056577</v>
      </c>
    </row>
    <row r="3044">
      <c r="A3044" t="inlineStr">
        <is>
          <t>GRC|mit.typ.p1.2</t>
        </is>
      </c>
      <c r="B3044" t="inlineStr">
        <is>
          <t>GRC</t>
        </is>
      </c>
      <c r="C3044" t="inlineStr">
        <is>
          <t>mit.typ.p1.2</t>
        </is>
      </c>
      <c r="D3044" t="n">
        <v>0</v>
      </c>
      <c r="E3044" t="n">
        <v>0.5210671763</v>
      </c>
      <c r="F3044" t="n">
        <v>0.5943815614</v>
      </c>
      <c r="G3044" t="n">
        <v>0.6515225708</v>
      </c>
      <c r="H3044" t="n">
        <v>0.6296625915</v>
      </c>
    </row>
    <row r="3045">
      <c r="A3045" t="inlineStr">
        <is>
          <t>GRD|mit.typ.p1.2</t>
        </is>
      </c>
      <c r="B3045" t="inlineStr">
        <is>
          <t>GRD</t>
        </is>
      </c>
      <c r="C3045" t="inlineStr">
        <is>
          <t>mit.typ.p1.2</t>
        </is>
      </c>
      <c r="D3045" t="n">
        <v>0</v>
      </c>
      <c r="E3045" t="n">
        <v>0.0018899085</v>
      </c>
      <c r="F3045" t="n">
        <v>0.002425353952</v>
      </c>
      <c r="G3045" t="n">
        <v>0.003502884263</v>
      </c>
      <c r="H3045" t="n">
        <v>0.004124423064</v>
      </c>
    </row>
    <row r="3046">
      <c r="A3046" t="inlineStr">
        <is>
          <t>GTM|mit.typ.p1.2</t>
        </is>
      </c>
      <c r="B3046" t="inlineStr">
        <is>
          <t>GTM</t>
        </is>
      </c>
      <c r="C3046" t="inlineStr">
        <is>
          <t>mit.typ.p1.2</t>
        </is>
      </c>
      <c r="D3046" t="n">
        <v>0</v>
      </c>
      <c r="E3046" t="n">
        <v>0.1654280018</v>
      </c>
      <c r="F3046" t="n">
        <v>0.3575151841</v>
      </c>
      <c r="G3046" t="n">
        <v>0.4437862306</v>
      </c>
      <c r="H3046" t="n">
        <v>0.5387541179000001</v>
      </c>
    </row>
    <row r="3047">
      <c r="A3047" t="inlineStr">
        <is>
          <t>GUY|mit.typ.p1.2</t>
        </is>
      </c>
      <c r="B3047" t="inlineStr">
        <is>
          <t>GUY</t>
        </is>
      </c>
      <c r="C3047" t="inlineStr">
        <is>
          <t>mit.typ.p1.2</t>
        </is>
      </c>
      <c r="D3047" t="n">
        <v>0</v>
      </c>
      <c r="E3047" t="n">
        <v>0.09935452274999999</v>
      </c>
      <c r="F3047" t="n">
        <v>0.4510080113</v>
      </c>
      <c r="G3047" t="n">
        <v>0.5246382397</v>
      </c>
      <c r="H3047" t="n">
        <v>0.5586672941</v>
      </c>
    </row>
    <row r="3048">
      <c r="A3048" t="inlineStr">
        <is>
          <t>HKG|mit.typ.p1.2</t>
        </is>
      </c>
      <c r="B3048" t="inlineStr">
        <is>
          <t>HKG</t>
        </is>
      </c>
      <c r="C3048" t="inlineStr">
        <is>
          <t>mit.typ.p1.2</t>
        </is>
      </c>
      <c r="D3048" t="n">
        <v>0</v>
      </c>
      <c r="E3048" t="n">
        <v>0.632022491</v>
      </c>
      <c r="F3048" t="n">
        <v>0.7079921318</v>
      </c>
      <c r="G3048" t="n">
        <v>0.8149069042</v>
      </c>
      <c r="H3048" t="n">
        <v>0.8772476208</v>
      </c>
    </row>
    <row r="3049">
      <c r="A3049" t="inlineStr">
        <is>
          <t>HND|mit.typ.p1.2</t>
        </is>
      </c>
      <c r="B3049" t="inlineStr">
        <is>
          <t>HND</t>
        </is>
      </c>
      <c r="C3049" t="inlineStr">
        <is>
          <t>mit.typ.p1.2</t>
        </is>
      </c>
      <c r="D3049" t="n">
        <v>0</v>
      </c>
      <c r="E3049" t="n">
        <v>0.1122609996</v>
      </c>
      <c r="F3049" t="n">
        <v>0.3922770842</v>
      </c>
      <c r="G3049" t="n">
        <v>0.4568191517</v>
      </c>
      <c r="H3049" t="n">
        <v>0.5130341643</v>
      </c>
    </row>
    <row r="3050">
      <c r="A3050" t="inlineStr">
        <is>
          <t>HRV|mit.typ.p1.2</t>
        </is>
      </c>
      <c r="B3050" t="inlineStr">
        <is>
          <t>HRV</t>
        </is>
      </c>
      <c r="C3050" t="inlineStr">
        <is>
          <t>mit.typ.p1.2</t>
        </is>
      </c>
      <c r="D3050" t="n">
        <v>0</v>
      </c>
      <c r="E3050" t="n">
        <v>0.2401572772</v>
      </c>
      <c r="F3050" t="n">
        <v>0.2715383918</v>
      </c>
      <c r="G3050" t="n">
        <v>0.2921744043</v>
      </c>
      <c r="H3050" t="n">
        <v>0.2436113499</v>
      </c>
    </row>
    <row r="3051">
      <c r="A3051" t="inlineStr">
        <is>
          <t>HTI|mit.typ.p1.2</t>
        </is>
      </c>
      <c r="B3051" t="inlineStr">
        <is>
          <t>HTI</t>
        </is>
      </c>
      <c r="C3051" t="inlineStr">
        <is>
          <t>mit.typ.p1.2</t>
        </is>
      </c>
      <c r="D3051" t="n">
        <v>0</v>
      </c>
      <c r="E3051" t="n">
        <v>0.08323679471000001</v>
      </c>
      <c r="F3051" t="n">
        <v>0.1582833626</v>
      </c>
      <c r="G3051" t="n">
        <v>0.2538684835</v>
      </c>
      <c r="H3051" t="n">
        <v>0.3088567517</v>
      </c>
    </row>
    <row r="3052">
      <c r="A3052" t="inlineStr">
        <is>
          <t>HUN|mit.typ.p1.2</t>
        </is>
      </c>
      <c r="B3052" t="inlineStr">
        <is>
          <t>HUN</t>
        </is>
      </c>
      <c r="C3052" t="inlineStr">
        <is>
          <t>mit.typ.p1.2</t>
        </is>
      </c>
      <c r="D3052" t="n">
        <v>0</v>
      </c>
      <c r="E3052" t="n">
        <v>0.5501068295</v>
      </c>
      <c r="F3052" t="n">
        <v>0.5896172894</v>
      </c>
      <c r="G3052" t="n">
        <v>0.5919788647999999</v>
      </c>
      <c r="H3052" t="n">
        <v>0.6060463843</v>
      </c>
    </row>
    <row r="3053">
      <c r="A3053" t="inlineStr">
        <is>
          <t>IDN|mit.typ.p1.2</t>
        </is>
      </c>
      <c r="B3053" t="inlineStr">
        <is>
          <t>IDN</t>
        </is>
      </c>
      <c r="C3053" t="inlineStr">
        <is>
          <t>mit.typ.p1.2</t>
        </is>
      </c>
      <c r="D3053" t="n">
        <v>0</v>
      </c>
      <c r="E3053" t="n">
        <v>4.92154028</v>
      </c>
      <c r="F3053" t="n">
        <v>12.90391602</v>
      </c>
      <c r="G3053" t="n">
        <v>17.32758696</v>
      </c>
      <c r="H3053" t="n">
        <v>19.66426492</v>
      </c>
    </row>
    <row r="3054">
      <c r="A3054" t="inlineStr">
        <is>
          <t>IND|mit.typ.p1.2</t>
        </is>
      </c>
      <c r="B3054" t="inlineStr">
        <is>
          <t>IND</t>
        </is>
      </c>
      <c r="C3054" t="inlineStr">
        <is>
          <t>mit.typ.p1.2</t>
        </is>
      </c>
      <c r="D3054" t="n">
        <v>0</v>
      </c>
      <c r="E3054" t="n">
        <v>18.61255257</v>
      </c>
      <c r="F3054" t="n">
        <v>30.71076002</v>
      </c>
      <c r="G3054" t="n">
        <v>56.47644862</v>
      </c>
      <c r="H3054" t="n">
        <v>60.46401919</v>
      </c>
    </row>
    <row r="3055">
      <c r="A3055" t="inlineStr">
        <is>
          <t>IRL|mit.typ.p1.2</t>
        </is>
      </c>
      <c r="B3055" t="inlineStr">
        <is>
          <t>IRL</t>
        </is>
      </c>
      <c r="C3055" t="inlineStr">
        <is>
          <t>mit.typ.p1.2</t>
        </is>
      </c>
      <c r="D3055" t="n">
        <v>0</v>
      </c>
      <c r="E3055" t="n">
        <v>1.78902607</v>
      </c>
      <c r="F3055" t="n">
        <v>2.123133205</v>
      </c>
      <c r="G3055" t="n">
        <v>2.205145115</v>
      </c>
      <c r="H3055" t="n">
        <v>2.005641705</v>
      </c>
    </row>
    <row r="3056">
      <c r="A3056" t="inlineStr">
        <is>
          <t>IRN|mit.typ.p1.2</t>
        </is>
      </c>
      <c r="B3056" t="inlineStr">
        <is>
          <t>IRN</t>
        </is>
      </c>
      <c r="C3056" t="inlineStr">
        <is>
          <t>mit.typ.p1.2</t>
        </is>
      </c>
      <c r="D3056" t="n">
        <v>0</v>
      </c>
      <c r="E3056" t="n">
        <v>7.27736409</v>
      </c>
      <c r="F3056" t="n">
        <v>7.09116242</v>
      </c>
      <c r="G3056" t="n">
        <v>14.05712117</v>
      </c>
      <c r="H3056" t="n">
        <v>13.02255713</v>
      </c>
    </row>
    <row r="3057">
      <c r="A3057" t="inlineStr">
        <is>
          <t>IRQ|mit.typ.p1.2</t>
        </is>
      </c>
      <c r="B3057" t="inlineStr">
        <is>
          <t>IRQ</t>
        </is>
      </c>
      <c r="C3057" t="inlineStr">
        <is>
          <t>mit.typ.p1.2</t>
        </is>
      </c>
      <c r="D3057" t="n">
        <v>0</v>
      </c>
      <c r="E3057" t="n">
        <v>1.980412897</v>
      </c>
      <c r="F3057" t="n">
        <v>2.07275632</v>
      </c>
      <c r="G3057" t="n">
        <v>4.122355571</v>
      </c>
      <c r="H3057" t="n">
        <v>4.032008595</v>
      </c>
    </row>
    <row r="3058">
      <c r="A3058" t="inlineStr">
        <is>
          <t>ISL|mit.typ.p1.2</t>
        </is>
      </c>
      <c r="B3058" t="inlineStr">
        <is>
          <t>ISL</t>
        </is>
      </c>
      <c r="C3058" t="inlineStr">
        <is>
          <t>mit.typ.p1.2</t>
        </is>
      </c>
      <c r="D3058" t="n">
        <v>0</v>
      </c>
      <c r="E3058" t="n">
        <v>0.08378542493</v>
      </c>
      <c r="F3058" t="n">
        <v>0.2768540455</v>
      </c>
      <c r="G3058" t="n">
        <v>0.2850079731</v>
      </c>
      <c r="H3058" t="n">
        <v>0.2954053234</v>
      </c>
    </row>
    <row r="3059">
      <c r="A3059" t="inlineStr">
        <is>
          <t>ISR|mit.typ.p1.2</t>
        </is>
      </c>
      <c r="B3059" t="inlineStr">
        <is>
          <t>ISR</t>
        </is>
      </c>
      <c r="C3059" t="inlineStr">
        <is>
          <t>mit.typ.p1.2</t>
        </is>
      </c>
      <c r="D3059" t="n">
        <v>0</v>
      </c>
      <c r="E3059" t="n">
        <v>0.8244401766</v>
      </c>
      <c r="F3059" t="n">
        <v>1.022990423</v>
      </c>
      <c r="G3059" t="n">
        <v>1.216422005</v>
      </c>
      <c r="H3059" t="n">
        <v>1.394060268</v>
      </c>
    </row>
    <row r="3060">
      <c r="A3060" t="inlineStr">
        <is>
          <t>ITA|mit.typ.p1.2</t>
        </is>
      </c>
      <c r="B3060" t="inlineStr">
        <is>
          <t>ITA</t>
        </is>
      </c>
      <c r="C3060" t="inlineStr">
        <is>
          <t>mit.typ.p1.2</t>
        </is>
      </c>
      <c r="D3060" t="n">
        <v>0</v>
      </c>
      <c r="E3060" t="n">
        <v>6.244177857</v>
      </c>
      <c r="F3060" t="n">
        <v>6.330504924</v>
      </c>
      <c r="G3060" t="n">
        <v>6.441639859</v>
      </c>
      <c r="H3060" t="n">
        <v>4.705013067</v>
      </c>
    </row>
    <row r="3061">
      <c r="A3061" t="inlineStr">
        <is>
          <t>JAM|mit.typ.p1.2</t>
        </is>
      </c>
      <c r="B3061" t="inlineStr">
        <is>
          <t>JAM</t>
        </is>
      </c>
      <c r="C3061" t="inlineStr">
        <is>
          <t>mit.typ.p1.2</t>
        </is>
      </c>
      <c r="D3061" t="n">
        <v>0</v>
      </c>
      <c r="E3061" t="n">
        <v>0.02480810084</v>
      </c>
      <c r="F3061" t="n">
        <v>0.03267458005</v>
      </c>
      <c r="G3061" t="n">
        <v>0.03819516653</v>
      </c>
      <c r="H3061" t="n">
        <v>0.04807319977</v>
      </c>
    </row>
    <row r="3062">
      <c r="A3062" t="inlineStr">
        <is>
          <t>JOR|mit.typ.p1.2</t>
        </is>
      </c>
      <c r="B3062" t="inlineStr">
        <is>
          <t>JOR</t>
        </is>
      </c>
      <c r="C3062" t="inlineStr">
        <is>
          <t>mit.typ.p1.2</t>
        </is>
      </c>
      <c r="D3062" t="n">
        <v>0</v>
      </c>
      <c r="E3062" t="n">
        <v>0.09117547562</v>
      </c>
      <c r="F3062" t="n">
        <v>0.1341624232</v>
      </c>
      <c r="G3062" t="n">
        <v>0.1720994689</v>
      </c>
      <c r="H3062" t="n">
        <v>0.2209099811</v>
      </c>
    </row>
    <row r="3063">
      <c r="A3063" t="inlineStr">
        <is>
          <t>JPN|mit.typ.p1.2</t>
        </is>
      </c>
      <c r="B3063" t="inlineStr">
        <is>
          <t>JPN</t>
        </is>
      </c>
      <c r="C3063" t="inlineStr">
        <is>
          <t>mit.typ.p1.2</t>
        </is>
      </c>
      <c r="D3063" t="n">
        <v>0</v>
      </c>
      <c r="E3063" t="n">
        <v>9.197846315</v>
      </c>
      <c r="F3063" t="n">
        <v>9.472574140000001</v>
      </c>
      <c r="G3063" t="n">
        <v>9.947959668999999</v>
      </c>
      <c r="H3063" t="n">
        <v>8.089904512</v>
      </c>
    </row>
    <row r="3064">
      <c r="A3064" t="inlineStr">
        <is>
          <t>KAZ|mit.typ.p1.2</t>
        </is>
      </c>
      <c r="B3064" t="inlineStr">
        <is>
          <t>KAZ</t>
        </is>
      </c>
      <c r="C3064" t="inlineStr">
        <is>
          <t>mit.typ.p1.2</t>
        </is>
      </c>
      <c r="D3064" t="n">
        <v>0</v>
      </c>
      <c r="E3064" t="n">
        <v>1.912391987</v>
      </c>
      <c r="F3064" t="n">
        <v>2.742577777</v>
      </c>
      <c r="G3064" t="n">
        <v>4.859380926</v>
      </c>
      <c r="H3064" t="n">
        <v>4.706042551</v>
      </c>
    </row>
    <row r="3065">
      <c r="A3065" t="inlineStr">
        <is>
          <t>KEN|mit.typ.p1.2</t>
        </is>
      </c>
      <c r="B3065" t="inlineStr">
        <is>
          <t>KEN</t>
        </is>
      </c>
      <c r="C3065" t="inlineStr">
        <is>
          <t>mit.typ.p1.2</t>
        </is>
      </c>
      <c r="D3065" t="n">
        <v>0</v>
      </c>
      <c r="E3065" t="n">
        <v>0.2257226483</v>
      </c>
      <c r="F3065" t="n">
        <v>0.585721645</v>
      </c>
      <c r="G3065" t="n">
        <v>0.85907589</v>
      </c>
      <c r="H3065" t="n">
        <v>1.150677582</v>
      </c>
    </row>
    <row r="3066">
      <c r="A3066" t="inlineStr">
        <is>
          <t>KGZ|mit.typ.p1.2</t>
        </is>
      </c>
      <c r="B3066" t="inlineStr">
        <is>
          <t>KGZ</t>
        </is>
      </c>
      <c r="C3066" t="inlineStr">
        <is>
          <t>mit.typ.p1.2</t>
        </is>
      </c>
      <c r="D3066" t="n">
        <v>0</v>
      </c>
      <c r="E3066" t="n">
        <v>0.3247315729</v>
      </c>
      <c r="F3066" t="n">
        <v>0.3790735153</v>
      </c>
      <c r="G3066" t="n">
        <v>0.5085353337</v>
      </c>
      <c r="H3066" t="n">
        <v>0.6373986294</v>
      </c>
    </row>
    <row r="3067">
      <c r="A3067" t="inlineStr">
        <is>
          <t>KHM|mit.typ.p1.2</t>
        </is>
      </c>
      <c r="B3067" t="inlineStr">
        <is>
          <t>KHM</t>
        </is>
      </c>
      <c r="C3067" t="inlineStr">
        <is>
          <t>mit.typ.p1.2</t>
        </is>
      </c>
      <c r="D3067" t="n">
        <v>0</v>
      </c>
      <c r="E3067" t="n">
        <v>0.2957317981</v>
      </c>
      <c r="F3067" t="n">
        <v>1.35481059</v>
      </c>
      <c r="G3067" t="n">
        <v>1.484643666</v>
      </c>
      <c r="H3067" t="n">
        <v>1.585144898</v>
      </c>
    </row>
    <row r="3068">
      <c r="A3068" t="inlineStr">
        <is>
          <t>KNA|mit.typ.p1.2</t>
        </is>
      </c>
      <c r="B3068" t="inlineStr">
        <is>
          <t>KNA</t>
        </is>
      </c>
      <c r="C3068" t="inlineStr">
        <is>
          <t>mit.typ.p1.2</t>
        </is>
      </c>
      <c r="D3068" t="n">
        <v>0</v>
      </c>
      <c r="E3068" t="n">
        <v>0.001002022539</v>
      </c>
      <c r="F3068" t="n">
        <v>0.00131318401</v>
      </c>
      <c r="G3068" t="n">
        <v>0.00143189959</v>
      </c>
      <c r="H3068" t="n">
        <v>0.001643092085</v>
      </c>
    </row>
    <row r="3069">
      <c r="A3069" t="inlineStr">
        <is>
          <t>KOR|mit.typ.p1.2</t>
        </is>
      </c>
      <c r="B3069" t="inlineStr">
        <is>
          <t>KOR</t>
        </is>
      </c>
      <c r="C3069" t="inlineStr">
        <is>
          <t>mit.typ.p1.2</t>
        </is>
      </c>
      <c r="D3069" t="n">
        <v>0</v>
      </c>
      <c r="E3069" t="n">
        <v>4.738996489</v>
      </c>
      <c r="F3069" t="n">
        <v>5.088567425</v>
      </c>
      <c r="G3069" t="n">
        <v>5.345516253</v>
      </c>
      <c r="H3069" t="n">
        <v>4.145127172</v>
      </c>
    </row>
    <row r="3070">
      <c r="A3070" t="inlineStr">
        <is>
          <t>KWT|mit.typ.p1.2</t>
        </is>
      </c>
      <c r="B3070" t="inlineStr">
        <is>
          <t>KWT</t>
        </is>
      </c>
      <c r="C3070" t="inlineStr">
        <is>
          <t>mit.typ.p1.2</t>
        </is>
      </c>
      <c r="D3070" t="n">
        <v>0</v>
      </c>
      <c r="E3070" t="n">
        <v>1.88075187</v>
      </c>
      <c r="F3070" t="n">
        <v>1.795932322</v>
      </c>
      <c r="G3070" t="n">
        <v>3.484209703</v>
      </c>
      <c r="H3070" t="n">
        <v>2.665311973</v>
      </c>
    </row>
    <row r="3071">
      <c r="A3071" t="inlineStr">
        <is>
          <t>LAO|mit.typ.p1.2</t>
        </is>
      </c>
      <c r="B3071" t="inlineStr">
        <is>
          <t>LAO</t>
        </is>
      </c>
      <c r="C3071" t="inlineStr">
        <is>
          <t>mit.typ.p1.2</t>
        </is>
      </c>
      <c r="D3071" t="n">
        <v>0</v>
      </c>
      <c r="E3071" t="n">
        <v>0.1349705734</v>
      </c>
      <c r="F3071" t="n">
        <v>0.703811162</v>
      </c>
      <c r="G3071" t="n">
        <v>0.7452467816</v>
      </c>
      <c r="H3071" t="n">
        <v>0.7933258613</v>
      </c>
    </row>
    <row r="3072">
      <c r="A3072" t="inlineStr">
        <is>
          <t>LBN|mit.typ.p1.2</t>
        </is>
      </c>
      <c r="B3072" t="inlineStr">
        <is>
          <t>LBN</t>
        </is>
      </c>
      <c r="C3072" t="inlineStr">
        <is>
          <t>mit.typ.p1.2</t>
        </is>
      </c>
      <c r="D3072" t="n">
        <v>0</v>
      </c>
      <c r="E3072" t="n">
        <v>0.5644993994</v>
      </c>
      <c r="F3072" t="n">
        <v>0.6609456405</v>
      </c>
      <c r="G3072" t="n">
        <v>1.087105167</v>
      </c>
      <c r="H3072" t="n">
        <v>1.076954622</v>
      </c>
    </row>
    <row r="3073">
      <c r="A3073" t="inlineStr">
        <is>
          <t>LBR|mit.typ.p1.2</t>
        </is>
      </c>
      <c r="B3073" t="inlineStr">
        <is>
          <t>LBR</t>
        </is>
      </c>
      <c r="C3073" t="inlineStr">
        <is>
          <t>mit.typ.p1.2</t>
        </is>
      </c>
      <c r="D3073" t="n">
        <v>0</v>
      </c>
      <c r="E3073" t="n">
        <v>0.1018626027</v>
      </c>
      <c r="F3073" t="n">
        <v>0.5479649052</v>
      </c>
      <c r="G3073" t="n">
        <v>0.5749344994</v>
      </c>
      <c r="H3073" t="n">
        <v>0.5923111808</v>
      </c>
    </row>
    <row r="3074">
      <c r="A3074" t="inlineStr">
        <is>
          <t>LBY|mit.typ.p1.2</t>
        </is>
      </c>
      <c r="B3074" t="inlineStr">
        <is>
          <t>LBY</t>
        </is>
      </c>
      <c r="C3074" t="inlineStr">
        <is>
          <t>mit.typ.p1.2</t>
        </is>
      </c>
      <c r="D3074" t="n">
        <v>0</v>
      </c>
      <c r="E3074" t="n">
        <v>1.878711546</v>
      </c>
      <c r="F3074" t="n">
        <v>1.687399573</v>
      </c>
      <c r="G3074" t="n">
        <v>2.918797328</v>
      </c>
      <c r="H3074" t="n">
        <v>2.543203897</v>
      </c>
    </row>
    <row r="3075">
      <c r="A3075" t="inlineStr">
        <is>
          <t>LCA|mit.typ.p1.2</t>
        </is>
      </c>
      <c r="B3075" t="inlineStr">
        <is>
          <t>LCA</t>
        </is>
      </c>
      <c r="C3075" t="inlineStr">
        <is>
          <t>mit.typ.p1.2</t>
        </is>
      </c>
      <c r="D3075" t="n">
        <v>0</v>
      </c>
      <c r="E3075" t="n">
        <v>0.00355525912</v>
      </c>
      <c r="F3075" t="n">
        <v>0.004644817481</v>
      </c>
      <c r="G3075" t="n">
        <v>0.006704554843</v>
      </c>
      <c r="H3075" t="n">
        <v>0.007813697083000001</v>
      </c>
    </row>
    <row r="3076">
      <c r="A3076" t="inlineStr">
        <is>
          <t>LKA|mit.typ.p1.2</t>
        </is>
      </c>
      <c r="B3076" t="inlineStr">
        <is>
          <t>LKA</t>
        </is>
      </c>
      <c r="C3076" t="inlineStr">
        <is>
          <t>mit.typ.p1.2</t>
        </is>
      </c>
      <c r="D3076" t="n">
        <v>0</v>
      </c>
      <c r="E3076" t="n">
        <v>0.2549422663</v>
      </c>
      <c r="F3076" t="n">
        <v>0.4579570341</v>
      </c>
      <c r="G3076" t="n">
        <v>0.7364553406</v>
      </c>
      <c r="H3076" t="n">
        <v>0.8493343157</v>
      </c>
    </row>
    <row r="3077">
      <c r="A3077" t="inlineStr">
        <is>
          <t>LSO|mit.typ.p1.2</t>
        </is>
      </c>
      <c r="B3077" t="inlineStr">
        <is>
          <t>LSO</t>
        </is>
      </c>
      <c r="C3077" t="inlineStr">
        <is>
          <t>mit.typ.p1.2</t>
        </is>
      </c>
      <c r="D3077" t="n">
        <v>0</v>
      </c>
      <c r="E3077" t="n">
        <v>0.04082126401</v>
      </c>
      <c r="F3077" t="n">
        <v>0.06246385782</v>
      </c>
      <c r="G3077" t="n">
        <v>0.1277370892</v>
      </c>
      <c r="H3077" t="n">
        <v>0.1352361231</v>
      </c>
    </row>
    <row r="3078">
      <c r="A3078" t="inlineStr">
        <is>
          <t>LTU|mit.typ.p1.2</t>
        </is>
      </c>
      <c r="B3078" t="inlineStr">
        <is>
          <t>LTU</t>
        </is>
      </c>
      <c r="C3078" t="inlineStr">
        <is>
          <t>mit.typ.p1.2</t>
        </is>
      </c>
      <c r="D3078" t="n">
        <v>0</v>
      </c>
      <c r="E3078" t="n">
        <v>0.1985638792</v>
      </c>
      <c r="F3078" t="n">
        <v>0.2298791733</v>
      </c>
      <c r="G3078" t="n">
        <v>0.2520140641</v>
      </c>
      <c r="H3078" t="n">
        <v>0.2256584117</v>
      </c>
    </row>
    <row r="3079">
      <c r="A3079" t="inlineStr">
        <is>
          <t>LUX|mit.typ.p1.2</t>
        </is>
      </c>
      <c r="B3079" t="inlineStr">
        <is>
          <t>LUX</t>
        </is>
      </c>
      <c r="C3079" t="inlineStr">
        <is>
          <t>mit.typ.p1.2</t>
        </is>
      </c>
      <c r="D3079" t="n">
        <v>0</v>
      </c>
      <c r="E3079" t="n">
        <v>0.2008457836</v>
      </c>
      <c r="F3079" t="n">
        <v>0.2217482483</v>
      </c>
      <c r="G3079" t="n">
        <v>0.239299906</v>
      </c>
      <c r="H3079" t="n">
        <v>0.2225060998</v>
      </c>
    </row>
    <row r="3080">
      <c r="A3080" t="inlineStr">
        <is>
          <t>LVA|mit.typ.p1.2</t>
        </is>
      </c>
      <c r="B3080" t="inlineStr">
        <is>
          <t>LVA</t>
        </is>
      </c>
      <c r="C3080" t="inlineStr">
        <is>
          <t>mit.typ.p1.2</t>
        </is>
      </c>
      <c r="D3080" t="n">
        <v>0</v>
      </c>
      <c r="E3080" t="n">
        <v>0.1042052556</v>
      </c>
      <c r="F3080" t="n">
        <v>0.1565608864</v>
      </c>
      <c r="G3080" t="n">
        <v>0.1664582845</v>
      </c>
      <c r="H3080" t="n">
        <v>0.1577293043</v>
      </c>
    </row>
    <row r="3081">
      <c r="A3081" t="inlineStr">
        <is>
          <t>MAC|mit.typ.p1.2</t>
        </is>
      </c>
      <c r="B3081" t="inlineStr">
        <is>
          <t>MAC</t>
        </is>
      </c>
      <c r="C3081" t="inlineStr">
        <is>
          <t>mit.typ.p1.2</t>
        </is>
      </c>
      <c r="D3081" t="n">
        <v>0</v>
      </c>
      <c r="E3081" t="n">
        <v>0.1643759863</v>
      </c>
      <c r="F3081" t="n">
        <v>0.2030699461</v>
      </c>
      <c r="G3081" t="n">
        <v>0.190566261</v>
      </c>
      <c r="H3081" t="n">
        <v>0.2048302995</v>
      </c>
    </row>
    <row r="3082">
      <c r="A3082" t="inlineStr">
        <is>
          <t>MAR|mit.typ.p1.2</t>
        </is>
      </c>
      <c r="B3082" t="inlineStr">
        <is>
          <t>MAR</t>
        </is>
      </c>
      <c r="C3082" t="inlineStr">
        <is>
          <t>mit.typ.p1.2</t>
        </is>
      </c>
      <c r="D3082" t="n">
        <v>0</v>
      </c>
      <c r="E3082" t="n">
        <v>0.713811266</v>
      </c>
      <c r="F3082" t="n">
        <v>1.101980493</v>
      </c>
      <c r="G3082" t="n">
        <v>1.835608215</v>
      </c>
      <c r="H3082" t="n">
        <v>2.058735947</v>
      </c>
    </row>
    <row r="3083">
      <c r="A3083" t="inlineStr">
        <is>
          <t>MDA|mit.typ.p1.2</t>
        </is>
      </c>
      <c r="B3083" t="inlineStr">
        <is>
          <t>MDA</t>
        </is>
      </c>
      <c r="C3083" t="inlineStr">
        <is>
          <t>mit.typ.p1.2</t>
        </is>
      </c>
      <c r="D3083" t="n">
        <v>0</v>
      </c>
      <c r="E3083" t="n">
        <v>0.11066045</v>
      </c>
      <c r="F3083" t="n">
        <v>0.1412627323</v>
      </c>
      <c r="G3083" t="n">
        <v>0.2088622922</v>
      </c>
      <c r="H3083" t="n">
        <v>0.2298127195</v>
      </c>
    </row>
    <row r="3084">
      <c r="A3084" t="inlineStr">
        <is>
          <t>MDG|mit.typ.p1.2</t>
        </is>
      </c>
      <c r="B3084" t="inlineStr">
        <is>
          <t>MDG</t>
        </is>
      </c>
      <c r="C3084" t="inlineStr">
        <is>
          <t>mit.typ.p1.2</t>
        </is>
      </c>
      <c r="D3084" t="n">
        <v>0</v>
      </c>
      <c r="E3084" t="n">
        <v>0.1203051291</v>
      </c>
      <c r="F3084" t="n">
        <v>0.5697435233</v>
      </c>
      <c r="G3084" t="n">
        <v>0.6780082391</v>
      </c>
      <c r="H3084" t="n">
        <v>0.7749042822</v>
      </c>
    </row>
    <row r="3085">
      <c r="A3085" t="inlineStr">
        <is>
          <t>MDV|mit.typ.p1.2</t>
        </is>
      </c>
      <c r="B3085" t="inlineStr">
        <is>
          <t>MDV</t>
        </is>
      </c>
      <c r="C3085" t="inlineStr">
        <is>
          <t>mit.typ.p1.2</t>
        </is>
      </c>
      <c r="D3085" t="n">
        <v>0</v>
      </c>
      <c r="E3085" t="n">
        <v>0.04143437068</v>
      </c>
      <c r="F3085" t="n">
        <v>0.04805590543</v>
      </c>
      <c r="G3085" t="n">
        <v>0.09339966579</v>
      </c>
      <c r="H3085" t="n">
        <v>0.08319418126</v>
      </c>
    </row>
    <row r="3086">
      <c r="A3086" t="inlineStr">
        <is>
          <t>MEX|mit.typ.p1.2</t>
        </is>
      </c>
      <c r="B3086" t="inlineStr">
        <is>
          <t>MEX</t>
        </is>
      </c>
      <c r="C3086" t="inlineStr">
        <is>
          <t>mit.typ.p1.2</t>
        </is>
      </c>
      <c r="D3086" t="n">
        <v>0</v>
      </c>
      <c r="E3086" t="n">
        <v>2.367413416</v>
      </c>
      <c r="F3086" t="n">
        <v>3.840277105</v>
      </c>
      <c r="G3086" t="n">
        <v>4.913744843</v>
      </c>
      <c r="H3086" t="n">
        <v>6.161808102</v>
      </c>
    </row>
    <row r="3087">
      <c r="A3087" t="inlineStr">
        <is>
          <t>MKD|mit.typ.p1.2</t>
        </is>
      </c>
      <c r="B3087" t="inlineStr">
        <is>
          <t>MKD</t>
        </is>
      </c>
      <c r="C3087" t="inlineStr">
        <is>
          <t>mit.typ.p1.2</t>
        </is>
      </c>
      <c r="D3087" t="n">
        <v>0</v>
      </c>
      <c r="E3087" t="n">
        <v>0.01759803089</v>
      </c>
      <c r="F3087" t="n">
        <v>0.02832665488</v>
      </c>
      <c r="G3087" t="n">
        <v>0.03675233727</v>
      </c>
      <c r="H3087" t="n">
        <v>0.04784147076</v>
      </c>
    </row>
    <row r="3088">
      <c r="A3088" t="inlineStr">
        <is>
          <t>MLI|mit.typ.p1.2</t>
        </is>
      </c>
      <c r="B3088" t="inlineStr">
        <is>
          <t>MLI</t>
        </is>
      </c>
      <c r="C3088" t="inlineStr">
        <is>
          <t>mit.typ.p1.2</t>
        </is>
      </c>
      <c r="D3088" t="n">
        <v>0</v>
      </c>
      <c r="E3088" t="n">
        <v>0.1589978397</v>
      </c>
      <c r="F3088" t="n">
        <v>0.4214826518</v>
      </c>
      <c r="G3088" t="n">
        <v>0.8540823762</v>
      </c>
      <c r="H3088" t="n">
        <v>0.9805777177</v>
      </c>
    </row>
    <row r="3089">
      <c r="A3089" t="inlineStr">
        <is>
          <t>MLT|mit.typ.p1.2</t>
        </is>
      </c>
      <c r="B3089" t="inlineStr">
        <is>
          <t>MLT</t>
        </is>
      </c>
      <c r="C3089" t="inlineStr">
        <is>
          <t>mit.typ.p1.2</t>
        </is>
      </c>
      <c r="D3089" t="n">
        <v>0</v>
      </c>
      <c r="E3089" t="n">
        <v>0.03681538125</v>
      </c>
      <c r="F3089" t="n">
        <v>0.04423488373</v>
      </c>
      <c r="G3089" t="n">
        <v>0.05334401105</v>
      </c>
      <c r="H3089" t="n">
        <v>0.06034483982</v>
      </c>
    </row>
    <row r="3090">
      <c r="A3090" t="inlineStr">
        <is>
          <t>MMR|mit.typ.p1.2</t>
        </is>
      </c>
      <c r="B3090" t="inlineStr">
        <is>
          <t>MMR</t>
        </is>
      </c>
      <c r="C3090" t="inlineStr">
        <is>
          <t>mit.typ.p1.2</t>
        </is>
      </c>
      <c r="D3090" t="n">
        <v>0</v>
      </c>
      <c r="E3090" t="n">
        <v>1.137775585</v>
      </c>
      <c r="F3090" t="n">
        <v>5.806281748</v>
      </c>
      <c r="G3090" t="n">
        <v>6.709823799</v>
      </c>
      <c r="H3090" t="n">
        <v>7.15554909</v>
      </c>
    </row>
    <row r="3091">
      <c r="A3091" t="inlineStr">
        <is>
          <t>MNE|mit.typ.p1.2</t>
        </is>
      </c>
      <c r="B3091" t="inlineStr">
        <is>
          <t>MNE</t>
        </is>
      </c>
      <c r="C3091" t="inlineStr">
        <is>
          <t>mit.typ.p1.2</t>
        </is>
      </c>
      <c r="D3091" t="n">
        <v>0</v>
      </c>
      <c r="E3091" t="n">
        <v>0.007021678622</v>
      </c>
      <c r="F3091" t="n">
        <v>0.008422460675</v>
      </c>
      <c r="G3091" t="n">
        <v>0.01039538969</v>
      </c>
      <c r="H3091" t="n">
        <v>0.01355606719</v>
      </c>
    </row>
    <row r="3092">
      <c r="A3092" t="inlineStr">
        <is>
          <t>MNG|mit.typ.p1.2</t>
        </is>
      </c>
      <c r="B3092" t="inlineStr">
        <is>
          <t>MNG</t>
        </is>
      </c>
      <c r="C3092" t="inlineStr">
        <is>
          <t>mit.typ.p1.2</t>
        </is>
      </c>
      <c r="D3092" t="n">
        <v>0</v>
      </c>
      <c r="E3092" t="n">
        <v>0.3269262091</v>
      </c>
      <c r="F3092" t="n">
        <v>1.138227702</v>
      </c>
      <c r="G3092" t="n">
        <v>1.456721413</v>
      </c>
      <c r="H3092" t="n">
        <v>1.504534006</v>
      </c>
    </row>
    <row r="3093">
      <c r="A3093" t="inlineStr">
        <is>
          <t>MOZ|mit.typ.p1.2</t>
        </is>
      </c>
      <c r="B3093" t="inlineStr">
        <is>
          <t>MOZ</t>
        </is>
      </c>
      <c r="C3093" t="inlineStr">
        <is>
          <t>mit.typ.p1.2</t>
        </is>
      </c>
      <c r="D3093" t="n">
        <v>0</v>
      </c>
      <c r="E3093" t="n">
        <v>0.4921379072</v>
      </c>
      <c r="F3093" t="n">
        <v>2.815396833</v>
      </c>
      <c r="G3093" t="n">
        <v>2.983244502</v>
      </c>
      <c r="H3093" t="n">
        <v>3.11643042</v>
      </c>
    </row>
    <row r="3094">
      <c r="A3094" t="inlineStr">
        <is>
          <t>MRT|mit.typ.p1.2</t>
        </is>
      </c>
      <c r="B3094" t="inlineStr">
        <is>
          <t>MRT</t>
        </is>
      </c>
      <c r="C3094" t="inlineStr">
        <is>
          <t>mit.typ.p1.2</t>
        </is>
      </c>
      <c r="D3094" t="n">
        <v>0</v>
      </c>
      <c r="E3094" t="n">
        <v>0.1021326807</v>
      </c>
      <c r="F3094" t="n">
        <v>0.2074719155</v>
      </c>
      <c r="G3094" t="n">
        <v>0.4341715613</v>
      </c>
      <c r="H3094" t="n">
        <v>0.477071286</v>
      </c>
    </row>
    <row r="3095">
      <c r="A3095" t="inlineStr">
        <is>
          <t>MUS|mit.typ.p1.2</t>
        </is>
      </c>
      <c r="B3095" t="inlineStr">
        <is>
          <t>MUS</t>
        </is>
      </c>
      <c r="C3095" t="inlineStr">
        <is>
          <t>mit.typ.p1.2</t>
        </is>
      </c>
      <c r="D3095" t="n">
        <v>0</v>
      </c>
      <c r="E3095" t="n">
        <v>0.03916228965</v>
      </c>
      <c r="F3095" t="n">
        <v>0.05622850038</v>
      </c>
      <c r="G3095" t="n">
        <v>0.09738936528</v>
      </c>
      <c r="H3095" t="n">
        <v>0.0940268041</v>
      </c>
    </row>
    <row r="3096">
      <c r="A3096" t="inlineStr">
        <is>
          <t>MWI|mit.typ.p1.2</t>
        </is>
      </c>
      <c r="B3096" t="inlineStr">
        <is>
          <t>MWI</t>
        </is>
      </c>
      <c r="C3096" t="inlineStr">
        <is>
          <t>mit.typ.p1.2</t>
        </is>
      </c>
      <c r="D3096" t="n">
        <v>0</v>
      </c>
      <c r="E3096" t="n">
        <v>0.08712009649000001</v>
      </c>
      <c r="F3096" t="n">
        <v>0.4296355052</v>
      </c>
      <c r="G3096" t="n">
        <v>0.48674736</v>
      </c>
      <c r="H3096" t="n">
        <v>0.5390367254</v>
      </c>
    </row>
    <row r="3097">
      <c r="A3097" t="inlineStr">
        <is>
          <t>MYS|mit.typ.p1.2</t>
        </is>
      </c>
      <c r="B3097" t="inlineStr">
        <is>
          <t>MYS</t>
        </is>
      </c>
      <c r="C3097" t="inlineStr">
        <is>
          <t>mit.typ.p1.2</t>
        </is>
      </c>
      <c r="D3097" t="n">
        <v>0</v>
      </c>
      <c r="E3097" t="n">
        <v>0.727864424</v>
      </c>
      <c r="F3097" t="n">
        <v>2.381029218</v>
      </c>
      <c r="G3097" t="n">
        <v>2.647629168</v>
      </c>
      <c r="H3097" t="n">
        <v>2.969569127</v>
      </c>
    </row>
    <row r="3098">
      <c r="A3098" t="inlineStr">
        <is>
          <t>NAM|mit.typ.p1.2</t>
        </is>
      </c>
      <c r="B3098" t="inlineStr">
        <is>
          <t>NAM</t>
        </is>
      </c>
      <c r="C3098" t="inlineStr">
        <is>
          <t>mit.typ.p1.2</t>
        </is>
      </c>
      <c r="D3098" t="n">
        <v>0</v>
      </c>
      <c r="E3098" t="n">
        <v>0.06903631209</v>
      </c>
      <c r="F3098" t="n">
        <v>0.3467464005</v>
      </c>
      <c r="G3098" t="n">
        <v>0.3658688447</v>
      </c>
      <c r="H3098" t="n">
        <v>0.3857317757</v>
      </c>
    </row>
    <row r="3099">
      <c r="A3099" t="inlineStr">
        <is>
          <t>NER|mit.typ.p1.2</t>
        </is>
      </c>
      <c r="B3099" t="inlineStr">
        <is>
          <t>NER</t>
        </is>
      </c>
      <c r="C3099" t="inlineStr">
        <is>
          <t>mit.typ.p1.2</t>
        </is>
      </c>
      <c r="D3099" t="n">
        <v>0</v>
      </c>
      <c r="E3099" t="n">
        <v>0.1053762783</v>
      </c>
      <c r="F3099" t="n">
        <v>0.331913143</v>
      </c>
      <c r="G3099" t="n">
        <v>0.5224616243</v>
      </c>
      <c r="H3099" t="n">
        <v>0.6348664251</v>
      </c>
    </row>
    <row r="3100">
      <c r="A3100" t="inlineStr">
        <is>
          <t>NGA|mit.typ.p1.2</t>
        </is>
      </c>
      <c r="B3100" t="inlineStr">
        <is>
          <t>NGA</t>
        </is>
      </c>
      <c r="C3100" t="inlineStr">
        <is>
          <t>mit.typ.p1.2</t>
        </is>
      </c>
      <c r="D3100" t="n">
        <v>0</v>
      </c>
      <c r="E3100" t="n">
        <v>1.023963769</v>
      </c>
      <c r="F3100" t="n">
        <v>3.550748379</v>
      </c>
      <c r="G3100" t="n">
        <v>4.817502507</v>
      </c>
      <c r="H3100" t="n">
        <v>5.576583191</v>
      </c>
    </row>
    <row r="3101">
      <c r="A3101" t="inlineStr">
        <is>
          <t>NIC|mit.typ.p1.2</t>
        </is>
      </c>
      <c r="B3101" t="inlineStr">
        <is>
          <t>NIC</t>
        </is>
      </c>
      <c r="C3101" t="inlineStr">
        <is>
          <t>mit.typ.p1.2</t>
        </is>
      </c>
      <c r="D3101" t="n">
        <v>0</v>
      </c>
      <c r="E3101" t="n">
        <v>0.1620365436</v>
      </c>
      <c r="F3101" t="n">
        <v>0.7793601610999999</v>
      </c>
      <c r="G3101" t="n">
        <v>0.8458321511</v>
      </c>
      <c r="H3101" t="n">
        <v>0.8961503566</v>
      </c>
    </row>
    <row r="3102">
      <c r="A3102" t="inlineStr">
        <is>
          <t>NLD|mit.typ.p1.2</t>
        </is>
      </c>
      <c r="B3102" t="inlineStr">
        <is>
          <t>NLD</t>
        </is>
      </c>
      <c r="C3102" t="inlineStr">
        <is>
          <t>mit.typ.p1.2</t>
        </is>
      </c>
      <c r="D3102" t="n">
        <v>0</v>
      </c>
      <c r="E3102" t="n">
        <v>3.449929056</v>
      </c>
      <c r="F3102" t="n">
        <v>3.727087127</v>
      </c>
      <c r="G3102" t="n">
        <v>3.762622159</v>
      </c>
      <c r="H3102" t="n">
        <v>2.751088748</v>
      </c>
    </row>
    <row r="3103">
      <c r="A3103" t="inlineStr">
        <is>
          <t>NOR|mit.typ.p1.2</t>
        </is>
      </c>
      <c r="B3103" t="inlineStr">
        <is>
          <t>NOR</t>
        </is>
      </c>
      <c r="C3103" t="inlineStr">
        <is>
          <t>mit.typ.p1.2</t>
        </is>
      </c>
      <c r="D3103" t="n">
        <v>0</v>
      </c>
      <c r="E3103" t="n">
        <v>0.6906932421</v>
      </c>
      <c r="F3103" t="n">
        <v>0.758940174</v>
      </c>
      <c r="G3103" t="n">
        <v>0.8612538255</v>
      </c>
      <c r="H3103" t="n">
        <v>0.9929268162</v>
      </c>
    </row>
    <row r="3104">
      <c r="A3104" t="inlineStr">
        <is>
          <t>NPL|mit.typ.p1.2</t>
        </is>
      </c>
      <c r="B3104" t="inlineStr">
        <is>
          <t>NPL</t>
        </is>
      </c>
      <c r="C3104" t="inlineStr">
        <is>
          <t>mit.typ.p1.2</t>
        </is>
      </c>
      <c r="D3104" t="n">
        <v>0</v>
      </c>
      <c r="E3104" t="n">
        <v>0.1862681681</v>
      </c>
      <c r="F3104" t="n">
        <v>0.456972043</v>
      </c>
      <c r="G3104" t="n">
        <v>0.6716160617</v>
      </c>
      <c r="H3104" t="n">
        <v>0.8727747522</v>
      </c>
    </row>
    <row r="3105">
      <c r="A3105" t="inlineStr">
        <is>
          <t>NRU|mit.typ.p1.2</t>
        </is>
      </c>
      <c r="B3105" t="inlineStr">
        <is>
          <t>NRU</t>
        </is>
      </c>
      <c r="C3105" t="inlineStr">
        <is>
          <t>mit.typ.p1.2</t>
        </is>
      </c>
      <c r="D3105" t="n">
        <v>0</v>
      </c>
      <c r="E3105" t="n">
        <v>0.0001678544886</v>
      </c>
      <c r="F3105" t="n">
        <v>0.0002128033382</v>
      </c>
      <c r="G3105" t="n">
        <v>0.0002372449614</v>
      </c>
      <c r="H3105" t="n">
        <v>0.0003016112201</v>
      </c>
    </row>
    <row r="3106">
      <c r="A3106" t="inlineStr">
        <is>
          <t>NZL|mit.typ.p1.2</t>
        </is>
      </c>
      <c r="B3106" t="inlineStr">
        <is>
          <t>NZL</t>
        </is>
      </c>
      <c r="C3106" t="inlineStr">
        <is>
          <t>mit.typ.p1.2</t>
        </is>
      </c>
      <c r="D3106" t="n">
        <v>0</v>
      </c>
      <c r="E3106" t="n">
        <v>0.5269039290999999</v>
      </c>
      <c r="F3106" t="n">
        <v>0.6686957223</v>
      </c>
      <c r="G3106" t="n">
        <v>0.7659938035</v>
      </c>
      <c r="H3106" t="n">
        <v>0.7794111778</v>
      </c>
    </row>
    <row r="3107">
      <c r="A3107" t="inlineStr">
        <is>
          <t>OMN|mit.typ.p1.2</t>
        </is>
      </c>
      <c r="B3107" t="inlineStr">
        <is>
          <t>OMN</t>
        </is>
      </c>
      <c r="C3107" t="inlineStr">
        <is>
          <t>mit.typ.p1.2</t>
        </is>
      </c>
      <c r="D3107" t="n">
        <v>0</v>
      </c>
      <c r="E3107" t="n">
        <v>0.7441657589</v>
      </c>
      <c r="F3107" t="n">
        <v>0.9259002235</v>
      </c>
      <c r="G3107" t="n">
        <v>1.097669377</v>
      </c>
      <c r="H3107" t="n">
        <v>1.051915262</v>
      </c>
    </row>
    <row r="3108">
      <c r="A3108" t="inlineStr">
        <is>
          <t>PAK|mit.typ.p1.2</t>
        </is>
      </c>
      <c r="B3108" t="inlineStr">
        <is>
          <t>PAK</t>
        </is>
      </c>
      <c r="C3108" t="inlineStr">
        <is>
          <t>mit.typ.p1.2</t>
        </is>
      </c>
      <c r="D3108" t="n">
        <v>0</v>
      </c>
      <c r="E3108" t="n">
        <v>1.613029165</v>
      </c>
      <c r="F3108" t="n">
        <v>3.370080746</v>
      </c>
      <c r="G3108" t="n">
        <v>5.142538018</v>
      </c>
      <c r="H3108" t="n">
        <v>6.058959645</v>
      </c>
    </row>
    <row r="3109">
      <c r="A3109" t="inlineStr">
        <is>
          <t>PAN|mit.typ.p1.2</t>
        </is>
      </c>
      <c r="B3109" t="inlineStr">
        <is>
          <t>PAN</t>
        </is>
      </c>
      <c r="C3109" t="inlineStr">
        <is>
          <t>mit.typ.p1.2</t>
        </is>
      </c>
      <c r="D3109" t="n">
        <v>0</v>
      </c>
      <c r="E3109" t="n">
        <v>0.09299069248</v>
      </c>
      <c r="F3109" t="n">
        <v>0.2101738157</v>
      </c>
      <c r="G3109" t="n">
        <v>0.234082194</v>
      </c>
      <c r="H3109" t="n">
        <v>0.2583388026</v>
      </c>
    </row>
    <row r="3110">
      <c r="A3110" t="inlineStr">
        <is>
          <t>PER|mit.typ.p1.2</t>
        </is>
      </c>
      <c r="B3110" t="inlineStr">
        <is>
          <t>PER</t>
        </is>
      </c>
      <c r="C3110" t="inlineStr">
        <is>
          <t>mit.typ.p1.2</t>
        </is>
      </c>
      <c r="D3110" t="n">
        <v>0</v>
      </c>
      <c r="E3110" t="n">
        <v>0.7950423156999999</v>
      </c>
      <c r="F3110" t="n">
        <v>3.092888221</v>
      </c>
      <c r="G3110" t="n">
        <v>3.246612211</v>
      </c>
      <c r="H3110" t="n">
        <v>3.443426674</v>
      </c>
    </row>
    <row r="3111">
      <c r="A3111" t="inlineStr">
        <is>
          <t>PHL|mit.typ.p1.2</t>
        </is>
      </c>
      <c r="B3111" t="inlineStr">
        <is>
          <t>PHL</t>
        </is>
      </c>
      <c r="C3111" t="inlineStr">
        <is>
          <t>mit.typ.p1.2</t>
        </is>
      </c>
      <c r="D3111" t="n">
        <v>0</v>
      </c>
      <c r="E3111" t="n">
        <v>0.9295901935999999</v>
      </c>
      <c r="F3111" t="n">
        <v>1.633521688</v>
      </c>
      <c r="G3111" t="n">
        <v>2.703668381</v>
      </c>
      <c r="H3111" t="n">
        <v>3.202429275</v>
      </c>
    </row>
    <row r="3112">
      <c r="A3112" t="inlineStr">
        <is>
          <t>PLW|mit.typ.p1.2</t>
        </is>
      </c>
      <c r="B3112" t="inlineStr">
        <is>
          <t>PLW</t>
        </is>
      </c>
      <c r="C3112" t="inlineStr">
        <is>
          <t>mit.typ.p1.2</t>
        </is>
      </c>
      <c r="D3112" t="n">
        <v>0</v>
      </c>
      <c r="E3112" t="n">
        <v>0.0006051916645</v>
      </c>
      <c r="F3112" t="n">
        <v>0.0008792109841</v>
      </c>
      <c r="G3112" t="n">
        <v>0.0009400196541</v>
      </c>
      <c r="H3112" t="n">
        <v>0.001085794519</v>
      </c>
    </row>
    <row r="3113">
      <c r="A3113" t="inlineStr">
        <is>
          <t>PNG|mit.typ.p1.2</t>
        </is>
      </c>
      <c r="B3113" t="inlineStr">
        <is>
          <t>PNG</t>
        </is>
      </c>
      <c r="C3113" t="inlineStr">
        <is>
          <t>mit.typ.p1.2</t>
        </is>
      </c>
      <c r="D3113" t="n">
        <v>0</v>
      </c>
      <c r="E3113" t="n">
        <v>0.2405357315</v>
      </c>
      <c r="F3113" t="n">
        <v>1.208962892</v>
      </c>
      <c r="G3113" t="n">
        <v>1.260730341</v>
      </c>
      <c r="H3113" t="n">
        <v>1.298037033</v>
      </c>
    </row>
    <row r="3114">
      <c r="A3114" t="inlineStr">
        <is>
          <t>POL|mit.typ.p1.2</t>
        </is>
      </c>
      <c r="B3114" t="inlineStr">
        <is>
          <t>POL</t>
        </is>
      </c>
      <c r="C3114" t="inlineStr">
        <is>
          <t>mit.typ.p1.2</t>
        </is>
      </c>
      <c r="D3114" t="n">
        <v>0</v>
      </c>
      <c r="E3114" t="n">
        <v>1.717766151</v>
      </c>
      <c r="F3114" t="n">
        <v>2.035339602</v>
      </c>
      <c r="G3114" t="n">
        <v>2.190309426</v>
      </c>
      <c r="H3114" t="n">
        <v>2.364936053</v>
      </c>
    </row>
    <row r="3115">
      <c r="A3115" t="inlineStr">
        <is>
          <t>PRI|mit.typ.p1.2</t>
        </is>
      </c>
      <c r="B3115" t="inlineStr">
        <is>
          <t>PRI</t>
        </is>
      </c>
      <c r="C3115" t="inlineStr">
        <is>
          <t>mit.typ.p1.2</t>
        </is>
      </c>
      <c r="D3115" t="n">
        <v>0</v>
      </c>
      <c r="E3115" t="n">
        <v>0.1987571377</v>
      </c>
      <c r="F3115" t="n">
        <v>0.2040136616</v>
      </c>
      <c r="G3115" t="n">
        <v>0.2135392805</v>
      </c>
      <c r="H3115" t="n">
        <v>0.2290680879</v>
      </c>
    </row>
    <row r="3116">
      <c r="A3116" t="inlineStr">
        <is>
          <t>PRT|mit.typ.p1.2</t>
        </is>
      </c>
      <c r="B3116" t="inlineStr">
        <is>
          <t>PRT</t>
        </is>
      </c>
      <c r="C3116" t="inlineStr">
        <is>
          <t>mit.typ.p1.2</t>
        </is>
      </c>
      <c r="D3116" t="n">
        <v>0</v>
      </c>
      <c r="E3116" t="n">
        <v>0.5810054164</v>
      </c>
      <c r="F3116" t="n">
        <v>0.6592706352</v>
      </c>
      <c r="G3116" t="n">
        <v>0.7312291781</v>
      </c>
      <c r="H3116" t="n">
        <v>0.7271408888999999</v>
      </c>
    </row>
    <row r="3117">
      <c r="A3117" t="inlineStr">
        <is>
          <t>PRY|mit.typ.p1.2</t>
        </is>
      </c>
      <c r="B3117" t="inlineStr">
        <is>
          <t>PRY</t>
        </is>
      </c>
      <c r="C3117" t="inlineStr">
        <is>
          <t>mit.typ.p1.2</t>
        </is>
      </c>
      <c r="D3117" t="n">
        <v>0</v>
      </c>
      <c r="E3117" t="n">
        <v>0.3148593429</v>
      </c>
      <c r="F3117" t="n">
        <v>1.52231703</v>
      </c>
      <c r="G3117" t="n">
        <v>2.023400656</v>
      </c>
      <c r="H3117" t="n">
        <v>2.246308102</v>
      </c>
    </row>
    <row r="3118">
      <c r="A3118" t="inlineStr">
        <is>
          <t>QAT|mit.typ.p1.2</t>
        </is>
      </c>
      <c r="B3118" t="inlineStr">
        <is>
          <t>QAT</t>
        </is>
      </c>
      <c r="C3118" t="inlineStr">
        <is>
          <t>mit.typ.p1.2</t>
        </is>
      </c>
      <c r="D3118" t="n">
        <v>0</v>
      </c>
      <c r="E3118" t="n">
        <v>1.392225514</v>
      </c>
      <c r="F3118" t="n">
        <v>1.11593863</v>
      </c>
      <c r="G3118" t="n">
        <v>2.171744498</v>
      </c>
      <c r="H3118" t="n">
        <v>1.894193559</v>
      </c>
    </row>
    <row r="3119">
      <c r="A3119" t="inlineStr">
        <is>
          <t>ROU|mit.typ.p1.2</t>
        </is>
      </c>
      <c r="B3119" t="inlineStr">
        <is>
          <t>ROU</t>
        </is>
      </c>
      <c r="C3119" t="inlineStr">
        <is>
          <t>mit.typ.p1.2</t>
        </is>
      </c>
      <c r="D3119" t="n">
        <v>0</v>
      </c>
      <c r="E3119" t="n">
        <v>0.7374153114000001</v>
      </c>
      <c r="F3119" t="n">
        <v>0.8359658337</v>
      </c>
      <c r="G3119" t="n">
        <v>0.9573131913</v>
      </c>
      <c r="H3119" t="n">
        <v>1.134256127</v>
      </c>
    </row>
    <row r="3120">
      <c r="A3120" t="inlineStr">
        <is>
          <t>RUS|mit.typ.p1.2</t>
        </is>
      </c>
      <c r="B3120" t="inlineStr">
        <is>
          <t>RUS</t>
        </is>
      </c>
      <c r="C3120" t="inlineStr">
        <is>
          <t>mit.typ.p1.2</t>
        </is>
      </c>
      <c r="D3120" t="n">
        <v>0</v>
      </c>
      <c r="E3120" t="n">
        <v>19.17633148</v>
      </c>
      <c r="F3120" t="n">
        <v>25.72766466</v>
      </c>
      <c r="G3120" t="n">
        <v>51.96415697</v>
      </c>
      <c r="H3120" t="n">
        <v>52.38072553</v>
      </c>
    </row>
    <row r="3121">
      <c r="A3121" t="inlineStr">
        <is>
          <t>RWA|mit.typ.p1.2</t>
        </is>
      </c>
      <c r="B3121" t="inlineStr">
        <is>
          <t>RWA</t>
        </is>
      </c>
      <c r="C3121" t="inlineStr">
        <is>
          <t>mit.typ.p1.2</t>
        </is>
      </c>
      <c r="D3121" t="n">
        <v>0</v>
      </c>
      <c r="E3121" t="n">
        <v>0.0339687978</v>
      </c>
      <c r="F3121" t="n">
        <v>0.1127665938</v>
      </c>
      <c r="G3121" t="n">
        <v>0.1502126342</v>
      </c>
      <c r="H3121" t="n">
        <v>0.1861713492</v>
      </c>
    </row>
    <row r="3122">
      <c r="A3122" t="inlineStr">
        <is>
          <t>SAU|mit.typ.p1.2</t>
        </is>
      </c>
      <c r="B3122" t="inlineStr">
        <is>
          <t>SAU</t>
        </is>
      </c>
      <c r="C3122" t="inlineStr">
        <is>
          <t>mit.typ.p1.2</t>
        </is>
      </c>
      <c r="D3122" t="n">
        <v>0</v>
      </c>
      <c r="E3122" t="n">
        <v>6.861634398</v>
      </c>
      <c r="F3122" t="n">
        <v>8.82517983</v>
      </c>
      <c r="G3122" t="n">
        <v>16.59182447</v>
      </c>
      <c r="H3122" t="n">
        <v>12.0449298</v>
      </c>
    </row>
    <row r="3123">
      <c r="A3123" t="inlineStr">
        <is>
          <t>SDN|mit.typ.p1.2</t>
        </is>
      </c>
      <c r="B3123" t="inlineStr">
        <is>
          <t>SDN</t>
        </is>
      </c>
      <c r="C3123" t="inlineStr">
        <is>
          <t>mit.typ.p1.2</t>
        </is>
      </c>
      <c r="D3123" t="n">
        <v>0</v>
      </c>
      <c r="E3123" t="n">
        <v>0.2688528771</v>
      </c>
      <c r="F3123" t="n">
        <v>1.254433644</v>
      </c>
      <c r="G3123" t="n">
        <v>1.532014523</v>
      </c>
      <c r="H3123" t="n">
        <v>1.796681152</v>
      </c>
    </row>
    <row r="3124">
      <c r="A3124" t="inlineStr">
        <is>
          <t>SEN|mit.typ.p1.2</t>
        </is>
      </c>
      <c r="B3124" t="inlineStr">
        <is>
          <t>SEN</t>
        </is>
      </c>
      <c r="C3124" t="inlineStr">
        <is>
          <t>mit.typ.p1.2</t>
        </is>
      </c>
      <c r="D3124" t="n">
        <v>0</v>
      </c>
      <c r="E3124" t="n">
        <v>0.1297543348</v>
      </c>
      <c r="F3124" t="n">
        <v>0.3565611885</v>
      </c>
      <c r="G3124" t="n">
        <v>0.4645870803</v>
      </c>
      <c r="H3124" t="n">
        <v>0.5373085877</v>
      </c>
    </row>
    <row r="3125">
      <c r="A3125" t="inlineStr">
        <is>
          <t>SGP|mit.typ.p1.2</t>
        </is>
      </c>
      <c r="B3125" t="inlineStr">
        <is>
          <t>SGP</t>
        </is>
      </c>
      <c r="C3125" t="inlineStr">
        <is>
          <t>mit.typ.p1.2</t>
        </is>
      </c>
      <c r="D3125" t="n">
        <v>0</v>
      </c>
      <c r="E3125" t="n">
        <v>0.8085417374</v>
      </c>
      <c r="F3125" t="n">
        <v>0.9816726032</v>
      </c>
      <c r="G3125" t="n">
        <v>1.205562564</v>
      </c>
      <c r="H3125" t="n">
        <v>1.391991332</v>
      </c>
    </row>
    <row r="3126">
      <c r="A3126" t="inlineStr">
        <is>
          <t>SLB|mit.typ.p1.2</t>
        </is>
      </c>
      <c r="B3126" t="inlineStr">
        <is>
          <t>SLB</t>
        </is>
      </c>
      <c r="C3126" t="inlineStr">
        <is>
          <t>mit.typ.p1.2</t>
        </is>
      </c>
      <c r="D3126" t="n">
        <v>0</v>
      </c>
      <c r="E3126" t="n">
        <v>0.254087794</v>
      </c>
      <c r="F3126" t="n">
        <v>1.514028077</v>
      </c>
      <c r="G3126" t="n">
        <v>1.516016263</v>
      </c>
      <c r="H3126" t="n">
        <v>1.517541141</v>
      </c>
    </row>
    <row r="3127">
      <c r="A3127" t="inlineStr">
        <is>
          <t>SLE|mit.typ.p1.2</t>
        </is>
      </c>
      <c r="B3127" t="inlineStr">
        <is>
          <t>SLE</t>
        </is>
      </c>
      <c r="C3127" t="inlineStr">
        <is>
          <t>mit.typ.p1.2</t>
        </is>
      </c>
      <c r="D3127" t="n">
        <v>0</v>
      </c>
      <c r="E3127" t="n">
        <v>0.03523123424</v>
      </c>
      <c r="F3127" t="n">
        <v>0.1696169873</v>
      </c>
      <c r="G3127" t="n">
        <v>0.1914152163</v>
      </c>
      <c r="H3127" t="n">
        <v>0.2135054324</v>
      </c>
    </row>
    <row r="3128">
      <c r="A3128" t="inlineStr">
        <is>
          <t>SLV|mit.typ.p1.2</t>
        </is>
      </c>
      <c r="B3128" t="inlineStr">
        <is>
          <t>SLV</t>
        </is>
      </c>
      <c r="C3128" t="inlineStr">
        <is>
          <t>mit.typ.p1.2</t>
        </is>
      </c>
      <c r="D3128" t="n">
        <v>0</v>
      </c>
      <c r="E3128" t="n">
        <v>0.07776591373</v>
      </c>
      <c r="F3128" t="n">
        <v>0.1437688368</v>
      </c>
      <c r="G3128" t="n">
        <v>0.1886047874</v>
      </c>
      <c r="H3128" t="n">
        <v>0.2393139866</v>
      </c>
    </row>
    <row r="3129">
      <c r="A3129" t="inlineStr">
        <is>
          <t>SOM|mit.typ.p1.2</t>
        </is>
      </c>
      <c r="B3129" t="inlineStr">
        <is>
          <t>SOM</t>
        </is>
      </c>
      <c r="C3129" t="inlineStr">
        <is>
          <t>mit.typ.p1.2</t>
        </is>
      </c>
      <c r="D3129" t="n">
        <v>0</v>
      </c>
      <c r="E3129" t="n">
        <v>0.1730490278</v>
      </c>
      <c r="F3129" t="n">
        <v>0.864570729</v>
      </c>
      <c r="G3129" t="n">
        <v>0.9857168173</v>
      </c>
      <c r="H3129" t="n">
        <v>1.084127578</v>
      </c>
    </row>
    <row r="3130">
      <c r="A3130" t="inlineStr">
        <is>
          <t>SRB|mit.typ.p1.2</t>
        </is>
      </c>
      <c r="B3130" t="inlineStr">
        <is>
          <t>SRB</t>
        </is>
      </c>
      <c r="C3130" t="inlineStr">
        <is>
          <t>mit.typ.p1.2</t>
        </is>
      </c>
      <c r="D3130" t="n">
        <v>0</v>
      </c>
      <c r="E3130" t="n">
        <v>0.1537235489</v>
      </c>
      <c r="F3130" t="n">
        <v>0.2022132581</v>
      </c>
      <c r="G3130" t="n">
        <v>0.2441217581</v>
      </c>
      <c r="H3130" t="n">
        <v>0.2985994928</v>
      </c>
    </row>
    <row r="3131">
      <c r="A3131" t="inlineStr">
        <is>
          <t>STP|mit.typ.p1.2</t>
        </is>
      </c>
      <c r="B3131" t="inlineStr">
        <is>
          <t>STP</t>
        </is>
      </c>
      <c r="C3131" t="inlineStr">
        <is>
          <t>mit.typ.p1.2</t>
        </is>
      </c>
      <c r="D3131" t="n">
        <v>0</v>
      </c>
      <c r="E3131" t="n">
        <v>0.005331347872</v>
      </c>
      <c r="F3131" t="n">
        <v>0.01352092737</v>
      </c>
      <c r="G3131" t="n">
        <v>0.02039577054</v>
      </c>
      <c r="H3131" t="n">
        <v>0.02220809038</v>
      </c>
    </row>
    <row r="3132">
      <c r="A3132" t="inlineStr">
        <is>
          <t>SUR|mit.typ.p1.2</t>
        </is>
      </c>
      <c r="B3132" t="inlineStr">
        <is>
          <t>SUR</t>
        </is>
      </c>
      <c r="C3132" t="inlineStr">
        <is>
          <t>mit.typ.p1.2</t>
        </is>
      </c>
      <c r="D3132" t="n">
        <v>0</v>
      </c>
      <c r="E3132" t="n">
        <v>0.07745575641000001</v>
      </c>
      <c r="F3132" t="n">
        <v>0.316396614</v>
      </c>
      <c r="G3132" t="n">
        <v>0.3510349337</v>
      </c>
      <c r="H3132" t="n">
        <v>0.359093979</v>
      </c>
    </row>
    <row r="3133">
      <c r="A3133" t="inlineStr">
        <is>
          <t>SVK|mit.typ.p1.2</t>
        </is>
      </c>
      <c r="B3133" t="inlineStr">
        <is>
          <t>SVK</t>
        </is>
      </c>
      <c r="C3133" t="inlineStr">
        <is>
          <t>mit.typ.p1.2</t>
        </is>
      </c>
      <c r="D3133" t="n">
        <v>0</v>
      </c>
      <c r="E3133" t="n">
        <v>0.4282792193</v>
      </c>
      <c r="F3133" t="n">
        <v>0.4337281452</v>
      </c>
      <c r="G3133" t="n">
        <v>0.4357722251</v>
      </c>
      <c r="H3133" t="n">
        <v>0.2900640278</v>
      </c>
    </row>
    <row r="3134">
      <c r="A3134" t="inlineStr">
        <is>
          <t>SVN|mit.typ.p1.2</t>
        </is>
      </c>
      <c r="B3134" t="inlineStr">
        <is>
          <t>SVN</t>
        </is>
      </c>
      <c r="C3134" t="inlineStr">
        <is>
          <t>mit.typ.p1.2</t>
        </is>
      </c>
      <c r="D3134" t="n">
        <v>0</v>
      </c>
      <c r="E3134" t="n">
        <v>0.1340520798</v>
      </c>
      <c r="F3134" t="n">
        <v>0.1504985666</v>
      </c>
      <c r="G3134" t="n">
        <v>0.1630372552</v>
      </c>
      <c r="H3134" t="n">
        <v>0.166220437</v>
      </c>
    </row>
    <row r="3135">
      <c r="A3135" t="inlineStr">
        <is>
          <t>SWE|mit.typ.p1.2</t>
        </is>
      </c>
      <c r="B3135" t="inlineStr">
        <is>
          <t>SWE</t>
        </is>
      </c>
      <c r="C3135" t="inlineStr">
        <is>
          <t>mit.typ.p1.2</t>
        </is>
      </c>
      <c r="D3135" t="n">
        <v>0</v>
      </c>
      <c r="E3135" t="n">
        <v>0.8576958314000001</v>
      </c>
      <c r="F3135" t="n">
        <v>0.955900028</v>
      </c>
      <c r="G3135" t="n">
        <v>1.089758887</v>
      </c>
      <c r="H3135" t="n">
        <v>1.242677713</v>
      </c>
    </row>
    <row r="3136">
      <c r="A3136" t="inlineStr">
        <is>
          <t>SWZ|mit.typ.p1.2</t>
        </is>
      </c>
      <c r="B3136" t="inlineStr">
        <is>
          <t>SWZ</t>
        </is>
      </c>
      <c r="C3136" t="inlineStr">
        <is>
          <t>mit.typ.p1.2</t>
        </is>
      </c>
      <c r="D3136" t="n">
        <v>0</v>
      </c>
      <c r="E3136" t="n">
        <v>0.01827804283</v>
      </c>
      <c r="F3136" t="n">
        <v>0.03161710466</v>
      </c>
      <c r="G3136" t="n">
        <v>0.04889065006</v>
      </c>
      <c r="H3136" t="n">
        <v>0.06143289661</v>
      </c>
    </row>
    <row r="3137">
      <c r="A3137" t="inlineStr">
        <is>
          <t>SYC|mit.typ.p1.2</t>
        </is>
      </c>
      <c r="B3137" t="inlineStr">
        <is>
          <t>SYC</t>
        </is>
      </c>
      <c r="C3137" t="inlineStr">
        <is>
          <t>mit.typ.p1.2</t>
        </is>
      </c>
      <c r="D3137" t="n">
        <v>0</v>
      </c>
      <c r="E3137" t="n">
        <v>0.00241193256</v>
      </c>
      <c r="F3137" t="n">
        <v>0.002854184675</v>
      </c>
      <c r="G3137" t="n">
        <v>0.003214395375</v>
      </c>
      <c r="H3137" t="n">
        <v>0.003686920506</v>
      </c>
    </row>
    <row r="3138">
      <c r="A3138" t="inlineStr">
        <is>
          <t>SYR|mit.typ.p1.2</t>
        </is>
      </c>
      <c r="B3138" t="inlineStr">
        <is>
          <t>SYR</t>
        </is>
      </c>
      <c r="C3138" t="inlineStr">
        <is>
          <t>mit.typ.p1.2</t>
        </is>
      </c>
      <c r="D3138" t="n">
        <v>0</v>
      </c>
      <c r="E3138" t="n">
        <v>0.912228849</v>
      </c>
      <c r="F3138" t="n">
        <v>1.289191372</v>
      </c>
      <c r="G3138" t="n">
        <v>3.025302698</v>
      </c>
      <c r="H3138" t="n">
        <v>2.951739758</v>
      </c>
    </row>
    <row r="3139">
      <c r="A3139" t="inlineStr">
        <is>
          <t>TCD|mit.typ.p1.2</t>
        </is>
      </c>
      <c r="B3139" t="inlineStr">
        <is>
          <t>TCD</t>
        </is>
      </c>
      <c r="C3139" t="inlineStr">
        <is>
          <t>mit.typ.p1.2</t>
        </is>
      </c>
      <c r="D3139" t="n">
        <v>0</v>
      </c>
      <c r="E3139" t="n">
        <v>0.2930441642</v>
      </c>
      <c r="F3139" t="n">
        <v>1.43096665</v>
      </c>
      <c r="G3139" t="n">
        <v>1.704470797</v>
      </c>
      <c r="H3139" t="n">
        <v>1.957451912</v>
      </c>
    </row>
    <row r="3140">
      <c r="A3140" t="inlineStr">
        <is>
          <t>TGO|mit.typ.p1.2</t>
        </is>
      </c>
      <c r="B3140" t="inlineStr">
        <is>
          <t>TGO</t>
        </is>
      </c>
      <c r="C3140" t="inlineStr">
        <is>
          <t>mit.typ.p1.2</t>
        </is>
      </c>
      <c r="D3140" t="n">
        <v>0</v>
      </c>
      <c r="E3140" t="n">
        <v>0.03327688226</v>
      </c>
      <c r="F3140" t="n">
        <v>0.101475553</v>
      </c>
      <c r="G3140" t="n">
        <v>0.1374462774</v>
      </c>
      <c r="H3140" t="n">
        <v>0.1685998221</v>
      </c>
    </row>
    <row r="3141">
      <c r="A3141" t="inlineStr">
        <is>
          <t>THA|mit.typ.p1.2</t>
        </is>
      </c>
      <c r="B3141" t="inlineStr">
        <is>
          <t>THA</t>
        </is>
      </c>
      <c r="C3141" t="inlineStr">
        <is>
          <t>mit.typ.p1.2</t>
        </is>
      </c>
      <c r="D3141" t="n">
        <v>0</v>
      </c>
      <c r="E3141" t="n">
        <v>0.743921305</v>
      </c>
      <c r="F3141" t="n">
        <v>1.699683852</v>
      </c>
      <c r="G3141" t="n">
        <v>2.096385956</v>
      </c>
      <c r="H3141" t="n">
        <v>2.578962231</v>
      </c>
    </row>
    <row r="3142">
      <c r="A3142" t="inlineStr">
        <is>
          <t>TJK|mit.typ.p1.2</t>
        </is>
      </c>
      <c r="B3142" t="inlineStr">
        <is>
          <t>TJK</t>
        </is>
      </c>
      <c r="C3142" t="inlineStr">
        <is>
          <t>mit.typ.p1.2</t>
        </is>
      </c>
      <c r="D3142" t="n">
        <v>0</v>
      </c>
      <c r="E3142" t="n">
        <v>0.2164439048</v>
      </c>
      <c r="F3142" t="n">
        <v>0.3535896844</v>
      </c>
      <c r="G3142" t="n">
        <v>0.5492637107</v>
      </c>
      <c r="H3142" t="n">
        <v>0.7311639013</v>
      </c>
    </row>
    <row r="3143">
      <c r="A3143" t="inlineStr">
        <is>
          <t>TKM|mit.typ.p1.2</t>
        </is>
      </c>
      <c r="B3143" t="inlineStr">
        <is>
          <t>TKM</t>
        </is>
      </c>
      <c r="C3143" t="inlineStr">
        <is>
          <t>mit.typ.p1.2</t>
        </is>
      </c>
      <c r="D3143" t="n">
        <v>0</v>
      </c>
      <c r="E3143" t="n">
        <v>2.067202508</v>
      </c>
      <c r="F3143" t="n">
        <v>2.765508925</v>
      </c>
      <c r="G3143" t="n">
        <v>5.060680786</v>
      </c>
      <c r="H3143" t="n">
        <v>5.100500942</v>
      </c>
    </row>
    <row r="3144">
      <c r="A3144" t="inlineStr">
        <is>
          <t>TLS|mit.typ.p1.2</t>
        </is>
      </c>
      <c r="B3144" t="inlineStr">
        <is>
          <t>TLS</t>
        </is>
      </c>
      <c r="C3144" t="inlineStr">
        <is>
          <t>mit.typ.p1.2</t>
        </is>
      </c>
      <c r="D3144" t="n">
        <v>0</v>
      </c>
      <c r="E3144" t="n">
        <v>0.007110142877</v>
      </c>
      <c r="F3144" t="n">
        <v>0.0278051975</v>
      </c>
      <c r="G3144" t="n">
        <v>0.03519284024</v>
      </c>
      <c r="H3144" t="n">
        <v>0.04054529353</v>
      </c>
    </row>
    <row r="3145">
      <c r="A3145" t="inlineStr">
        <is>
          <t>TON|mit.typ.p1.2</t>
        </is>
      </c>
      <c r="B3145" t="inlineStr">
        <is>
          <t>TON</t>
        </is>
      </c>
      <c r="C3145" t="inlineStr">
        <is>
          <t>mit.typ.p1.2</t>
        </is>
      </c>
      <c r="D3145" t="n">
        <v>0</v>
      </c>
      <c r="E3145" t="n">
        <v>0.001057986682</v>
      </c>
      <c r="F3145" t="n">
        <v>0.001515114815</v>
      </c>
      <c r="G3145" t="n">
        <v>0.00189516733</v>
      </c>
      <c r="H3145" t="n">
        <v>0.002418116387</v>
      </c>
    </row>
    <row r="3146">
      <c r="A3146" t="inlineStr">
        <is>
          <t>TTO|mit.typ.p1.2</t>
        </is>
      </c>
      <c r="B3146" t="inlineStr">
        <is>
          <t>TTO</t>
        </is>
      </c>
      <c r="C3146" t="inlineStr">
        <is>
          <t>mit.typ.p1.2</t>
        </is>
      </c>
      <c r="D3146" t="n">
        <v>0</v>
      </c>
      <c r="E3146" t="n">
        <v>0.135203411</v>
      </c>
      <c r="F3146" t="n">
        <v>0.2071557638</v>
      </c>
      <c r="G3146" t="n">
        <v>0.3831872329</v>
      </c>
      <c r="H3146" t="n">
        <v>0.3288741625</v>
      </c>
    </row>
    <row r="3147">
      <c r="A3147" t="inlineStr">
        <is>
          <t>TUN|mit.typ.p1.2</t>
        </is>
      </c>
      <c r="B3147" t="inlineStr">
        <is>
          <t>TUN</t>
        </is>
      </c>
      <c r="C3147" t="inlineStr">
        <is>
          <t>mit.typ.p1.2</t>
        </is>
      </c>
      <c r="D3147" t="n">
        <v>0</v>
      </c>
      <c r="E3147" t="n">
        <v>0.4365758474</v>
      </c>
      <c r="F3147" t="n">
        <v>0.642638555</v>
      </c>
      <c r="G3147" t="n">
        <v>1.448106689</v>
      </c>
      <c r="H3147" t="n">
        <v>1.412439792</v>
      </c>
    </row>
    <row r="3148">
      <c r="A3148" t="inlineStr">
        <is>
          <t>TUR|mit.typ.p1.2</t>
        </is>
      </c>
      <c r="B3148" t="inlineStr">
        <is>
          <t>TUR</t>
        </is>
      </c>
      <c r="C3148" t="inlineStr">
        <is>
          <t>mit.typ.p1.2</t>
        </is>
      </c>
      <c r="D3148" t="n">
        <v>0</v>
      </c>
      <c r="E3148" t="n">
        <v>3.439639524</v>
      </c>
      <c r="F3148" t="n">
        <v>3.896067102</v>
      </c>
      <c r="G3148" t="n">
        <v>4.410984205</v>
      </c>
      <c r="H3148" t="n">
        <v>5.092370241</v>
      </c>
    </row>
    <row r="3149">
      <c r="A3149" t="inlineStr">
        <is>
          <t>TZA|mit.typ.p1.2</t>
        </is>
      </c>
      <c r="B3149" t="inlineStr">
        <is>
          <t>TZA</t>
        </is>
      </c>
      <c r="C3149" t="inlineStr">
        <is>
          <t>mit.typ.p1.2</t>
        </is>
      </c>
      <c r="D3149" t="n">
        <v>0</v>
      </c>
      <c r="E3149" t="n">
        <v>0.6360755331</v>
      </c>
      <c r="F3149" t="n">
        <v>3.146896993</v>
      </c>
      <c r="G3149" t="n">
        <v>3.461865994</v>
      </c>
      <c r="H3149" t="n">
        <v>3.730175527</v>
      </c>
    </row>
    <row r="3150">
      <c r="A3150" t="inlineStr">
        <is>
          <t>UGA|mit.typ.p1.2</t>
        </is>
      </c>
      <c r="B3150" t="inlineStr">
        <is>
          <t>UGA</t>
        </is>
      </c>
      <c r="C3150" t="inlineStr">
        <is>
          <t>mit.typ.p1.2</t>
        </is>
      </c>
      <c r="D3150" t="n">
        <v>0</v>
      </c>
      <c r="E3150" t="n">
        <v>0.2567433284</v>
      </c>
      <c r="F3150" t="n">
        <v>0.9946914445</v>
      </c>
      <c r="G3150" t="n">
        <v>1.260613968</v>
      </c>
      <c r="H3150" t="n">
        <v>1.494298775</v>
      </c>
    </row>
    <row r="3151">
      <c r="A3151" t="inlineStr">
        <is>
          <t>UKR|mit.typ.p1.2</t>
        </is>
      </c>
      <c r="B3151" t="inlineStr">
        <is>
          <t>UKR</t>
        </is>
      </c>
      <c r="C3151" t="inlineStr">
        <is>
          <t>mit.typ.p1.2</t>
        </is>
      </c>
      <c r="D3151" t="n">
        <v>0</v>
      </c>
      <c r="E3151" t="n">
        <v>1.75148755</v>
      </c>
      <c r="F3151" t="n">
        <v>3.075088032</v>
      </c>
      <c r="G3151" t="n">
        <v>4.648960032</v>
      </c>
      <c r="H3151" t="n">
        <v>5.623475784</v>
      </c>
    </row>
    <row r="3152">
      <c r="A3152" t="inlineStr">
        <is>
          <t>URY|mit.typ.p1.2</t>
        </is>
      </c>
      <c r="B3152" t="inlineStr">
        <is>
          <t>URY</t>
        </is>
      </c>
      <c r="C3152" t="inlineStr">
        <is>
          <t>mit.typ.p1.2</t>
        </is>
      </c>
      <c r="D3152" t="n">
        <v>0</v>
      </c>
      <c r="E3152" t="n">
        <v>0.08200339192</v>
      </c>
      <c r="F3152" t="n">
        <v>0.1733961743</v>
      </c>
      <c r="G3152" t="n">
        <v>0.2312052448</v>
      </c>
      <c r="H3152" t="n">
        <v>0.291856828</v>
      </c>
    </row>
    <row r="3153">
      <c r="A3153" t="inlineStr">
        <is>
          <t>USA|mit.typ.p1.2</t>
        </is>
      </c>
      <c r="B3153" t="inlineStr">
        <is>
          <t>USA</t>
        </is>
      </c>
      <c r="C3153" t="inlineStr">
        <is>
          <t>mit.typ.p1.2</t>
        </is>
      </c>
      <c r="D3153" t="n">
        <v>0</v>
      </c>
      <c r="E3153" t="n">
        <v>80.34586195999999</v>
      </c>
      <c r="F3153" t="n">
        <v>87.27849317</v>
      </c>
      <c r="G3153" t="n">
        <v>91.19639037</v>
      </c>
      <c r="H3153" t="n">
        <v>68.98075778</v>
      </c>
    </row>
    <row r="3154">
      <c r="A3154" t="inlineStr">
        <is>
          <t>UZB|mit.typ.p1.2</t>
        </is>
      </c>
      <c r="B3154" t="inlineStr">
        <is>
          <t>UZB</t>
        </is>
      </c>
      <c r="C3154" t="inlineStr">
        <is>
          <t>mit.typ.p1.2</t>
        </is>
      </c>
      <c r="D3154" t="n">
        <v>0</v>
      </c>
      <c r="E3154" t="n">
        <v>2.713843347</v>
      </c>
      <c r="F3154" t="n">
        <v>4.044830165</v>
      </c>
      <c r="G3154" t="n">
        <v>7.418736212</v>
      </c>
      <c r="H3154" t="n">
        <v>7.622570362</v>
      </c>
    </row>
    <row r="3155">
      <c r="A3155" t="inlineStr">
        <is>
          <t>VCT|mit.typ.p1.2</t>
        </is>
      </c>
      <c r="B3155" t="inlineStr">
        <is>
          <t>VCT</t>
        </is>
      </c>
      <c r="C3155" t="inlineStr">
        <is>
          <t>mit.typ.p1.2</t>
        </is>
      </c>
      <c r="D3155" t="n">
        <v>0</v>
      </c>
      <c r="E3155" t="n">
        <v>0.001338113757</v>
      </c>
      <c r="F3155" t="n">
        <v>0.001756990931</v>
      </c>
      <c r="G3155" t="n">
        <v>0.002215680163</v>
      </c>
      <c r="H3155" t="n">
        <v>0.002857422093</v>
      </c>
    </row>
    <row r="3156">
      <c r="A3156" t="inlineStr">
        <is>
          <t>VEN|mit.typ.p1.2</t>
        </is>
      </c>
      <c r="B3156" t="inlineStr">
        <is>
          <t>VEN</t>
        </is>
      </c>
      <c r="C3156" t="inlineStr">
        <is>
          <t>mit.typ.p1.2</t>
        </is>
      </c>
      <c r="D3156" t="n">
        <v>0</v>
      </c>
      <c r="E3156" t="n">
        <v>0.9209675745</v>
      </c>
      <c r="F3156" t="n">
        <v>2.419217782</v>
      </c>
      <c r="G3156" t="n">
        <v>2.92616584</v>
      </c>
      <c r="H3156" t="n">
        <v>3.327319861</v>
      </c>
    </row>
    <row r="3157">
      <c r="A3157" t="inlineStr">
        <is>
          <t>VNM|mit.typ.p1.2</t>
        </is>
      </c>
      <c r="B3157" t="inlineStr">
        <is>
          <t>VNM</t>
        </is>
      </c>
      <c r="C3157" t="inlineStr">
        <is>
          <t>mit.typ.p1.2</t>
        </is>
      </c>
      <c r="D3157" t="n">
        <v>0</v>
      </c>
      <c r="E3157" t="n">
        <v>1.947241041</v>
      </c>
      <c r="F3157" t="n">
        <v>3.132516176</v>
      </c>
      <c r="G3157" t="n">
        <v>5.248185503</v>
      </c>
      <c r="H3157" t="n">
        <v>5.800688391</v>
      </c>
    </row>
    <row r="3158">
      <c r="A3158" t="inlineStr">
        <is>
          <t>VUT|mit.typ.p1.2</t>
        </is>
      </c>
      <c r="B3158" t="inlineStr">
        <is>
          <t>VUT</t>
        </is>
      </c>
      <c r="C3158" t="inlineStr">
        <is>
          <t>mit.typ.p1.2</t>
        </is>
      </c>
      <c r="D3158" t="n">
        <v>0</v>
      </c>
      <c r="E3158" t="n">
        <v>0.002359804825</v>
      </c>
      <c r="F3158" t="n">
        <v>0.004572190944</v>
      </c>
      <c r="G3158" t="n">
        <v>0.006732047284</v>
      </c>
      <c r="H3158" t="n">
        <v>0.008427436577</v>
      </c>
    </row>
    <row r="3159">
      <c r="A3159" t="inlineStr">
        <is>
          <t>WSM|mit.typ.p1.2</t>
        </is>
      </c>
      <c r="B3159" t="inlineStr">
        <is>
          <t>WSM</t>
        </is>
      </c>
      <c r="C3159" t="inlineStr">
        <is>
          <t>mit.typ.p1.2</t>
        </is>
      </c>
      <c r="D3159" t="n">
        <v>0</v>
      </c>
      <c r="E3159" t="n">
        <v>0.002009882176</v>
      </c>
      <c r="F3159" t="n">
        <v>0.005367393755</v>
      </c>
      <c r="G3159" t="n">
        <v>0.006019726835</v>
      </c>
      <c r="H3159" t="n">
        <v>0.00689973632</v>
      </c>
    </row>
    <row r="3160">
      <c r="A3160" t="inlineStr">
        <is>
          <t>XKX|mit.typ.p1.2</t>
        </is>
      </c>
      <c r="B3160" t="inlineStr">
        <is>
          <t>XKX</t>
        </is>
      </c>
      <c r="C3160" t="inlineStr">
        <is>
          <t>mit.typ.p1.2</t>
        </is>
      </c>
      <c r="D3160" t="n">
        <v>0</v>
      </c>
      <c r="E3160" t="n">
        <v>0.0279311127</v>
      </c>
      <c r="F3160" t="n">
        <v>0.03657637917</v>
      </c>
      <c r="G3160" t="n">
        <v>0.0684125929</v>
      </c>
      <c r="H3160" t="n">
        <v>0.06870092809</v>
      </c>
    </row>
    <row r="3161">
      <c r="A3161" t="inlineStr">
        <is>
          <t>YEM|mit.typ.p1.2</t>
        </is>
      </c>
      <c r="B3161" t="inlineStr">
        <is>
          <t>YEM</t>
        </is>
      </c>
      <c r="C3161" t="inlineStr">
        <is>
          <t>mit.typ.p1.2</t>
        </is>
      </c>
      <c r="D3161" t="n">
        <v>0</v>
      </c>
      <c r="E3161" t="n">
        <v>0.1033287712</v>
      </c>
      <c r="F3161" t="n">
        <v>0.2210166288</v>
      </c>
      <c r="G3161" t="n">
        <v>0.3507639682</v>
      </c>
      <c r="H3161" t="n">
        <v>0.4425469638</v>
      </c>
    </row>
    <row r="3162">
      <c r="A3162" t="inlineStr">
        <is>
          <t>ZAF|mit.typ.p1.2</t>
        </is>
      </c>
      <c r="B3162" t="inlineStr">
        <is>
          <t>ZAF</t>
        </is>
      </c>
      <c r="C3162" t="inlineStr">
        <is>
          <t>mit.typ.p1.2</t>
        </is>
      </c>
      <c r="D3162" t="n">
        <v>0</v>
      </c>
      <c r="E3162" t="n">
        <v>0.7345008298</v>
      </c>
      <c r="F3162" t="n">
        <v>1.268320007</v>
      </c>
      <c r="G3162" t="n">
        <v>1.567196994</v>
      </c>
      <c r="H3162" t="n">
        <v>1.932431688</v>
      </c>
    </row>
    <row r="3163">
      <c r="A3163" t="inlineStr">
        <is>
          <t>ZMB|mit.typ.p1.2</t>
        </is>
      </c>
      <c r="B3163" t="inlineStr">
        <is>
          <t>ZMB</t>
        </is>
      </c>
      <c r="C3163" t="inlineStr">
        <is>
          <t>mit.typ.p1.2</t>
        </is>
      </c>
      <c r="D3163" t="n">
        <v>0</v>
      </c>
      <c r="E3163" t="n">
        <v>0.4697007874</v>
      </c>
      <c r="F3163" t="n">
        <v>2.034256395</v>
      </c>
      <c r="G3163" t="n">
        <v>2.260989459</v>
      </c>
      <c r="H3163" t="n">
        <v>2.40372324</v>
      </c>
    </row>
    <row r="3164">
      <c r="A3164" t="inlineStr">
        <is>
          <t>ZWE|mit.typ.p1.2</t>
        </is>
      </c>
      <c r="B3164" t="inlineStr">
        <is>
          <t>ZWE</t>
        </is>
      </c>
      <c r="C3164" t="inlineStr">
        <is>
          <t>mit.typ.p1.2</t>
        </is>
      </c>
      <c r="D3164" t="n">
        <v>0</v>
      </c>
      <c r="E3164" t="n">
        <v>0.7302248075</v>
      </c>
      <c r="F3164" t="n">
        <v>3.59634288</v>
      </c>
      <c r="G3164" t="n">
        <v>3.799145036</v>
      </c>
      <c r="H3164" t="n">
        <v>3.930332128</v>
      </c>
    </row>
    <row r="3165">
      <c r="A3165" t="inlineStr">
        <is>
          <t>ABW|mit.typ.p2.2</t>
        </is>
      </c>
      <c r="B3165" t="inlineStr">
        <is>
          <t>ABW</t>
        </is>
      </c>
      <c r="C3165" t="inlineStr">
        <is>
          <t>mit.typ.p2.2</t>
        </is>
      </c>
      <c r="D3165" t="n">
        <v>0</v>
      </c>
      <c r="E3165" t="n">
        <v>0.06827695448</v>
      </c>
      <c r="F3165" t="n">
        <v>0.07384281068</v>
      </c>
      <c r="G3165" t="n">
        <v>0.1260616093</v>
      </c>
      <c r="H3165" t="n">
        <v>0.09630095178</v>
      </c>
    </row>
    <row r="3166">
      <c r="A3166" t="inlineStr">
        <is>
          <t>AFG|mit.typ.p2.2</t>
        </is>
      </c>
      <c r="B3166" t="inlineStr">
        <is>
          <t>AFG</t>
        </is>
      </c>
      <c r="C3166" t="inlineStr">
        <is>
          <t>mit.typ.p2.2</t>
        </is>
      </c>
      <c r="D3166" t="n">
        <v>0</v>
      </c>
      <c r="E3166" t="n">
        <v>0.02539561614</v>
      </c>
      <c r="F3166" t="n">
        <v>0.03524653796</v>
      </c>
      <c r="G3166" t="n">
        <v>0.06075498484</v>
      </c>
      <c r="H3166" t="n">
        <v>0.07279905515</v>
      </c>
    </row>
    <row r="3167">
      <c r="A3167" t="inlineStr">
        <is>
          <t>AGO|mit.typ.p2.2</t>
        </is>
      </c>
      <c r="B3167" t="inlineStr">
        <is>
          <t>AGO</t>
        </is>
      </c>
      <c r="C3167" t="inlineStr">
        <is>
          <t>mit.typ.p2.2</t>
        </is>
      </c>
      <c r="D3167" t="n">
        <v>0</v>
      </c>
      <c r="E3167" t="n">
        <v>0.1602623968</v>
      </c>
      <c r="F3167" t="n">
        <v>0.193996755</v>
      </c>
      <c r="G3167" t="n">
        <v>0.3520229332</v>
      </c>
      <c r="H3167" t="n">
        <v>0.4218759635</v>
      </c>
    </row>
    <row r="3168">
      <c r="A3168" t="inlineStr">
        <is>
          <t>ALB|mit.typ.p2.2</t>
        </is>
      </c>
      <c r="B3168" t="inlineStr">
        <is>
          <t>ALB</t>
        </is>
      </c>
      <c r="C3168" t="inlineStr">
        <is>
          <t>mit.typ.p2.2</t>
        </is>
      </c>
      <c r="D3168" t="n">
        <v>0</v>
      </c>
      <c r="E3168" t="n">
        <v>0.06411835495</v>
      </c>
      <c r="F3168" t="n">
        <v>0.08145636947</v>
      </c>
      <c r="G3168" t="n">
        <v>0.127906555</v>
      </c>
      <c r="H3168" t="n">
        <v>0.1501068827</v>
      </c>
    </row>
    <row r="3169">
      <c r="A3169" t="inlineStr">
        <is>
          <t>ARE|mit.typ.p2.2</t>
        </is>
      </c>
      <c r="B3169" t="inlineStr">
        <is>
          <t>ARE</t>
        </is>
      </c>
      <c r="C3169" t="inlineStr">
        <is>
          <t>mit.typ.p2.2</t>
        </is>
      </c>
      <c r="D3169" t="n">
        <v>0</v>
      </c>
      <c r="E3169" t="n">
        <v>4.89662433</v>
      </c>
      <c r="F3169" t="n">
        <v>5.067566064</v>
      </c>
      <c r="G3169" t="n">
        <v>8.403274707</v>
      </c>
      <c r="H3169" t="n">
        <v>6.552828722</v>
      </c>
    </row>
    <row r="3170">
      <c r="A3170" t="inlineStr">
        <is>
          <t>ARG|mit.typ.p2.2</t>
        </is>
      </c>
      <c r="B3170" t="inlineStr">
        <is>
          <t>ARG</t>
        </is>
      </c>
      <c r="C3170" t="inlineStr">
        <is>
          <t>mit.typ.p2.2</t>
        </is>
      </c>
      <c r="D3170" t="n">
        <v>0</v>
      </c>
      <c r="E3170" t="n">
        <v>1.790004212</v>
      </c>
      <c r="F3170" t="n">
        <v>2.187723737</v>
      </c>
      <c r="G3170" t="n">
        <v>3.482200416</v>
      </c>
      <c r="H3170" t="n">
        <v>2.647493998</v>
      </c>
    </row>
    <row r="3171">
      <c r="A3171" t="inlineStr">
        <is>
          <t>ARM|mit.typ.p2.2</t>
        </is>
      </c>
      <c r="B3171" t="inlineStr">
        <is>
          <t>ARM</t>
        </is>
      </c>
      <c r="C3171" t="inlineStr">
        <is>
          <t>mit.typ.p2.2</t>
        </is>
      </c>
      <c r="D3171" t="n">
        <v>0</v>
      </c>
      <c r="E3171" t="n">
        <v>0.2238707936</v>
      </c>
      <c r="F3171" t="n">
        <v>0.2736644987</v>
      </c>
      <c r="G3171" t="n">
        <v>0.4423885329</v>
      </c>
      <c r="H3171" t="n">
        <v>0.434356437</v>
      </c>
    </row>
    <row r="3172">
      <c r="A3172" t="inlineStr">
        <is>
          <t>ATG|mit.typ.p2.2</t>
        </is>
      </c>
      <c r="B3172" t="inlineStr">
        <is>
          <t>ATG</t>
        </is>
      </c>
      <c r="C3172" t="inlineStr">
        <is>
          <t>mit.typ.p2.2</t>
        </is>
      </c>
      <c r="D3172" t="n">
        <v>0</v>
      </c>
      <c r="E3172" t="n">
        <v>0.01855889052</v>
      </c>
      <c r="F3172" t="n">
        <v>0.02710554881</v>
      </c>
      <c r="G3172" t="n">
        <v>0.05645390284</v>
      </c>
      <c r="H3172" t="n">
        <v>0.04446381642</v>
      </c>
    </row>
    <row r="3173">
      <c r="A3173" t="inlineStr">
        <is>
          <t>AUS|mit.typ.p2.2</t>
        </is>
      </c>
      <c r="B3173" t="inlineStr">
        <is>
          <t>AUS</t>
        </is>
      </c>
      <c r="C3173" t="inlineStr">
        <is>
          <t>mit.typ.p2.2</t>
        </is>
      </c>
      <c r="D3173" t="n">
        <v>0</v>
      </c>
      <c r="E3173" t="n">
        <v>11.16832382</v>
      </c>
      <c r="F3173" t="n">
        <v>20.48370816</v>
      </c>
      <c r="G3173" t="n">
        <v>16.72785586</v>
      </c>
      <c r="H3173" t="n">
        <v>14.91092675</v>
      </c>
    </row>
    <row r="3174">
      <c r="A3174" t="inlineStr">
        <is>
          <t>AUT|mit.typ.p2.2</t>
        </is>
      </c>
      <c r="B3174" t="inlineStr">
        <is>
          <t>AUT</t>
        </is>
      </c>
      <c r="C3174" t="inlineStr">
        <is>
          <t>mit.typ.p2.2</t>
        </is>
      </c>
      <c r="D3174" t="n">
        <v>0</v>
      </c>
      <c r="E3174" t="n">
        <v>1.69110823</v>
      </c>
      <c r="F3174" t="n">
        <v>2.498828274</v>
      </c>
      <c r="G3174" t="n">
        <v>2.521940345</v>
      </c>
      <c r="H3174" t="n">
        <v>2.239927053</v>
      </c>
    </row>
    <row r="3175">
      <c r="A3175" t="inlineStr">
        <is>
          <t>AZE|mit.typ.p2.2</t>
        </is>
      </c>
      <c r="B3175" t="inlineStr">
        <is>
          <t>AZE</t>
        </is>
      </c>
      <c r="C3175" t="inlineStr">
        <is>
          <t>mit.typ.p2.2</t>
        </is>
      </c>
      <c r="D3175" t="n">
        <v>0</v>
      </c>
      <c r="E3175" t="n">
        <v>0.333578025</v>
      </c>
      <c r="F3175" t="n">
        <v>0.4905123663</v>
      </c>
      <c r="G3175" t="n">
        <v>1.099747305</v>
      </c>
      <c r="H3175" t="n">
        <v>0.8845625785</v>
      </c>
    </row>
    <row r="3176">
      <c r="A3176" t="inlineStr">
        <is>
          <t>BDI|mit.typ.p2.2</t>
        </is>
      </c>
      <c r="B3176" t="inlineStr">
        <is>
          <t>BDI</t>
        </is>
      </c>
      <c r="C3176" t="inlineStr">
        <is>
          <t>mit.typ.p2.2</t>
        </is>
      </c>
      <c r="D3176" t="n">
        <v>0</v>
      </c>
      <c r="E3176" t="n">
        <v>0.005390395958</v>
      </c>
      <c r="F3176" t="n">
        <v>0.009359820935000001</v>
      </c>
      <c r="G3176" t="n">
        <v>0.0176864665</v>
      </c>
      <c r="H3176" t="n">
        <v>0.02028241905</v>
      </c>
    </row>
    <row r="3177">
      <c r="A3177" t="inlineStr">
        <is>
          <t>BEL|mit.typ.p2.2</t>
        </is>
      </c>
      <c r="B3177" t="inlineStr">
        <is>
          <t>BEL</t>
        </is>
      </c>
      <c r="C3177" t="inlineStr">
        <is>
          <t>mit.typ.p2.2</t>
        </is>
      </c>
      <c r="D3177" t="n">
        <v>0</v>
      </c>
      <c r="E3177" t="n">
        <v>2.70859095</v>
      </c>
      <c r="F3177" t="n">
        <v>3.934016283</v>
      </c>
      <c r="G3177" t="n">
        <v>4.080040085</v>
      </c>
      <c r="H3177" t="n">
        <v>3.324946354</v>
      </c>
    </row>
    <row r="3178">
      <c r="A3178" t="inlineStr">
        <is>
          <t>BEN|mit.typ.p2.2</t>
        </is>
      </c>
      <c r="B3178" t="inlineStr">
        <is>
          <t>BEN</t>
        </is>
      </c>
      <c r="C3178" t="inlineStr">
        <is>
          <t>mit.typ.p2.2</t>
        </is>
      </c>
      <c r="D3178" t="n">
        <v>0</v>
      </c>
      <c r="E3178" t="n">
        <v>0.05402242453</v>
      </c>
      <c r="F3178" t="n">
        <v>0.09079136695999999</v>
      </c>
      <c r="G3178" t="n">
        <v>0.2130346251</v>
      </c>
      <c r="H3178" t="n">
        <v>0.2061558096</v>
      </c>
    </row>
    <row r="3179">
      <c r="A3179" t="inlineStr">
        <is>
          <t>BFA|mit.typ.p2.2</t>
        </is>
      </c>
      <c r="B3179" t="inlineStr">
        <is>
          <t>BFA</t>
        </is>
      </c>
      <c r="C3179" t="inlineStr">
        <is>
          <t>mit.typ.p2.2</t>
        </is>
      </c>
      <c r="D3179" t="n">
        <v>0</v>
      </c>
      <c r="E3179" t="n">
        <v>0.0691253351</v>
      </c>
      <c r="F3179" t="n">
        <v>0.1101029454</v>
      </c>
      <c r="G3179" t="n">
        <v>0.2639944013</v>
      </c>
      <c r="H3179" t="n">
        <v>0.2683819403</v>
      </c>
    </row>
    <row r="3180">
      <c r="A3180" t="inlineStr">
        <is>
          <t>BGD|mit.typ.p2.2</t>
        </is>
      </c>
      <c r="B3180" t="inlineStr">
        <is>
          <t>BGD</t>
        </is>
      </c>
      <c r="C3180" t="inlineStr">
        <is>
          <t>mit.typ.p2.2</t>
        </is>
      </c>
      <c r="D3180" t="n">
        <v>0</v>
      </c>
      <c r="E3180" t="n">
        <v>1.514048008</v>
      </c>
      <c r="F3180" t="n">
        <v>2.200163711</v>
      </c>
      <c r="G3180" t="n">
        <v>4.7099777</v>
      </c>
      <c r="H3180" t="n">
        <v>4.188940077</v>
      </c>
    </row>
    <row r="3181">
      <c r="A3181" t="inlineStr">
        <is>
          <t>BGR|mit.typ.p2.2</t>
        </is>
      </c>
      <c r="B3181" t="inlineStr">
        <is>
          <t>BGR</t>
        </is>
      </c>
      <c r="C3181" t="inlineStr">
        <is>
          <t>mit.typ.p2.2</t>
        </is>
      </c>
      <c r="D3181" t="n">
        <v>0</v>
      </c>
      <c r="E3181" t="n">
        <v>0.642473575</v>
      </c>
      <c r="F3181" t="n">
        <v>0.9876146965</v>
      </c>
      <c r="G3181" t="n">
        <v>1.383893498</v>
      </c>
      <c r="H3181" t="n">
        <v>1.484696134</v>
      </c>
    </row>
    <row r="3182">
      <c r="A3182" t="inlineStr">
        <is>
          <t>BHR|mit.typ.p2.2</t>
        </is>
      </c>
      <c r="B3182" t="inlineStr">
        <is>
          <t>BHR</t>
        </is>
      </c>
      <c r="C3182" t="inlineStr">
        <is>
          <t>mit.typ.p2.2</t>
        </is>
      </c>
      <c r="D3182" t="n">
        <v>0</v>
      </c>
      <c r="E3182" t="n">
        <v>0.2983979529</v>
      </c>
      <c r="F3182" t="n">
        <v>0.2932940117</v>
      </c>
      <c r="G3182" t="n">
        <v>0.5292473239</v>
      </c>
      <c r="H3182" t="n">
        <v>0.3118739465</v>
      </c>
    </row>
    <row r="3183">
      <c r="A3183" t="inlineStr">
        <is>
          <t>BHS|mit.typ.p2.2</t>
        </is>
      </c>
      <c r="B3183" t="inlineStr">
        <is>
          <t>BHS</t>
        </is>
      </c>
      <c r="C3183" t="inlineStr">
        <is>
          <t>mit.typ.p2.2</t>
        </is>
      </c>
      <c r="D3183" t="n">
        <v>0</v>
      </c>
      <c r="E3183" t="n">
        <v>0.1276790552</v>
      </c>
      <c r="F3183" t="n">
        <v>0.1405097373</v>
      </c>
      <c r="G3183" t="n">
        <v>0.2577559472</v>
      </c>
      <c r="H3183" t="n">
        <v>0.1867993938</v>
      </c>
    </row>
    <row r="3184">
      <c r="A3184" t="inlineStr">
        <is>
          <t>BIH|mit.typ.p2.2</t>
        </is>
      </c>
      <c r="B3184" t="inlineStr">
        <is>
          <t>BIH</t>
        </is>
      </c>
      <c r="C3184" t="inlineStr">
        <is>
          <t>mit.typ.p2.2</t>
        </is>
      </c>
      <c r="D3184" t="n">
        <v>0</v>
      </c>
      <c r="E3184" t="n">
        <v>0.2102491368</v>
      </c>
      <c r="F3184" t="n">
        <v>0.3080685287</v>
      </c>
      <c r="G3184" t="n">
        <v>0.6826675978</v>
      </c>
      <c r="H3184" t="n">
        <v>0.6004021123</v>
      </c>
    </row>
    <row r="3185">
      <c r="A3185" t="inlineStr">
        <is>
          <t>BLR|mit.typ.p2.2</t>
        </is>
      </c>
      <c r="B3185" t="inlineStr">
        <is>
          <t>BLR</t>
        </is>
      </c>
      <c r="C3185" t="inlineStr">
        <is>
          <t>mit.typ.p2.2</t>
        </is>
      </c>
      <c r="D3185" t="n">
        <v>0</v>
      </c>
      <c r="E3185" t="n">
        <v>0.7827241886</v>
      </c>
      <c r="F3185" t="n">
        <v>1.064365904</v>
      </c>
      <c r="G3185" t="n">
        <v>2.130280842</v>
      </c>
      <c r="H3185" t="n">
        <v>2.02888525</v>
      </c>
    </row>
    <row r="3186">
      <c r="A3186" t="inlineStr">
        <is>
          <t>BLZ|mit.typ.p2.2</t>
        </is>
      </c>
      <c r="B3186" t="inlineStr">
        <is>
          <t>BLZ</t>
        </is>
      </c>
      <c r="C3186" t="inlineStr">
        <is>
          <t>mit.typ.p2.2</t>
        </is>
      </c>
      <c r="D3186" t="n">
        <v>0</v>
      </c>
      <c r="E3186" t="n">
        <v>0.007280946965</v>
      </c>
      <c r="F3186" t="n">
        <v>0.009368470961</v>
      </c>
      <c r="G3186" t="n">
        <v>0.01692331793</v>
      </c>
      <c r="H3186" t="n">
        <v>0.01816223363</v>
      </c>
    </row>
    <row r="3187">
      <c r="A3187" t="inlineStr">
        <is>
          <t>BOL|mit.typ.p2.2</t>
        </is>
      </c>
      <c r="B3187" t="inlineStr">
        <is>
          <t>BOL</t>
        </is>
      </c>
      <c r="C3187" t="inlineStr">
        <is>
          <t>mit.typ.p2.2</t>
        </is>
      </c>
      <c r="D3187" t="n">
        <v>0</v>
      </c>
      <c r="E3187" t="n">
        <v>0.1383827167</v>
      </c>
      <c r="F3187" t="n">
        <v>0.1644660097</v>
      </c>
      <c r="G3187" t="n">
        <v>0.5099179665</v>
      </c>
      <c r="H3187" t="n">
        <v>0.5449790527</v>
      </c>
    </row>
    <row r="3188">
      <c r="A3188" t="inlineStr">
        <is>
          <t>BRA|mit.typ.p2.2</t>
        </is>
      </c>
      <c r="B3188" t="inlineStr">
        <is>
          <t>BRA</t>
        </is>
      </c>
      <c r="C3188" t="inlineStr">
        <is>
          <t>mit.typ.p2.2</t>
        </is>
      </c>
      <c r="D3188" t="n">
        <v>0</v>
      </c>
      <c r="E3188" t="n">
        <v>8.203262262999999</v>
      </c>
      <c r="F3188" t="n">
        <v>10.83597645</v>
      </c>
      <c r="G3188" t="n">
        <v>18.25108513</v>
      </c>
      <c r="H3188" t="n">
        <v>19.46799752</v>
      </c>
    </row>
    <row r="3189">
      <c r="A3189" t="inlineStr">
        <is>
          <t>BRB|mit.typ.p2.2</t>
        </is>
      </c>
      <c r="B3189" t="inlineStr">
        <is>
          <t>BRB</t>
        </is>
      </c>
      <c r="C3189" t="inlineStr">
        <is>
          <t>mit.typ.p2.2</t>
        </is>
      </c>
      <c r="D3189" t="n">
        <v>0</v>
      </c>
      <c r="E3189" t="n">
        <v>0.06372575424</v>
      </c>
      <c r="F3189" t="n">
        <v>0.07818276355999999</v>
      </c>
      <c r="G3189" t="n">
        <v>0.1361764253</v>
      </c>
      <c r="H3189" t="n">
        <v>0.09866034597999999</v>
      </c>
    </row>
    <row r="3190">
      <c r="A3190" t="inlineStr">
        <is>
          <t>BRN|mit.typ.p2.2</t>
        </is>
      </c>
      <c r="B3190" t="inlineStr">
        <is>
          <t>BRN</t>
        </is>
      </c>
      <c r="C3190" t="inlineStr">
        <is>
          <t>mit.typ.p2.2</t>
        </is>
      </c>
      <c r="D3190" t="n">
        <v>0</v>
      </c>
      <c r="E3190" t="n">
        <v>0.1187955847</v>
      </c>
      <c r="F3190" t="n">
        <v>0.1693542566</v>
      </c>
      <c r="G3190" t="n">
        <v>0.3144074035</v>
      </c>
      <c r="H3190" t="n">
        <v>0.2277372426</v>
      </c>
    </row>
    <row r="3191">
      <c r="A3191" t="inlineStr">
        <is>
          <t>BTN|mit.typ.p2.2</t>
        </is>
      </c>
      <c r="B3191" t="inlineStr">
        <is>
          <t>BTN</t>
        </is>
      </c>
      <c r="C3191" t="inlineStr">
        <is>
          <t>mit.typ.p2.2</t>
        </is>
      </c>
      <c r="D3191" t="n">
        <v>0</v>
      </c>
      <c r="E3191" t="n">
        <v>0.002253014685</v>
      </c>
      <c r="F3191" t="n">
        <v>0.003157101017</v>
      </c>
      <c r="G3191" t="n">
        <v>0.005199437434</v>
      </c>
      <c r="H3191" t="n">
        <v>0.05419670083</v>
      </c>
    </row>
    <row r="3192">
      <c r="A3192" t="inlineStr">
        <is>
          <t>BWA|mit.typ.p2.2</t>
        </is>
      </c>
      <c r="B3192" t="inlineStr">
        <is>
          <t>BWA</t>
        </is>
      </c>
      <c r="C3192" t="inlineStr">
        <is>
          <t>mit.typ.p2.2</t>
        </is>
      </c>
      <c r="D3192" t="n">
        <v>0</v>
      </c>
      <c r="E3192" t="n">
        <v>0.07791302829000001</v>
      </c>
      <c r="F3192" t="n">
        <v>0.1417781542</v>
      </c>
      <c r="G3192" t="n">
        <v>0.3235380865</v>
      </c>
      <c r="H3192" t="n">
        <v>0.2374058601</v>
      </c>
    </row>
    <row r="3193">
      <c r="A3193" t="inlineStr">
        <is>
          <t>CAF|mit.typ.p2.2</t>
        </is>
      </c>
      <c r="B3193" t="inlineStr">
        <is>
          <t>CAF</t>
        </is>
      </c>
      <c r="C3193" t="inlineStr">
        <is>
          <t>mit.typ.p2.2</t>
        </is>
      </c>
      <c r="D3193" t="n">
        <v>0</v>
      </c>
      <c r="E3193" t="n">
        <v>0.001366739927</v>
      </c>
      <c r="F3193" t="n">
        <v>0.004547670455</v>
      </c>
      <c r="G3193" t="n">
        <v>0.009054908471</v>
      </c>
      <c r="H3193" t="n">
        <v>0.01076344826</v>
      </c>
    </row>
    <row r="3194">
      <c r="A3194" t="inlineStr">
        <is>
          <t>CAN|mit.typ.p2.2</t>
        </is>
      </c>
      <c r="B3194" t="inlineStr">
        <is>
          <t>CAN</t>
        </is>
      </c>
      <c r="C3194" t="inlineStr">
        <is>
          <t>mit.typ.p2.2</t>
        </is>
      </c>
      <c r="D3194" t="n">
        <v>0</v>
      </c>
      <c r="E3194" t="n">
        <v>19.54789662</v>
      </c>
      <c r="F3194" t="n">
        <v>28.30582918</v>
      </c>
      <c r="G3194" t="n">
        <v>30.66121366</v>
      </c>
      <c r="H3194" t="n">
        <v>28.73624028</v>
      </c>
    </row>
    <row r="3195">
      <c r="A3195" t="inlineStr">
        <is>
          <t>CHE|mit.typ.p2.2</t>
        </is>
      </c>
      <c r="B3195" t="inlineStr">
        <is>
          <t>CHE</t>
        </is>
      </c>
      <c r="C3195" t="inlineStr">
        <is>
          <t>mit.typ.p2.2</t>
        </is>
      </c>
      <c r="D3195" t="n">
        <v>0</v>
      </c>
      <c r="E3195" t="n">
        <v>1.793188575</v>
      </c>
      <c r="F3195" t="n">
        <v>2.353284752</v>
      </c>
      <c r="G3195" t="n">
        <v>2.888571798</v>
      </c>
      <c r="H3195" t="n">
        <v>2.711180878</v>
      </c>
    </row>
    <row r="3196">
      <c r="A3196" t="inlineStr">
        <is>
          <t>CHL|mit.typ.p2.2</t>
        </is>
      </c>
      <c r="B3196" t="inlineStr">
        <is>
          <t>CHL</t>
        </is>
      </c>
      <c r="C3196" t="inlineStr">
        <is>
          <t>mit.typ.p2.2</t>
        </is>
      </c>
      <c r="D3196" t="n">
        <v>0</v>
      </c>
      <c r="E3196" t="n">
        <v>1.459830905</v>
      </c>
      <c r="F3196" t="n">
        <v>1.994264008</v>
      </c>
      <c r="G3196" t="n">
        <v>2.983690362</v>
      </c>
      <c r="H3196" t="n">
        <v>2.077784872</v>
      </c>
    </row>
    <row r="3197">
      <c r="A3197" t="inlineStr">
        <is>
          <t>CHN|mit.typ.p2.2</t>
        </is>
      </c>
      <c r="B3197" t="inlineStr">
        <is>
          <t>CHN</t>
        </is>
      </c>
      <c r="C3197" t="inlineStr">
        <is>
          <t>mit.typ.p2.2</t>
        </is>
      </c>
      <c r="D3197" t="n">
        <v>0</v>
      </c>
      <c r="E3197" t="n">
        <v>415.85597</v>
      </c>
      <c r="F3197" t="n">
        <v>619.618351</v>
      </c>
      <c r="G3197" t="n">
        <v>1094.09769</v>
      </c>
      <c r="H3197" t="n">
        <v>760.3874873</v>
      </c>
    </row>
    <row r="3198">
      <c r="A3198" t="inlineStr">
        <is>
          <t>CIV|mit.typ.p2.2</t>
        </is>
      </c>
      <c r="B3198" t="inlineStr">
        <is>
          <t>CIV</t>
        </is>
      </c>
      <c r="C3198" t="inlineStr">
        <is>
          <t>mit.typ.p2.2</t>
        </is>
      </c>
      <c r="D3198" t="n">
        <v>0</v>
      </c>
      <c r="E3198" t="n">
        <v>0.2362013518</v>
      </c>
      <c r="F3198" t="n">
        <v>0.3451131356</v>
      </c>
      <c r="G3198" t="n">
        <v>0.7107033309</v>
      </c>
      <c r="H3198" t="n">
        <v>0.7123840581000001</v>
      </c>
    </row>
    <row r="3199">
      <c r="A3199" t="inlineStr">
        <is>
          <t>CMR|mit.typ.p2.2</t>
        </is>
      </c>
      <c r="B3199" t="inlineStr">
        <is>
          <t>CMR</t>
        </is>
      </c>
      <c r="C3199" t="inlineStr">
        <is>
          <t>mit.typ.p2.2</t>
        </is>
      </c>
      <c r="D3199" t="n">
        <v>0</v>
      </c>
      <c r="E3199" t="n">
        <v>0.1396842734</v>
      </c>
      <c r="F3199" t="n">
        <v>0.2117224367</v>
      </c>
      <c r="G3199" t="n">
        <v>0.345039832</v>
      </c>
      <c r="H3199" t="n">
        <v>0.4015518722</v>
      </c>
    </row>
    <row r="3200">
      <c r="A3200" t="inlineStr">
        <is>
          <t>COD|mit.typ.p2.2</t>
        </is>
      </c>
      <c r="B3200" t="inlineStr">
        <is>
          <t>COD</t>
        </is>
      </c>
      <c r="C3200" t="inlineStr">
        <is>
          <t>mit.typ.p2.2</t>
        </is>
      </c>
      <c r="D3200" t="n">
        <v>0</v>
      </c>
      <c r="E3200" t="n">
        <v>0.08389669704</v>
      </c>
      <c r="F3200" t="n">
        <v>0.1137284586</v>
      </c>
      <c r="G3200" t="n">
        <v>0.1630529405</v>
      </c>
      <c r="H3200" t="n">
        <v>0.2095132882</v>
      </c>
    </row>
    <row r="3201">
      <c r="A3201" t="inlineStr">
        <is>
          <t>COG|mit.typ.p2.2</t>
        </is>
      </c>
      <c r="B3201" t="inlineStr">
        <is>
          <t>COG</t>
        </is>
      </c>
      <c r="C3201" t="inlineStr">
        <is>
          <t>mit.typ.p2.2</t>
        </is>
      </c>
      <c r="D3201" t="n">
        <v>0</v>
      </c>
      <c r="E3201" t="n">
        <v>0.02113635256</v>
      </c>
      <c r="F3201" t="n">
        <v>0.04425744887</v>
      </c>
      <c r="G3201" t="n">
        <v>0.0940020835</v>
      </c>
      <c r="H3201" t="n">
        <v>0.09363310942</v>
      </c>
    </row>
    <row r="3202">
      <c r="A3202" t="inlineStr">
        <is>
          <t>COL|mit.typ.p2.2</t>
        </is>
      </c>
      <c r="B3202" t="inlineStr">
        <is>
          <t>COL</t>
        </is>
      </c>
      <c r="C3202" t="inlineStr">
        <is>
          <t>mit.typ.p2.2</t>
        </is>
      </c>
      <c r="D3202" t="n">
        <v>0</v>
      </c>
      <c r="E3202" t="n">
        <v>0.6262506893000001</v>
      </c>
      <c r="F3202" t="n">
        <v>0.8093283875</v>
      </c>
      <c r="G3202" t="n">
        <v>1.53325416</v>
      </c>
      <c r="H3202" t="n">
        <v>1.64311045</v>
      </c>
    </row>
    <row r="3203">
      <c r="A3203" t="inlineStr">
        <is>
          <t>COM|mit.typ.p2.2</t>
        </is>
      </c>
      <c r="B3203" t="inlineStr">
        <is>
          <t>COM</t>
        </is>
      </c>
      <c r="C3203" t="inlineStr">
        <is>
          <t>mit.typ.p2.2</t>
        </is>
      </c>
      <c r="D3203" t="n">
        <v>0</v>
      </c>
      <c r="E3203" t="n">
        <v>0.008761218923999999</v>
      </c>
      <c r="F3203" t="n">
        <v>0.01493746276</v>
      </c>
      <c r="G3203" t="n">
        <v>0.03726770402</v>
      </c>
      <c r="H3203" t="n">
        <v>0.03964347027</v>
      </c>
    </row>
    <row r="3204">
      <c r="A3204" t="inlineStr">
        <is>
          <t>CPV|mit.typ.p2.2</t>
        </is>
      </c>
      <c r="B3204" t="inlineStr">
        <is>
          <t>CPV</t>
        </is>
      </c>
      <c r="C3204" t="inlineStr">
        <is>
          <t>mit.typ.p2.2</t>
        </is>
      </c>
      <c r="D3204" t="n">
        <v>0</v>
      </c>
      <c r="E3204" t="n">
        <v>0.02122223831</v>
      </c>
      <c r="F3204" t="n">
        <v>0.02814970659</v>
      </c>
      <c r="G3204" t="n">
        <v>0.05007723619</v>
      </c>
      <c r="H3204" t="n">
        <v>0.05069202765</v>
      </c>
    </row>
    <row r="3205">
      <c r="A3205" t="inlineStr">
        <is>
          <t>CRI|mit.typ.p2.2</t>
        </is>
      </c>
      <c r="B3205" t="inlineStr">
        <is>
          <t>CRI</t>
        </is>
      </c>
      <c r="C3205" t="inlineStr">
        <is>
          <t>mit.typ.p2.2</t>
        </is>
      </c>
      <c r="D3205" t="n">
        <v>0</v>
      </c>
      <c r="E3205" t="n">
        <v>0.1554073568</v>
      </c>
      <c r="F3205" t="n">
        <v>0.205029152</v>
      </c>
      <c r="G3205" t="n">
        <v>0.3300490975</v>
      </c>
      <c r="H3205" t="n">
        <v>0.356095653</v>
      </c>
    </row>
    <row r="3206">
      <c r="A3206" t="inlineStr">
        <is>
          <t>CYP|mit.typ.p2.2</t>
        </is>
      </c>
      <c r="B3206" t="inlineStr">
        <is>
          <t>CYP</t>
        </is>
      </c>
      <c r="C3206" t="inlineStr">
        <is>
          <t>mit.typ.p2.2</t>
        </is>
      </c>
      <c r="D3206" t="n">
        <v>0</v>
      </c>
      <c r="E3206" t="n">
        <v>0.5909932257</v>
      </c>
      <c r="F3206" t="n">
        <v>0.9853154434</v>
      </c>
      <c r="G3206" t="n">
        <v>0.8635789941000001</v>
      </c>
      <c r="H3206" t="n">
        <v>0.8395217114</v>
      </c>
    </row>
    <row r="3207">
      <c r="A3207" t="inlineStr">
        <is>
          <t>CZE|mit.typ.p2.2</t>
        </is>
      </c>
      <c r="B3207" t="inlineStr">
        <is>
          <t>CZE</t>
        </is>
      </c>
      <c r="C3207" t="inlineStr">
        <is>
          <t>mit.typ.p2.2</t>
        </is>
      </c>
      <c r="D3207" t="n">
        <v>0</v>
      </c>
      <c r="E3207" t="n">
        <v>2.156535863</v>
      </c>
      <c r="F3207" t="n">
        <v>3.788569432</v>
      </c>
      <c r="G3207" t="n">
        <v>3.74488395</v>
      </c>
      <c r="H3207" t="n">
        <v>3.08548511</v>
      </c>
    </row>
    <row r="3208">
      <c r="A3208" t="inlineStr">
        <is>
          <t>DEU|mit.typ.p2.2</t>
        </is>
      </c>
      <c r="B3208" t="inlineStr">
        <is>
          <t>DEU</t>
        </is>
      </c>
      <c r="C3208" t="inlineStr">
        <is>
          <t>mit.typ.p2.2</t>
        </is>
      </c>
      <c r="D3208" t="n">
        <v>0</v>
      </c>
      <c r="E3208" t="n">
        <v>25.15337171</v>
      </c>
      <c r="F3208" t="n">
        <v>38.90845486</v>
      </c>
      <c r="G3208" t="n">
        <v>33.16716699</v>
      </c>
      <c r="H3208" t="n">
        <v>26.97269573</v>
      </c>
    </row>
    <row r="3209">
      <c r="A3209" t="inlineStr">
        <is>
          <t>DJI|mit.typ.p2.2</t>
        </is>
      </c>
      <c r="B3209" t="inlineStr">
        <is>
          <t>DJI</t>
        </is>
      </c>
      <c r="C3209" t="inlineStr">
        <is>
          <t>mit.typ.p2.2</t>
        </is>
      </c>
      <c r="D3209" t="n">
        <v>0</v>
      </c>
      <c r="E3209" t="n">
        <v>0.0249745685</v>
      </c>
      <c r="F3209" t="n">
        <v>0.03344068871</v>
      </c>
      <c r="G3209" t="n">
        <v>0.05948207253</v>
      </c>
      <c r="H3209" t="n">
        <v>0.05990307822</v>
      </c>
    </row>
    <row r="3210">
      <c r="A3210" t="inlineStr">
        <is>
          <t>DMA|mit.typ.p2.2</t>
        </is>
      </c>
      <c r="B3210" t="inlineStr">
        <is>
          <t>DMA</t>
        </is>
      </c>
      <c r="C3210" t="inlineStr">
        <is>
          <t>mit.typ.p2.2</t>
        </is>
      </c>
      <c r="D3210" t="n">
        <v>0</v>
      </c>
      <c r="E3210" t="n">
        <v>0.006346717225</v>
      </c>
      <c r="F3210" t="n">
        <v>0.007897142617999999</v>
      </c>
      <c r="G3210" t="n">
        <v>0.01605656988</v>
      </c>
      <c r="H3210" t="n">
        <v>0.014644119</v>
      </c>
    </row>
    <row r="3211">
      <c r="A3211" t="inlineStr">
        <is>
          <t>DNK|mit.typ.p2.2</t>
        </is>
      </c>
      <c r="B3211" t="inlineStr">
        <is>
          <t>DNK</t>
        </is>
      </c>
      <c r="C3211" t="inlineStr">
        <is>
          <t>mit.typ.p2.2</t>
        </is>
      </c>
      <c r="D3211" t="n">
        <v>0</v>
      </c>
      <c r="E3211" t="n">
        <v>2.160987342</v>
      </c>
      <c r="F3211" t="n">
        <v>1.914956528</v>
      </c>
      <c r="G3211" t="n">
        <v>1.841268574</v>
      </c>
      <c r="H3211" t="n">
        <v>1.566307026</v>
      </c>
    </row>
    <row r="3212">
      <c r="A3212" t="inlineStr">
        <is>
          <t>DOM|mit.typ.p2.2</t>
        </is>
      </c>
      <c r="B3212" t="inlineStr">
        <is>
          <t>DOM</t>
        </is>
      </c>
      <c r="C3212" t="inlineStr">
        <is>
          <t>mit.typ.p2.2</t>
        </is>
      </c>
      <c r="D3212" t="n">
        <v>0</v>
      </c>
      <c r="E3212" t="n">
        <v>0.2041203258</v>
      </c>
      <c r="F3212" t="n">
        <v>0.3435504963</v>
      </c>
      <c r="G3212" t="n">
        <v>0.7145931034</v>
      </c>
      <c r="H3212" t="n">
        <v>0.6046330739</v>
      </c>
    </row>
    <row r="3213">
      <c r="A3213" t="inlineStr">
        <is>
          <t>DZA|mit.typ.p2.2</t>
        </is>
      </c>
      <c r="B3213" t="inlineStr">
        <is>
          <t>DZA</t>
        </is>
      </c>
      <c r="C3213" t="inlineStr">
        <is>
          <t>mit.typ.p2.2</t>
        </is>
      </c>
      <c r="D3213" t="n">
        <v>0</v>
      </c>
      <c r="E3213" t="n">
        <v>1.050632311</v>
      </c>
      <c r="F3213" t="n">
        <v>1.336430435</v>
      </c>
      <c r="G3213" t="n">
        <v>2.64390244</v>
      </c>
      <c r="H3213" t="n">
        <v>2.270925113</v>
      </c>
    </row>
    <row r="3214">
      <c r="A3214" t="inlineStr">
        <is>
          <t>ECU|mit.typ.p2.2</t>
        </is>
      </c>
      <c r="B3214" t="inlineStr">
        <is>
          <t>ECU</t>
        </is>
      </c>
      <c r="C3214" t="inlineStr">
        <is>
          <t>mit.typ.p2.2</t>
        </is>
      </c>
      <c r="D3214" t="n">
        <v>0</v>
      </c>
      <c r="E3214" t="n">
        <v>0.6137267115</v>
      </c>
      <c r="F3214" t="n">
        <v>0.7867585</v>
      </c>
      <c r="G3214" t="n">
        <v>1.708062048</v>
      </c>
      <c r="H3214" t="n">
        <v>1.709583301</v>
      </c>
    </row>
    <row r="3215">
      <c r="A3215" t="inlineStr">
        <is>
          <t>EGY|mit.typ.p2.2</t>
        </is>
      </c>
      <c r="B3215" t="inlineStr">
        <is>
          <t>EGY</t>
        </is>
      </c>
      <c r="C3215" t="inlineStr">
        <is>
          <t>mit.typ.p2.2</t>
        </is>
      </c>
      <c r="D3215" t="n">
        <v>0</v>
      </c>
      <c r="E3215" t="n">
        <v>1.19468081</v>
      </c>
      <c r="F3215" t="n">
        <v>1.542831008</v>
      </c>
      <c r="G3215" t="n">
        <v>3.092383869</v>
      </c>
      <c r="H3215" t="n">
        <v>2.964657187</v>
      </c>
    </row>
    <row r="3216">
      <c r="A3216" t="inlineStr">
        <is>
          <t>ESP|mit.typ.p2.2</t>
        </is>
      </c>
      <c r="B3216" t="inlineStr">
        <is>
          <t>ESP</t>
        </is>
      </c>
      <c r="C3216" t="inlineStr">
        <is>
          <t>mit.typ.p2.2</t>
        </is>
      </c>
      <c r="D3216" t="n">
        <v>0</v>
      </c>
      <c r="E3216" t="n">
        <v>9.774403741</v>
      </c>
      <c r="F3216" t="n">
        <v>13.48756089</v>
      </c>
      <c r="G3216" t="n">
        <v>12.65428147</v>
      </c>
      <c r="H3216" t="n">
        <v>11.01052975</v>
      </c>
    </row>
    <row r="3217">
      <c r="A3217" t="inlineStr">
        <is>
          <t>EST|mit.typ.p2.2</t>
        </is>
      </c>
      <c r="B3217" t="inlineStr">
        <is>
          <t>EST</t>
        </is>
      </c>
      <c r="C3217" t="inlineStr">
        <is>
          <t>mit.typ.p2.2</t>
        </is>
      </c>
      <c r="D3217" t="n">
        <v>0</v>
      </c>
      <c r="E3217" t="n">
        <v>0.1875626918</v>
      </c>
      <c r="F3217" t="n">
        <v>0.295069584</v>
      </c>
      <c r="G3217" t="n">
        <v>0.2451959681</v>
      </c>
      <c r="H3217" t="n">
        <v>0.2044357236</v>
      </c>
    </row>
    <row r="3218">
      <c r="A3218" t="inlineStr">
        <is>
          <t>ETH|mit.typ.p2.2</t>
        </is>
      </c>
      <c r="B3218" t="inlineStr">
        <is>
          <t>ETH</t>
        </is>
      </c>
      <c r="C3218" t="inlineStr">
        <is>
          <t>mit.typ.p2.2</t>
        </is>
      </c>
      <c r="D3218" t="n">
        <v>0</v>
      </c>
      <c r="E3218" t="n">
        <v>0.05530664134</v>
      </c>
      <c r="F3218" t="n">
        <v>0.3116076193</v>
      </c>
      <c r="G3218" t="n">
        <v>0.544257487</v>
      </c>
      <c r="H3218" t="n">
        <v>0.739717253</v>
      </c>
    </row>
    <row r="3219">
      <c r="A3219" t="inlineStr">
        <is>
          <t>FIN|mit.typ.p2.2</t>
        </is>
      </c>
      <c r="B3219" t="inlineStr">
        <is>
          <t>FIN</t>
        </is>
      </c>
      <c r="C3219" t="inlineStr">
        <is>
          <t>mit.typ.p2.2</t>
        </is>
      </c>
      <c r="D3219" t="n">
        <v>0</v>
      </c>
      <c r="E3219" t="n">
        <v>1.558483997</v>
      </c>
      <c r="F3219" t="n">
        <v>1.38466846</v>
      </c>
      <c r="G3219" t="n">
        <v>1.656315102</v>
      </c>
      <c r="H3219" t="n">
        <v>1.661830047</v>
      </c>
    </row>
    <row r="3220">
      <c r="A3220" t="inlineStr">
        <is>
          <t>FJI|mit.typ.p2.2</t>
        </is>
      </c>
      <c r="B3220" t="inlineStr">
        <is>
          <t>FJI</t>
        </is>
      </c>
      <c r="C3220" t="inlineStr">
        <is>
          <t>mit.typ.p2.2</t>
        </is>
      </c>
      <c r="D3220" t="n">
        <v>0</v>
      </c>
      <c r="E3220" t="n">
        <v>0.04208414534</v>
      </c>
      <c r="F3220" t="n">
        <v>0.04868355815</v>
      </c>
      <c r="G3220" t="n">
        <v>0.08272192023</v>
      </c>
      <c r="H3220" t="n">
        <v>0.08682223651</v>
      </c>
    </row>
    <row r="3221">
      <c r="A3221" t="inlineStr">
        <is>
          <t>FRA|mit.typ.p2.2</t>
        </is>
      </c>
      <c r="B3221" t="inlineStr">
        <is>
          <t>FRA</t>
        </is>
      </c>
      <c r="C3221" t="inlineStr">
        <is>
          <t>mit.typ.p2.2</t>
        </is>
      </c>
      <c r="D3221" t="n">
        <v>0</v>
      </c>
      <c r="E3221" t="n">
        <v>12.27674388</v>
      </c>
      <c r="F3221" t="n">
        <v>11.60275928</v>
      </c>
      <c r="G3221" t="n">
        <v>14.58308665</v>
      </c>
      <c r="H3221" t="n">
        <v>12.77689171</v>
      </c>
    </row>
    <row r="3222">
      <c r="A3222" t="inlineStr">
        <is>
          <t>GAB|mit.typ.p2.2</t>
        </is>
      </c>
      <c r="B3222" t="inlineStr">
        <is>
          <t>GAB</t>
        </is>
      </c>
      <c r="C3222" t="inlineStr">
        <is>
          <t>mit.typ.p2.2</t>
        </is>
      </c>
      <c r="D3222" t="n">
        <v>0</v>
      </c>
      <c r="E3222" t="n">
        <v>0.05654839751</v>
      </c>
      <c r="F3222" t="n">
        <v>0.06644717227999999</v>
      </c>
      <c r="G3222" t="n">
        <v>0.1232264063</v>
      </c>
      <c r="H3222" t="n">
        <v>0.1253049901</v>
      </c>
    </row>
    <row r="3223">
      <c r="A3223" t="inlineStr">
        <is>
          <t>GBR|mit.typ.p2.2</t>
        </is>
      </c>
      <c r="B3223" t="inlineStr">
        <is>
          <t>GBR</t>
        </is>
      </c>
      <c r="C3223" t="inlineStr">
        <is>
          <t>mit.typ.p2.2</t>
        </is>
      </c>
      <c r="D3223" t="n">
        <v>0</v>
      </c>
      <c r="E3223" t="n">
        <v>13.787912</v>
      </c>
      <c r="F3223" t="n">
        <v>21.17110895</v>
      </c>
      <c r="G3223" t="n">
        <v>20.19493657</v>
      </c>
      <c r="H3223" t="n">
        <v>15.40961428</v>
      </c>
    </row>
    <row r="3224">
      <c r="A3224" t="inlineStr">
        <is>
          <t>GEO|mit.typ.p2.2</t>
        </is>
      </c>
      <c r="B3224" t="inlineStr">
        <is>
          <t>GEO</t>
        </is>
      </c>
      <c r="C3224" t="inlineStr">
        <is>
          <t>mit.typ.p2.2</t>
        </is>
      </c>
      <c r="D3224" t="n">
        <v>0</v>
      </c>
      <c r="E3224" t="n">
        <v>0.2598742176</v>
      </c>
      <c r="F3224" t="n">
        <v>0.2994899896</v>
      </c>
      <c r="G3224" t="n">
        <v>0.5548133723000001</v>
      </c>
      <c r="H3224" t="n">
        <v>0.5862248743</v>
      </c>
    </row>
    <row r="3225">
      <c r="A3225" t="inlineStr">
        <is>
          <t>GHA|mit.typ.p2.2</t>
        </is>
      </c>
      <c r="B3225" t="inlineStr">
        <is>
          <t>GHA</t>
        </is>
      </c>
      <c r="C3225" t="inlineStr">
        <is>
          <t>mit.typ.p2.2</t>
        </is>
      </c>
      <c r="D3225" t="n">
        <v>0</v>
      </c>
      <c r="E3225" t="n">
        <v>0.1941049302</v>
      </c>
      <c r="F3225" t="n">
        <v>0.4324039436</v>
      </c>
      <c r="G3225" t="n">
        <v>1.012081757</v>
      </c>
      <c r="H3225" t="n">
        <v>0.9887221813</v>
      </c>
    </row>
    <row r="3226">
      <c r="A3226" t="inlineStr">
        <is>
          <t>GIN|mit.typ.p2.2</t>
        </is>
      </c>
      <c r="B3226" t="inlineStr">
        <is>
          <t>GIN</t>
        </is>
      </c>
      <c r="C3226" t="inlineStr">
        <is>
          <t>mit.typ.p2.2</t>
        </is>
      </c>
      <c r="D3226" t="n">
        <v>0</v>
      </c>
      <c r="E3226" t="n">
        <v>0.1108916361</v>
      </c>
      <c r="F3226" t="n">
        <v>0.188726888</v>
      </c>
      <c r="G3226" t="n">
        <v>0.3536501704</v>
      </c>
      <c r="H3226" t="n">
        <v>0.4188172802</v>
      </c>
    </row>
    <row r="3227">
      <c r="A3227" t="inlineStr">
        <is>
          <t>GMB|mit.typ.p2.2</t>
        </is>
      </c>
      <c r="B3227" t="inlineStr">
        <is>
          <t>GMB</t>
        </is>
      </c>
      <c r="C3227" t="inlineStr">
        <is>
          <t>mit.typ.p2.2</t>
        </is>
      </c>
      <c r="D3227" t="n">
        <v>0</v>
      </c>
      <c r="E3227" t="n">
        <v>0.01692922283</v>
      </c>
      <c r="F3227" t="n">
        <v>0.02344569627</v>
      </c>
      <c r="G3227" t="n">
        <v>0.0538074854</v>
      </c>
      <c r="H3227" t="n">
        <v>0.06203702494</v>
      </c>
    </row>
    <row r="3228">
      <c r="A3228" t="inlineStr">
        <is>
          <t>GNB|mit.typ.p2.2</t>
        </is>
      </c>
      <c r="B3228" t="inlineStr">
        <is>
          <t>GNB</t>
        </is>
      </c>
      <c r="C3228" t="inlineStr">
        <is>
          <t>mit.typ.p2.2</t>
        </is>
      </c>
      <c r="D3228" t="n">
        <v>0</v>
      </c>
      <c r="E3228" t="n">
        <v>0.004695350683</v>
      </c>
      <c r="F3228" t="n">
        <v>0.006853958837</v>
      </c>
      <c r="G3228" t="n">
        <v>0.01610131137</v>
      </c>
      <c r="H3228" t="n">
        <v>0.01852390206</v>
      </c>
    </row>
    <row r="3229">
      <c r="A3229" t="inlineStr">
        <is>
          <t>GNQ|mit.typ.p2.2</t>
        </is>
      </c>
      <c r="B3229" t="inlineStr">
        <is>
          <t>GNQ</t>
        </is>
      </c>
      <c r="C3229" t="inlineStr">
        <is>
          <t>mit.typ.p2.2</t>
        </is>
      </c>
      <c r="D3229" t="n">
        <v>0</v>
      </c>
      <c r="E3229" t="n">
        <v>0.05110913649</v>
      </c>
      <c r="F3229" t="n">
        <v>0.06850719227</v>
      </c>
      <c r="G3229" t="n">
        <v>0.1455735649</v>
      </c>
      <c r="H3229" t="n">
        <v>0.1549950389</v>
      </c>
    </row>
    <row r="3230">
      <c r="A3230" t="inlineStr">
        <is>
          <t>GRC|mit.typ.p2.2</t>
        </is>
      </c>
      <c r="B3230" t="inlineStr">
        <is>
          <t>GRC</t>
        </is>
      </c>
      <c r="C3230" t="inlineStr">
        <is>
          <t>mit.typ.p2.2</t>
        </is>
      </c>
      <c r="D3230" t="n">
        <v>0</v>
      </c>
      <c r="E3230" t="n">
        <v>2.084808428</v>
      </c>
      <c r="F3230" t="n">
        <v>3.297692022</v>
      </c>
      <c r="G3230" t="n">
        <v>2.486037858</v>
      </c>
      <c r="H3230" t="n">
        <v>2.142607322</v>
      </c>
    </row>
    <row r="3231">
      <c r="A3231" t="inlineStr">
        <is>
          <t>GRD|mit.typ.p2.2</t>
        </is>
      </c>
      <c r="B3231" t="inlineStr">
        <is>
          <t>GRD</t>
        </is>
      </c>
      <c r="C3231" t="inlineStr">
        <is>
          <t>mit.typ.p2.2</t>
        </is>
      </c>
      <c r="D3231" t="n">
        <v>0</v>
      </c>
      <c r="E3231" t="n">
        <v>0.01329871951</v>
      </c>
      <c r="F3231" t="n">
        <v>0.01645063595</v>
      </c>
      <c r="G3231" t="n">
        <v>0.03375400336</v>
      </c>
      <c r="H3231" t="n">
        <v>0.03032805713</v>
      </c>
    </row>
    <row r="3232">
      <c r="A3232" t="inlineStr">
        <is>
          <t>GTM|mit.typ.p2.2</t>
        </is>
      </c>
      <c r="B3232" t="inlineStr">
        <is>
          <t>GTM</t>
        </is>
      </c>
      <c r="C3232" t="inlineStr">
        <is>
          <t>mit.typ.p2.2</t>
        </is>
      </c>
      <c r="D3232" t="n">
        <v>0</v>
      </c>
      <c r="E3232" t="n">
        <v>0.1311964761</v>
      </c>
      <c r="F3232" t="n">
        <v>0.1856920204</v>
      </c>
      <c r="G3232" t="n">
        <v>0.3518342248</v>
      </c>
      <c r="H3232" t="n">
        <v>0.3504637283</v>
      </c>
    </row>
    <row r="3233">
      <c r="A3233" t="inlineStr">
        <is>
          <t>GUY|mit.typ.p2.2</t>
        </is>
      </c>
      <c r="B3233" t="inlineStr">
        <is>
          <t>GUY</t>
        </is>
      </c>
      <c r="C3233" t="inlineStr">
        <is>
          <t>mit.typ.p2.2</t>
        </is>
      </c>
      <c r="D3233" t="n">
        <v>0</v>
      </c>
      <c r="E3233" t="n">
        <v>0.08125869884</v>
      </c>
      <c r="F3233" t="n">
        <v>0.1600941862</v>
      </c>
      <c r="G3233" t="n">
        <v>0.353981871</v>
      </c>
      <c r="H3233" t="n">
        <v>0.3476418557</v>
      </c>
    </row>
    <row r="3234">
      <c r="A3234" t="inlineStr">
        <is>
          <t>HKG|mit.typ.p2.2</t>
        </is>
      </c>
      <c r="B3234" t="inlineStr">
        <is>
          <t>HKG</t>
        </is>
      </c>
      <c r="C3234" t="inlineStr">
        <is>
          <t>mit.typ.p2.2</t>
        </is>
      </c>
      <c r="D3234" t="n">
        <v>0</v>
      </c>
      <c r="E3234" t="n">
        <v>4.148956275</v>
      </c>
      <c r="F3234" t="n">
        <v>6.198206947</v>
      </c>
      <c r="G3234" t="n">
        <v>4.115491632</v>
      </c>
      <c r="H3234" t="n">
        <v>3.908081993</v>
      </c>
    </row>
    <row r="3235">
      <c r="A3235" t="inlineStr">
        <is>
          <t>HND|mit.typ.p2.2</t>
        </is>
      </c>
      <c r="B3235" t="inlineStr">
        <is>
          <t>HND</t>
        </is>
      </c>
      <c r="C3235" t="inlineStr">
        <is>
          <t>mit.typ.p2.2</t>
        </is>
      </c>
      <c r="D3235" t="n">
        <v>0</v>
      </c>
      <c r="E3235" t="n">
        <v>0.1852563486</v>
      </c>
      <c r="F3235" t="n">
        <v>0.2697441773</v>
      </c>
      <c r="G3235" t="n">
        <v>0.5444291131</v>
      </c>
      <c r="H3235" t="n">
        <v>0.5584452559</v>
      </c>
    </row>
    <row r="3236">
      <c r="A3236" t="inlineStr">
        <is>
          <t>HRV|mit.typ.p2.2</t>
        </is>
      </c>
      <c r="B3236" t="inlineStr">
        <is>
          <t>HRV</t>
        </is>
      </c>
      <c r="C3236" t="inlineStr">
        <is>
          <t>mit.typ.p2.2</t>
        </is>
      </c>
      <c r="D3236" t="n">
        <v>0</v>
      </c>
      <c r="E3236" t="n">
        <v>0.4451786306</v>
      </c>
      <c r="F3236" t="n">
        <v>0.6640535761</v>
      </c>
      <c r="G3236" t="n">
        <v>0.6328355953</v>
      </c>
      <c r="H3236" t="n">
        <v>0.5386324216</v>
      </c>
    </row>
    <row r="3237">
      <c r="A3237" t="inlineStr">
        <is>
          <t>HTI|mit.typ.p2.2</t>
        </is>
      </c>
      <c r="B3237" t="inlineStr">
        <is>
          <t>HTI</t>
        </is>
      </c>
      <c r="C3237" t="inlineStr">
        <is>
          <t>mit.typ.p2.2</t>
        </is>
      </c>
      <c r="D3237" t="n">
        <v>0</v>
      </c>
      <c r="E3237" t="n">
        <v>0.02004032812</v>
      </c>
      <c r="F3237" t="n">
        <v>0.02395334785</v>
      </c>
      <c r="G3237" t="n">
        <v>0.04208038463</v>
      </c>
      <c r="H3237" t="n">
        <v>0.04939639788</v>
      </c>
    </row>
    <row r="3238">
      <c r="A3238" t="inlineStr">
        <is>
          <t>HUN|mit.typ.p2.2</t>
        </is>
      </c>
      <c r="B3238" t="inlineStr">
        <is>
          <t>HUN</t>
        </is>
      </c>
      <c r="C3238" t="inlineStr">
        <is>
          <t>mit.typ.p2.2</t>
        </is>
      </c>
      <c r="D3238" t="n">
        <v>0</v>
      </c>
      <c r="E3238" t="n">
        <v>0.7484991038</v>
      </c>
      <c r="F3238" t="n">
        <v>1.232130471</v>
      </c>
      <c r="G3238" t="n">
        <v>1.370783209</v>
      </c>
      <c r="H3238" t="n">
        <v>1.248311588</v>
      </c>
    </row>
    <row r="3239">
      <c r="A3239" t="inlineStr">
        <is>
          <t>IDN|mit.typ.p2.2</t>
        </is>
      </c>
      <c r="B3239" t="inlineStr">
        <is>
          <t>IDN</t>
        </is>
      </c>
      <c r="C3239" t="inlineStr">
        <is>
          <t>mit.typ.p2.2</t>
        </is>
      </c>
      <c r="D3239" t="n">
        <v>0</v>
      </c>
      <c r="E3239" t="n">
        <v>7.893745822</v>
      </c>
      <c r="F3239" t="n">
        <v>11.032512</v>
      </c>
      <c r="G3239" t="n">
        <v>23.82642773</v>
      </c>
      <c r="H3239" t="n">
        <v>23.45551684</v>
      </c>
    </row>
    <row r="3240">
      <c r="A3240" t="inlineStr">
        <is>
          <t>IND|mit.typ.p2.2</t>
        </is>
      </c>
      <c r="B3240" t="inlineStr">
        <is>
          <t>IND</t>
        </is>
      </c>
      <c r="C3240" t="inlineStr">
        <is>
          <t>mit.typ.p2.2</t>
        </is>
      </c>
      <c r="D3240" t="n">
        <v>0</v>
      </c>
      <c r="E3240" t="n">
        <v>21.8199802</v>
      </c>
      <c r="F3240" t="n">
        <v>34.63818872</v>
      </c>
      <c r="G3240" t="n">
        <v>75.00216709</v>
      </c>
      <c r="H3240" t="n">
        <v>69.39260059</v>
      </c>
    </row>
    <row r="3241">
      <c r="A3241" t="inlineStr">
        <is>
          <t>IRL|mit.typ.p2.2</t>
        </is>
      </c>
      <c r="B3241" t="inlineStr">
        <is>
          <t>IRL</t>
        </is>
      </c>
      <c r="C3241" t="inlineStr">
        <is>
          <t>mit.typ.p2.2</t>
        </is>
      </c>
      <c r="D3241" t="n">
        <v>0</v>
      </c>
      <c r="E3241" t="n">
        <v>2.332562513</v>
      </c>
      <c r="F3241" t="n">
        <v>2.545222215</v>
      </c>
      <c r="G3241" t="n">
        <v>1.994603904</v>
      </c>
      <c r="H3241" t="n">
        <v>1.638522423</v>
      </c>
    </row>
    <row r="3242">
      <c r="A3242" t="inlineStr">
        <is>
          <t>IRN|mit.typ.p2.2</t>
        </is>
      </c>
      <c r="B3242" t="inlineStr">
        <is>
          <t>IRN</t>
        </is>
      </c>
      <c r="C3242" t="inlineStr">
        <is>
          <t>mit.typ.p2.2</t>
        </is>
      </c>
      <c r="D3242" t="n">
        <v>0</v>
      </c>
      <c r="E3242" t="n">
        <v>2.176180726</v>
      </c>
      <c r="F3242" t="n">
        <v>2.172694996</v>
      </c>
      <c r="G3242" t="n">
        <v>6.697978074</v>
      </c>
      <c r="H3242" t="n">
        <v>5.676555652</v>
      </c>
    </row>
    <row r="3243">
      <c r="A3243" t="inlineStr">
        <is>
          <t>IRQ|mit.typ.p2.2</t>
        </is>
      </c>
      <c r="B3243" t="inlineStr">
        <is>
          <t>IRQ</t>
        </is>
      </c>
      <c r="C3243" t="inlineStr">
        <is>
          <t>mit.typ.p2.2</t>
        </is>
      </c>
      <c r="D3243" t="n">
        <v>0</v>
      </c>
      <c r="E3243" t="n">
        <v>1.162627517</v>
      </c>
      <c r="F3243" t="n">
        <v>0.9459794428</v>
      </c>
      <c r="G3243" t="n">
        <v>2.276562666</v>
      </c>
      <c r="H3243" t="n">
        <v>1.926279726</v>
      </c>
    </row>
    <row r="3244">
      <c r="A3244" t="inlineStr">
        <is>
          <t>ISL|mit.typ.p2.2</t>
        </is>
      </c>
      <c r="B3244" t="inlineStr">
        <is>
          <t>ISL</t>
        </is>
      </c>
      <c r="C3244" t="inlineStr">
        <is>
          <t>mit.typ.p2.2</t>
        </is>
      </c>
      <c r="D3244" t="n">
        <v>0</v>
      </c>
      <c r="E3244" t="n">
        <v>0.05875774345</v>
      </c>
      <c r="F3244" t="n">
        <v>0.09408985134</v>
      </c>
      <c r="G3244" t="n">
        <v>0.09388097707</v>
      </c>
      <c r="H3244" t="n">
        <v>0.09942179259</v>
      </c>
    </row>
    <row r="3245">
      <c r="A3245" t="inlineStr">
        <is>
          <t>ISR|mit.typ.p2.2</t>
        </is>
      </c>
      <c r="B3245" t="inlineStr">
        <is>
          <t>ISR</t>
        </is>
      </c>
      <c r="C3245" t="inlineStr">
        <is>
          <t>mit.typ.p2.2</t>
        </is>
      </c>
      <c r="D3245" t="n">
        <v>0</v>
      </c>
      <c r="E3245" t="n">
        <v>4.954695441</v>
      </c>
      <c r="F3245" t="n">
        <v>8.69023016</v>
      </c>
      <c r="G3245" t="n">
        <v>5.599253071</v>
      </c>
      <c r="H3245" t="n">
        <v>5.11889581</v>
      </c>
    </row>
    <row r="3246">
      <c r="A3246" t="inlineStr">
        <is>
          <t>ITA|mit.typ.p2.2</t>
        </is>
      </c>
      <c r="B3246" t="inlineStr">
        <is>
          <t>ITA</t>
        </is>
      </c>
      <c r="C3246" t="inlineStr">
        <is>
          <t>mit.typ.p2.2</t>
        </is>
      </c>
      <c r="D3246" t="n">
        <v>0</v>
      </c>
      <c r="E3246" t="n">
        <v>9.426485966</v>
      </c>
      <c r="F3246" t="n">
        <v>16.03378744</v>
      </c>
      <c r="G3246" t="n">
        <v>14.38379013</v>
      </c>
      <c r="H3246" t="n">
        <v>11.42666514</v>
      </c>
    </row>
    <row r="3247">
      <c r="A3247" t="inlineStr">
        <is>
          <t>JAM|mit.typ.p2.2</t>
        </is>
      </c>
      <c r="B3247" t="inlineStr">
        <is>
          <t>JAM</t>
        </is>
      </c>
      <c r="C3247" t="inlineStr">
        <is>
          <t>mit.typ.p2.2</t>
        </is>
      </c>
      <c r="D3247" t="n">
        <v>0</v>
      </c>
      <c r="E3247" t="n">
        <v>0.1549246248</v>
      </c>
      <c r="F3247" t="n">
        <v>0.1948791111</v>
      </c>
      <c r="G3247" t="n">
        <v>0.4711308654</v>
      </c>
      <c r="H3247" t="n">
        <v>0.4120208028</v>
      </c>
    </row>
    <row r="3248">
      <c r="A3248" t="inlineStr">
        <is>
          <t>JOR|mit.typ.p2.2</t>
        </is>
      </c>
      <c r="B3248" t="inlineStr">
        <is>
          <t>JOR</t>
        </is>
      </c>
      <c r="C3248" t="inlineStr">
        <is>
          <t>mit.typ.p2.2</t>
        </is>
      </c>
      <c r="D3248" t="n">
        <v>0</v>
      </c>
      <c r="E3248" t="n">
        <v>0.4356526777</v>
      </c>
      <c r="F3248" t="n">
        <v>0.5923230147</v>
      </c>
      <c r="G3248" t="n">
        <v>1.111841285</v>
      </c>
      <c r="H3248" t="n">
        <v>0.8569118499</v>
      </c>
    </row>
    <row r="3249">
      <c r="A3249" t="inlineStr">
        <is>
          <t>JPN|mit.typ.p2.2</t>
        </is>
      </c>
      <c r="B3249" t="inlineStr">
        <is>
          <t>JPN</t>
        </is>
      </c>
      <c r="C3249" t="inlineStr">
        <is>
          <t>mit.typ.p2.2</t>
        </is>
      </c>
      <c r="D3249" t="n">
        <v>0</v>
      </c>
      <c r="E3249" t="n">
        <v>26.47841863</v>
      </c>
      <c r="F3249" t="n">
        <v>47.30236246</v>
      </c>
      <c r="G3249" t="n">
        <v>38.11510384</v>
      </c>
      <c r="H3249" t="n">
        <v>33.14900716</v>
      </c>
    </row>
    <row r="3250">
      <c r="A3250" t="inlineStr">
        <is>
          <t>KAZ|mit.typ.p2.2</t>
        </is>
      </c>
      <c r="B3250" t="inlineStr">
        <is>
          <t>KAZ</t>
        </is>
      </c>
      <c r="C3250" t="inlineStr">
        <is>
          <t>mit.typ.p2.2</t>
        </is>
      </c>
      <c r="D3250" t="n">
        <v>0</v>
      </c>
      <c r="E3250" t="n">
        <v>1.219941818</v>
      </c>
      <c r="F3250" t="n">
        <v>1.806486726</v>
      </c>
      <c r="G3250" t="n">
        <v>4.223277042</v>
      </c>
      <c r="H3250" t="n">
        <v>3.64331294</v>
      </c>
    </row>
    <row r="3251">
      <c r="A3251" t="inlineStr">
        <is>
          <t>KEN|mit.typ.p2.2</t>
        </is>
      </c>
      <c r="B3251" t="inlineStr">
        <is>
          <t>KEN</t>
        </is>
      </c>
      <c r="C3251" t="inlineStr">
        <is>
          <t>mit.typ.p2.2</t>
        </is>
      </c>
      <c r="D3251" t="n">
        <v>0</v>
      </c>
      <c r="E3251" t="n">
        <v>0.3561639565</v>
      </c>
      <c r="F3251" t="n">
        <v>0.5509024981</v>
      </c>
      <c r="G3251" t="n">
        <v>0.8961004788</v>
      </c>
      <c r="H3251" t="n">
        <v>1.034979982</v>
      </c>
    </row>
    <row r="3252">
      <c r="A3252" t="inlineStr">
        <is>
          <t>KGZ|mit.typ.p2.2</t>
        </is>
      </c>
      <c r="B3252" t="inlineStr">
        <is>
          <t>KGZ</t>
        </is>
      </c>
      <c r="C3252" t="inlineStr">
        <is>
          <t>mit.typ.p2.2</t>
        </is>
      </c>
      <c r="D3252" t="n">
        <v>0</v>
      </c>
      <c r="E3252" t="n">
        <v>0.1518872657</v>
      </c>
      <c r="F3252" t="n">
        <v>0.1495890576</v>
      </c>
      <c r="G3252" t="n">
        <v>0.1937604244</v>
      </c>
      <c r="H3252" t="n">
        <v>0.2386563428</v>
      </c>
    </row>
    <row r="3253">
      <c r="A3253" t="inlineStr">
        <is>
          <t>KHM|mit.typ.p2.2</t>
        </is>
      </c>
      <c r="B3253" t="inlineStr">
        <is>
          <t>KHM</t>
        </is>
      </c>
      <c r="C3253" t="inlineStr">
        <is>
          <t>mit.typ.p2.2</t>
        </is>
      </c>
      <c r="D3253" t="n">
        <v>0</v>
      </c>
      <c r="E3253" t="n">
        <v>0.3409503531</v>
      </c>
      <c r="F3253" t="n">
        <v>0.4687082023</v>
      </c>
      <c r="G3253" t="n">
        <v>0.9628966859</v>
      </c>
      <c r="H3253" t="n">
        <v>0.9115856423000001</v>
      </c>
    </row>
    <row r="3254">
      <c r="A3254" t="inlineStr">
        <is>
          <t>KNA|mit.typ.p2.2</t>
        </is>
      </c>
      <c r="B3254" t="inlineStr">
        <is>
          <t>KNA</t>
        </is>
      </c>
      <c r="C3254" t="inlineStr">
        <is>
          <t>mit.typ.p2.2</t>
        </is>
      </c>
      <c r="D3254" t="n">
        <v>0</v>
      </c>
      <c r="E3254" t="n">
        <v>0.01675904605</v>
      </c>
      <c r="F3254" t="n">
        <v>0.02193749994</v>
      </c>
      <c r="G3254" t="n">
        <v>0.03782833382</v>
      </c>
      <c r="H3254" t="n">
        <v>0.02907677329</v>
      </c>
    </row>
    <row r="3255">
      <c r="A3255" t="inlineStr">
        <is>
          <t>KOR|mit.typ.p2.2</t>
        </is>
      </c>
      <c r="B3255" t="inlineStr">
        <is>
          <t>KOR</t>
        </is>
      </c>
      <c r="C3255" t="inlineStr">
        <is>
          <t>mit.typ.p2.2</t>
        </is>
      </c>
      <c r="D3255" t="n">
        <v>0</v>
      </c>
      <c r="E3255" t="n">
        <v>23.57172619</v>
      </c>
      <c r="F3255" t="n">
        <v>40.02417433</v>
      </c>
      <c r="G3255" t="n">
        <v>33.17221013</v>
      </c>
      <c r="H3255" t="n">
        <v>29.45479202</v>
      </c>
    </row>
    <row r="3256">
      <c r="A3256" t="inlineStr">
        <is>
          <t>KWT|mit.typ.p2.2</t>
        </is>
      </c>
      <c r="B3256" t="inlineStr">
        <is>
          <t>KWT</t>
        </is>
      </c>
      <c r="C3256" t="inlineStr">
        <is>
          <t>mit.typ.p2.2</t>
        </is>
      </c>
      <c r="D3256" t="n">
        <v>0</v>
      </c>
      <c r="E3256" t="n">
        <v>1.431331874</v>
      </c>
      <c r="F3256" t="n">
        <v>1.214644681</v>
      </c>
      <c r="G3256" t="n">
        <v>2.419391652</v>
      </c>
      <c r="H3256" t="n">
        <v>1.697094358</v>
      </c>
    </row>
    <row r="3257">
      <c r="A3257" t="inlineStr">
        <is>
          <t>LAO|mit.typ.p2.2</t>
        </is>
      </c>
      <c r="B3257" t="inlineStr">
        <is>
          <t>LAO</t>
        </is>
      </c>
      <c r="C3257" t="inlineStr">
        <is>
          <t>mit.typ.p2.2</t>
        </is>
      </c>
      <c r="D3257" t="n">
        <v>0</v>
      </c>
      <c r="E3257" t="n">
        <v>0.005809732164</v>
      </c>
      <c r="F3257" t="n">
        <v>0.0069715085</v>
      </c>
      <c r="G3257" t="n">
        <v>0.01014438581</v>
      </c>
      <c r="H3257" t="n">
        <v>0.01488405716</v>
      </c>
    </row>
    <row r="3258">
      <c r="A3258" t="inlineStr">
        <is>
          <t>LBN|mit.typ.p2.2</t>
        </is>
      </c>
      <c r="B3258" t="inlineStr">
        <is>
          <t>LBN</t>
        </is>
      </c>
      <c r="C3258" t="inlineStr">
        <is>
          <t>mit.typ.p2.2</t>
        </is>
      </c>
      <c r="D3258" t="n">
        <v>0</v>
      </c>
      <c r="E3258" t="n">
        <v>0.4258255209</v>
      </c>
      <c r="F3258" t="n">
        <v>0.4721450377</v>
      </c>
      <c r="G3258" t="n">
        <v>0.7724351303</v>
      </c>
      <c r="H3258" t="n">
        <v>0.7403392695</v>
      </c>
    </row>
    <row r="3259">
      <c r="A3259" t="inlineStr">
        <is>
          <t>LBR|mit.typ.p2.2</t>
        </is>
      </c>
      <c r="B3259" t="inlineStr">
        <is>
          <t>LBR</t>
        </is>
      </c>
      <c r="C3259" t="inlineStr">
        <is>
          <t>mit.typ.p2.2</t>
        </is>
      </c>
      <c r="D3259" t="n">
        <v>0</v>
      </c>
      <c r="E3259" t="n">
        <v>0.02040957904</v>
      </c>
      <c r="F3259" t="n">
        <v>0.02977033479</v>
      </c>
      <c r="G3259" t="n">
        <v>0.05584907321</v>
      </c>
      <c r="H3259" t="n">
        <v>0.06597177948999999</v>
      </c>
    </row>
    <row r="3260">
      <c r="A3260" t="inlineStr">
        <is>
          <t>LBY|mit.typ.p2.2</t>
        </is>
      </c>
      <c r="B3260" t="inlineStr">
        <is>
          <t>LBY</t>
        </is>
      </c>
      <c r="C3260" t="inlineStr">
        <is>
          <t>mit.typ.p2.2</t>
        </is>
      </c>
      <c r="D3260" t="n">
        <v>0</v>
      </c>
      <c r="E3260" t="n">
        <v>1.46608728</v>
      </c>
      <c r="F3260" t="n">
        <v>1.208862343</v>
      </c>
      <c r="G3260" t="n">
        <v>2.062483897</v>
      </c>
      <c r="H3260" t="n">
        <v>1.705184993</v>
      </c>
    </row>
    <row r="3261">
      <c r="A3261" t="inlineStr">
        <is>
          <t>LCA|mit.typ.p2.2</t>
        </is>
      </c>
      <c r="B3261" t="inlineStr">
        <is>
          <t>LCA</t>
        </is>
      </c>
      <c r="C3261" t="inlineStr">
        <is>
          <t>mit.typ.p2.2</t>
        </is>
      </c>
      <c r="D3261" t="n">
        <v>0</v>
      </c>
      <c r="E3261" t="n">
        <v>0.01500972496</v>
      </c>
      <c r="F3261" t="n">
        <v>0.02043539754</v>
      </c>
      <c r="G3261" t="n">
        <v>0.0431851507</v>
      </c>
      <c r="H3261" t="n">
        <v>0.0377672608</v>
      </c>
    </row>
    <row r="3262">
      <c r="A3262" t="inlineStr">
        <is>
          <t>LKA|mit.typ.p2.2</t>
        </is>
      </c>
      <c r="B3262" t="inlineStr">
        <is>
          <t>LKA</t>
        </is>
      </c>
      <c r="C3262" t="inlineStr">
        <is>
          <t>mit.typ.p2.2</t>
        </is>
      </c>
      <c r="D3262" t="n">
        <v>0</v>
      </c>
      <c r="E3262" t="n">
        <v>0.1618591677</v>
      </c>
      <c r="F3262" t="n">
        <v>0.2395398771</v>
      </c>
      <c r="G3262" t="n">
        <v>0.4675537658</v>
      </c>
      <c r="H3262" t="n">
        <v>0.478577678</v>
      </c>
    </row>
    <row r="3263">
      <c r="A3263" t="inlineStr">
        <is>
          <t>LSO|mit.typ.p2.2</t>
        </is>
      </c>
      <c r="B3263" t="inlineStr">
        <is>
          <t>LSO</t>
        </is>
      </c>
      <c r="C3263" t="inlineStr">
        <is>
          <t>mit.typ.p2.2</t>
        </is>
      </c>
      <c r="D3263" t="n">
        <v>0</v>
      </c>
      <c r="E3263" t="n">
        <v>0.02354893323</v>
      </c>
      <c r="F3263" t="n">
        <v>0.03200847847</v>
      </c>
      <c r="G3263" t="n">
        <v>0.06542700539</v>
      </c>
      <c r="H3263" t="n">
        <v>0.06612585584</v>
      </c>
    </row>
    <row r="3264">
      <c r="A3264" t="inlineStr">
        <is>
          <t>LTU|mit.typ.p2.2</t>
        </is>
      </c>
      <c r="B3264" t="inlineStr">
        <is>
          <t>LTU</t>
        </is>
      </c>
      <c r="C3264" t="inlineStr">
        <is>
          <t>mit.typ.p2.2</t>
        </is>
      </c>
      <c r="D3264" t="n">
        <v>0</v>
      </c>
      <c r="E3264" t="n">
        <v>0.5421833691</v>
      </c>
      <c r="F3264" t="n">
        <v>0.7713006053</v>
      </c>
      <c r="G3264" t="n">
        <v>0.6704229773</v>
      </c>
      <c r="H3264" t="n">
        <v>0.5525934768</v>
      </c>
    </row>
    <row r="3265">
      <c r="A3265" t="inlineStr">
        <is>
          <t>LUX|mit.typ.p2.2</t>
        </is>
      </c>
      <c r="B3265" t="inlineStr">
        <is>
          <t>LUX</t>
        </is>
      </c>
      <c r="C3265" t="inlineStr">
        <is>
          <t>mit.typ.p2.2</t>
        </is>
      </c>
      <c r="D3265" t="n">
        <v>0</v>
      </c>
      <c r="E3265" t="n">
        <v>0.1653040966</v>
      </c>
      <c r="F3265" t="n">
        <v>0.2362888055</v>
      </c>
      <c r="G3265" t="n">
        <v>0.2790747685</v>
      </c>
      <c r="H3265" t="n">
        <v>0.2408720288</v>
      </c>
    </row>
    <row r="3266">
      <c r="A3266" t="inlineStr">
        <is>
          <t>LVA|mit.typ.p2.2</t>
        </is>
      </c>
      <c r="B3266" t="inlineStr">
        <is>
          <t>LVA</t>
        </is>
      </c>
      <c r="C3266" t="inlineStr">
        <is>
          <t>mit.typ.p2.2</t>
        </is>
      </c>
      <c r="D3266" t="n">
        <v>0</v>
      </c>
      <c r="E3266" t="n">
        <v>0.1761030951</v>
      </c>
      <c r="F3266" t="n">
        <v>0.3036072055</v>
      </c>
      <c r="G3266" t="n">
        <v>0.3131369608</v>
      </c>
      <c r="H3266" t="n">
        <v>0.2698037256</v>
      </c>
    </row>
    <row r="3267">
      <c r="A3267" t="inlineStr">
        <is>
          <t>MAC|mit.typ.p2.2</t>
        </is>
      </c>
      <c r="B3267" t="inlineStr">
        <is>
          <t>MAC</t>
        </is>
      </c>
      <c r="C3267" t="inlineStr">
        <is>
          <t>mit.typ.p2.2</t>
        </is>
      </c>
      <c r="D3267" t="n">
        <v>0</v>
      </c>
      <c r="E3267" t="n">
        <v>0.26753582</v>
      </c>
      <c r="F3267" t="n">
        <v>0.3425577022</v>
      </c>
      <c r="G3267" t="n">
        <v>0.2694698127</v>
      </c>
      <c r="H3267" t="n">
        <v>0.2791669539</v>
      </c>
    </row>
    <row r="3268">
      <c r="A3268" t="inlineStr">
        <is>
          <t>MAR|mit.typ.p2.2</t>
        </is>
      </c>
      <c r="B3268" t="inlineStr">
        <is>
          <t>MAR</t>
        </is>
      </c>
      <c r="C3268" t="inlineStr">
        <is>
          <t>mit.typ.p2.2</t>
        </is>
      </c>
      <c r="D3268" t="n">
        <v>0</v>
      </c>
      <c r="E3268" t="n">
        <v>0.610773533</v>
      </c>
      <c r="F3268" t="n">
        <v>0.8967300502</v>
      </c>
      <c r="G3268" t="n">
        <v>1.777650913</v>
      </c>
      <c r="H3268" t="n">
        <v>1.666636727</v>
      </c>
    </row>
    <row r="3269">
      <c r="A3269" t="inlineStr">
        <is>
          <t>MDA|mit.typ.p2.2</t>
        </is>
      </c>
      <c r="B3269" t="inlineStr">
        <is>
          <t>MDA</t>
        </is>
      </c>
      <c r="C3269" t="inlineStr">
        <is>
          <t>mit.typ.p2.2</t>
        </is>
      </c>
      <c r="D3269" t="n">
        <v>0</v>
      </c>
      <c r="E3269" t="n">
        <v>0.1140156979</v>
      </c>
      <c r="F3269" t="n">
        <v>0.1591343087</v>
      </c>
      <c r="G3269" t="n">
        <v>0.3729505583</v>
      </c>
      <c r="H3269" t="n">
        <v>0.3638242046</v>
      </c>
    </row>
    <row r="3270">
      <c r="A3270" t="inlineStr">
        <is>
          <t>MDG|mit.typ.p2.2</t>
        </is>
      </c>
      <c r="B3270" t="inlineStr">
        <is>
          <t>MDG</t>
        </is>
      </c>
      <c r="C3270" t="inlineStr">
        <is>
          <t>mit.typ.p2.2</t>
        </is>
      </c>
      <c r="D3270" t="n">
        <v>0</v>
      </c>
      <c r="E3270" t="n">
        <v>0.04158276634</v>
      </c>
      <c r="F3270" t="n">
        <v>0.05870115733</v>
      </c>
      <c r="G3270" t="n">
        <v>0.1144392859</v>
      </c>
      <c r="H3270" t="n">
        <v>0.1266902193</v>
      </c>
    </row>
    <row r="3271">
      <c r="A3271" t="inlineStr">
        <is>
          <t>MDV|mit.typ.p2.2</t>
        </is>
      </c>
      <c r="B3271" t="inlineStr">
        <is>
          <t>MDV</t>
        </is>
      </c>
      <c r="C3271" t="inlineStr">
        <is>
          <t>mit.typ.p2.2</t>
        </is>
      </c>
      <c r="D3271" t="n">
        <v>0</v>
      </c>
      <c r="E3271" t="n">
        <v>0.05014936401</v>
      </c>
      <c r="F3271" t="n">
        <v>0.05641312867</v>
      </c>
      <c r="G3271" t="n">
        <v>0.1162451983</v>
      </c>
      <c r="H3271" t="n">
        <v>0.09698801708</v>
      </c>
    </row>
    <row r="3272">
      <c r="A3272" t="inlineStr">
        <is>
          <t>MEX|mit.typ.p2.2</t>
        </is>
      </c>
      <c r="B3272" t="inlineStr">
        <is>
          <t>MEX</t>
        </is>
      </c>
      <c r="C3272" t="inlineStr">
        <is>
          <t>mit.typ.p2.2</t>
        </is>
      </c>
      <c r="D3272" t="n">
        <v>0</v>
      </c>
      <c r="E3272" t="n">
        <v>4.485896515</v>
      </c>
      <c r="F3272" t="n">
        <v>6.823146517</v>
      </c>
      <c r="G3272" t="n">
        <v>14.76381493</v>
      </c>
      <c r="H3272" t="n">
        <v>12.98221202</v>
      </c>
    </row>
    <row r="3273">
      <c r="A3273" t="inlineStr">
        <is>
          <t>MKD|mit.typ.p2.2</t>
        </is>
      </c>
      <c r="B3273" t="inlineStr">
        <is>
          <t>MKD</t>
        </is>
      </c>
      <c r="C3273" t="inlineStr">
        <is>
          <t>mit.typ.p2.2</t>
        </is>
      </c>
      <c r="D3273" t="n">
        <v>0</v>
      </c>
      <c r="E3273" t="n">
        <v>0.08374733429</v>
      </c>
      <c r="F3273" t="n">
        <v>0.1040674467</v>
      </c>
      <c r="G3273" t="n">
        <v>0.1759805544</v>
      </c>
      <c r="H3273" t="n">
        <v>0.1484946724</v>
      </c>
    </row>
    <row r="3274">
      <c r="A3274" t="inlineStr">
        <is>
          <t>MLI|mit.typ.p2.2</t>
        </is>
      </c>
      <c r="B3274" t="inlineStr">
        <is>
          <t>MLI</t>
        </is>
      </c>
      <c r="C3274" t="inlineStr">
        <is>
          <t>mit.typ.p2.2</t>
        </is>
      </c>
      <c r="D3274" t="n">
        <v>0</v>
      </c>
      <c r="E3274" t="n">
        <v>0.04598909904</v>
      </c>
      <c r="F3274" t="n">
        <v>0.07960469046</v>
      </c>
      <c r="G3274" t="n">
        <v>0.1893225151</v>
      </c>
      <c r="H3274" t="n">
        <v>0.1959615321</v>
      </c>
    </row>
    <row r="3275">
      <c r="A3275" t="inlineStr">
        <is>
          <t>MLT|mit.typ.p2.2</t>
        </is>
      </c>
      <c r="B3275" t="inlineStr">
        <is>
          <t>MLT</t>
        </is>
      </c>
      <c r="C3275" t="inlineStr">
        <is>
          <t>mit.typ.p2.2</t>
        </is>
      </c>
      <c r="D3275" t="n">
        <v>0</v>
      </c>
      <c r="E3275" t="n">
        <v>0.20607174</v>
      </c>
      <c r="F3275" t="n">
        <v>0.3137523367</v>
      </c>
      <c r="G3275" t="n">
        <v>0.2306976902</v>
      </c>
      <c r="H3275" t="n">
        <v>0.2268176529</v>
      </c>
    </row>
    <row r="3276">
      <c r="A3276" t="inlineStr">
        <is>
          <t>MMR|mit.typ.p2.2</t>
        </is>
      </c>
      <c r="B3276" t="inlineStr">
        <is>
          <t>MMR</t>
        </is>
      </c>
      <c r="C3276" t="inlineStr">
        <is>
          <t>mit.typ.p2.2</t>
        </is>
      </c>
      <c r="D3276" t="n">
        <v>0</v>
      </c>
      <c r="E3276" t="n">
        <v>0.1275394341</v>
      </c>
      <c r="F3276" t="n">
        <v>0.2812053708</v>
      </c>
      <c r="G3276" t="n">
        <v>0.6090534452</v>
      </c>
      <c r="H3276" t="n">
        <v>0.6925325476999999</v>
      </c>
    </row>
    <row r="3277">
      <c r="A3277" t="inlineStr">
        <is>
          <t>MNE|mit.typ.p2.2</t>
        </is>
      </c>
      <c r="B3277" t="inlineStr">
        <is>
          <t>MNE</t>
        </is>
      </c>
      <c r="C3277" t="inlineStr">
        <is>
          <t>mit.typ.p2.2</t>
        </is>
      </c>
      <c r="D3277" t="n">
        <v>0</v>
      </c>
      <c r="E3277" t="n">
        <v>0.04779589724</v>
      </c>
      <c r="F3277" t="n">
        <v>0.06952129086</v>
      </c>
      <c r="G3277" t="n">
        <v>0.08432687476</v>
      </c>
      <c r="H3277" t="n">
        <v>0.08969741529</v>
      </c>
    </row>
    <row r="3278">
      <c r="A3278" t="inlineStr">
        <is>
          <t>MNG|mit.typ.p2.2</t>
        </is>
      </c>
      <c r="B3278" t="inlineStr">
        <is>
          <t>MNG</t>
        </is>
      </c>
      <c r="C3278" t="inlineStr">
        <is>
          <t>mit.typ.p2.2</t>
        </is>
      </c>
      <c r="D3278" t="n">
        <v>0</v>
      </c>
      <c r="E3278" t="n">
        <v>0.07762314948</v>
      </c>
      <c r="F3278" t="n">
        <v>0.1057835933</v>
      </c>
      <c r="G3278" t="n">
        <v>0.2233321383</v>
      </c>
      <c r="H3278" t="n">
        <v>0.1992017513</v>
      </c>
    </row>
    <row r="3279">
      <c r="A3279" t="inlineStr">
        <is>
          <t>MOZ|mit.typ.p2.2</t>
        </is>
      </c>
      <c r="B3279" t="inlineStr">
        <is>
          <t>MOZ</t>
        </is>
      </c>
      <c r="C3279" t="inlineStr">
        <is>
          <t>mit.typ.p2.2</t>
        </is>
      </c>
      <c r="D3279" t="n">
        <v>0</v>
      </c>
      <c r="E3279" t="n">
        <v>0.02403397007</v>
      </c>
      <c r="F3279" t="n">
        <v>0.1612123134</v>
      </c>
      <c r="G3279" t="n">
        <v>0.4331013733</v>
      </c>
      <c r="H3279" t="n">
        <v>0.5469429198</v>
      </c>
    </row>
    <row r="3280">
      <c r="A3280" t="inlineStr">
        <is>
          <t>MRT|mit.typ.p2.2</t>
        </is>
      </c>
      <c r="B3280" t="inlineStr">
        <is>
          <t>MRT</t>
        </is>
      </c>
      <c r="C3280" t="inlineStr">
        <is>
          <t>mit.typ.p2.2</t>
        </is>
      </c>
      <c r="D3280" t="n">
        <v>0</v>
      </c>
      <c r="E3280" t="n">
        <v>0.05448586499</v>
      </c>
      <c r="F3280" t="n">
        <v>0.09207179266</v>
      </c>
      <c r="G3280" t="n">
        <v>0.2068405174</v>
      </c>
      <c r="H3280" t="n">
        <v>0.215076587</v>
      </c>
    </row>
    <row r="3281">
      <c r="A3281" t="inlineStr">
        <is>
          <t>MUS|mit.typ.p2.2</t>
        </is>
      </c>
      <c r="B3281" t="inlineStr">
        <is>
          <t>MUS</t>
        </is>
      </c>
      <c r="C3281" t="inlineStr">
        <is>
          <t>mit.typ.p2.2</t>
        </is>
      </c>
      <c r="D3281" t="n">
        <v>0</v>
      </c>
      <c r="E3281" t="n">
        <v>0.04988335385</v>
      </c>
      <c r="F3281" t="n">
        <v>0.06827329256</v>
      </c>
      <c r="G3281" t="n">
        <v>0.1372444023</v>
      </c>
      <c r="H3281" t="n">
        <v>0.1087027518</v>
      </c>
    </row>
    <row r="3282">
      <c r="A3282" t="inlineStr">
        <is>
          <t>MWI|mit.typ.p2.2</t>
        </is>
      </c>
      <c r="B3282" t="inlineStr">
        <is>
          <t>MWI</t>
        </is>
      </c>
      <c r="C3282" t="inlineStr">
        <is>
          <t>mit.typ.p2.2</t>
        </is>
      </c>
      <c r="D3282" t="n">
        <v>0</v>
      </c>
      <c r="E3282" t="n">
        <v>0.01747113186</v>
      </c>
      <c r="F3282" t="n">
        <v>0.02667159612</v>
      </c>
      <c r="G3282" t="n">
        <v>0.05580215271</v>
      </c>
      <c r="H3282" t="n">
        <v>0.07070892826</v>
      </c>
    </row>
    <row r="3283">
      <c r="A3283" t="inlineStr">
        <is>
          <t>MYS|mit.typ.p2.2</t>
        </is>
      </c>
      <c r="B3283" t="inlineStr">
        <is>
          <t>MYS</t>
        </is>
      </c>
      <c r="C3283" t="inlineStr">
        <is>
          <t>mit.typ.p2.2</t>
        </is>
      </c>
      <c r="D3283" t="n">
        <v>0</v>
      </c>
      <c r="E3283" t="n">
        <v>3.711440783</v>
      </c>
      <c r="F3283" t="n">
        <v>5.099571482</v>
      </c>
      <c r="G3283" t="n">
        <v>10.52812592</v>
      </c>
      <c r="H3283" t="n">
        <v>9.107496404000001</v>
      </c>
    </row>
    <row r="3284">
      <c r="A3284" t="inlineStr">
        <is>
          <t>NAM|mit.typ.p2.2</t>
        </is>
      </c>
      <c r="B3284" t="inlineStr">
        <is>
          <t>NAM</t>
        </is>
      </c>
      <c r="C3284" t="inlineStr">
        <is>
          <t>mit.typ.p2.2</t>
        </is>
      </c>
      <c r="D3284" t="n">
        <v>0</v>
      </c>
      <c r="E3284" t="n">
        <v>0.03847268321</v>
      </c>
      <c r="F3284" t="n">
        <v>0.05505187262</v>
      </c>
      <c r="G3284" t="n">
        <v>0.09109999928</v>
      </c>
      <c r="H3284" t="n">
        <v>0.1032879156</v>
      </c>
    </row>
    <row r="3285">
      <c r="A3285" t="inlineStr">
        <is>
          <t>NER|mit.typ.p2.2</t>
        </is>
      </c>
      <c r="B3285" t="inlineStr">
        <is>
          <t>NER</t>
        </is>
      </c>
      <c r="C3285" t="inlineStr">
        <is>
          <t>mit.typ.p2.2</t>
        </is>
      </c>
      <c r="D3285" t="n">
        <v>0</v>
      </c>
      <c r="E3285" t="n">
        <v>0.0344052743</v>
      </c>
      <c r="F3285" t="n">
        <v>0.04844216859</v>
      </c>
      <c r="G3285" t="n">
        <v>0.09674011314</v>
      </c>
      <c r="H3285" t="n">
        <v>0.09946265901</v>
      </c>
    </row>
    <row r="3286">
      <c r="A3286" t="inlineStr">
        <is>
          <t>NGA|mit.typ.p2.2</t>
        </is>
      </c>
      <c r="B3286" t="inlineStr">
        <is>
          <t>NGA</t>
        </is>
      </c>
      <c r="C3286" t="inlineStr">
        <is>
          <t>mit.typ.p2.2</t>
        </is>
      </c>
      <c r="D3286" t="n">
        <v>0</v>
      </c>
      <c r="E3286" t="n">
        <v>0.7701900743</v>
      </c>
      <c r="F3286" t="n">
        <v>1.227909841</v>
      </c>
      <c r="G3286" t="n">
        <v>2.798981719</v>
      </c>
      <c r="H3286" t="n">
        <v>2.800425739</v>
      </c>
    </row>
    <row r="3287">
      <c r="A3287" t="inlineStr">
        <is>
          <t>NIC|mit.typ.p2.2</t>
        </is>
      </c>
      <c r="B3287" t="inlineStr">
        <is>
          <t>NIC</t>
        </is>
      </c>
      <c r="C3287" t="inlineStr">
        <is>
          <t>mit.typ.p2.2</t>
        </is>
      </c>
      <c r="D3287" t="n">
        <v>0</v>
      </c>
      <c r="E3287" t="n">
        <v>0.0440847778</v>
      </c>
      <c r="F3287" t="n">
        <v>0.06515176640000001</v>
      </c>
      <c r="G3287" t="n">
        <v>0.1373058433</v>
      </c>
      <c r="H3287" t="n">
        <v>0.14878334</v>
      </c>
    </row>
    <row r="3288">
      <c r="A3288" t="inlineStr">
        <is>
          <t>NLD|mit.typ.p2.2</t>
        </is>
      </c>
      <c r="B3288" t="inlineStr">
        <is>
          <t>NLD</t>
        </is>
      </c>
      <c r="C3288" t="inlineStr">
        <is>
          <t>mit.typ.p2.2</t>
        </is>
      </c>
      <c r="D3288" t="n">
        <v>0</v>
      </c>
      <c r="E3288" t="n">
        <v>6.309555041</v>
      </c>
      <c r="F3288" t="n">
        <v>9.372106008999999</v>
      </c>
      <c r="G3288" t="n">
        <v>7.732397824</v>
      </c>
      <c r="H3288" t="n">
        <v>6.057789279</v>
      </c>
    </row>
    <row r="3289">
      <c r="A3289" t="inlineStr">
        <is>
          <t>NOR|mit.typ.p2.2</t>
        </is>
      </c>
      <c r="B3289" t="inlineStr">
        <is>
          <t>NOR</t>
        </is>
      </c>
      <c r="C3289" t="inlineStr">
        <is>
          <t>mit.typ.p2.2</t>
        </is>
      </c>
      <c r="D3289" t="n">
        <v>0</v>
      </c>
      <c r="E3289" t="n">
        <v>1.56052107</v>
      </c>
      <c r="F3289" t="n">
        <v>2.040498054</v>
      </c>
      <c r="G3289" t="n">
        <v>2.522909067</v>
      </c>
      <c r="H3289" t="n">
        <v>2.695253826</v>
      </c>
    </row>
    <row r="3290">
      <c r="A3290" t="inlineStr">
        <is>
          <t>NPL|mit.typ.p2.2</t>
        </is>
      </c>
      <c r="B3290" t="inlineStr">
        <is>
          <t>NPL</t>
        </is>
      </c>
      <c r="C3290" t="inlineStr">
        <is>
          <t>mit.typ.p2.2</t>
        </is>
      </c>
      <c r="D3290" t="n">
        <v>0</v>
      </c>
      <c r="E3290" t="n">
        <v>0.2504604334</v>
      </c>
      <c r="F3290" t="n">
        <v>0.3188864201</v>
      </c>
      <c r="G3290" t="n">
        <v>0.59121047</v>
      </c>
      <c r="H3290" t="n">
        <v>0.7678511467</v>
      </c>
    </row>
    <row r="3291">
      <c r="A3291" t="inlineStr">
        <is>
          <t>NRU|mit.typ.p2.2</t>
        </is>
      </c>
      <c r="B3291" t="inlineStr">
        <is>
          <t>NRU</t>
        </is>
      </c>
      <c r="C3291" t="inlineStr">
        <is>
          <t>mit.typ.p2.2</t>
        </is>
      </c>
      <c r="D3291" t="n">
        <v>0</v>
      </c>
      <c r="E3291" t="n">
        <v>0.004291963892</v>
      </c>
      <c r="F3291" t="n">
        <v>0.006413978265</v>
      </c>
      <c r="G3291" t="n">
        <v>0.0133419164</v>
      </c>
      <c r="H3291" t="n">
        <v>0.01243198552</v>
      </c>
    </row>
    <row r="3292">
      <c r="A3292" t="inlineStr">
        <is>
          <t>NZL|mit.typ.p2.2</t>
        </is>
      </c>
      <c r="B3292" t="inlineStr">
        <is>
          <t>NZL</t>
        </is>
      </c>
      <c r="C3292" t="inlineStr">
        <is>
          <t>mit.typ.p2.2</t>
        </is>
      </c>
      <c r="D3292" t="n">
        <v>0</v>
      </c>
      <c r="E3292" t="n">
        <v>0.5999147865</v>
      </c>
      <c r="F3292" t="n">
        <v>1.173954217</v>
      </c>
      <c r="G3292" t="n">
        <v>1.278939606</v>
      </c>
      <c r="H3292" t="n">
        <v>1.149788845</v>
      </c>
    </row>
    <row r="3293">
      <c r="A3293" t="inlineStr">
        <is>
          <t>OMN|mit.typ.p2.2</t>
        </is>
      </c>
      <c r="B3293" t="inlineStr">
        <is>
          <t>OMN</t>
        </is>
      </c>
      <c r="C3293" t="inlineStr">
        <is>
          <t>mit.typ.p2.2</t>
        </is>
      </c>
      <c r="D3293" t="n">
        <v>0</v>
      </c>
      <c r="E3293" t="n">
        <v>1.655488699</v>
      </c>
      <c r="F3293" t="n">
        <v>2.330137879</v>
      </c>
      <c r="G3293" t="n">
        <v>4.486325764</v>
      </c>
      <c r="H3293" t="n">
        <v>3.198949909</v>
      </c>
    </row>
    <row r="3294">
      <c r="A3294" t="inlineStr">
        <is>
          <t>PAK|mit.typ.p2.2</t>
        </is>
      </c>
      <c r="B3294" t="inlineStr">
        <is>
          <t>PAK</t>
        </is>
      </c>
      <c r="C3294" t="inlineStr">
        <is>
          <t>mit.typ.p2.2</t>
        </is>
      </c>
      <c r="D3294" t="n">
        <v>0</v>
      </c>
      <c r="E3294" t="n">
        <v>1.971835151</v>
      </c>
      <c r="F3294" t="n">
        <v>2.82066938</v>
      </c>
      <c r="G3294" t="n">
        <v>5.205519058</v>
      </c>
      <c r="H3294" t="n">
        <v>5.188403455</v>
      </c>
    </row>
    <row r="3295">
      <c r="A3295" t="inlineStr">
        <is>
          <t>PAN|mit.typ.p2.2</t>
        </is>
      </c>
      <c r="B3295" t="inlineStr">
        <is>
          <t>PAN</t>
        </is>
      </c>
      <c r="C3295" t="inlineStr">
        <is>
          <t>mit.typ.p2.2</t>
        </is>
      </c>
      <c r="D3295" t="n">
        <v>0</v>
      </c>
      <c r="E3295" t="n">
        <v>0.2058932038</v>
      </c>
      <c r="F3295" t="n">
        <v>0.2596602047</v>
      </c>
      <c r="G3295" t="n">
        <v>0.375139829</v>
      </c>
      <c r="H3295" t="n">
        <v>0.3077471618</v>
      </c>
    </row>
    <row r="3296">
      <c r="A3296" t="inlineStr">
        <is>
          <t>PER|mit.typ.p2.2</t>
        </is>
      </c>
      <c r="B3296" t="inlineStr">
        <is>
          <t>PER</t>
        </is>
      </c>
      <c r="C3296" t="inlineStr">
        <is>
          <t>mit.typ.p2.2</t>
        </is>
      </c>
      <c r="D3296" t="n">
        <v>0</v>
      </c>
      <c r="E3296" t="n">
        <v>0.9391805594</v>
      </c>
      <c r="F3296" t="n">
        <v>1.28643029</v>
      </c>
      <c r="G3296" t="n">
        <v>2.771766157</v>
      </c>
      <c r="H3296" t="n">
        <v>2.576038207</v>
      </c>
    </row>
    <row r="3297">
      <c r="A3297" t="inlineStr">
        <is>
          <t>PHL|mit.typ.p2.2</t>
        </is>
      </c>
      <c r="B3297" t="inlineStr">
        <is>
          <t>PHL</t>
        </is>
      </c>
      <c r="C3297" t="inlineStr">
        <is>
          <t>mit.typ.p2.2</t>
        </is>
      </c>
      <c r="D3297" t="n">
        <v>0</v>
      </c>
      <c r="E3297" t="n">
        <v>1.62517219</v>
      </c>
      <c r="F3297" t="n">
        <v>2.383211346</v>
      </c>
      <c r="G3297" t="n">
        <v>5.844934875</v>
      </c>
      <c r="H3297" t="n">
        <v>5.227694492</v>
      </c>
    </row>
    <row r="3298">
      <c r="A3298" t="inlineStr">
        <is>
          <t>PLW|mit.typ.p2.2</t>
        </is>
      </c>
      <c r="B3298" t="inlineStr">
        <is>
          <t>PLW</t>
        </is>
      </c>
      <c r="C3298" t="inlineStr">
        <is>
          <t>mit.typ.p2.2</t>
        </is>
      </c>
      <c r="D3298" t="n">
        <v>0</v>
      </c>
      <c r="E3298" t="n">
        <v>0.00719108471</v>
      </c>
      <c r="F3298" t="n">
        <v>0.009396897525</v>
      </c>
      <c r="G3298" t="n">
        <v>0.01832910487</v>
      </c>
      <c r="H3298" t="n">
        <v>0.01345340473</v>
      </c>
    </row>
    <row r="3299">
      <c r="A3299" t="inlineStr">
        <is>
          <t>PNG|mit.typ.p2.2</t>
        </is>
      </c>
      <c r="B3299" t="inlineStr">
        <is>
          <t>PNG</t>
        </is>
      </c>
      <c r="C3299" t="inlineStr">
        <is>
          <t>mit.typ.p2.2</t>
        </is>
      </c>
      <c r="D3299" t="n">
        <v>0</v>
      </c>
      <c r="E3299" t="n">
        <v>0.1760015501</v>
      </c>
      <c r="F3299" t="n">
        <v>0.238515557</v>
      </c>
      <c r="G3299" t="n">
        <v>0.556196519</v>
      </c>
      <c r="H3299" t="n">
        <v>0.6060768702</v>
      </c>
    </row>
    <row r="3300">
      <c r="A3300" t="inlineStr">
        <is>
          <t>POL|mit.typ.p2.2</t>
        </is>
      </c>
      <c r="B3300" t="inlineStr">
        <is>
          <t>POL</t>
        </is>
      </c>
      <c r="C3300" t="inlineStr">
        <is>
          <t>mit.typ.p2.2</t>
        </is>
      </c>
      <c r="D3300" t="n">
        <v>0</v>
      </c>
      <c r="E3300" t="n">
        <v>4.608728135</v>
      </c>
      <c r="F3300" t="n">
        <v>6.616255523</v>
      </c>
      <c r="G3300" t="n">
        <v>11.50000164</v>
      </c>
      <c r="H3300" t="n">
        <v>7.769085872</v>
      </c>
    </row>
    <row r="3301">
      <c r="A3301" t="inlineStr">
        <is>
          <t>PRI|mit.typ.p2.2</t>
        </is>
      </c>
      <c r="B3301" t="inlineStr">
        <is>
          <t>PRI</t>
        </is>
      </c>
      <c r="C3301" t="inlineStr">
        <is>
          <t>mit.typ.p2.2</t>
        </is>
      </c>
      <c r="D3301" t="n">
        <v>0</v>
      </c>
      <c r="E3301" t="n">
        <v>0.6419582302</v>
      </c>
      <c r="F3301" t="n">
        <v>1.045994479</v>
      </c>
      <c r="G3301" t="n">
        <v>1.131404348</v>
      </c>
      <c r="H3301" t="n">
        <v>0.9920077961</v>
      </c>
    </row>
    <row r="3302">
      <c r="A3302" t="inlineStr">
        <is>
          <t>PRT|mit.typ.p2.2</t>
        </is>
      </c>
      <c r="B3302" t="inlineStr">
        <is>
          <t>PRT</t>
        </is>
      </c>
      <c r="C3302" t="inlineStr">
        <is>
          <t>mit.typ.p2.2</t>
        </is>
      </c>
      <c r="D3302" t="n">
        <v>0</v>
      </c>
      <c r="E3302" t="n">
        <v>1.237458489</v>
      </c>
      <c r="F3302" t="n">
        <v>1.690977785</v>
      </c>
      <c r="G3302" t="n">
        <v>1.466499056</v>
      </c>
      <c r="H3302" t="n">
        <v>1.294518215</v>
      </c>
    </row>
    <row r="3303">
      <c r="A3303" t="inlineStr">
        <is>
          <t>PRY|mit.typ.p2.2</t>
        </is>
      </c>
      <c r="B3303" t="inlineStr">
        <is>
          <t>PRY</t>
        </is>
      </c>
      <c r="C3303" t="inlineStr">
        <is>
          <t>mit.typ.p2.2</t>
        </is>
      </c>
      <c r="D3303" t="n">
        <v>0</v>
      </c>
      <c r="E3303" t="n">
        <v>0.03169397352</v>
      </c>
      <c r="F3303" t="n">
        <v>0.03861343072</v>
      </c>
      <c r="G3303" t="n">
        <v>0.3958435318</v>
      </c>
      <c r="H3303" t="n">
        <v>0.5079746362000001</v>
      </c>
    </row>
    <row r="3304">
      <c r="A3304" t="inlineStr">
        <is>
          <t>QAT|mit.typ.p2.2</t>
        </is>
      </c>
      <c r="B3304" t="inlineStr">
        <is>
          <t>QAT</t>
        </is>
      </c>
      <c r="C3304" t="inlineStr">
        <is>
          <t>mit.typ.p2.2</t>
        </is>
      </c>
      <c r="D3304" t="n">
        <v>0</v>
      </c>
      <c r="E3304" t="n">
        <v>0.941466997</v>
      </c>
      <c r="F3304" t="n">
        <v>0.5495174549</v>
      </c>
      <c r="G3304" t="n">
        <v>1.210771721</v>
      </c>
      <c r="H3304" t="n">
        <v>0.8864549754</v>
      </c>
    </row>
    <row r="3305">
      <c r="A3305" t="inlineStr">
        <is>
          <t>ROU|mit.typ.p2.2</t>
        </is>
      </c>
      <c r="B3305" t="inlineStr">
        <is>
          <t>ROU</t>
        </is>
      </c>
      <c r="C3305" t="inlineStr">
        <is>
          <t>mit.typ.p2.2</t>
        </is>
      </c>
      <c r="D3305" t="n">
        <v>0</v>
      </c>
      <c r="E3305" t="n">
        <v>1.137591235</v>
      </c>
      <c r="F3305" t="n">
        <v>1.636732398</v>
      </c>
      <c r="G3305" t="n">
        <v>3.143153516</v>
      </c>
      <c r="H3305" t="n">
        <v>3.146134544</v>
      </c>
    </row>
    <row r="3306">
      <c r="A3306" t="inlineStr">
        <is>
          <t>RUS|mit.typ.p2.2</t>
        </is>
      </c>
      <c r="B3306" t="inlineStr">
        <is>
          <t>RUS</t>
        </is>
      </c>
      <c r="C3306" t="inlineStr">
        <is>
          <t>mit.typ.p2.2</t>
        </is>
      </c>
      <c r="D3306" t="n">
        <v>0</v>
      </c>
      <c r="E3306" t="n">
        <v>8.195239899000001</v>
      </c>
      <c r="F3306" t="n">
        <v>12.07497653</v>
      </c>
      <c r="G3306" t="n">
        <v>29.35278724</v>
      </c>
      <c r="H3306" t="n">
        <v>28.58569682</v>
      </c>
    </row>
    <row r="3307">
      <c r="A3307" t="inlineStr">
        <is>
          <t>RWA|mit.typ.p2.2</t>
        </is>
      </c>
      <c r="B3307" t="inlineStr">
        <is>
          <t>RWA</t>
        </is>
      </c>
      <c r="C3307" t="inlineStr">
        <is>
          <t>mit.typ.p2.2</t>
        </is>
      </c>
      <c r="D3307" t="n">
        <v>0</v>
      </c>
      <c r="E3307" t="n">
        <v>0.03201393384</v>
      </c>
      <c r="F3307" t="n">
        <v>0.04772500118</v>
      </c>
      <c r="G3307" t="n">
        <v>0.08728066716000001</v>
      </c>
      <c r="H3307" t="n">
        <v>0.1027071369</v>
      </c>
    </row>
    <row r="3308">
      <c r="A3308" t="inlineStr">
        <is>
          <t>SAU|mit.typ.p2.2</t>
        </is>
      </c>
      <c r="B3308" t="inlineStr">
        <is>
          <t>SAU</t>
        </is>
      </c>
      <c r="C3308" t="inlineStr">
        <is>
          <t>mit.typ.p2.2</t>
        </is>
      </c>
      <c r="D3308" t="n">
        <v>0</v>
      </c>
      <c r="E3308" t="n">
        <v>5.530378631</v>
      </c>
      <c r="F3308" t="n">
        <v>6.722886402</v>
      </c>
      <c r="G3308" t="n">
        <v>13.24033316</v>
      </c>
      <c r="H3308" t="n">
        <v>8.701347051000001</v>
      </c>
    </row>
    <row r="3309">
      <c r="A3309" t="inlineStr">
        <is>
          <t>SDN|mit.typ.p2.2</t>
        </is>
      </c>
      <c r="B3309" t="inlineStr">
        <is>
          <t>SDN</t>
        </is>
      </c>
      <c r="C3309" t="inlineStr">
        <is>
          <t>mit.typ.p2.2</t>
        </is>
      </c>
      <c r="D3309" t="n">
        <v>0</v>
      </c>
      <c r="E3309" t="n">
        <v>0.4391962621</v>
      </c>
      <c r="F3309" t="n">
        <v>0.6113713451</v>
      </c>
      <c r="G3309" t="n">
        <v>1.11699373</v>
      </c>
      <c r="H3309" t="n">
        <v>1.254501725</v>
      </c>
    </row>
    <row r="3310">
      <c r="A3310" t="inlineStr">
        <is>
          <t>SEN|mit.typ.p2.2</t>
        </is>
      </c>
      <c r="B3310" t="inlineStr">
        <is>
          <t>SEN</t>
        </is>
      </c>
      <c r="C3310" t="inlineStr">
        <is>
          <t>mit.typ.p2.2</t>
        </is>
      </c>
      <c r="D3310" t="n">
        <v>0</v>
      </c>
      <c r="E3310" t="n">
        <v>0.160991811</v>
      </c>
      <c r="F3310" t="n">
        <v>0.1618919662</v>
      </c>
      <c r="G3310" t="n">
        <v>0.3558781776</v>
      </c>
      <c r="H3310" t="n">
        <v>0.34451004</v>
      </c>
    </row>
    <row r="3311">
      <c r="A3311" t="inlineStr">
        <is>
          <t>SGP|mit.typ.p2.2</t>
        </is>
      </c>
      <c r="B3311" t="inlineStr">
        <is>
          <t>SGP</t>
        </is>
      </c>
      <c r="C3311" t="inlineStr">
        <is>
          <t>mit.typ.p2.2</t>
        </is>
      </c>
      <c r="D3311" t="n">
        <v>0</v>
      </c>
      <c r="E3311" t="n">
        <v>1.813464382</v>
      </c>
      <c r="F3311" t="n">
        <v>3.794350558</v>
      </c>
      <c r="G3311" t="n">
        <v>2.736806772</v>
      </c>
      <c r="H3311" t="n">
        <v>2.543454374</v>
      </c>
    </row>
    <row r="3312">
      <c r="A3312" t="inlineStr">
        <is>
          <t>SLB|mit.typ.p2.2</t>
        </is>
      </c>
      <c r="B3312" t="inlineStr">
        <is>
          <t>SLB</t>
        </is>
      </c>
      <c r="C3312" t="inlineStr">
        <is>
          <t>mit.typ.p2.2</t>
        </is>
      </c>
      <c r="D3312" t="n">
        <v>0</v>
      </c>
      <c r="E3312" t="n">
        <v>0.01145513507</v>
      </c>
      <c r="F3312" t="n">
        <v>0.01600613947</v>
      </c>
      <c r="G3312" t="n">
        <v>0.02864685657</v>
      </c>
      <c r="H3312" t="n">
        <v>0.02847434245</v>
      </c>
    </row>
    <row r="3313">
      <c r="A3313" t="inlineStr">
        <is>
          <t>SLE|mit.typ.p2.2</t>
        </is>
      </c>
      <c r="B3313" t="inlineStr">
        <is>
          <t>SLE</t>
        </is>
      </c>
      <c r="C3313" t="inlineStr">
        <is>
          <t>mit.typ.p2.2</t>
        </is>
      </c>
      <c r="D3313" t="n">
        <v>0</v>
      </c>
      <c r="E3313" t="n">
        <v>0.01384153392</v>
      </c>
      <c r="F3313" t="n">
        <v>0.02448520162</v>
      </c>
      <c r="G3313" t="n">
        <v>0.04487197696</v>
      </c>
      <c r="H3313" t="n">
        <v>0.05648897844</v>
      </c>
    </row>
    <row r="3314">
      <c r="A3314" t="inlineStr">
        <is>
          <t>SLV|mit.typ.p2.2</t>
        </is>
      </c>
      <c r="B3314" t="inlineStr">
        <is>
          <t>SLV</t>
        </is>
      </c>
      <c r="C3314" t="inlineStr">
        <is>
          <t>mit.typ.p2.2</t>
        </is>
      </c>
      <c r="D3314" t="n">
        <v>0</v>
      </c>
      <c r="E3314" t="n">
        <v>0.09716746664000001</v>
      </c>
      <c r="F3314" t="n">
        <v>0.1485326587</v>
      </c>
      <c r="G3314" t="n">
        <v>0.2797409346</v>
      </c>
      <c r="H3314" t="n">
        <v>0.3357494521</v>
      </c>
    </row>
    <row r="3315">
      <c r="A3315" t="inlineStr">
        <is>
          <t>SOM|mit.typ.p2.2</t>
        </is>
      </c>
      <c r="B3315" t="inlineStr">
        <is>
          <t>SOM</t>
        </is>
      </c>
      <c r="C3315" t="inlineStr">
        <is>
          <t>mit.typ.p2.2</t>
        </is>
      </c>
      <c r="D3315" t="n">
        <v>0</v>
      </c>
      <c r="E3315" t="n">
        <v>0.01446043198</v>
      </c>
      <c r="F3315" t="n">
        <v>0.01899998069</v>
      </c>
      <c r="G3315" t="n">
        <v>0.03466818591</v>
      </c>
      <c r="H3315" t="n">
        <v>0.04291577611</v>
      </c>
    </row>
    <row r="3316">
      <c r="A3316" t="inlineStr">
        <is>
          <t>SRB|mit.typ.p2.2</t>
        </is>
      </c>
      <c r="B3316" t="inlineStr">
        <is>
          <t>SRB</t>
        </is>
      </c>
      <c r="C3316" t="inlineStr">
        <is>
          <t>mit.typ.p2.2</t>
        </is>
      </c>
      <c r="D3316" t="n">
        <v>0</v>
      </c>
      <c r="E3316" t="n">
        <v>0.9043286202</v>
      </c>
      <c r="F3316" t="n">
        <v>1.347845624</v>
      </c>
      <c r="G3316" t="n">
        <v>2.836145321</v>
      </c>
      <c r="H3316" t="n">
        <v>2.374225403</v>
      </c>
    </row>
    <row r="3317">
      <c r="A3317" t="inlineStr">
        <is>
          <t>STP|mit.typ.p2.2</t>
        </is>
      </c>
      <c r="B3317" t="inlineStr">
        <is>
          <t>STP</t>
        </is>
      </c>
      <c r="C3317" t="inlineStr">
        <is>
          <t>mit.typ.p2.2</t>
        </is>
      </c>
      <c r="D3317" t="n">
        <v>0</v>
      </c>
      <c r="E3317" t="n">
        <v>0.002168344853</v>
      </c>
      <c r="F3317" t="n">
        <v>0.003292692058</v>
      </c>
      <c r="G3317" t="n">
        <v>0.006916360116</v>
      </c>
      <c r="H3317" t="n">
        <v>0.007615694215</v>
      </c>
    </row>
    <row r="3318">
      <c r="A3318" t="inlineStr">
        <is>
          <t>SUR|mit.typ.p2.2</t>
        </is>
      </c>
      <c r="B3318" t="inlineStr">
        <is>
          <t>SUR</t>
        </is>
      </c>
      <c r="C3318" t="inlineStr">
        <is>
          <t>mit.typ.p2.2</t>
        </is>
      </c>
      <c r="D3318" t="n">
        <v>0</v>
      </c>
      <c r="E3318" t="n">
        <v>0.02216471688</v>
      </c>
      <c r="F3318" t="n">
        <v>0.03383123055</v>
      </c>
      <c r="G3318" t="n">
        <v>0.05602819648</v>
      </c>
      <c r="H3318" t="n">
        <v>0.05896536713</v>
      </c>
    </row>
    <row r="3319">
      <c r="A3319" t="inlineStr">
        <is>
          <t>SVK|mit.typ.p2.2</t>
        </is>
      </c>
      <c r="B3319" t="inlineStr">
        <is>
          <t>SVK</t>
        </is>
      </c>
      <c r="C3319" t="inlineStr">
        <is>
          <t>mit.typ.p2.2</t>
        </is>
      </c>
      <c r="D3319" t="n">
        <v>0</v>
      </c>
      <c r="E3319" t="n">
        <v>0.5563475488</v>
      </c>
      <c r="F3319" t="n">
        <v>0.7502275668</v>
      </c>
      <c r="G3319" t="n">
        <v>0.9234014079</v>
      </c>
      <c r="H3319" t="n">
        <v>0.8135987708</v>
      </c>
    </row>
    <row r="3320">
      <c r="A3320" t="inlineStr">
        <is>
          <t>SVN|mit.typ.p2.2</t>
        </is>
      </c>
      <c r="B3320" t="inlineStr">
        <is>
          <t>SVN</t>
        </is>
      </c>
      <c r="C3320" t="inlineStr">
        <is>
          <t>mit.typ.p2.2</t>
        </is>
      </c>
      <c r="D3320" t="n">
        <v>0</v>
      </c>
      <c r="E3320" t="n">
        <v>0.2322193785</v>
      </c>
      <c r="F3320" t="n">
        <v>0.391131983</v>
      </c>
      <c r="G3320" t="n">
        <v>0.390917134</v>
      </c>
      <c r="H3320" t="n">
        <v>0.353467074</v>
      </c>
    </row>
    <row r="3321">
      <c r="A3321" t="inlineStr">
        <is>
          <t>SWE|mit.typ.p2.2</t>
        </is>
      </c>
      <c r="B3321" t="inlineStr">
        <is>
          <t>SWE</t>
        </is>
      </c>
      <c r="C3321" t="inlineStr">
        <is>
          <t>mit.typ.p2.2</t>
        </is>
      </c>
      <c r="D3321" t="n">
        <v>0</v>
      </c>
      <c r="E3321" t="n">
        <v>2.107739644</v>
      </c>
      <c r="F3321" t="n">
        <v>2.837697495</v>
      </c>
      <c r="G3321" t="n">
        <v>2.93958522</v>
      </c>
      <c r="H3321" t="n">
        <v>2.881137572</v>
      </c>
    </row>
    <row r="3322">
      <c r="A3322" t="inlineStr">
        <is>
          <t>SWZ|mit.typ.p2.2</t>
        </is>
      </c>
      <c r="B3322" t="inlineStr">
        <is>
          <t>SWZ</t>
        </is>
      </c>
      <c r="C3322" t="inlineStr">
        <is>
          <t>mit.typ.p2.2</t>
        </is>
      </c>
      <c r="D3322" t="n">
        <v>0</v>
      </c>
      <c r="E3322" t="n">
        <v>0.008739978953999999</v>
      </c>
      <c r="F3322" t="n">
        <v>0.01321233474</v>
      </c>
      <c r="G3322" t="n">
        <v>0.0228887737</v>
      </c>
      <c r="H3322" t="n">
        <v>0.02699863011</v>
      </c>
    </row>
    <row r="3323">
      <c r="A3323" t="inlineStr">
        <is>
          <t>SYC|mit.typ.p2.2</t>
        </is>
      </c>
      <c r="B3323" t="inlineStr">
        <is>
          <t>SYC</t>
        </is>
      </c>
      <c r="C3323" t="inlineStr">
        <is>
          <t>mit.typ.p2.2</t>
        </is>
      </c>
      <c r="D3323" t="n">
        <v>0</v>
      </c>
      <c r="E3323" t="n">
        <v>0.03005295775</v>
      </c>
      <c r="F3323" t="n">
        <v>0.03369859493</v>
      </c>
      <c r="G3323" t="n">
        <v>0.06049171171</v>
      </c>
      <c r="H3323" t="n">
        <v>0.04514417102</v>
      </c>
    </row>
    <row r="3324">
      <c r="A3324" t="inlineStr">
        <is>
          <t>SYR|mit.typ.p2.2</t>
        </is>
      </c>
      <c r="B3324" t="inlineStr">
        <is>
          <t>SYR</t>
        </is>
      </c>
      <c r="C3324" t="inlineStr">
        <is>
          <t>mit.typ.p2.2</t>
        </is>
      </c>
      <c r="D3324" t="n">
        <v>0</v>
      </c>
      <c r="E3324" t="n">
        <v>0.3050523916</v>
      </c>
      <c r="F3324" t="n">
        <v>0.3920825694</v>
      </c>
      <c r="G3324" t="n">
        <v>0.8413538546</v>
      </c>
      <c r="H3324" t="n">
        <v>0.784035092</v>
      </c>
    </row>
    <row r="3325">
      <c r="A3325" t="inlineStr">
        <is>
          <t>TCD|mit.typ.p2.2</t>
        </is>
      </c>
      <c r="B3325" t="inlineStr">
        <is>
          <t>TCD</t>
        </is>
      </c>
      <c r="C3325" t="inlineStr">
        <is>
          <t>mit.typ.p2.2</t>
        </is>
      </c>
      <c r="D3325" t="n">
        <v>0</v>
      </c>
      <c r="E3325" t="n">
        <v>0.0226052328</v>
      </c>
      <c r="F3325" t="n">
        <v>0.02922902731</v>
      </c>
      <c r="G3325" t="n">
        <v>0.04585577004</v>
      </c>
      <c r="H3325" t="n">
        <v>0.05947840807</v>
      </c>
    </row>
    <row r="3326">
      <c r="A3326" t="inlineStr">
        <is>
          <t>TGO|mit.typ.p2.2</t>
        </is>
      </c>
      <c r="B3326" t="inlineStr">
        <is>
          <t>TGO</t>
        </is>
      </c>
      <c r="C3326" t="inlineStr">
        <is>
          <t>mit.typ.p2.2</t>
        </is>
      </c>
      <c r="D3326" t="n">
        <v>0</v>
      </c>
      <c r="E3326" t="n">
        <v>0.03498392767</v>
      </c>
      <c r="F3326" t="n">
        <v>0.04448646313</v>
      </c>
      <c r="G3326" t="n">
        <v>0.08518278639</v>
      </c>
      <c r="H3326" t="n">
        <v>0.08672310639</v>
      </c>
    </row>
    <row r="3327">
      <c r="A3327" t="inlineStr">
        <is>
          <t>THA|mit.typ.p2.2</t>
        </is>
      </c>
      <c r="B3327" t="inlineStr">
        <is>
          <t>THA</t>
        </is>
      </c>
      <c r="C3327" t="inlineStr">
        <is>
          <t>mit.typ.p2.2</t>
        </is>
      </c>
      <c r="D3327" t="n">
        <v>0</v>
      </c>
      <c r="E3327" t="n">
        <v>3.715456416</v>
      </c>
      <c r="F3327" t="n">
        <v>4.580299849</v>
      </c>
      <c r="G3327" t="n">
        <v>10.03278089</v>
      </c>
      <c r="H3327" t="n">
        <v>8.416882983000001</v>
      </c>
    </row>
    <row r="3328">
      <c r="A3328" t="inlineStr">
        <is>
          <t>TJK|mit.typ.p2.2</t>
        </is>
      </c>
      <c r="B3328" t="inlineStr">
        <is>
          <t>TJK</t>
        </is>
      </c>
      <c r="C3328" t="inlineStr">
        <is>
          <t>mit.typ.p2.2</t>
        </is>
      </c>
      <c r="D3328" t="n">
        <v>0</v>
      </c>
      <c r="E3328" t="n">
        <v>0.07137037140999999</v>
      </c>
      <c r="F3328" t="n">
        <v>0.1021272785</v>
      </c>
      <c r="G3328" t="n">
        <v>0.1449743515</v>
      </c>
      <c r="H3328" t="n">
        <v>0.1866927135</v>
      </c>
    </row>
    <row r="3329">
      <c r="A3329" t="inlineStr">
        <is>
          <t>TKM|mit.typ.p2.2</t>
        </is>
      </c>
      <c r="B3329" t="inlineStr">
        <is>
          <t>TKM</t>
        </is>
      </c>
      <c r="C3329" t="inlineStr">
        <is>
          <t>mit.typ.p2.2</t>
        </is>
      </c>
      <c r="D3329" t="n">
        <v>0</v>
      </c>
      <c r="E3329" t="n">
        <v>0.9306324958</v>
      </c>
      <c r="F3329" t="n">
        <v>1.37305026</v>
      </c>
      <c r="G3329" t="n">
        <v>3.029408579</v>
      </c>
      <c r="H3329" t="n">
        <v>2.981698341</v>
      </c>
    </row>
    <row r="3330">
      <c r="A3330" t="inlineStr">
        <is>
          <t>TLS|mit.typ.p2.2</t>
        </is>
      </c>
      <c r="B3330" t="inlineStr">
        <is>
          <t>TLS</t>
        </is>
      </c>
      <c r="C3330" t="inlineStr">
        <is>
          <t>mit.typ.p2.2</t>
        </is>
      </c>
      <c r="D3330" t="n">
        <v>0</v>
      </c>
      <c r="E3330" t="n">
        <v>0.02114646977</v>
      </c>
      <c r="F3330" t="n">
        <v>0.03320178221</v>
      </c>
      <c r="G3330" t="n">
        <v>0.07593826248</v>
      </c>
      <c r="H3330" t="n">
        <v>0.08153696969</v>
      </c>
    </row>
    <row r="3331">
      <c r="A3331" t="inlineStr">
        <is>
          <t>TON|mit.typ.p2.2</t>
        </is>
      </c>
      <c r="B3331" t="inlineStr">
        <is>
          <t>TON</t>
        </is>
      </c>
      <c r="C3331" t="inlineStr">
        <is>
          <t>mit.typ.p2.2</t>
        </is>
      </c>
      <c r="D3331" t="n">
        <v>0</v>
      </c>
      <c r="E3331" t="n">
        <v>0.002774994208</v>
      </c>
      <c r="F3331" t="n">
        <v>0.004341042866</v>
      </c>
      <c r="G3331" t="n">
        <v>0.009912794928999999</v>
      </c>
      <c r="H3331" t="n">
        <v>0.008128454439</v>
      </c>
    </row>
    <row r="3332">
      <c r="A3332" t="inlineStr">
        <is>
          <t>TTO|mit.typ.p2.2</t>
        </is>
      </c>
      <c r="B3332" t="inlineStr">
        <is>
          <t>TTO</t>
        </is>
      </c>
      <c r="C3332" t="inlineStr">
        <is>
          <t>mit.typ.p2.2</t>
        </is>
      </c>
      <c r="D3332" t="n">
        <v>0</v>
      </c>
      <c r="E3332" t="n">
        <v>0.1201369936</v>
      </c>
      <c r="F3332" t="n">
        <v>0.151294694</v>
      </c>
      <c r="G3332" t="n">
        <v>0.3210062332</v>
      </c>
      <c r="H3332" t="n">
        <v>0.2265908874</v>
      </c>
    </row>
    <row r="3333">
      <c r="A3333" t="inlineStr">
        <is>
          <t>TUN|mit.typ.p2.2</t>
        </is>
      </c>
      <c r="B3333" t="inlineStr">
        <is>
          <t>TUN</t>
        </is>
      </c>
      <c r="C3333" t="inlineStr">
        <is>
          <t>mit.typ.p2.2</t>
        </is>
      </c>
      <c r="D3333" t="n">
        <v>0</v>
      </c>
      <c r="E3333" t="n">
        <v>0.340565034</v>
      </c>
      <c r="F3333" t="n">
        <v>0.4966768747</v>
      </c>
      <c r="G3333" t="n">
        <v>1.248073617</v>
      </c>
      <c r="H3333" t="n">
        <v>1.136374231</v>
      </c>
    </row>
    <row r="3334">
      <c r="A3334" t="inlineStr">
        <is>
          <t>TUR|mit.typ.p2.2</t>
        </is>
      </c>
      <c r="B3334" t="inlineStr">
        <is>
          <t>TUR</t>
        </is>
      </c>
      <c r="C3334" t="inlineStr">
        <is>
          <t>mit.typ.p2.2</t>
        </is>
      </c>
      <c r="D3334" t="n">
        <v>0</v>
      </c>
      <c r="E3334" t="n">
        <v>5.584331167</v>
      </c>
      <c r="F3334" t="n">
        <v>7.875543808</v>
      </c>
      <c r="G3334" t="n">
        <v>14.64606139</v>
      </c>
      <c r="H3334" t="n">
        <v>12.68943582</v>
      </c>
    </row>
    <row r="3335">
      <c r="A3335" t="inlineStr">
        <is>
          <t>TZA|mit.typ.p2.2</t>
        </is>
      </c>
      <c r="B3335" t="inlineStr">
        <is>
          <t>TZA</t>
        </is>
      </c>
      <c r="C3335" t="inlineStr">
        <is>
          <t>mit.typ.p2.2</t>
        </is>
      </c>
      <c r="D3335" t="n">
        <v>0</v>
      </c>
      <c r="E3335" t="n">
        <v>0.1961920391</v>
      </c>
      <c r="F3335" t="n">
        <v>0.3124544872</v>
      </c>
      <c r="G3335" t="n">
        <v>0.6895309013000001</v>
      </c>
      <c r="H3335" t="n">
        <v>0.7253880947</v>
      </c>
    </row>
    <row r="3336">
      <c r="A3336" t="inlineStr">
        <is>
          <t>UGA|mit.typ.p2.2</t>
        </is>
      </c>
      <c r="B3336" t="inlineStr">
        <is>
          <t>UGA</t>
        </is>
      </c>
      <c r="C3336" t="inlineStr">
        <is>
          <t>mit.typ.p2.2</t>
        </is>
      </c>
      <c r="D3336" t="n">
        <v>0</v>
      </c>
      <c r="E3336" t="n">
        <v>0.08938752034</v>
      </c>
      <c r="F3336" t="n">
        <v>0.1557593754</v>
      </c>
      <c r="G3336" t="n">
        <v>0.2689226564</v>
      </c>
      <c r="H3336" t="n">
        <v>0.3406110457</v>
      </c>
    </row>
    <row r="3337">
      <c r="A3337" t="inlineStr">
        <is>
          <t>UKR|mit.typ.p2.2</t>
        </is>
      </c>
      <c r="B3337" t="inlineStr">
        <is>
          <t>UKR</t>
        </is>
      </c>
      <c r="C3337" t="inlineStr">
        <is>
          <t>mit.typ.p2.2</t>
        </is>
      </c>
      <c r="D3337" t="n">
        <v>0</v>
      </c>
      <c r="E3337" t="n">
        <v>1.512659187</v>
      </c>
      <c r="F3337" t="n">
        <v>2.429762552</v>
      </c>
      <c r="G3337" t="n">
        <v>4.462187492</v>
      </c>
      <c r="H3337" t="n">
        <v>5.482021923</v>
      </c>
    </row>
    <row r="3338">
      <c r="A3338" t="inlineStr">
        <is>
          <t>URY|mit.typ.p2.2</t>
        </is>
      </c>
      <c r="B3338" t="inlineStr">
        <is>
          <t>URY</t>
        </is>
      </c>
      <c r="C3338" t="inlineStr">
        <is>
          <t>mit.typ.p2.2</t>
        </is>
      </c>
      <c r="D3338" t="n">
        <v>0</v>
      </c>
      <c r="E3338" t="n">
        <v>0.3468644731</v>
      </c>
      <c r="F3338" t="n">
        <v>0.3117959858</v>
      </c>
      <c r="G3338" t="n">
        <v>0.3670218881</v>
      </c>
      <c r="H3338" t="n">
        <v>0.3512956266</v>
      </c>
    </row>
    <row r="3339">
      <c r="A3339" t="inlineStr">
        <is>
          <t>USA|mit.typ.p2.2</t>
        </is>
      </c>
      <c r="B3339" t="inlineStr">
        <is>
          <t>USA</t>
        </is>
      </c>
      <c r="C3339" t="inlineStr">
        <is>
          <t>mit.typ.p2.2</t>
        </is>
      </c>
      <c r="D3339" t="n">
        <v>0</v>
      </c>
      <c r="E3339" t="n">
        <v>109.7188762</v>
      </c>
      <c r="F3339" t="n">
        <v>206.5294068</v>
      </c>
      <c r="G3339" t="n">
        <v>175.6968413</v>
      </c>
      <c r="H3339" t="n">
        <v>142.7712458</v>
      </c>
    </row>
    <row r="3340">
      <c r="A3340" t="inlineStr">
        <is>
          <t>UZB|mit.typ.p2.2</t>
        </is>
      </c>
      <c r="B3340" t="inlineStr">
        <is>
          <t>UZB</t>
        </is>
      </c>
      <c r="C3340" t="inlineStr">
        <is>
          <t>mit.typ.p2.2</t>
        </is>
      </c>
      <c r="D3340" t="n">
        <v>0</v>
      </c>
      <c r="E3340" t="n">
        <v>1.338225851</v>
      </c>
      <c r="F3340" t="n">
        <v>2.028245219</v>
      </c>
      <c r="G3340" t="n">
        <v>4.245512054</v>
      </c>
      <c r="H3340" t="n">
        <v>4.170500971</v>
      </c>
    </row>
    <row r="3341">
      <c r="A3341" t="inlineStr">
        <is>
          <t>VCT|mit.typ.p2.2</t>
        </is>
      </c>
      <c r="B3341" t="inlineStr">
        <is>
          <t>VCT</t>
        </is>
      </c>
      <c r="C3341" t="inlineStr">
        <is>
          <t>mit.typ.p2.2</t>
        </is>
      </c>
      <c r="D3341" t="n">
        <v>0</v>
      </c>
      <c r="E3341" t="n">
        <v>0.00699018767</v>
      </c>
      <c r="F3341" t="n">
        <v>0.009698514865999999</v>
      </c>
      <c r="G3341" t="n">
        <v>0.0202885095</v>
      </c>
      <c r="H3341" t="n">
        <v>0.01851048785</v>
      </c>
    </row>
    <row r="3342">
      <c r="A3342" t="inlineStr">
        <is>
          <t>VEN|mit.typ.p2.2</t>
        </is>
      </c>
      <c r="B3342" t="inlineStr">
        <is>
          <t>VEN</t>
        </is>
      </c>
      <c r="C3342" t="inlineStr">
        <is>
          <t>mit.typ.p2.2</t>
        </is>
      </c>
      <c r="D3342" t="n">
        <v>0</v>
      </c>
      <c r="E3342" t="n">
        <v>0.8263949205</v>
      </c>
      <c r="F3342" t="n">
        <v>1.227605232</v>
      </c>
      <c r="G3342" t="n">
        <v>1.7951321</v>
      </c>
      <c r="H3342" t="n">
        <v>2.170390232</v>
      </c>
    </row>
    <row r="3343">
      <c r="A3343" t="inlineStr">
        <is>
          <t>VNM|mit.typ.p2.2</t>
        </is>
      </c>
      <c r="B3343" t="inlineStr">
        <is>
          <t>VNM</t>
        </is>
      </c>
      <c r="C3343" t="inlineStr">
        <is>
          <t>mit.typ.p2.2</t>
        </is>
      </c>
      <c r="D3343" t="n">
        <v>0</v>
      </c>
      <c r="E3343" t="n">
        <v>2.924331188</v>
      </c>
      <c r="F3343" t="n">
        <v>4.170043101</v>
      </c>
      <c r="G3343" t="n">
        <v>7.526890978</v>
      </c>
      <c r="H3343" t="n">
        <v>7.097991029</v>
      </c>
    </row>
    <row r="3344">
      <c r="A3344" t="inlineStr">
        <is>
          <t>VUT|mit.typ.p2.2</t>
        </is>
      </c>
      <c r="B3344" t="inlineStr">
        <is>
          <t>VUT</t>
        </is>
      </c>
      <c r="C3344" t="inlineStr">
        <is>
          <t>mit.typ.p2.2</t>
        </is>
      </c>
      <c r="D3344" t="n">
        <v>0</v>
      </c>
      <c r="E3344" t="n">
        <v>0.005746052128</v>
      </c>
      <c r="F3344" t="n">
        <v>0.01010158854</v>
      </c>
      <c r="G3344" t="n">
        <v>0.02278742406</v>
      </c>
      <c r="H3344" t="n">
        <v>0.02131786599</v>
      </c>
    </row>
    <row r="3345">
      <c r="A3345" t="inlineStr">
        <is>
          <t>WSM|mit.typ.p2.2</t>
        </is>
      </c>
      <c r="B3345" t="inlineStr">
        <is>
          <t>WSM</t>
        </is>
      </c>
      <c r="C3345" t="inlineStr">
        <is>
          <t>mit.typ.p2.2</t>
        </is>
      </c>
      <c r="D3345" t="n">
        <v>0</v>
      </c>
      <c r="E3345" t="n">
        <v>0.006106953387</v>
      </c>
      <c r="F3345" t="n">
        <v>0.009240370672</v>
      </c>
      <c r="G3345" t="n">
        <v>0.01850055771</v>
      </c>
      <c r="H3345" t="n">
        <v>0.01661860168</v>
      </c>
    </row>
    <row r="3346">
      <c r="A3346" t="inlineStr">
        <is>
          <t>XKX|mit.typ.p2.2</t>
        </is>
      </c>
      <c r="B3346" t="inlineStr">
        <is>
          <t>XKX</t>
        </is>
      </c>
      <c r="C3346" t="inlineStr">
        <is>
          <t>mit.typ.p2.2</t>
        </is>
      </c>
      <c r="D3346" t="n">
        <v>0</v>
      </c>
      <c r="E3346" t="n">
        <v>0.08544393744999999</v>
      </c>
      <c r="F3346" t="n">
        <v>0.111027111</v>
      </c>
      <c r="G3346" t="n">
        <v>0.2440600821</v>
      </c>
      <c r="H3346" t="n">
        <v>0.2069756678</v>
      </c>
    </row>
    <row r="3347">
      <c r="A3347" t="inlineStr">
        <is>
          <t>YEM|mit.typ.p2.2</t>
        </is>
      </c>
      <c r="B3347" t="inlineStr">
        <is>
          <t>YEM</t>
        </is>
      </c>
      <c r="C3347" t="inlineStr">
        <is>
          <t>mit.typ.p2.2</t>
        </is>
      </c>
      <c r="D3347" t="n">
        <v>0</v>
      </c>
      <c r="E3347" t="n">
        <v>0.165638321</v>
      </c>
      <c r="F3347" t="n">
        <v>0.2234435642</v>
      </c>
      <c r="G3347" t="n">
        <v>0.4371334984</v>
      </c>
      <c r="H3347" t="n">
        <v>0.4439576593</v>
      </c>
    </row>
    <row r="3348">
      <c r="A3348" t="inlineStr">
        <is>
          <t>ZAF|mit.typ.p2.2</t>
        </is>
      </c>
      <c r="B3348" t="inlineStr">
        <is>
          <t>ZAF</t>
        </is>
      </c>
      <c r="C3348" t="inlineStr">
        <is>
          <t>mit.typ.p2.2</t>
        </is>
      </c>
      <c r="D3348" t="n">
        <v>0</v>
      </c>
      <c r="E3348" t="n">
        <v>4.282113372</v>
      </c>
      <c r="F3348" t="n">
        <v>5.716517901</v>
      </c>
      <c r="G3348" t="n">
        <v>12.12378164</v>
      </c>
      <c r="H3348" t="n">
        <v>9.762511898</v>
      </c>
    </row>
    <row r="3349">
      <c r="A3349" t="inlineStr">
        <is>
          <t>ZMB|mit.typ.p2.2</t>
        </is>
      </c>
      <c r="B3349" t="inlineStr">
        <is>
          <t>ZMB</t>
        </is>
      </c>
      <c r="C3349" t="inlineStr">
        <is>
          <t>mit.typ.p2.2</t>
        </is>
      </c>
      <c r="D3349" t="n">
        <v>0</v>
      </c>
      <c r="E3349" t="n">
        <v>0.1300852214</v>
      </c>
      <c r="F3349" t="n">
        <v>0.1856393006</v>
      </c>
      <c r="G3349" t="n">
        <v>0.318047331</v>
      </c>
      <c r="H3349" t="n">
        <v>0.3799482249</v>
      </c>
    </row>
    <row r="3350">
      <c r="A3350" t="inlineStr">
        <is>
          <t>ZWE|mit.typ.p2.2</t>
        </is>
      </c>
      <c r="B3350" t="inlineStr">
        <is>
          <t>ZWE</t>
        </is>
      </c>
      <c r="C3350" t="inlineStr">
        <is>
          <t>mit.typ.p2.2</t>
        </is>
      </c>
      <c r="D3350" t="n">
        <v>0</v>
      </c>
      <c r="E3350" t="n">
        <v>0.2614792943</v>
      </c>
      <c r="F3350" t="n">
        <v>0.2866941525</v>
      </c>
      <c r="G3350" t="n">
        <v>0.5375365946</v>
      </c>
      <c r="H3350" t="n">
        <v>0.6142799772</v>
      </c>
    </row>
    <row r="3351">
      <c r="A3351" t="inlineStr">
        <is>
          <t>ABW|mit.typ.p3.2</t>
        </is>
      </c>
      <c r="B3351" t="inlineStr">
        <is>
          <t>ABW</t>
        </is>
      </c>
      <c r="C3351" t="inlineStr">
        <is>
          <t>mit.typ.p3.2</t>
        </is>
      </c>
      <c r="D3351" t="n">
        <v>0</v>
      </c>
      <c r="E3351" t="n">
        <v>0.0149725529</v>
      </c>
      <c r="F3351" t="n">
        <v>0.01501879309</v>
      </c>
      <c r="G3351" t="n">
        <v>0.01977830881</v>
      </c>
      <c r="H3351" t="n">
        <v>0.01621627245</v>
      </c>
    </row>
    <row r="3352">
      <c r="A3352" t="inlineStr">
        <is>
          <t>AFG|mit.typ.p3.2</t>
        </is>
      </c>
      <c r="B3352" t="inlineStr">
        <is>
          <t>AFG</t>
        </is>
      </c>
      <c r="C3352" t="inlineStr">
        <is>
          <t>mit.typ.p3.2</t>
        </is>
      </c>
      <c r="D3352" t="n">
        <v>0</v>
      </c>
      <c r="E3352" t="n">
        <v>0.04435020816</v>
      </c>
      <c r="F3352" t="n">
        <v>0.06086061659</v>
      </c>
      <c r="G3352" t="n">
        <v>0.08927489029000001</v>
      </c>
      <c r="H3352" t="n">
        <v>0.1084315987</v>
      </c>
    </row>
    <row r="3353">
      <c r="A3353" t="inlineStr">
        <is>
          <t>AGO|mit.typ.p3.2</t>
        </is>
      </c>
      <c r="B3353" t="inlineStr">
        <is>
          <t>AGO</t>
        </is>
      </c>
      <c r="C3353" t="inlineStr">
        <is>
          <t>mit.typ.p3.2</t>
        </is>
      </c>
      <c r="D3353" t="n">
        <v>0</v>
      </c>
      <c r="E3353" t="n">
        <v>0.2130504121</v>
      </c>
      <c r="F3353" t="n">
        <v>0.2507240697</v>
      </c>
      <c r="G3353" t="n">
        <v>0.3757573058</v>
      </c>
      <c r="H3353" t="n">
        <v>0.455408038</v>
      </c>
    </row>
    <row r="3354">
      <c r="A3354" t="inlineStr">
        <is>
          <t>ALB|mit.typ.p3.2</t>
        </is>
      </c>
      <c r="B3354" t="inlineStr">
        <is>
          <t>ALB</t>
        </is>
      </c>
      <c r="C3354" t="inlineStr">
        <is>
          <t>mit.typ.p3.2</t>
        </is>
      </c>
      <c r="D3354" t="n">
        <v>0</v>
      </c>
      <c r="E3354" t="n">
        <v>0.09473502965</v>
      </c>
      <c r="F3354" t="n">
        <v>0.1147145487</v>
      </c>
      <c r="G3354" t="n">
        <v>0.1494254758</v>
      </c>
      <c r="H3354" t="n">
        <v>0.1736647068</v>
      </c>
    </row>
    <row r="3355">
      <c r="A3355" t="inlineStr">
        <is>
          <t>ARE|mit.typ.p3.2</t>
        </is>
      </c>
      <c r="B3355" t="inlineStr">
        <is>
          <t>ARE</t>
        </is>
      </c>
      <c r="C3355" t="inlineStr">
        <is>
          <t>mit.typ.p3.2</t>
        </is>
      </c>
      <c r="D3355" t="n">
        <v>0</v>
      </c>
      <c r="E3355" t="n">
        <v>3.817529677</v>
      </c>
      <c r="F3355" t="n">
        <v>3.727888672</v>
      </c>
      <c r="G3355" t="n">
        <v>4.927390567</v>
      </c>
      <c r="H3355" t="n">
        <v>4.028710485</v>
      </c>
    </row>
    <row r="3356">
      <c r="A3356" t="inlineStr">
        <is>
          <t>ARG|mit.typ.p3.2</t>
        </is>
      </c>
      <c r="B3356" t="inlineStr">
        <is>
          <t>ARG</t>
        </is>
      </c>
      <c r="C3356" t="inlineStr">
        <is>
          <t>mit.typ.p3.2</t>
        </is>
      </c>
      <c r="D3356" t="n">
        <v>0</v>
      </c>
      <c r="E3356" t="n">
        <v>2.652934888</v>
      </c>
      <c r="F3356" t="n">
        <v>2.892820767</v>
      </c>
      <c r="G3356" t="n">
        <v>3.599755973</v>
      </c>
      <c r="H3356" t="n">
        <v>3.029200736</v>
      </c>
    </row>
    <row r="3357">
      <c r="A3357" t="inlineStr">
        <is>
          <t>ARM|mit.typ.p3.2</t>
        </is>
      </c>
      <c r="B3357" t="inlineStr">
        <is>
          <t>ARM</t>
        </is>
      </c>
      <c r="C3357" t="inlineStr">
        <is>
          <t>mit.typ.p3.2</t>
        </is>
      </c>
      <c r="D3357" t="n">
        <v>0</v>
      </c>
      <c r="E3357" t="n">
        <v>0.2610599539</v>
      </c>
      <c r="F3357" t="n">
        <v>0.2802167975</v>
      </c>
      <c r="G3357" t="n">
        <v>0.3608569133</v>
      </c>
      <c r="H3357" t="n">
        <v>0.3602687294</v>
      </c>
    </row>
    <row r="3358">
      <c r="A3358" t="inlineStr">
        <is>
          <t>ATG|mit.typ.p3.2</t>
        </is>
      </c>
      <c r="B3358" t="inlineStr">
        <is>
          <t>ATG</t>
        </is>
      </c>
      <c r="C3358" t="inlineStr">
        <is>
          <t>mit.typ.p3.2</t>
        </is>
      </c>
      <c r="D3358" t="n">
        <v>0</v>
      </c>
      <c r="E3358" t="n">
        <v>0.01377301657</v>
      </c>
      <c r="F3358" t="n">
        <v>0.01831584106</v>
      </c>
      <c r="G3358" t="n">
        <v>0.02724650442</v>
      </c>
      <c r="H3358" t="n">
        <v>0.02263457131</v>
      </c>
    </row>
    <row r="3359">
      <c r="A3359" t="inlineStr">
        <is>
          <t>AUS|mit.typ.p3.2</t>
        </is>
      </c>
      <c r="B3359" t="inlineStr">
        <is>
          <t>AUS</t>
        </is>
      </c>
      <c r="C3359" t="inlineStr">
        <is>
          <t>mit.typ.p3.2</t>
        </is>
      </c>
      <c r="D3359" t="n">
        <v>0</v>
      </c>
      <c r="E3359" t="n">
        <v>14.07809437</v>
      </c>
      <c r="F3359" t="n">
        <v>19.44518625</v>
      </c>
      <c r="G3359" t="n">
        <v>16.56003892</v>
      </c>
      <c r="H3359" t="n">
        <v>16.2929556</v>
      </c>
    </row>
    <row r="3360">
      <c r="A3360" t="inlineStr">
        <is>
          <t>AUT|mit.typ.p3.2</t>
        </is>
      </c>
      <c r="B3360" t="inlineStr">
        <is>
          <t>AUT</t>
        </is>
      </c>
      <c r="C3360" t="inlineStr">
        <is>
          <t>mit.typ.p3.2</t>
        </is>
      </c>
      <c r="D3360" t="n">
        <v>0</v>
      </c>
      <c r="E3360" t="n">
        <v>2.788496063</v>
      </c>
      <c r="F3360" t="n">
        <v>3.324903091</v>
      </c>
      <c r="G3360" t="n">
        <v>3.196043566</v>
      </c>
      <c r="H3360" t="n">
        <v>3.130221666</v>
      </c>
    </row>
    <row r="3361">
      <c r="A3361" t="inlineStr">
        <is>
          <t>AZE|mit.typ.p3.2</t>
        </is>
      </c>
      <c r="B3361" t="inlineStr">
        <is>
          <t>AZE</t>
        </is>
      </c>
      <c r="C3361" t="inlineStr">
        <is>
          <t>mit.typ.p3.2</t>
        </is>
      </c>
      <c r="D3361" t="n">
        <v>0</v>
      </c>
      <c r="E3361" t="n">
        <v>0.3331175633</v>
      </c>
      <c r="F3361" t="n">
        <v>0.4612288966</v>
      </c>
      <c r="G3361" t="n">
        <v>0.7851965073</v>
      </c>
      <c r="H3361" t="n">
        <v>0.6558866103</v>
      </c>
    </row>
    <row r="3362">
      <c r="A3362" t="inlineStr">
        <is>
          <t>BDI|mit.typ.p3.2</t>
        </is>
      </c>
      <c r="B3362" t="inlineStr">
        <is>
          <t>BDI</t>
        </is>
      </c>
      <c r="C3362" t="inlineStr">
        <is>
          <t>mit.typ.p3.2</t>
        </is>
      </c>
      <c r="D3362" t="n">
        <v>0</v>
      </c>
      <c r="E3362" t="n">
        <v>0.008492182851999999</v>
      </c>
      <c r="F3362" t="n">
        <v>0.01331603917</v>
      </c>
      <c r="G3362" t="n">
        <v>0.02031134305</v>
      </c>
      <c r="H3362" t="n">
        <v>0.02480872708</v>
      </c>
    </row>
    <row r="3363">
      <c r="A3363" t="inlineStr">
        <is>
          <t>BEL|mit.typ.p3.2</t>
        </is>
      </c>
      <c r="B3363" t="inlineStr">
        <is>
          <t>BEL</t>
        </is>
      </c>
      <c r="C3363" t="inlineStr">
        <is>
          <t>mit.typ.p3.2</t>
        </is>
      </c>
      <c r="D3363" t="n">
        <v>0</v>
      </c>
      <c r="E3363" t="n">
        <v>3.85542434</v>
      </c>
      <c r="F3363" t="n">
        <v>4.532645175</v>
      </c>
      <c r="G3363" t="n">
        <v>4.443179001</v>
      </c>
      <c r="H3363" t="n">
        <v>4.216774711</v>
      </c>
    </row>
    <row r="3364">
      <c r="A3364" t="inlineStr">
        <is>
          <t>BEN|mit.typ.p3.2</t>
        </is>
      </c>
      <c r="B3364" t="inlineStr">
        <is>
          <t>BEN</t>
        </is>
      </c>
      <c r="C3364" t="inlineStr">
        <is>
          <t>mit.typ.p3.2</t>
        </is>
      </c>
      <c r="D3364" t="n">
        <v>0</v>
      </c>
      <c r="E3364" t="n">
        <v>0.06381257191</v>
      </c>
      <c r="F3364" t="n">
        <v>0.1013484865</v>
      </c>
      <c r="G3364" t="n">
        <v>0.1660208782</v>
      </c>
      <c r="H3364" t="n">
        <v>0.1864258289</v>
      </c>
    </row>
    <row r="3365">
      <c r="A3365" t="inlineStr">
        <is>
          <t>BFA|mit.typ.p3.2</t>
        </is>
      </c>
      <c r="B3365" t="inlineStr">
        <is>
          <t>BFA</t>
        </is>
      </c>
      <c r="C3365" t="inlineStr">
        <is>
          <t>mit.typ.p3.2</t>
        </is>
      </c>
      <c r="D3365" t="n">
        <v>0</v>
      </c>
      <c r="E3365" t="n">
        <v>0.07638144579</v>
      </c>
      <c r="F3365" t="n">
        <v>0.1134812694</v>
      </c>
      <c r="G3365" t="n">
        <v>0.2004526259</v>
      </c>
      <c r="H3365" t="n">
        <v>0.2192401523</v>
      </c>
    </row>
    <row r="3366">
      <c r="A3366" t="inlineStr">
        <is>
          <t>BGD|mit.typ.p3.2</t>
        </is>
      </c>
      <c r="B3366" t="inlineStr">
        <is>
          <t>BGD</t>
        </is>
      </c>
      <c r="C3366" t="inlineStr">
        <is>
          <t>mit.typ.p3.2</t>
        </is>
      </c>
      <c r="D3366" t="n">
        <v>0</v>
      </c>
      <c r="E3366" t="n">
        <v>1.561738412</v>
      </c>
      <c r="F3366" t="n">
        <v>2.150030818</v>
      </c>
      <c r="G3366" t="n">
        <v>3.670052326</v>
      </c>
      <c r="H3366" t="n">
        <v>3.511518253</v>
      </c>
    </row>
    <row r="3367">
      <c r="A3367" t="inlineStr">
        <is>
          <t>BGR|mit.typ.p3.2</t>
        </is>
      </c>
      <c r="B3367" t="inlineStr">
        <is>
          <t>BGR</t>
        </is>
      </c>
      <c r="C3367" t="inlineStr">
        <is>
          <t>mit.typ.p3.2</t>
        </is>
      </c>
      <c r="D3367" t="n">
        <v>0</v>
      </c>
      <c r="E3367" t="n">
        <v>0.7551450068</v>
      </c>
      <c r="F3367" t="n">
        <v>0.9812413095</v>
      </c>
      <c r="G3367" t="n">
        <v>1.168720539</v>
      </c>
      <c r="H3367" t="n">
        <v>1.283828258</v>
      </c>
    </row>
    <row r="3368">
      <c r="A3368" t="inlineStr">
        <is>
          <t>BHR|mit.typ.p3.2</t>
        </is>
      </c>
      <c r="B3368" t="inlineStr">
        <is>
          <t>BHR</t>
        </is>
      </c>
      <c r="C3368" t="inlineStr">
        <is>
          <t>mit.typ.p3.2</t>
        </is>
      </c>
      <c r="D3368" t="n">
        <v>0</v>
      </c>
      <c r="E3368" t="n">
        <v>0.2904811596</v>
      </c>
      <c r="F3368" t="n">
        <v>0.2728326634</v>
      </c>
      <c r="G3368" t="n">
        <v>0.3717728222</v>
      </c>
      <c r="H3368" t="n">
        <v>0.2341927035</v>
      </c>
    </row>
    <row r="3369">
      <c r="A3369" t="inlineStr">
        <is>
          <t>BHS|mit.typ.p3.2</t>
        </is>
      </c>
      <c r="B3369" t="inlineStr">
        <is>
          <t>BHS</t>
        </is>
      </c>
      <c r="C3369" t="inlineStr">
        <is>
          <t>mit.typ.p3.2</t>
        </is>
      </c>
      <c r="D3369" t="n">
        <v>0</v>
      </c>
      <c r="E3369" t="n">
        <v>0.09379377466</v>
      </c>
      <c r="F3369" t="n">
        <v>0.1001529387</v>
      </c>
      <c r="G3369" t="n">
        <v>0.1310928669</v>
      </c>
      <c r="H3369" t="n">
        <v>0.1029648379</v>
      </c>
    </row>
    <row r="3370">
      <c r="A3370" t="inlineStr">
        <is>
          <t>BIH|mit.typ.p3.2</t>
        </is>
      </c>
      <c r="B3370" t="inlineStr">
        <is>
          <t>BIH</t>
        </is>
      </c>
      <c r="C3370" t="inlineStr">
        <is>
          <t>mit.typ.p3.2</t>
        </is>
      </c>
      <c r="D3370" t="n">
        <v>0</v>
      </c>
      <c r="E3370" t="n">
        <v>0.2541013051</v>
      </c>
      <c r="F3370" t="n">
        <v>0.3372924446</v>
      </c>
      <c r="G3370" t="n">
        <v>0.5558910653</v>
      </c>
      <c r="H3370" t="n">
        <v>0.4841697254</v>
      </c>
    </row>
    <row r="3371">
      <c r="A3371" t="inlineStr">
        <is>
          <t>BLR|mit.typ.p3.2</t>
        </is>
      </c>
      <c r="B3371" t="inlineStr">
        <is>
          <t>BLR</t>
        </is>
      </c>
      <c r="C3371" t="inlineStr">
        <is>
          <t>mit.typ.p3.2</t>
        </is>
      </c>
      <c r="D3371" t="n">
        <v>0</v>
      </c>
      <c r="E3371" t="n">
        <v>0.1972413814</v>
      </c>
      <c r="F3371" t="n">
        <v>0.2587098091</v>
      </c>
      <c r="G3371" t="n">
        <v>0.3923642</v>
      </c>
      <c r="H3371" t="n">
        <v>0.367131519</v>
      </c>
    </row>
    <row r="3372">
      <c r="A3372" t="inlineStr">
        <is>
          <t>BLZ|mit.typ.p3.2</t>
        </is>
      </c>
      <c r="B3372" t="inlineStr">
        <is>
          <t>BLZ</t>
        </is>
      </c>
      <c r="C3372" t="inlineStr">
        <is>
          <t>mit.typ.p3.2</t>
        </is>
      </c>
      <c r="D3372" t="n">
        <v>0</v>
      </c>
      <c r="E3372" t="n">
        <v>0.008276498689</v>
      </c>
      <c r="F3372" t="n">
        <v>0.01050607349</v>
      </c>
      <c r="G3372" t="n">
        <v>0.0144865579</v>
      </c>
      <c r="H3372" t="n">
        <v>0.01552496634</v>
      </c>
    </row>
    <row r="3373">
      <c r="A3373" t="inlineStr">
        <is>
          <t>BOL|mit.typ.p3.2</t>
        </is>
      </c>
      <c r="B3373" t="inlineStr">
        <is>
          <t>BOL</t>
        </is>
      </c>
      <c r="C3373" t="inlineStr">
        <is>
          <t>mit.typ.p3.2</t>
        </is>
      </c>
      <c r="D3373" t="n">
        <v>0</v>
      </c>
      <c r="E3373" t="n">
        <v>0.2186585115</v>
      </c>
      <c r="F3373" t="n">
        <v>0.2357439014</v>
      </c>
      <c r="G3373" t="n">
        <v>0.4831319403</v>
      </c>
      <c r="H3373" t="n">
        <v>0.5290955671999999</v>
      </c>
    </row>
    <row r="3374">
      <c r="A3374" t="inlineStr">
        <is>
          <t>BRA|mit.typ.p3.2</t>
        </is>
      </c>
      <c r="B3374" t="inlineStr">
        <is>
          <t>BRA</t>
        </is>
      </c>
      <c r="C3374" t="inlineStr">
        <is>
          <t>mit.typ.p3.2</t>
        </is>
      </c>
      <c r="D3374" t="n">
        <v>0</v>
      </c>
      <c r="E3374" t="n">
        <v>10.0270409</v>
      </c>
      <c r="F3374" t="n">
        <v>11.94818589</v>
      </c>
      <c r="G3374" t="n">
        <v>16.86150224</v>
      </c>
      <c r="H3374" t="n">
        <v>18.07238399</v>
      </c>
    </row>
    <row r="3375">
      <c r="A3375" t="inlineStr">
        <is>
          <t>BRB|mit.typ.p3.2</t>
        </is>
      </c>
      <c r="B3375" t="inlineStr">
        <is>
          <t>BRB</t>
        </is>
      </c>
      <c r="C3375" t="inlineStr">
        <is>
          <t>mit.typ.p3.2</t>
        </is>
      </c>
      <c r="D3375" t="n">
        <v>0</v>
      </c>
      <c r="E3375" t="n">
        <v>0.01529469738</v>
      </c>
      <c r="F3375" t="n">
        <v>0.01781578145</v>
      </c>
      <c r="G3375" t="n">
        <v>0.02327126843</v>
      </c>
      <c r="H3375" t="n">
        <v>0.01856374375</v>
      </c>
    </row>
    <row r="3376">
      <c r="A3376" t="inlineStr">
        <is>
          <t>BRN|mit.typ.p3.2</t>
        </is>
      </c>
      <c r="B3376" t="inlineStr">
        <is>
          <t>BRN</t>
        </is>
      </c>
      <c r="C3376" t="inlineStr">
        <is>
          <t>mit.typ.p3.2</t>
        </is>
      </c>
      <c r="D3376" t="n">
        <v>0</v>
      </c>
      <c r="E3376" t="n">
        <v>0.02990642646</v>
      </c>
      <c r="F3376" t="n">
        <v>0.04089495844</v>
      </c>
      <c r="G3376" t="n">
        <v>0.05594703348</v>
      </c>
      <c r="H3376" t="n">
        <v>0.04323965058</v>
      </c>
    </row>
    <row r="3377">
      <c r="A3377" t="inlineStr">
        <is>
          <t>BTN|mit.typ.p3.2</t>
        </is>
      </c>
      <c r="B3377" t="inlineStr">
        <is>
          <t>BTN</t>
        </is>
      </c>
      <c r="C3377" t="inlineStr">
        <is>
          <t>mit.typ.p3.2</t>
        </is>
      </c>
      <c r="D3377" t="n">
        <v>0</v>
      </c>
      <c r="E3377" t="n">
        <v>0.001133424566</v>
      </c>
      <c r="F3377" t="n">
        <v>0.001657937062</v>
      </c>
      <c r="G3377" t="n">
        <v>0.002473166255</v>
      </c>
      <c r="H3377" t="n">
        <v>0.01617140108</v>
      </c>
    </row>
    <row r="3378">
      <c r="A3378" t="inlineStr">
        <is>
          <t>BWA|mit.typ.p3.2</t>
        </is>
      </c>
      <c r="B3378" t="inlineStr">
        <is>
          <t>BWA</t>
        </is>
      </c>
      <c r="C3378" t="inlineStr">
        <is>
          <t>mit.typ.p3.2</t>
        </is>
      </c>
      <c r="D3378" t="n">
        <v>0</v>
      </c>
      <c r="E3378" t="n">
        <v>0.06619136370000001</v>
      </c>
      <c r="F3378" t="n">
        <v>0.1095461442</v>
      </c>
      <c r="G3378" t="n">
        <v>0.173313092</v>
      </c>
      <c r="H3378" t="n">
        <v>0.1440255837</v>
      </c>
    </row>
    <row r="3379">
      <c r="A3379" t="inlineStr">
        <is>
          <t>CAF|mit.typ.p3.2</t>
        </is>
      </c>
      <c r="B3379" t="inlineStr">
        <is>
          <t>CAF</t>
        </is>
      </c>
      <c r="C3379" t="inlineStr">
        <is>
          <t>mit.typ.p3.2</t>
        </is>
      </c>
      <c r="D3379" t="n">
        <v>0</v>
      </c>
      <c r="E3379" t="n">
        <v>0.002910754263</v>
      </c>
      <c r="F3379" t="n">
        <v>0.00615984676</v>
      </c>
      <c r="G3379" t="n">
        <v>0.009798637771999999</v>
      </c>
      <c r="H3379" t="n">
        <v>0.01242967327</v>
      </c>
    </row>
    <row r="3380">
      <c r="A3380" t="inlineStr">
        <is>
          <t>CAN|mit.typ.p3.2</t>
        </is>
      </c>
      <c r="B3380" t="inlineStr">
        <is>
          <t>CAN</t>
        </is>
      </c>
      <c r="C3380" t="inlineStr">
        <is>
          <t>mit.typ.p3.2</t>
        </is>
      </c>
      <c r="D3380" t="n">
        <v>0</v>
      </c>
      <c r="E3380" t="n">
        <v>16.51454476</v>
      </c>
      <c r="F3380" t="n">
        <v>20.01735782</v>
      </c>
      <c r="G3380" t="n">
        <v>19.33222021</v>
      </c>
      <c r="H3380" t="n">
        <v>18.96548597</v>
      </c>
    </row>
    <row r="3381">
      <c r="A3381" t="inlineStr">
        <is>
          <t>CHE|mit.typ.p3.2</t>
        </is>
      </c>
      <c r="B3381" t="inlineStr">
        <is>
          <t>CHE</t>
        </is>
      </c>
      <c r="C3381" t="inlineStr">
        <is>
          <t>mit.typ.p3.2</t>
        </is>
      </c>
      <c r="D3381" t="n">
        <v>0</v>
      </c>
      <c r="E3381" t="n">
        <v>3.826652185</v>
      </c>
      <c r="F3381" t="n">
        <v>4.370834945</v>
      </c>
      <c r="G3381" t="n">
        <v>4.827338664</v>
      </c>
      <c r="H3381" t="n">
        <v>4.984666711</v>
      </c>
    </row>
    <row r="3382">
      <c r="A3382" t="inlineStr">
        <is>
          <t>CHL|mit.typ.p3.2</t>
        </is>
      </c>
      <c r="B3382" t="inlineStr">
        <is>
          <t>CHL</t>
        </is>
      </c>
      <c r="C3382" t="inlineStr">
        <is>
          <t>mit.typ.p3.2</t>
        </is>
      </c>
      <c r="D3382" t="n">
        <v>0</v>
      </c>
      <c r="E3382" t="n">
        <v>1.637139484</v>
      </c>
      <c r="F3382" t="n">
        <v>2.003801728</v>
      </c>
      <c r="G3382" t="n">
        <v>2.577839391</v>
      </c>
      <c r="H3382" t="n">
        <v>2.036577902</v>
      </c>
    </row>
    <row r="3383">
      <c r="A3383" t="inlineStr">
        <is>
          <t>CHN|mit.typ.p3.2</t>
        </is>
      </c>
      <c r="B3383" t="inlineStr">
        <is>
          <t>CHN</t>
        </is>
      </c>
      <c r="C3383" t="inlineStr">
        <is>
          <t>mit.typ.p3.2</t>
        </is>
      </c>
      <c r="D3383" t="n">
        <v>0</v>
      </c>
      <c r="E3383" t="n">
        <v>280.3248178</v>
      </c>
      <c r="F3383" t="n">
        <v>345.7206898</v>
      </c>
      <c r="G3383" t="n">
        <v>509.4593533</v>
      </c>
      <c r="H3383" t="n">
        <v>382.254402</v>
      </c>
    </row>
    <row r="3384">
      <c r="A3384" t="inlineStr">
        <is>
          <t>CIV|mit.typ.p3.2</t>
        </is>
      </c>
      <c r="B3384" t="inlineStr">
        <is>
          <t>CIV</t>
        </is>
      </c>
      <c r="C3384" t="inlineStr">
        <is>
          <t>mit.typ.p3.2</t>
        </is>
      </c>
      <c r="D3384" t="n">
        <v>0</v>
      </c>
      <c r="E3384" t="n">
        <v>0.2315673789</v>
      </c>
      <c r="F3384" t="n">
        <v>0.32258797</v>
      </c>
      <c r="G3384" t="n">
        <v>0.5091056658000001</v>
      </c>
      <c r="H3384" t="n">
        <v>0.5702043963</v>
      </c>
    </row>
    <row r="3385">
      <c r="A3385" t="inlineStr">
        <is>
          <t>CMR|mit.typ.p3.2</t>
        </is>
      </c>
      <c r="B3385" t="inlineStr">
        <is>
          <t>CMR</t>
        </is>
      </c>
      <c r="C3385" t="inlineStr">
        <is>
          <t>mit.typ.p3.2</t>
        </is>
      </c>
      <c r="D3385" t="n">
        <v>0</v>
      </c>
      <c r="E3385" t="n">
        <v>0.1320882663</v>
      </c>
      <c r="F3385" t="n">
        <v>0.1837600061</v>
      </c>
      <c r="G3385" t="n">
        <v>0.2469953145</v>
      </c>
      <c r="H3385" t="n">
        <v>0.3008132289</v>
      </c>
    </row>
    <row r="3386">
      <c r="A3386" t="inlineStr">
        <is>
          <t>COD|mit.typ.p3.2</t>
        </is>
      </c>
      <c r="B3386" t="inlineStr">
        <is>
          <t>COD</t>
        </is>
      </c>
      <c r="C3386" t="inlineStr">
        <is>
          <t>mit.typ.p3.2</t>
        </is>
      </c>
      <c r="D3386" t="n">
        <v>0</v>
      </c>
      <c r="E3386" t="n">
        <v>0.137125268</v>
      </c>
      <c r="F3386" t="n">
        <v>0.182502586</v>
      </c>
      <c r="G3386" t="n">
        <v>0.2491011949</v>
      </c>
      <c r="H3386" t="n">
        <v>0.3254505223</v>
      </c>
    </row>
    <row r="3387">
      <c r="A3387" t="inlineStr">
        <is>
          <t>COG|mit.typ.p3.2</t>
        </is>
      </c>
      <c r="B3387" t="inlineStr">
        <is>
          <t>COG</t>
        </is>
      </c>
      <c r="C3387" t="inlineStr">
        <is>
          <t>mit.typ.p3.2</t>
        </is>
      </c>
      <c r="D3387" t="n">
        <v>0</v>
      </c>
      <c r="E3387" t="n">
        <v>0.009331488668</v>
      </c>
      <c r="F3387" t="n">
        <v>0.0171041874</v>
      </c>
      <c r="G3387" t="n">
        <v>0.02685712282</v>
      </c>
      <c r="H3387" t="n">
        <v>0.02822763051</v>
      </c>
    </row>
    <row r="3388">
      <c r="A3388" t="inlineStr">
        <is>
          <t>COL|mit.typ.p3.2</t>
        </is>
      </c>
      <c r="B3388" t="inlineStr">
        <is>
          <t>COL</t>
        </is>
      </c>
      <c r="C3388" t="inlineStr">
        <is>
          <t>mit.typ.p3.2</t>
        </is>
      </c>
      <c r="D3388" t="n">
        <v>0</v>
      </c>
      <c r="E3388" t="n">
        <v>1.079495475</v>
      </c>
      <c r="F3388" t="n">
        <v>1.300026484</v>
      </c>
      <c r="G3388" t="n">
        <v>1.862228311</v>
      </c>
      <c r="H3388" t="n">
        <v>2.06584372</v>
      </c>
    </row>
    <row r="3389">
      <c r="A3389" t="inlineStr">
        <is>
          <t>COM|mit.typ.p3.2</t>
        </is>
      </c>
      <c r="B3389" t="inlineStr">
        <is>
          <t>COM</t>
        </is>
      </c>
      <c r="C3389" t="inlineStr">
        <is>
          <t>mit.typ.p3.2</t>
        </is>
      </c>
      <c r="D3389" t="n">
        <v>0</v>
      </c>
      <c r="E3389" t="n">
        <v>0.002820241784</v>
      </c>
      <c r="F3389" t="n">
        <v>0.004606936056</v>
      </c>
      <c r="G3389" t="n">
        <v>0.007812211882</v>
      </c>
      <c r="H3389" t="n">
        <v>0.00879940293</v>
      </c>
    </row>
    <row r="3390">
      <c r="A3390" t="inlineStr">
        <is>
          <t>CPV|mit.typ.p3.2</t>
        </is>
      </c>
      <c r="B3390" t="inlineStr">
        <is>
          <t>CPV</t>
        </is>
      </c>
      <c r="C3390" t="inlineStr">
        <is>
          <t>mit.typ.p3.2</t>
        </is>
      </c>
      <c r="D3390" t="n">
        <v>0</v>
      </c>
      <c r="E3390" t="n">
        <v>0.01611586514</v>
      </c>
      <c r="F3390" t="n">
        <v>0.01976412222</v>
      </c>
      <c r="G3390" t="n">
        <v>0.02849975383</v>
      </c>
      <c r="H3390" t="n">
        <v>0.03115209933</v>
      </c>
    </row>
    <row r="3391">
      <c r="A3391" t="inlineStr">
        <is>
          <t>CRI|mit.typ.p3.2</t>
        </is>
      </c>
      <c r="B3391" t="inlineStr">
        <is>
          <t>CRI</t>
        </is>
      </c>
      <c r="C3391" t="inlineStr">
        <is>
          <t>mit.typ.p3.2</t>
        </is>
      </c>
      <c r="D3391" t="n">
        <v>0</v>
      </c>
      <c r="E3391" t="n">
        <v>0.263005404</v>
      </c>
      <c r="F3391" t="n">
        <v>0.3166612608</v>
      </c>
      <c r="G3391" t="n">
        <v>0.422891943</v>
      </c>
      <c r="H3391" t="n">
        <v>0.4801527126</v>
      </c>
    </row>
    <row r="3392">
      <c r="A3392" t="inlineStr">
        <is>
          <t>CYP|mit.typ.p3.2</t>
        </is>
      </c>
      <c r="B3392" t="inlineStr">
        <is>
          <t>CYP</t>
        </is>
      </c>
      <c r="C3392" t="inlineStr">
        <is>
          <t>mit.typ.p3.2</t>
        </is>
      </c>
      <c r="D3392" t="n">
        <v>0</v>
      </c>
      <c r="E3392" t="n">
        <v>0.1394808598</v>
      </c>
      <c r="F3392" t="n">
        <v>0.1858221754</v>
      </c>
      <c r="G3392" t="n">
        <v>0.1623097409</v>
      </c>
      <c r="H3392" t="n">
        <v>0.1667243102</v>
      </c>
    </row>
    <row r="3393">
      <c r="A3393" t="inlineStr">
        <is>
          <t>CZE|mit.typ.p3.2</t>
        </is>
      </c>
      <c r="B3393" t="inlineStr">
        <is>
          <t>CZE</t>
        </is>
      </c>
      <c r="C3393" t="inlineStr">
        <is>
          <t>mit.typ.p3.2</t>
        </is>
      </c>
      <c r="D3393" t="n">
        <v>0</v>
      </c>
      <c r="E3393" t="n">
        <v>3.054766287</v>
      </c>
      <c r="F3393" t="n">
        <v>4.120529004</v>
      </c>
      <c r="G3393" t="n">
        <v>3.647593015</v>
      </c>
      <c r="H3393" t="n">
        <v>3.321539726</v>
      </c>
    </row>
    <row r="3394">
      <c r="A3394" t="inlineStr">
        <is>
          <t>DEU|mit.typ.p3.2</t>
        </is>
      </c>
      <c r="B3394" t="inlineStr">
        <is>
          <t>DEU</t>
        </is>
      </c>
      <c r="C3394" t="inlineStr">
        <is>
          <t>mit.typ.p3.2</t>
        </is>
      </c>
      <c r="D3394" t="n">
        <v>0</v>
      </c>
      <c r="E3394" t="n">
        <v>30.58732406</v>
      </c>
      <c r="F3394" t="n">
        <v>38.31480346</v>
      </c>
      <c r="G3394" t="n">
        <v>34.31848476</v>
      </c>
      <c r="H3394" t="n">
        <v>32.25106601</v>
      </c>
    </row>
    <row r="3395">
      <c r="A3395" t="inlineStr">
        <is>
          <t>DJI|mit.typ.p3.2</t>
        </is>
      </c>
      <c r="B3395" t="inlineStr">
        <is>
          <t>DJI</t>
        </is>
      </c>
      <c r="C3395" t="inlineStr">
        <is>
          <t>mit.typ.p3.2</t>
        </is>
      </c>
      <c r="D3395" t="n">
        <v>0</v>
      </c>
      <c r="E3395" t="n">
        <v>0.01982261657</v>
      </c>
      <c r="F3395" t="n">
        <v>0.02473786474</v>
      </c>
      <c r="G3395" t="n">
        <v>0.03635335923</v>
      </c>
      <c r="H3395" t="n">
        <v>0.03984513255</v>
      </c>
    </row>
    <row r="3396">
      <c r="A3396" t="inlineStr">
        <is>
          <t>DMA|mit.typ.p3.2</t>
        </is>
      </c>
      <c r="B3396" t="inlineStr">
        <is>
          <t>DMA</t>
        </is>
      </c>
      <c r="C3396" t="inlineStr">
        <is>
          <t>mit.typ.p3.2</t>
        </is>
      </c>
      <c r="D3396" t="n">
        <v>0</v>
      </c>
      <c r="E3396" t="n">
        <v>0.001499230423</v>
      </c>
      <c r="F3396" t="n">
        <v>0.001816218058</v>
      </c>
      <c r="G3396" t="n">
        <v>0.002727648604</v>
      </c>
      <c r="H3396" t="n">
        <v>0.00263471624</v>
      </c>
    </row>
    <row r="3397">
      <c r="A3397" t="inlineStr">
        <is>
          <t>DNK|mit.typ.p3.2</t>
        </is>
      </c>
      <c r="B3397" t="inlineStr">
        <is>
          <t>DNK</t>
        </is>
      </c>
      <c r="C3397" t="inlineStr">
        <is>
          <t>mit.typ.p3.2</t>
        </is>
      </c>
      <c r="D3397" t="n">
        <v>0</v>
      </c>
      <c r="E3397" t="n">
        <v>2.452606921</v>
      </c>
      <c r="F3397" t="n">
        <v>2.337286031</v>
      </c>
      <c r="G3397" t="n">
        <v>2.436251505</v>
      </c>
      <c r="H3397" t="n">
        <v>2.450464675</v>
      </c>
    </row>
    <row r="3398">
      <c r="A3398" t="inlineStr">
        <is>
          <t>DOM|mit.typ.p3.2</t>
        </is>
      </c>
      <c r="B3398" t="inlineStr">
        <is>
          <t>DOM</t>
        </is>
      </c>
      <c r="C3398" t="inlineStr">
        <is>
          <t>mit.typ.p3.2</t>
        </is>
      </c>
      <c r="D3398" t="n">
        <v>0</v>
      </c>
      <c r="E3398" t="n">
        <v>0.3764399084</v>
      </c>
      <c r="F3398" t="n">
        <v>0.5359522145</v>
      </c>
      <c r="G3398" t="n">
        <v>0.841471528</v>
      </c>
      <c r="H3398" t="n">
        <v>0.7831879049</v>
      </c>
    </row>
    <row r="3399">
      <c r="A3399" t="inlineStr">
        <is>
          <t>DZA|mit.typ.p3.2</t>
        </is>
      </c>
      <c r="B3399" t="inlineStr">
        <is>
          <t>DZA</t>
        </is>
      </c>
      <c r="C3399" t="inlineStr">
        <is>
          <t>mit.typ.p3.2</t>
        </is>
      </c>
      <c r="D3399" t="n">
        <v>0</v>
      </c>
      <c r="E3399" t="n">
        <v>1.095635146</v>
      </c>
      <c r="F3399" t="n">
        <v>1.362336749</v>
      </c>
      <c r="G3399" t="n">
        <v>2.009382599</v>
      </c>
      <c r="H3399" t="n">
        <v>1.841682035</v>
      </c>
    </row>
    <row r="3400">
      <c r="A3400" t="inlineStr">
        <is>
          <t>ECU|mit.typ.p3.2</t>
        </is>
      </c>
      <c r="B3400" t="inlineStr">
        <is>
          <t>ECU</t>
        </is>
      </c>
      <c r="C3400" t="inlineStr">
        <is>
          <t>mit.typ.p3.2</t>
        </is>
      </c>
      <c r="D3400" t="n">
        <v>0</v>
      </c>
      <c r="E3400" t="n">
        <v>0.8135564295</v>
      </c>
      <c r="F3400" t="n">
        <v>0.9701351365999999</v>
      </c>
      <c r="G3400" t="n">
        <v>1.534721812</v>
      </c>
      <c r="H3400" t="n">
        <v>1.513605992</v>
      </c>
    </row>
    <row r="3401">
      <c r="A3401" t="inlineStr">
        <is>
          <t>EGY|mit.typ.p3.2</t>
        </is>
      </c>
      <c r="B3401" t="inlineStr">
        <is>
          <t>EGY</t>
        </is>
      </c>
      <c r="C3401" t="inlineStr">
        <is>
          <t>mit.typ.p3.2</t>
        </is>
      </c>
      <c r="D3401" t="n">
        <v>0</v>
      </c>
      <c r="E3401" t="n">
        <v>1.441957587</v>
      </c>
      <c r="F3401" t="n">
        <v>1.798936608</v>
      </c>
      <c r="G3401" t="n">
        <v>2.857949661</v>
      </c>
      <c r="H3401" t="n">
        <v>2.913731953</v>
      </c>
    </row>
    <row r="3402">
      <c r="A3402" t="inlineStr">
        <is>
          <t>ESP|mit.typ.p3.2</t>
        </is>
      </c>
      <c r="B3402" t="inlineStr">
        <is>
          <t>ESP</t>
        </is>
      </c>
      <c r="C3402" t="inlineStr">
        <is>
          <t>mit.typ.p3.2</t>
        </is>
      </c>
      <c r="D3402" t="n">
        <v>0</v>
      </c>
      <c r="E3402" t="n">
        <v>12.18921206</v>
      </c>
      <c r="F3402" t="n">
        <v>14.46751059</v>
      </c>
      <c r="G3402" t="n">
        <v>13.68462131</v>
      </c>
      <c r="H3402" t="n">
        <v>13.46062631</v>
      </c>
    </row>
    <row r="3403">
      <c r="A3403" t="inlineStr">
        <is>
          <t>EST|mit.typ.p3.2</t>
        </is>
      </c>
      <c r="B3403" t="inlineStr">
        <is>
          <t>EST</t>
        </is>
      </c>
      <c r="C3403" t="inlineStr">
        <is>
          <t>mit.typ.p3.2</t>
        </is>
      </c>
      <c r="D3403" t="n">
        <v>0</v>
      </c>
      <c r="E3403" t="n">
        <v>0.2589303209</v>
      </c>
      <c r="F3403" t="n">
        <v>0.325824894</v>
      </c>
      <c r="G3403" t="n">
        <v>0.2849616563</v>
      </c>
      <c r="H3403" t="n">
        <v>0.2771789226</v>
      </c>
    </row>
    <row r="3404">
      <c r="A3404" t="inlineStr">
        <is>
          <t>ETH|mit.typ.p3.2</t>
        </is>
      </c>
      <c r="B3404" t="inlineStr">
        <is>
          <t>ETH</t>
        </is>
      </c>
      <c r="C3404" t="inlineStr">
        <is>
          <t>mit.typ.p3.2</t>
        </is>
      </c>
      <c r="D3404" t="n">
        <v>0</v>
      </c>
      <c r="E3404" t="n">
        <v>0.1246062511</v>
      </c>
      <c r="F3404" t="n">
        <v>0.509983678</v>
      </c>
      <c r="G3404" t="n">
        <v>0.7876572596</v>
      </c>
      <c r="H3404" t="n">
        <v>1.064121136</v>
      </c>
    </row>
    <row r="3405">
      <c r="A3405" t="inlineStr">
        <is>
          <t>FIN|mit.typ.p3.2</t>
        </is>
      </c>
      <c r="B3405" t="inlineStr">
        <is>
          <t>FIN</t>
        </is>
      </c>
      <c r="C3405" t="inlineStr">
        <is>
          <t>mit.typ.p3.2</t>
        </is>
      </c>
      <c r="D3405" t="n">
        <v>0</v>
      </c>
      <c r="E3405" t="n">
        <v>2.107217831</v>
      </c>
      <c r="F3405" t="n">
        <v>1.90155561</v>
      </c>
      <c r="G3405" t="n">
        <v>2.094256556</v>
      </c>
      <c r="H3405" t="n">
        <v>2.166838724</v>
      </c>
    </row>
    <row r="3406">
      <c r="A3406" t="inlineStr">
        <is>
          <t>FJI|mit.typ.p3.2</t>
        </is>
      </c>
      <c r="B3406" t="inlineStr">
        <is>
          <t>FJI</t>
        </is>
      </c>
      <c r="C3406" t="inlineStr">
        <is>
          <t>mit.typ.p3.2</t>
        </is>
      </c>
      <c r="D3406" t="n">
        <v>0</v>
      </c>
      <c r="E3406" t="n">
        <v>0.0105332305</v>
      </c>
      <c r="F3406" t="n">
        <v>0.01221600464</v>
      </c>
      <c r="G3406" t="n">
        <v>0.01619616832</v>
      </c>
      <c r="H3406" t="n">
        <v>0.01714315541</v>
      </c>
    </row>
    <row r="3407">
      <c r="A3407" t="inlineStr">
        <is>
          <t>FRA|mit.typ.p3.2</t>
        </is>
      </c>
      <c r="B3407" t="inlineStr">
        <is>
          <t>FRA</t>
        </is>
      </c>
      <c r="C3407" t="inlineStr">
        <is>
          <t>mit.typ.p3.2</t>
        </is>
      </c>
      <c r="D3407" t="n">
        <v>0</v>
      </c>
      <c r="E3407" t="n">
        <v>19.54643655</v>
      </c>
      <c r="F3407" t="n">
        <v>17.92533855</v>
      </c>
      <c r="G3407" t="n">
        <v>19.82067332</v>
      </c>
      <c r="H3407" t="n">
        <v>19.16266521</v>
      </c>
    </row>
    <row r="3408">
      <c r="A3408" t="inlineStr">
        <is>
          <t>GAB|mit.typ.p3.2</t>
        </is>
      </c>
      <c r="B3408" t="inlineStr">
        <is>
          <t>GAB</t>
        </is>
      </c>
      <c r="C3408" t="inlineStr">
        <is>
          <t>mit.typ.p3.2</t>
        </is>
      </c>
      <c r="D3408" t="n">
        <v>0</v>
      </c>
      <c r="E3408" t="n">
        <v>0.04957139916</v>
      </c>
      <c r="F3408" t="n">
        <v>0.05634043465</v>
      </c>
      <c r="G3408" t="n">
        <v>0.08124582178</v>
      </c>
      <c r="H3408" t="n">
        <v>0.08772741058</v>
      </c>
    </row>
    <row r="3409">
      <c r="A3409" t="inlineStr">
        <is>
          <t>GBR|mit.typ.p3.2</t>
        </is>
      </c>
      <c r="B3409" t="inlineStr">
        <is>
          <t>GBR</t>
        </is>
      </c>
      <c r="C3409" t="inlineStr">
        <is>
          <t>mit.typ.p3.2</t>
        </is>
      </c>
      <c r="D3409" t="n">
        <v>0</v>
      </c>
      <c r="E3409" t="n">
        <v>19.90918761</v>
      </c>
      <c r="F3409" t="n">
        <v>24.0527485</v>
      </c>
      <c r="G3409" t="n">
        <v>22.90833951</v>
      </c>
      <c r="H3409" t="n">
        <v>21.30189235</v>
      </c>
    </row>
    <row r="3410">
      <c r="A3410" t="inlineStr">
        <is>
          <t>GEO|mit.typ.p3.2</t>
        </is>
      </c>
      <c r="B3410" t="inlineStr">
        <is>
          <t>GEO</t>
        </is>
      </c>
      <c r="C3410" t="inlineStr">
        <is>
          <t>mit.typ.p3.2</t>
        </is>
      </c>
      <c r="D3410" t="n">
        <v>0</v>
      </c>
      <c r="E3410" t="n">
        <v>0.3360655045</v>
      </c>
      <c r="F3410" t="n">
        <v>0.35632407</v>
      </c>
      <c r="G3410" t="n">
        <v>0.5172321704</v>
      </c>
      <c r="H3410" t="n">
        <v>0.5486241513</v>
      </c>
    </row>
    <row r="3411">
      <c r="A3411" t="inlineStr">
        <is>
          <t>GHA|mit.typ.p3.2</t>
        </is>
      </c>
      <c r="B3411" t="inlineStr">
        <is>
          <t>GHA</t>
        </is>
      </c>
      <c r="C3411" t="inlineStr">
        <is>
          <t>mit.typ.p3.2</t>
        </is>
      </c>
      <c r="D3411" t="n">
        <v>0</v>
      </c>
      <c r="E3411" t="n">
        <v>0.2122821763</v>
      </c>
      <c r="F3411" t="n">
        <v>0.4140196126</v>
      </c>
      <c r="G3411" t="n">
        <v>0.7042723371</v>
      </c>
      <c r="H3411" t="n">
        <v>0.7141157604</v>
      </c>
    </row>
    <row r="3412">
      <c r="A3412" t="inlineStr">
        <is>
          <t>GIN|mit.typ.p3.2</t>
        </is>
      </c>
      <c r="B3412" t="inlineStr">
        <is>
          <t>GIN</t>
        </is>
      </c>
      <c r="C3412" t="inlineStr">
        <is>
          <t>mit.typ.p3.2</t>
        </is>
      </c>
      <c r="D3412" t="n">
        <v>0</v>
      </c>
      <c r="E3412" t="n">
        <v>0.1031409113</v>
      </c>
      <c r="F3412" t="n">
        <v>0.1608958932</v>
      </c>
      <c r="G3412" t="n">
        <v>0.246782983</v>
      </c>
      <c r="H3412" t="n">
        <v>0.308103226</v>
      </c>
    </row>
    <row r="3413">
      <c r="A3413" t="inlineStr">
        <is>
          <t>GMB|mit.typ.p3.2</t>
        </is>
      </c>
      <c r="B3413" t="inlineStr">
        <is>
          <t>GMB</t>
        </is>
      </c>
      <c r="C3413" t="inlineStr">
        <is>
          <t>mit.typ.p3.2</t>
        </is>
      </c>
      <c r="D3413" t="n">
        <v>0</v>
      </c>
      <c r="E3413" t="n">
        <v>0.01419899253</v>
      </c>
      <c r="F3413" t="n">
        <v>0.01893750993</v>
      </c>
      <c r="G3413" t="n">
        <v>0.03252841159</v>
      </c>
      <c r="H3413" t="n">
        <v>0.03892367334</v>
      </c>
    </row>
    <row r="3414">
      <c r="A3414" t="inlineStr">
        <is>
          <t>GNB|mit.typ.p3.2</t>
        </is>
      </c>
      <c r="B3414" t="inlineStr">
        <is>
          <t>GNB</t>
        </is>
      </c>
      <c r="C3414" t="inlineStr">
        <is>
          <t>mit.typ.p3.2</t>
        </is>
      </c>
      <c r="D3414" t="n">
        <v>0</v>
      </c>
      <c r="E3414" t="n">
        <v>0.005172088926</v>
      </c>
      <c r="F3414" t="n">
        <v>0.007211526277</v>
      </c>
      <c r="G3414" t="n">
        <v>0.01287742827</v>
      </c>
      <c r="H3414" t="n">
        <v>0.01585091587</v>
      </c>
    </row>
    <row r="3415">
      <c r="A3415" t="inlineStr">
        <is>
          <t>GNQ|mit.typ.p3.2</t>
        </is>
      </c>
      <c r="B3415" t="inlineStr">
        <is>
          <t>GNQ</t>
        </is>
      </c>
      <c r="C3415" t="inlineStr">
        <is>
          <t>mit.typ.p3.2</t>
        </is>
      </c>
      <c r="D3415" t="n">
        <v>0</v>
      </c>
      <c r="E3415" t="n">
        <v>0.0131081937</v>
      </c>
      <c r="F3415" t="n">
        <v>0.01597114159</v>
      </c>
      <c r="G3415" t="n">
        <v>0.02503706648</v>
      </c>
      <c r="H3415" t="n">
        <v>0.02720513555</v>
      </c>
    </row>
    <row r="3416">
      <c r="A3416" t="inlineStr">
        <is>
          <t>GRC|mit.typ.p3.2</t>
        </is>
      </c>
      <c r="B3416" t="inlineStr">
        <is>
          <t>GRC</t>
        </is>
      </c>
      <c r="C3416" t="inlineStr">
        <is>
          <t>mit.typ.p3.2</t>
        </is>
      </c>
      <c r="D3416" t="n">
        <v>0</v>
      </c>
      <c r="E3416" t="n">
        <v>2.343911394</v>
      </c>
      <c r="F3416" t="n">
        <v>2.993241848</v>
      </c>
      <c r="G3416" t="n">
        <v>2.409885531</v>
      </c>
      <c r="H3416" t="n">
        <v>2.312042248</v>
      </c>
    </row>
    <row r="3417">
      <c r="A3417" t="inlineStr">
        <is>
          <t>GRD|mit.typ.p3.2</t>
        </is>
      </c>
      <c r="B3417" t="inlineStr">
        <is>
          <t>GRD</t>
        </is>
      </c>
      <c r="C3417" t="inlineStr">
        <is>
          <t>mit.typ.p3.2</t>
        </is>
      </c>
      <c r="D3417" t="n">
        <v>0</v>
      </c>
      <c r="E3417" t="n">
        <v>0.003151733297</v>
      </c>
      <c r="F3417" t="n">
        <v>0.003828170325</v>
      </c>
      <c r="G3417" t="n">
        <v>0.005687218448</v>
      </c>
      <c r="H3417" t="n">
        <v>0.005454976742</v>
      </c>
    </row>
    <row r="3418">
      <c r="A3418" t="inlineStr">
        <is>
          <t>GTM|mit.typ.p3.2</t>
        </is>
      </c>
      <c r="B3418" t="inlineStr">
        <is>
          <t>GTM</t>
        </is>
      </c>
      <c r="C3418" t="inlineStr">
        <is>
          <t>mit.typ.p3.2</t>
        </is>
      </c>
      <c r="D3418" t="n">
        <v>0</v>
      </c>
      <c r="E3418" t="n">
        <v>0.2613152743</v>
      </c>
      <c r="F3418" t="n">
        <v>0.3417974545</v>
      </c>
      <c r="G3418" t="n">
        <v>0.4780397102</v>
      </c>
      <c r="H3418" t="n">
        <v>0.5240357308</v>
      </c>
    </row>
    <row r="3419">
      <c r="A3419" t="inlineStr">
        <is>
          <t>GUY|mit.typ.p3.2</t>
        </is>
      </c>
      <c r="B3419" t="inlineStr">
        <is>
          <t>GUY</t>
        </is>
      </c>
      <c r="C3419" t="inlineStr">
        <is>
          <t>mit.typ.p3.2</t>
        </is>
      </c>
      <c r="D3419" t="n">
        <v>0</v>
      </c>
      <c r="E3419" t="n">
        <v>0.07445308907000001</v>
      </c>
      <c r="F3419" t="n">
        <v>0.1417408048</v>
      </c>
      <c r="G3419" t="n">
        <v>0.245349404</v>
      </c>
      <c r="H3419" t="n">
        <v>0.2703222993</v>
      </c>
    </row>
    <row r="3420">
      <c r="A3420" t="inlineStr">
        <is>
          <t>HKG|mit.typ.p3.2</t>
        </is>
      </c>
      <c r="B3420" t="inlineStr">
        <is>
          <t>HKG</t>
        </is>
      </c>
      <c r="C3420" t="inlineStr">
        <is>
          <t>mit.typ.p3.2</t>
        </is>
      </c>
      <c r="D3420" t="n">
        <v>0</v>
      </c>
      <c r="E3420" t="n">
        <v>1.055236047</v>
      </c>
      <c r="F3420" t="n">
        <v>1.276298824</v>
      </c>
      <c r="G3420" t="n">
        <v>0.9433190457</v>
      </c>
      <c r="H3420" t="n">
        <v>0.978705252</v>
      </c>
    </row>
    <row r="3421">
      <c r="A3421" t="inlineStr">
        <is>
          <t>HND|mit.typ.p3.2</t>
        </is>
      </c>
      <c r="B3421" t="inlineStr">
        <is>
          <t>HND</t>
        </is>
      </c>
      <c r="C3421" t="inlineStr">
        <is>
          <t>mit.typ.p3.2</t>
        </is>
      </c>
      <c r="D3421" t="n">
        <v>0</v>
      </c>
      <c r="E3421" t="n">
        <v>0.1584826198</v>
      </c>
      <c r="F3421" t="n">
        <v>0.2073881663</v>
      </c>
      <c r="G3421" t="n">
        <v>0.3291571627</v>
      </c>
      <c r="H3421" t="n">
        <v>0.3557053252</v>
      </c>
    </row>
    <row r="3422">
      <c r="A3422" t="inlineStr">
        <is>
          <t>HRV|mit.typ.p3.2</t>
        </is>
      </c>
      <c r="B3422" t="inlineStr">
        <is>
          <t>HRV</t>
        </is>
      </c>
      <c r="C3422" t="inlineStr">
        <is>
          <t>mit.typ.p3.2</t>
        </is>
      </c>
      <c r="D3422" t="n">
        <v>0</v>
      </c>
      <c r="E3422" t="n">
        <v>0.6448587631</v>
      </c>
      <c r="F3422" t="n">
        <v>0.7824503727</v>
      </c>
      <c r="G3422" t="n">
        <v>0.7254198753</v>
      </c>
      <c r="H3422" t="n">
        <v>0.6975941031</v>
      </c>
    </row>
    <row r="3423">
      <c r="A3423" t="inlineStr">
        <is>
          <t>HTI|mit.typ.p3.2</t>
        </is>
      </c>
      <c r="B3423" t="inlineStr">
        <is>
          <t>HTI</t>
        </is>
      </c>
      <c r="C3423" t="inlineStr">
        <is>
          <t>mit.typ.p3.2</t>
        </is>
      </c>
      <c r="D3423" t="n">
        <v>0</v>
      </c>
      <c r="E3423" t="n">
        <v>0.03488228287</v>
      </c>
      <c r="F3423" t="n">
        <v>0.0409688841</v>
      </c>
      <c r="G3423" t="n">
        <v>0.06038720309</v>
      </c>
      <c r="H3423" t="n">
        <v>0.0736808918</v>
      </c>
    </row>
    <row r="3424">
      <c r="A3424" t="inlineStr">
        <is>
          <t>HUN|mit.typ.p3.2</t>
        </is>
      </c>
      <c r="B3424" t="inlineStr">
        <is>
          <t>HUN</t>
        </is>
      </c>
      <c r="C3424" t="inlineStr">
        <is>
          <t>mit.typ.p3.2</t>
        </is>
      </c>
      <c r="D3424" t="n">
        <v>0</v>
      </c>
      <c r="E3424" t="n">
        <v>0.9138590972</v>
      </c>
      <c r="F3424" t="n">
        <v>1.24236429</v>
      </c>
      <c r="G3424" t="n">
        <v>1.251037192</v>
      </c>
      <c r="H3424" t="n">
        <v>1.204398028</v>
      </c>
    </row>
    <row r="3425">
      <c r="A3425" t="inlineStr">
        <is>
          <t>IDN|mit.typ.p3.2</t>
        </is>
      </c>
      <c r="B3425" t="inlineStr">
        <is>
          <t>IDN</t>
        </is>
      </c>
      <c r="C3425" t="inlineStr">
        <is>
          <t>mit.typ.p3.2</t>
        </is>
      </c>
      <c r="D3425" t="n">
        <v>0</v>
      </c>
      <c r="E3425" t="n">
        <v>6.622558721</v>
      </c>
      <c r="F3425" t="n">
        <v>8.814954532</v>
      </c>
      <c r="G3425" t="n">
        <v>14.09605439</v>
      </c>
      <c r="H3425" t="n">
        <v>14.80402756</v>
      </c>
    </row>
    <row r="3426">
      <c r="A3426" t="inlineStr">
        <is>
          <t>IND|mit.typ.p3.2</t>
        </is>
      </c>
      <c r="B3426" t="inlineStr">
        <is>
          <t>IND</t>
        </is>
      </c>
      <c r="C3426" t="inlineStr">
        <is>
          <t>mit.typ.p3.2</t>
        </is>
      </c>
      <c r="D3426" t="n">
        <v>0</v>
      </c>
      <c r="E3426" t="n">
        <v>32.42803426</v>
      </c>
      <c r="F3426" t="n">
        <v>44.60731708</v>
      </c>
      <c r="G3426" t="n">
        <v>75.71140772</v>
      </c>
      <c r="H3426" t="n">
        <v>74.62390692</v>
      </c>
    </row>
    <row r="3427">
      <c r="A3427" t="inlineStr">
        <is>
          <t>IRL|mit.typ.p3.2</t>
        </is>
      </c>
      <c r="B3427" t="inlineStr">
        <is>
          <t>IRL</t>
        </is>
      </c>
      <c r="C3427" t="inlineStr">
        <is>
          <t>mit.typ.p3.2</t>
        </is>
      </c>
      <c r="D3427" t="n">
        <v>0</v>
      </c>
      <c r="E3427" t="n">
        <v>3.461334962</v>
      </c>
      <c r="F3427" t="n">
        <v>3.391547053</v>
      </c>
      <c r="G3427" t="n">
        <v>3.163451488</v>
      </c>
      <c r="H3427" t="n">
        <v>3.180701044</v>
      </c>
    </row>
    <row r="3428">
      <c r="A3428" t="inlineStr">
        <is>
          <t>IRN|mit.typ.p3.2</t>
        </is>
      </c>
      <c r="B3428" t="inlineStr">
        <is>
          <t>IRN</t>
        </is>
      </c>
      <c r="C3428" t="inlineStr">
        <is>
          <t>mit.typ.p3.2</t>
        </is>
      </c>
      <c r="D3428" t="n">
        <v>0</v>
      </c>
      <c r="E3428" t="n">
        <v>3.961702406</v>
      </c>
      <c r="F3428" t="n">
        <v>3.70310464</v>
      </c>
      <c r="G3428" t="n">
        <v>8.058489693</v>
      </c>
      <c r="H3428" t="n">
        <v>6.862507366</v>
      </c>
    </row>
    <row r="3429">
      <c r="A3429" t="inlineStr">
        <is>
          <t>IRQ|mit.typ.p3.2</t>
        </is>
      </c>
      <c r="B3429" t="inlineStr">
        <is>
          <t>IRQ</t>
        </is>
      </c>
      <c r="C3429" t="inlineStr">
        <is>
          <t>mit.typ.p3.2</t>
        </is>
      </c>
      <c r="D3429" t="n">
        <v>0</v>
      </c>
      <c r="E3429" t="n">
        <v>0.4022971672</v>
      </c>
      <c r="F3429" t="n">
        <v>0.3467252511</v>
      </c>
      <c r="G3429" t="n">
        <v>0.5336407622</v>
      </c>
      <c r="H3429" t="n">
        <v>0.4835197931</v>
      </c>
    </row>
    <row r="3430">
      <c r="A3430" t="inlineStr">
        <is>
          <t>ISL|mit.typ.p3.2</t>
        </is>
      </c>
      <c r="B3430" t="inlineStr">
        <is>
          <t>ISL</t>
        </is>
      </c>
      <c r="C3430" t="inlineStr">
        <is>
          <t>mit.typ.p3.2</t>
        </is>
      </c>
      <c r="D3430" t="n">
        <v>0</v>
      </c>
      <c r="E3430" t="n">
        <v>0.131361598</v>
      </c>
      <c r="F3430" t="n">
        <v>0.1743941673</v>
      </c>
      <c r="G3430" t="n">
        <v>0.1826182152</v>
      </c>
      <c r="H3430" t="n">
        <v>0.197654828</v>
      </c>
    </row>
    <row r="3431">
      <c r="A3431" t="inlineStr">
        <is>
          <t>ISR|mit.typ.p3.2</t>
        </is>
      </c>
      <c r="B3431" t="inlineStr">
        <is>
          <t>ISR</t>
        </is>
      </c>
      <c r="C3431" t="inlineStr">
        <is>
          <t>mit.typ.p3.2</t>
        </is>
      </c>
      <c r="D3431" t="n">
        <v>0</v>
      </c>
      <c r="E3431" t="n">
        <v>3.971018307</v>
      </c>
      <c r="F3431" t="n">
        <v>5.361795255</v>
      </c>
      <c r="G3431" t="n">
        <v>3.902519754</v>
      </c>
      <c r="H3431" t="n">
        <v>3.950433713</v>
      </c>
    </row>
    <row r="3432">
      <c r="A3432" t="inlineStr">
        <is>
          <t>ITA|mit.typ.p3.2</t>
        </is>
      </c>
      <c r="B3432" t="inlineStr">
        <is>
          <t>ITA</t>
        </is>
      </c>
      <c r="C3432" t="inlineStr">
        <is>
          <t>mit.typ.p3.2</t>
        </is>
      </c>
      <c r="D3432" t="n">
        <v>0</v>
      </c>
      <c r="E3432" t="n">
        <v>14.07434082</v>
      </c>
      <c r="F3432" t="n">
        <v>17.74964825</v>
      </c>
      <c r="G3432" t="n">
        <v>15.76184649</v>
      </c>
      <c r="H3432" t="n">
        <v>14.79063722</v>
      </c>
    </row>
    <row r="3433">
      <c r="A3433" t="inlineStr">
        <is>
          <t>JAM|mit.typ.p3.2</t>
        </is>
      </c>
      <c r="B3433" t="inlineStr">
        <is>
          <t>JAM</t>
        </is>
      </c>
      <c r="C3433" t="inlineStr">
        <is>
          <t>mit.typ.p3.2</t>
        </is>
      </c>
      <c r="D3433" t="n">
        <v>0</v>
      </c>
      <c r="E3433" t="n">
        <v>0.1165576336</v>
      </c>
      <c r="F3433" t="n">
        <v>0.1318852578</v>
      </c>
      <c r="G3433" t="n">
        <v>0.2272998329</v>
      </c>
      <c r="H3433" t="n">
        <v>0.2099478902</v>
      </c>
    </row>
    <row r="3434">
      <c r="A3434" t="inlineStr">
        <is>
          <t>JOR|mit.typ.p3.2</t>
        </is>
      </c>
      <c r="B3434" t="inlineStr">
        <is>
          <t>JOR</t>
        </is>
      </c>
      <c r="C3434" t="inlineStr">
        <is>
          <t>mit.typ.p3.2</t>
        </is>
      </c>
      <c r="D3434" t="n">
        <v>0</v>
      </c>
      <c r="E3434" t="n">
        <v>0.3158477177</v>
      </c>
      <c r="F3434" t="n">
        <v>0.38467843</v>
      </c>
      <c r="G3434" t="n">
        <v>0.5708689431</v>
      </c>
      <c r="H3434" t="n">
        <v>0.4947971009</v>
      </c>
    </row>
    <row r="3435">
      <c r="A3435" t="inlineStr">
        <is>
          <t>JPN|mit.typ.p3.2</t>
        </is>
      </c>
      <c r="B3435" t="inlineStr">
        <is>
          <t>JPN</t>
        </is>
      </c>
      <c r="C3435" t="inlineStr">
        <is>
          <t>mit.typ.p3.2</t>
        </is>
      </c>
      <c r="D3435" t="n">
        <v>0</v>
      </c>
      <c r="E3435" t="n">
        <v>36.73860863</v>
      </c>
      <c r="F3435" t="n">
        <v>47.36284129</v>
      </c>
      <c r="G3435" t="n">
        <v>36.43213611</v>
      </c>
      <c r="H3435" t="n">
        <v>35.1139038</v>
      </c>
    </row>
    <row r="3436">
      <c r="A3436" t="inlineStr">
        <is>
          <t>KAZ|mit.typ.p3.2</t>
        </is>
      </c>
      <c r="B3436" t="inlineStr">
        <is>
          <t>KAZ</t>
        </is>
      </c>
      <c r="C3436" t="inlineStr">
        <is>
          <t>mit.typ.p3.2</t>
        </is>
      </c>
      <c r="D3436" t="n">
        <v>0</v>
      </c>
      <c r="E3436" t="n">
        <v>1.903089116</v>
      </c>
      <c r="F3436" t="n">
        <v>2.531461825</v>
      </c>
      <c r="G3436" t="n">
        <v>4.374338447</v>
      </c>
      <c r="H3436" t="n">
        <v>3.964184602</v>
      </c>
    </row>
    <row r="3437">
      <c r="A3437" t="inlineStr">
        <is>
          <t>KEN|mit.typ.p3.2</t>
        </is>
      </c>
      <c r="B3437" t="inlineStr">
        <is>
          <t>KEN</t>
        </is>
      </c>
      <c r="C3437" t="inlineStr">
        <is>
          <t>mit.typ.p3.2</t>
        </is>
      </c>
      <c r="D3437" t="n">
        <v>0</v>
      </c>
      <c r="E3437" t="n">
        <v>0.3259689159</v>
      </c>
      <c r="F3437" t="n">
        <v>0.4387222691</v>
      </c>
      <c r="G3437" t="n">
        <v>0.6166368068</v>
      </c>
      <c r="H3437" t="n">
        <v>0.7628445197</v>
      </c>
    </row>
    <row r="3438">
      <c r="A3438" t="inlineStr">
        <is>
          <t>KGZ|mit.typ.p3.2</t>
        </is>
      </c>
      <c r="B3438" t="inlineStr">
        <is>
          <t>KGZ</t>
        </is>
      </c>
      <c r="C3438" t="inlineStr">
        <is>
          <t>mit.typ.p3.2</t>
        </is>
      </c>
      <c r="D3438" t="n">
        <v>0</v>
      </c>
      <c r="E3438" t="n">
        <v>0.1682136669</v>
      </c>
      <c r="F3438" t="n">
        <v>0.1568354852</v>
      </c>
      <c r="G3438" t="n">
        <v>0.1817534347</v>
      </c>
      <c r="H3438" t="n">
        <v>0.2205898278</v>
      </c>
    </row>
    <row r="3439">
      <c r="A3439" t="inlineStr">
        <is>
          <t>KHM|mit.typ.p3.2</t>
        </is>
      </c>
      <c r="B3439" t="inlineStr">
        <is>
          <t>KHM</t>
        </is>
      </c>
      <c r="C3439" t="inlineStr">
        <is>
          <t>mit.typ.p3.2</t>
        </is>
      </c>
      <c r="D3439" t="n">
        <v>0</v>
      </c>
      <c r="E3439" t="n">
        <v>0.2723428215</v>
      </c>
      <c r="F3439" t="n">
        <v>0.3413576793</v>
      </c>
      <c r="G3439" t="n">
        <v>0.5405409973999999</v>
      </c>
      <c r="H3439" t="n">
        <v>0.5405860514</v>
      </c>
    </row>
    <row r="3440">
      <c r="A3440" t="inlineStr">
        <is>
          <t>KNA|mit.typ.p3.2</t>
        </is>
      </c>
      <c r="B3440" t="inlineStr">
        <is>
          <t>KNA</t>
        </is>
      </c>
      <c r="C3440" t="inlineStr">
        <is>
          <t>mit.typ.p3.2</t>
        </is>
      </c>
      <c r="D3440" t="n">
        <v>0</v>
      </c>
      <c r="E3440" t="n">
        <v>0.003833830628</v>
      </c>
      <c r="F3440" t="n">
        <v>0.004826313253</v>
      </c>
      <c r="G3440" t="n">
        <v>0.006043237449</v>
      </c>
      <c r="H3440" t="n">
        <v>0.004937082133</v>
      </c>
    </row>
    <row r="3441">
      <c r="A3441" t="inlineStr">
        <is>
          <t>KOR|mit.typ.p3.2</t>
        </is>
      </c>
      <c r="B3441" t="inlineStr">
        <is>
          <t>KOR</t>
        </is>
      </c>
      <c r="C3441" t="inlineStr">
        <is>
          <t>mit.typ.p3.2</t>
        </is>
      </c>
      <c r="D3441" t="n">
        <v>0</v>
      </c>
      <c r="E3441" t="n">
        <v>18.11251393</v>
      </c>
      <c r="F3441" t="n">
        <v>24.65050338</v>
      </c>
      <c r="G3441" t="n">
        <v>18.79633215</v>
      </c>
      <c r="H3441" t="n">
        <v>18.09465524</v>
      </c>
    </row>
    <row r="3442">
      <c r="A3442" t="inlineStr">
        <is>
          <t>KWT|mit.typ.p3.2</t>
        </is>
      </c>
      <c r="B3442" t="inlineStr">
        <is>
          <t>KWT</t>
        </is>
      </c>
      <c r="C3442" t="inlineStr">
        <is>
          <t>mit.typ.p3.2</t>
        </is>
      </c>
      <c r="D3442" t="n">
        <v>0</v>
      </c>
      <c r="E3442" t="n">
        <v>0.4291514656</v>
      </c>
      <c r="F3442" t="n">
        <v>0.3699746556</v>
      </c>
      <c r="G3442" t="n">
        <v>0.533359406</v>
      </c>
      <c r="H3442" t="n">
        <v>0.4006823803</v>
      </c>
    </row>
    <row r="3443">
      <c r="A3443" t="inlineStr">
        <is>
          <t>LAO|mit.typ.p3.2</t>
        </is>
      </c>
      <c r="B3443" t="inlineStr">
        <is>
          <t>LAO</t>
        </is>
      </c>
      <c r="C3443" t="inlineStr">
        <is>
          <t>mit.typ.p3.2</t>
        </is>
      </c>
      <c r="D3443" t="n">
        <v>0</v>
      </c>
      <c r="E3443" t="n">
        <v>0.01385204615</v>
      </c>
      <c r="F3443" t="n">
        <v>0.01796902705</v>
      </c>
      <c r="G3443" t="n">
        <v>0.02319379113</v>
      </c>
      <c r="H3443" t="n">
        <v>0.03282929196</v>
      </c>
    </row>
    <row r="3444">
      <c r="A3444" t="inlineStr">
        <is>
          <t>LBN|mit.typ.p3.2</t>
        </is>
      </c>
      <c r="B3444" t="inlineStr">
        <is>
          <t>LBN</t>
        </is>
      </c>
      <c r="C3444" t="inlineStr">
        <is>
          <t>mit.typ.p3.2</t>
        </is>
      </c>
      <c r="D3444" t="n">
        <v>0</v>
      </c>
      <c r="E3444" t="n">
        <v>0.1311358445</v>
      </c>
      <c r="F3444" t="n">
        <v>0.1458192671</v>
      </c>
      <c r="G3444" t="n">
        <v>0.1805336331</v>
      </c>
      <c r="H3444" t="n">
        <v>0.1769076747</v>
      </c>
    </row>
    <row r="3445">
      <c r="A3445" t="inlineStr">
        <is>
          <t>LBR|mit.typ.p3.2</t>
        </is>
      </c>
      <c r="B3445" t="inlineStr">
        <is>
          <t>LBR</t>
        </is>
      </c>
      <c r="C3445" t="inlineStr">
        <is>
          <t>mit.typ.p3.2</t>
        </is>
      </c>
      <c r="D3445" t="n">
        <v>0</v>
      </c>
      <c r="E3445" t="n">
        <v>0.006554539693</v>
      </c>
      <c r="F3445" t="n">
        <v>0.009332918028000001</v>
      </c>
      <c r="G3445" t="n">
        <v>0.01392769462</v>
      </c>
      <c r="H3445" t="n">
        <v>0.01714176294</v>
      </c>
    </row>
    <row r="3446">
      <c r="A3446" t="inlineStr">
        <is>
          <t>LBY|mit.typ.p3.2</t>
        </is>
      </c>
      <c r="B3446" t="inlineStr">
        <is>
          <t>LBY</t>
        </is>
      </c>
      <c r="C3446" t="inlineStr">
        <is>
          <t>mit.typ.p3.2</t>
        </is>
      </c>
      <c r="D3446" t="n">
        <v>0</v>
      </c>
      <c r="E3446" t="n">
        <v>0.4497276695</v>
      </c>
      <c r="F3446" t="n">
        <v>0.389699256</v>
      </c>
      <c r="G3446" t="n">
        <v>0.4715344289</v>
      </c>
      <c r="H3446" t="n">
        <v>0.4164666796</v>
      </c>
    </row>
    <row r="3447">
      <c r="A3447" t="inlineStr">
        <is>
          <t>LCA|mit.typ.p3.2</t>
        </is>
      </c>
      <c r="B3447" t="inlineStr">
        <is>
          <t>LCA</t>
        </is>
      </c>
      <c r="C3447" t="inlineStr">
        <is>
          <t>mit.typ.p3.2</t>
        </is>
      </c>
      <c r="D3447" t="n">
        <v>0</v>
      </c>
      <c r="E3447" t="n">
        <v>0.003914362423</v>
      </c>
      <c r="F3447" t="n">
        <v>0.005127374742</v>
      </c>
      <c r="G3447" t="n">
        <v>0.007725692374</v>
      </c>
      <c r="H3447" t="n">
        <v>0.007400968932</v>
      </c>
    </row>
    <row r="3448">
      <c r="A3448" t="inlineStr">
        <is>
          <t>LKA|mit.typ.p3.2</t>
        </is>
      </c>
      <c r="B3448" t="inlineStr">
        <is>
          <t>LKA</t>
        </is>
      </c>
      <c r="C3448" t="inlineStr">
        <is>
          <t>mit.typ.p3.2</t>
        </is>
      </c>
      <c r="D3448" t="n">
        <v>0</v>
      </c>
      <c r="E3448" t="n">
        <v>0.1907893719</v>
      </c>
      <c r="F3448" t="n">
        <v>0.255316097</v>
      </c>
      <c r="G3448" t="n">
        <v>0.3974221948</v>
      </c>
      <c r="H3448" t="n">
        <v>0.442154365</v>
      </c>
    </row>
    <row r="3449">
      <c r="A3449" t="inlineStr">
        <is>
          <t>LSO|mit.typ.p3.2</t>
        </is>
      </c>
      <c r="B3449" t="inlineStr">
        <is>
          <t>LSO</t>
        </is>
      </c>
      <c r="C3449" t="inlineStr">
        <is>
          <t>mit.typ.p3.2</t>
        </is>
      </c>
      <c r="D3449" t="n">
        <v>0</v>
      </c>
      <c r="E3449" t="n">
        <v>0.007712075282</v>
      </c>
      <c r="F3449" t="n">
        <v>0.01016899948</v>
      </c>
      <c r="G3449" t="n">
        <v>0.01610191648</v>
      </c>
      <c r="H3449" t="n">
        <v>0.01674405997</v>
      </c>
    </row>
    <row r="3450">
      <c r="A3450" t="inlineStr">
        <is>
          <t>LTU|mit.typ.p3.2</t>
        </is>
      </c>
      <c r="B3450" t="inlineStr">
        <is>
          <t>LTU</t>
        </is>
      </c>
      <c r="C3450" t="inlineStr">
        <is>
          <t>mit.typ.p3.2</t>
        </is>
      </c>
      <c r="D3450" t="n">
        <v>0</v>
      </c>
      <c r="E3450" t="n">
        <v>0.605059987</v>
      </c>
      <c r="F3450" t="n">
        <v>0.7574480028</v>
      </c>
      <c r="G3450" t="n">
        <v>0.7216857483</v>
      </c>
      <c r="H3450" t="n">
        <v>0.6878126443</v>
      </c>
    </row>
    <row r="3451">
      <c r="A3451" t="inlineStr">
        <is>
          <t>LUX|mit.typ.p3.2</t>
        </is>
      </c>
      <c r="B3451" t="inlineStr">
        <is>
          <t>LUX</t>
        </is>
      </c>
      <c r="C3451" t="inlineStr">
        <is>
          <t>mit.typ.p3.2</t>
        </is>
      </c>
      <c r="D3451" t="n">
        <v>0</v>
      </c>
      <c r="E3451" t="n">
        <v>0.3680512584</v>
      </c>
      <c r="F3451" t="n">
        <v>0.418611725</v>
      </c>
      <c r="G3451" t="n">
        <v>0.4479923315</v>
      </c>
      <c r="H3451" t="n">
        <v>0.4476937056</v>
      </c>
    </row>
    <row r="3452">
      <c r="A3452" t="inlineStr">
        <is>
          <t>LVA|mit.typ.p3.2</t>
        </is>
      </c>
      <c r="B3452" t="inlineStr">
        <is>
          <t>LVA</t>
        </is>
      </c>
      <c r="C3452" t="inlineStr">
        <is>
          <t>mit.typ.p3.2</t>
        </is>
      </c>
      <c r="D3452" t="n">
        <v>0</v>
      </c>
      <c r="E3452" t="n">
        <v>0.2829056734</v>
      </c>
      <c r="F3452" t="n">
        <v>0.3666236888</v>
      </c>
      <c r="G3452" t="n">
        <v>0.3490141178</v>
      </c>
      <c r="H3452" t="n">
        <v>0.3350859156</v>
      </c>
    </row>
    <row r="3453">
      <c r="A3453" t="inlineStr">
        <is>
          <t>MAC|mit.typ.p3.2</t>
        </is>
      </c>
      <c r="B3453" t="inlineStr">
        <is>
          <t>MAC</t>
        </is>
      </c>
      <c r="C3453" t="inlineStr">
        <is>
          <t>mit.typ.p3.2</t>
        </is>
      </c>
      <c r="D3453" t="n">
        <v>0</v>
      </c>
      <c r="E3453" t="n">
        <v>0.07855366832000001</v>
      </c>
      <c r="F3453" t="n">
        <v>0.09101068288</v>
      </c>
      <c r="G3453" t="n">
        <v>0.07867613859</v>
      </c>
      <c r="H3453" t="n">
        <v>0.08608713703</v>
      </c>
    </row>
    <row r="3454">
      <c r="A3454" t="inlineStr">
        <is>
          <t>MAR|mit.typ.p3.2</t>
        </is>
      </c>
      <c r="B3454" t="inlineStr">
        <is>
          <t>MAR</t>
        </is>
      </c>
      <c r="C3454" t="inlineStr">
        <is>
          <t>mit.typ.p3.2</t>
        </is>
      </c>
      <c r="D3454" t="n">
        <v>0</v>
      </c>
      <c r="E3454" t="n">
        <v>0.5753442009</v>
      </c>
      <c r="F3454" t="n">
        <v>0.7737261885</v>
      </c>
      <c r="G3454" t="n">
        <v>1.22536878</v>
      </c>
      <c r="H3454" t="n">
        <v>1.275437898</v>
      </c>
    </row>
    <row r="3455">
      <c r="A3455" t="inlineStr">
        <is>
          <t>MDA|mit.typ.p3.2</t>
        </is>
      </c>
      <c r="B3455" t="inlineStr">
        <is>
          <t>MDA</t>
        </is>
      </c>
      <c r="C3455" t="inlineStr">
        <is>
          <t>mit.typ.p3.2</t>
        </is>
      </c>
      <c r="D3455" t="n">
        <v>0</v>
      </c>
      <c r="E3455" t="n">
        <v>0.1558301922</v>
      </c>
      <c r="F3455" t="n">
        <v>0.1918451243</v>
      </c>
      <c r="G3455" t="n">
        <v>0.3351822394</v>
      </c>
      <c r="H3455" t="n">
        <v>0.3408296956</v>
      </c>
    </row>
    <row r="3456">
      <c r="A3456" t="inlineStr">
        <is>
          <t>MDG|mit.typ.p3.2</t>
        </is>
      </c>
      <c r="B3456" t="inlineStr">
        <is>
          <t>MDG</t>
        </is>
      </c>
      <c r="C3456" t="inlineStr">
        <is>
          <t>mit.typ.p3.2</t>
        </is>
      </c>
      <c r="D3456" t="n">
        <v>0</v>
      </c>
      <c r="E3456" t="n">
        <v>0.04427878817</v>
      </c>
      <c r="F3456" t="n">
        <v>0.05952164465</v>
      </c>
      <c r="G3456" t="n">
        <v>0.09176289755</v>
      </c>
      <c r="H3456" t="n">
        <v>0.1093711517</v>
      </c>
    </row>
    <row r="3457">
      <c r="A3457" t="inlineStr">
        <is>
          <t>MDV|mit.typ.p3.2</t>
        </is>
      </c>
      <c r="B3457" t="inlineStr">
        <is>
          <t>MDV</t>
        </is>
      </c>
      <c r="C3457" t="inlineStr">
        <is>
          <t>mit.typ.p3.2</t>
        </is>
      </c>
      <c r="D3457" t="n">
        <v>0</v>
      </c>
      <c r="E3457" t="n">
        <v>0.04423790311</v>
      </c>
      <c r="F3457" t="n">
        <v>0.04795550308</v>
      </c>
      <c r="G3457" t="n">
        <v>0.07102296934000001</v>
      </c>
      <c r="H3457" t="n">
        <v>0.06286371524000001</v>
      </c>
    </row>
    <row r="3458">
      <c r="A3458" t="inlineStr">
        <is>
          <t>MEX|mit.typ.p3.2</t>
        </is>
      </c>
      <c r="B3458" t="inlineStr">
        <is>
          <t>MEX</t>
        </is>
      </c>
      <c r="C3458" t="inlineStr">
        <is>
          <t>mit.typ.p3.2</t>
        </is>
      </c>
      <c r="D3458" t="n">
        <v>0</v>
      </c>
      <c r="E3458" t="n">
        <v>6.504316007</v>
      </c>
      <c r="F3458" t="n">
        <v>8.368555749</v>
      </c>
      <c r="G3458" t="n">
        <v>13.10625777</v>
      </c>
      <c r="H3458" t="n">
        <v>12.72222365</v>
      </c>
    </row>
    <row r="3459">
      <c r="A3459" t="inlineStr">
        <is>
          <t>MKD|mit.typ.p3.2</t>
        </is>
      </c>
      <c r="B3459" t="inlineStr">
        <is>
          <t>MKD</t>
        </is>
      </c>
      <c r="C3459" t="inlineStr">
        <is>
          <t>mit.typ.p3.2</t>
        </is>
      </c>
      <c r="D3459" t="n">
        <v>0</v>
      </c>
      <c r="E3459" t="n">
        <v>0.09663401276</v>
      </c>
      <c r="F3459" t="n">
        <v>0.1099370981</v>
      </c>
      <c r="G3459" t="n">
        <v>0.1526378594</v>
      </c>
      <c r="H3459" t="n">
        <v>0.1443940025</v>
      </c>
    </row>
    <row r="3460">
      <c r="A3460" t="inlineStr">
        <is>
          <t>MLI|mit.typ.p3.2</t>
        </is>
      </c>
      <c r="B3460" t="inlineStr">
        <is>
          <t>MLI</t>
        </is>
      </c>
      <c r="C3460" t="inlineStr">
        <is>
          <t>mit.typ.p3.2</t>
        </is>
      </c>
      <c r="D3460" t="n">
        <v>0</v>
      </c>
      <c r="E3460" t="n">
        <v>0.07427240252</v>
      </c>
      <c r="F3460" t="n">
        <v>0.1227783689</v>
      </c>
      <c r="G3460" t="n">
        <v>0.2317088073</v>
      </c>
      <c r="H3460" t="n">
        <v>0.2501379678</v>
      </c>
    </row>
    <row r="3461">
      <c r="A3461" t="inlineStr">
        <is>
          <t>MLT|mit.typ.p3.2</t>
        </is>
      </c>
      <c r="B3461" t="inlineStr">
        <is>
          <t>MLT</t>
        </is>
      </c>
      <c r="C3461" t="inlineStr">
        <is>
          <t>mit.typ.p3.2</t>
        </is>
      </c>
      <c r="D3461" t="n">
        <v>0</v>
      </c>
      <c r="E3461" t="n">
        <v>0.05683516587</v>
      </c>
      <c r="F3461" t="n">
        <v>0.07031534596</v>
      </c>
      <c r="G3461" t="n">
        <v>0.05811992532</v>
      </c>
      <c r="H3461" t="n">
        <v>0.06181004187</v>
      </c>
    </row>
    <row r="3462">
      <c r="A3462" t="inlineStr">
        <is>
          <t>MMR|mit.typ.p3.2</t>
        </is>
      </c>
      <c r="B3462" t="inlineStr">
        <is>
          <t>MMR</t>
        </is>
      </c>
      <c r="C3462" t="inlineStr">
        <is>
          <t>mit.typ.p3.2</t>
        </is>
      </c>
      <c r="D3462" t="n">
        <v>0</v>
      </c>
      <c r="E3462" t="n">
        <v>0.1604603065</v>
      </c>
      <c r="F3462" t="n">
        <v>0.3161423474</v>
      </c>
      <c r="G3462" t="n">
        <v>0.5450517368</v>
      </c>
      <c r="H3462" t="n">
        <v>0.6165722739</v>
      </c>
    </row>
    <row r="3463">
      <c r="A3463" t="inlineStr">
        <is>
          <t>MNE|mit.typ.p3.2</t>
        </is>
      </c>
      <c r="B3463" t="inlineStr">
        <is>
          <t>MNE</t>
        </is>
      </c>
      <c r="C3463" t="inlineStr">
        <is>
          <t>mit.typ.p3.2</t>
        </is>
      </c>
      <c r="D3463" t="n">
        <v>0</v>
      </c>
      <c r="E3463" t="n">
        <v>0.03713014118</v>
      </c>
      <c r="F3463" t="n">
        <v>0.04848586123</v>
      </c>
      <c r="G3463" t="n">
        <v>0.05214599053</v>
      </c>
      <c r="H3463" t="n">
        <v>0.05694350786</v>
      </c>
    </row>
    <row r="3464">
      <c r="A3464" t="inlineStr">
        <is>
          <t>MNG|mit.typ.p3.2</t>
        </is>
      </c>
      <c r="B3464" t="inlineStr">
        <is>
          <t>MNG</t>
        </is>
      </c>
      <c r="C3464" t="inlineStr">
        <is>
          <t>mit.typ.p3.2</t>
        </is>
      </c>
      <c r="D3464" t="n">
        <v>0</v>
      </c>
      <c r="E3464" t="n">
        <v>0.09460324713</v>
      </c>
      <c r="F3464" t="n">
        <v>0.1226151697</v>
      </c>
      <c r="G3464" t="n">
        <v>0.2020341596</v>
      </c>
      <c r="H3464" t="n">
        <v>0.1943536574</v>
      </c>
    </row>
    <row r="3465">
      <c r="A3465" t="inlineStr">
        <is>
          <t>MOZ|mit.typ.p3.2</t>
        </is>
      </c>
      <c r="B3465" t="inlineStr">
        <is>
          <t>MOZ</t>
        </is>
      </c>
      <c r="C3465" t="inlineStr">
        <is>
          <t>mit.typ.p3.2</t>
        </is>
      </c>
      <c r="D3465" t="n">
        <v>0</v>
      </c>
      <c r="E3465" t="n">
        <v>0.03772360868</v>
      </c>
      <c r="F3465" t="n">
        <v>0.1491677036</v>
      </c>
      <c r="G3465" t="n">
        <v>0.3240994997</v>
      </c>
      <c r="H3465" t="n">
        <v>0.3726399537</v>
      </c>
    </row>
    <row r="3466">
      <c r="A3466" t="inlineStr">
        <is>
          <t>MRT|mit.typ.p3.2</t>
        </is>
      </c>
      <c r="B3466" t="inlineStr">
        <is>
          <t>MRT</t>
        </is>
      </c>
      <c r="C3466" t="inlineStr">
        <is>
          <t>mit.typ.p3.2</t>
        </is>
      </c>
      <c r="D3466" t="n">
        <v>0</v>
      </c>
      <c r="E3466" t="n">
        <v>0.02022027168</v>
      </c>
      <c r="F3466" t="n">
        <v>0.03193982094</v>
      </c>
      <c r="G3466" t="n">
        <v>0.05395325305</v>
      </c>
      <c r="H3466" t="n">
        <v>0.05854475689</v>
      </c>
    </row>
    <row r="3467">
      <c r="A3467" t="inlineStr">
        <is>
          <t>MUS|mit.typ.p3.2</t>
        </is>
      </c>
      <c r="B3467" t="inlineStr">
        <is>
          <t>MUS</t>
        </is>
      </c>
      <c r="C3467" t="inlineStr">
        <is>
          <t>mit.typ.p3.2</t>
        </is>
      </c>
      <c r="D3467" t="n">
        <v>0</v>
      </c>
      <c r="E3467" t="n">
        <v>0.04531967906</v>
      </c>
      <c r="F3467" t="n">
        <v>0.05761161612</v>
      </c>
      <c r="G3467" t="n">
        <v>0.08668926120999999</v>
      </c>
      <c r="H3467" t="n">
        <v>0.07636702064000001</v>
      </c>
    </row>
    <row r="3468">
      <c r="A3468" t="inlineStr">
        <is>
          <t>MWI|mit.typ.p3.2</t>
        </is>
      </c>
      <c r="B3468" t="inlineStr">
        <is>
          <t>MWI</t>
        </is>
      </c>
      <c r="C3468" t="inlineStr">
        <is>
          <t>mit.typ.p3.2</t>
        </is>
      </c>
      <c r="D3468" t="n">
        <v>0</v>
      </c>
      <c r="E3468" t="n">
        <v>0.02195691023</v>
      </c>
      <c r="F3468" t="n">
        <v>0.03181839281</v>
      </c>
      <c r="G3468" t="n">
        <v>0.05238191471</v>
      </c>
      <c r="H3468" t="n">
        <v>0.06598176017</v>
      </c>
    </row>
    <row r="3469">
      <c r="A3469" t="inlineStr">
        <is>
          <t>MYS|mit.typ.p3.2</t>
        </is>
      </c>
      <c r="B3469" t="inlineStr">
        <is>
          <t>MYS</t>
        </is>
      </c>
      <c r="C3469" t="inlineStr">
        <is>
          <t>mit.typ.p3.2</t>
        </is>
      </c>
      <c r="D3469" t="n">
        <v>0</v>
      </c>
      <c r="E3469" t="n">
        <v>2.724109447</v>
      </c>
      <c r="F3469" t="n">
        <v>3.510989441</v>
      </c>
      <c r="G3469" t="n">
        <v>5.36668864</v>
      </c>
      <c r="H3469" t="n">
        <v>4.885903511</v>
      </c>
    </row>
    <row r="3470">
      <c r="A3470" t="inlineStr">
        <is>
          <t>NAM|mit.typ.p3.2</t>
        </is>
      </c>
      <c r="B3470" t="inlineStr">
        <is>
          <t>NAM</t>
        </is>
      </c>
      <c r="C3470" t="inlineStr">
        <is>
          <t>mit.typ.p3.2</t>
        </is>
      </c>
      <c r="D3470" t="n">
        <v>0</v>
      </c>
      <c r="E3470" t="n">
        <v>0.03668750486</v>
      </c>
      <c r="F3470" t="n">
        <v>0.04791093913</v>
      </c>
      <c r="G3470" t="n">
        <v>0.0647158303</v>
      </c>
      <c r="H3470" t="n">
        <v>0.07392494976</v>
      </c>
    </row>
    <row r="3471">
      <c r="A3471" t="inlineStr">
        <is>
          <t>NER|mit.typ.p3.2</t>
        </is>
      </c>
      <c r="B3471" t="inlineStr">
        <is>
          <t>NER</t>
        </is>
      </c>
      <c r="C3471" t="inlineStr">
        <is>
          <t>mit.typ.p3.2</t>
        </is>
      </c>
      <c r="D3471" t="n">
        <v>0</v>
      </c>
      <c r="E3471" t="n">
        <v>0.04589805287</v>
      </c>
      <c r="F3471" t="n">
        <v>0.06381330659999999</v>
      </c>
      <c r="G3471" t="n">
        <v>0.10246268</v>
      </c>
      <c r="H3471" t="n">
        <v>0.1158951616</v>
      </c>
    </row>
    <row r="3472">
      <c r="A3472" t="inlineStr">
        <is>
          <t>NGA|mit.typ.p3.2</t>
        </is>
      </c>
      <c r="B3472" t="inlineStr">
        <is>
          <t>NGA</t>
        </is>
      </c>
      <c r="C3472" t="inlineStr">
        <is>
          <t>mit.typ.p3.2</t>
        </is>
      </c>
      <c r="D3472" t="n">
        <v>0</v>
      </c>
      <c r="E3472" t="n">
        <v>0.7646990524</v>
      </c>
      <c r="F3472" t="n">
        <v>1.122294738</v>
      </c>
      <c r="G3472" t="n">
        <v>1.834358336</v>
      </c>
      <c r="H3472" t="n">
        <v>1.977295859</v>
      </c>
    </row>
    <row r="3473">
      <c r="A3473" t="inlineStr">
        <is>
          <t>NIC|mit.typ.p3.2</t>
        </is>
      </c>
      <c r="B3473" t="inlineStr">
        <is>
          <t>NIC</t>
        </is>
      </c>
      <c r="C3473" t="inlineStr">
        <is>
          <t>mit.typ.p3.2</t>
        </is>
      </c>
      <c r="D3473" t="n">
        <v>0</v>
      </c>
      <c r="E3473" t="n">
        <v>0.07593460218</v>
      </c>
      <c r="F3473" t="n">
        <v>0.09793619314</v>
      </c>
      <c r="G3473" t="n">
        <v>0.1572873087</v>
      </c>
      <c r="H3473" t="n">
        <v>0.1787063531</v>
      </c>
    </row>
    <row r="3474">
      <c r="A3474" t="inlineStr">
        <is>
          <t>NLD|mit.typ.p3.2</t>
        </is>
      </c>
      <c r="B3474" t="inlineStr">
        <is>
          <t>NLD</t>
        </is>
      </c>
      <c r="C3474" t="inlineStr">
        <is>
          <t>mit.typ.p3.2</t>
        </is>
      </c>
      <c r="D3474" t="n">
        <v>0</v>
      </c>
      <c r="E3474" t="n">
        <v>7.493804216</v>
      </c>
      <c r="F3474" t="n">
        <v>9.159275685000001</v>
      </c>
      <c r="G3474" t="n">
        <v>8.361151024</v>
      </c>
      <c r="H3474" t="n">
        <v>7.760920857</v>
      </c>
    </row>
    <row r="3475">
      <c r="A3475" t="inlineStr">
        <is>
          <t>NOR|mit.typ.p3.2</t>
        </is>
      </c>
      <c r="B3475" t="inlineStr">
        <is>
          <t>NOR</t>
        </is>
      </c>
      <c r="C3475" t="inlineStr">
        <is>
          <t>mit.typ.p3.2</t>
        </is>
      </c>
      <c r="D3475" t="n">
        <v>0</v>
      </c>
      <c r="E3475" t="n">
        <v>2.659169107</v>
      </c>
      <c r="F3475" t="n">
        <v>3.203494869</v>
      </c>
      <c r="G3475" t="n">
        <v>3.508085497</v>
      </c>
      <c r="H3475" t="n">
        <v>3.71053639</v>
      </c>
    </row>
    <row r="3476">
      <c r="A3476" t="inlineStr">
        <is>
          <t>NPL|mit.typ.p3.2</t>
        </is>
      </c>
      <c r="B3476" t="inlineStr">
        <is>
          <t>NPL</t>
        </is>
      </c>
      <c r="C3476" t="inlineStr">
        <is>
          <t>mit.typ.p3.2</t>
        </is>
      </c>
      <c r="D3476" t="n">
        <v>0</v>
      </c>
      <c r="E3476" t="n">
        <v>0.2240221202</v>
      </c>
      <c r="F3476" t="n">
        <v>0.2628072815</v>
      </c>
      <c r="G3476" t="n">
        <v>0.4031532604</v>
      </c>
      <c r="H3476" t="n">
        <v>0.5113266135</v>
      </c>
    </row>
    <row r="3477">
      <c r="A3477" t="inlineStr">
        <is>
          <t>NRU|mit.typ.p3.2</t>
        </is>
      </c>
      <c r="B3477" t="inlineStr">
        <is>
          <t>NRU</t>
        </is>
      </c>
      <c r="C3477" t="inlineStr">
        <is>
          <t>mit.typ.p3.2</t>
        </is>
      </c>
      <c r="D3477" t="n">
        <v>0</v>
      </c>
      <c r="E3477" t="n">
        <v>0.0009528797518</v>
      </c>
      <c r="F3477" t="n">
        <v>0.001303650285</v>
      </c>
      <c r="G3477" t="n">
        <v>0.002024725956</v>
      </c>
      <c r="H3477" t="n">
        <v>0.001967844994</v>
      </c>
    </row>
    <row r="3478">
      <c r="A3478" t="inlineStr">
        <is>
          <t>NZL|mit.typ.p3.2</t>
        </is>
      </c>
      <c r="B3478" t="inlineStr">
        <is>
          <t>NZL</t>
        </is>
      </c>
      <c r="C3478" t="inlineStr">
        <is>
          <t>mit.typ.p3.2</t>
        </is>
      </c>
      <c r="D3478" t="n">
        <v>0</v>
      </c>
      <c r="E3478" t="n">
        <v>1.210502356</v>
      </c>
      <c r="F3478" t="n">
        <v>1.747998896</v>
      </c>
      <c r="G3478" t="n">
        <v>1.720318425</v>
      </c>
      <c r="H3478" t="n">
        <v>1.694577075</v>
      </c>
    </row>
    <row r="3479">
      <c r="A3479" t="inlineStr">
        <is>
          <t>OMN|mit.typ.p3.2</t>
        </is>
      </c>
      <c r="B3479" t="inlineStr">
        <is>
          <t>OMN</t>
        </is>
      </c>
      <c r="C3479" t="inlineStr">
        <is>
          <t>mit.typ.p3.2</t>
        </is>
      </c>
      <c r="D3479" t="n">
        <v>0</v>
      </c>
      <c r="E3479" t="n">
        <v>1.154587477</v>
      </c>
      <c r="F3479" t="n">
        <v>1.509069971</v>
      </c>
      <c r="G3479" t="n">
        <v>2.116575272</v>
      </c>
      <c r="H3479" t="n">
        <v>1.573680539</v>
      </c>
    </row>
    <row r="3480">
      <c r="A3480" t="inlineStr">
        <is>
          <t>PAK|mit.typ.p3.2</t>
        </is>
      </c>
      <c r="B3480" t="inlineStr">
        <is>
          <t>PAK</t>
        </is>
      </c>
      <c r="C3480" t="inlineStr">
        <is>
          <t>mit.typ.p3.2</t>
        </is>
      </c>
      <c r="D3480" t="n">
        <v>0</v>
      </c>
      <c r="E3480" t="n">
        <v>1.674652762</v>
      </c>
      <c r="F3480" t="n">
        <v>2.182406512</v>
      </c>
      <c r="G3480" t="n">
        <v>3.356179108</v>
      </c>
      <c r="H3480" t="n">
        <v>3.592107095</v>
      </c>
    </row>
    <row r="3481">
      <c r="A3481" t="inlineStr">
        <is>
          <t>PAN|mit.typ.p3.2</t>
        </is>
      </c>
      <c r="B3481" t="inlineStr">
        <is>
          <t>PAN</t>
        </is>
      </c>
      <c r="C3481" t="inlineStr">
        <is>
          <t>mit.typ.p3.2</t>
        </is>
      </c>
      <c r="D3481" t="n">
        <v>0</v>
      </c>
      <c r="E3481" t="n">
        <v>0.3058873734</v>
      </c>
      <c r="F3481" t="n">
        <v>0.3495766112</v>
      </c>
      <c r="G3481" t="n">
        <v>0.4141972659</v>
      </c>
      <c r="H3481" t="n">
        <v>0.3719263064</v>
      </c>
    </row>
    <row r="3482">
      <c r="A3482" t="inlineStr">
        <is>
          <t>PER|mit.typ.p3.2</t>
        </is>
      </c>
      <c r="B3482" t="inlineStr">
        <is>
          <t>PER</t>
        </is>
      </c>
      <c r="C3482" t="inlineStr">
        <is>
          <t>mit.typ.p3.2</t>
        </is>
      </c>
      <c r="D3482" t="n">
        <v>0</v>
      </c>
      <c r="E3482" t="n">
        <v>1.297469528</v>
      </c>
      <c r="F3482" t="n">
        <v>1.594274271</v>
      </c>
      <c r="G3482" t="n">
        <v>2.569075196</v>
      </c>
      <c r="H3482" t="n">
        <v>2.514845145</v>
      </c>
    </row>
    <row r="3483">
      <c r="A3483" t="inlineStr">
        <is>
          <t>PHL|mit.typ.p3.2</t>
        </is>
      </c>
      <c r="B3483" t="inlineStr">
        <is>
          <t>PHL</t>
        </is>
      </c>
      <c r="C3483" t="inlineStr">
        <is>
          <t>mit.typ.p3.2</t>
        </is>
      </c>
      <c r="D3483" t="n">
        <v>0</v>
      </c>
      <c r="E3483" t="n">
        <v>2.372422324</v>
      </c>
      <c r="F3483" t="n">
        <v>3.145372215</v>
      </c>
      <c r="G3483" t="n">
        <v>5.471641512</v>
      </c>
      <c r="H3483" t="n">
        <v>5.257001593</v>
      </c>
    </row>
    <row r="3484">
      <c r="A3484" t="inlineStr">
        <is>
          <t>PLW|mit.typ.p3.2</t>
        </is>
      </c>
      <c r="B3484" t="inlineStr">
        <is>
          <t>PLW</t>
        </is>
      </c>
      <c r="C3484" t="inlineStr">
        <is>
          <t>mit.typ.p3.2</t>
        </is>
      </c>
      <c r="D3484" t="n">
        <v>0</v>
      </c>
      <c r="E3484" t="n">
        <v>0.001903599982</v>
      </c>
      <c r="F3484" t="n">
        <v>0.002384656077</v>
      </c>
      <c r="G3484" t="n">
        <v>0.003115442961</v>
      </c>
      <c r="H3484" t="n">
        <v>0.002435647482</v>
      </c>
    </row>
    <row r="3485">
      <c r="A3485" t="inlineStr">
        <is>
          <t>PNG|mit.typ.p3.2</t>
        </is>
      </c>
      <c r="B3485" t="inlineStr">
        <is>
          <t>PNG</t>
        </is>
      </c>
      <c r="C3485" t="inlineStr">
        <is>
          <t>mit.typ.p3.2</t>
        </is>
      </c>
      <c r="D3485" t="n">
        <v>0</v>
      </c>
      <c r="E3485" t="n">
        <v>0.1420535982</v>
      </c>
      <c r="F3485" t="n">
        <v>0.1800190364</v>
      </c>
      <c r="G3485" t="n">
        <v>0.3109362092</v>
      </c>
      <c r="H3485" t="n">
        <v>0.3528245112</v>
      </c>
    </row>
    <row r="3486">
      <c r="A3486" t="inlineStr">
        <is>
          <t>POL|mit.typ.p3.2</t>
        </is>
      </c>
      <c r="B3486" t="inlineStr">
        <is>
          <t>POL</t>
        </is>
      </c>
      <c r="C3486" t="inlineStr">
        <is>
          <t>mit.typ.p3.2</t>
        </is>
      </c>
      <c r="D3486" t="n">
        <v>0</v>
      </c>
      <c r="E3486" t="n">
        <v>5.483636595</v>
      </c>
      <c r="F3486" t="n">
        <v>6.744929253</v>
      </c>
      <c r="G3486" t="n">
        <v>9.124383561</v>
      </c>
      <c r="H3486" t="n">
        <v>6.905024867</v>
      </c>
    </row>
    <row r="3487">
      <c r="A3487" t="inlineStr">
        <is>
          <t>PRI|mit.typ.p3.2</t>
        </is>
      </c>
      <c r="B3487" t="inlineStr">
        <is>
          <t>PRI</t>
        </is>
      </c>
      <c r="C3487" t="inlineStr">
        <is>
          <t>mit.typ.p3.2</t>
        </is>
      </c>
      <c r="D3487" t="n">
        <v>0</v>
      </c>
      <c r="E3487" t="n">
        <v>0.2190579348</v>
      </c>
      <c r="F3487" t="n">
        <v>0.2660363244</v>
      </c>
      <c r="G3487" t="n">
        <v>0.2632702285</v>
      </c>
      <c r="H3487" t="n">
        <v>0.2600118503</v>
      </c>
    </row>
    <row r="3488">
      <c r="A3488" t="inlineStr">
        <is>
          <t>PRT|mit.typ.p3.2</t>
        </is>
      </c>
      <c r="B3488" t="inlineStr">
        <is>
          <t>PRT</t>
        </is>
      </c>
      <c r="C3488" t="inlineStr">
        <is>
          <t>mit.typ.p3.2</t>
        </is>
      </c>
      <c r="D3488" t="n">
        <v>0</v>
      </c>
      <c r="E3488" t="n">
        <v>1.7479708</v>
      </c>
      <c r="F3488" t="n">
        <v>2.057477563</v>
      </c>
      <c r="G3488" t="n">
        <v>1.899550691</v>
      </c>
      <c r="H3488" t="n">
        <v>1.912722835</v>
      </c>
    </row>
    <row r="3489">
      <c r="A3489" t="inlineStr">
        <is>
          <t>PRY|mit.typ.p3.2</t>
        </is>
      </c>
      <c r="B3489" t="inlineStr">
        <is>
          <t>PRY</t>
        </is>
      </c>
      <c r="C3489" t="inlineStr">
        <is>
          <t>mit.typ.p3.2</t>
        </is>
      </c>
      <c r="D3489" t="n">
        <v>0</v>
      </c>
      <c r="E3489" t="n">
        <v>0.02911343486</v>
      </c>
      <c r="F3489" t="n">
        <v>0.03966754711</v>
      </c>
      <c r="G3489" t="n">
        <v>0.1245192111</v>
      </c>
      <c r="H3489" t="n">
        <v>0.1456828213</v>
      </c>
    </row>
    <row r="3490">
      <c r="A3490" t="inlineStr">
        <is>
          <t>QAT|mit.typ.p3.2</t>
        </is>
      </c>
      <c r="B3490" t="inlineStr">
        <is>
          <t>QAT</t>
        </is>
      </c>
      <c r="C3490" t="inlineStr">
        <is>
          <t>mit.typ.p3.2</t>
        </is>
      </c>
      <c r="D3490" t="n">
        <v>0</v>
      </c>
      <c r="E3490" t="n">
        <v>0.9441574415</v>
      </c>
      <c r="F3490" t="n">
        <v>0.5376527453</v>
      </c>
      <c r="G3490" t="n">
        <v>0.8501178002000001</v>
      </c>
      <c r="H3490" t="n">
        <v>0.6506307122</v>
      </c>
    </row>
    <row r="3491">
      <c r="A3491" t="inlineStr">
        <is>
          <t>ROU|mit.typ.p3.2</t>
        </is>
      </c>
      <c r="B3491" t="inlineStr">
        <is>
          <t>ROU</t>
        </is>
      </c>
      <c r="C3491" t="inlineStr">
        <is>
          <t>mit.typ.p3.2</t>
        </is>
      </c>
      <c r="D3491" t="n">
        <v>0</v>
      </c>
      <c r="E3491" t="n">
        <v>1.504571574</v>
      </c>
      <c r="F3491" t="n">
        <v>1.825700035</v>
      </c>
      <c r="G3491" t="n">
        <v>2.751364859</v>
      </c>
      <c r="H3491" t="n">
        <v>2.852268098</v>
      </c>
    </row>
    <row r="3492">
      <c r="A3492" t="inlineStr">
        <is>
          <t>RUS|mit.typ.p3.2</t>
        </is>
      </c>
      <c r="B3492" t="inlineStr">
        <is>
          <t>RUS</t>
        </is>
      </c>
      <c r="C3492" t="inlineStr">
        <is>
          <t>mit.typ.p3.2</t>
        </is>
      </c>
      <c r="D3492" t="n">
        <v>0</v>
      </c>
      <c r="E3492" t="n">
        <v>14.87215579</v>
      </c>
      <c r="F3492" t="n">
        <v>20.2290245</v>
      </c>
      <c r="G3492" t="n">
        <v>38.03731597</v>
      </c>
      <c r="H3492" t="n">
        <v>36.79033123</v>
      </c>
    </row>
    <row r="3493">
      <c r="A3493" t="inlineStr">
        <is>
          <t>RWA|mit.typ.p3.2</t>
        </is>
      </c>
      <c r="B3493" t="inlineStr">
        <is>
          <t>RWA</t>
        </is>
      </c>
      <c r="C3493" t="inlineStr">
        <is>
          <t>mit.typ.p3.2</t>
        </is>
      </c>
      <c r="D3493" t="n">
        <v>0</v>
      </c>
      <c r="E3493" t="n">
        <v>0.03422474278</v>
      </c>
      <c r="F3493" t="n">
        <v>0.04849286215</v>
      </c>
      <c r="G3493" t="n">
        <v>0.07555964612</v>
      </c>
      <c r="H3493" t="n">
        <v>0.098267039</v>
      </c>
    </row>
    <row r="3494">
      <c r="A3494" t="inlineStr">
        <is>
          <t>SAU|mit.typ.p3.2</t>
        </is>
      </c>
      <c r="B3494" t="inlineStr">
        <is>
          <t>SAU</t>
        </is>
      </c>
      <c r="C3494" t="inlineStr">
        <is>
          <t>mit.typ.p3.2</t>
        </is>
      </c>
      <c r="D3494" t="n">
        <v>0</v>
      </c>
      <c r="E3494" t="n">
        <v>5.451776124</v>
      </c>
      <c r="F3494" t="n">
        <v>6.314295565</v>
      </c>
      <c r="G3494" t="n">
        <v>9.064979159</v>
      </c>
      <c r="H3494" t="n">
        <v>6.470620402</v>
      </c>
    </row>
    <row r="3495">
      <c r="A3495" t="inlineStr">
        <is>
          <t>SDN|mit.typ.p3.2</t>
        </is>
      </c>
      <c r="B3495" t="inlineStr">
        <is>
          <t>SDN</t>
        </is>
      </c>
      <c r="C3495" t="inlineStr">
        <is>
          <t>mit.typ.p3.2</t>
        </is>
      </c>
      <c r="D3495" t="n">
        <v>0</v>
      </c>
      <c r="E3495" t="n">
        <v>0.113675084</v>
      </c>
      <c r="F3495" t="n">
        <v>0.1468109338</v>
      </c>
      <c r="G3495" t="n">
        <v>0.2061972517</v>
      </c>
      <c r="H3495" t="n">
        <v>0.2276208352</v>
      </c>
    </row>
    <row r="3496">
      <c r="A3496" t="inlineStr">
        <is>
          <t>SEN|mit.typ.p3.2</t>
        </is>
      </c>
      <c r="B3496" t="inlineStr">
        <is>
          <t>SEN</t>
        </is>
      </c>
      <c r="C3496" t="inlineStr">
        <is>
          <t>mit.typ.p3.2</t>
        </is>
      </c>
      <c r="D3496" t="n">
        <v>0</v>
      </c>
      <c r="E3496" t="n">
        <v>0.1506753427</v>
      </c>
      <c r="F3496" t="n">
        <v>0.1457986723</v>
      </c>
      <c r="G3496" t="n">
        <v>0.2456062713</v>
      </c>
      <c r="H3496" t="n">
        <v>0.2663468633</v>
      </c>
    </row>
    <row r="3497">
      <c r="A3497" t="inlineStr">
        <is>
          <t>SGP|mit.typ.p3.2</t>
        </is>
      </c>
      <c r="B3497" t="inlineStr">
        <is>
          <t>SGP</t>
        </is>
      </c>
      <c r="C3497" t="inlineStr">
        <is>
          <t>mit.typ.p3.2</t>
        </is>
      </c>
      <c r="D3497" t="n">
        <v>0</v>
      </c>
      <c r="E3497" t="n">
        <v>3.073824003</v>
      </c>
      <c r="F3497" t="n">
        <v>4.359029698</v>
      </c>
      <c r="G3497" t="n">
        <v>3.615292014</v>
      </c>
      <c r="H3497" t="n">
        <v>3.79348149</v>
      </c>
    </row>
    <row r="3498">
      <c r="A3498" t="inlineStr">
        <is>
          <t>SLB|mit.typ.p3.2</t>
        </is>
      </c>
      <c r="B3498" t="inlineStr">
        <is>
          <t>SLB</t>
        </is>
      </c>
      <c r="C3498" t="inlineStr">
        <is>
          <t>mit.typ.p3.2</t>
        </is>
      </c>
      <c r="D3498" t="n">
        <v>0</v>
      </c>
      <c r="E3498" t="n">
        <v>0.003176330719</v>
      </c>
      <c r="F3498" t="n">
        <v>0.004364651183</v>
      </c>
      <c r="G3498" t="n">
        <v>0.005722621108</v>
      </c>
      <c r="H3498" t="n">
        <v>0.006217800569</v>
      </c>
    </row>
    <row r="3499">
      <c r="A3499" t="inlineStr">
        <is>
          <t>SLE|mit.typ.p3.2</t>
        </is>
      </c>
      <c r="B3499" t="inlineStr">
        <is>
          <t>SLE</t>
        </is>
      </c>
      <c r="C3499" t="inlineStr">
        <is>
          <t>mit.typ.p3.2</t>
        </is>
      </c>
      <c r="D3499" t="n">
        <v>0</v>
      </c>
      <c r="E3499" t="n">
        <v>0.01553622604</v>
      </c>
      <c r="F3499" t="n">
        <v>0.02253071006</v>
      </c>
      <c r="G3499" t="n">
        <v>0.03523497063</v>
      </c>
      <c r="H3499" t="n">
        <v>0.04757362517</v>
      </c>
    </row>
    <row r="3500">
      <c r="A3500" t="inlineStr">
        <is>
          <t>SLV|mit.typ.p3.2</t>
        </is>
      </c>
      <c r="B3500" t="inlineStr">
        <is>
          <t>SLV</t>
        </is>
      </c>
      <c r="C3500" t="inlineStr">
        <is>
          <t>mit.typ.p3.2</t>
        </is>
      </c>
      <c r="D3500" t="n">
        <v>0</v>
      </c>
      <c r="E3500" t="n">
        <v>0.1495584004</v>
      </c>
      <c r="F3500" t="n">
        <v>0.1958514318</v>
      </c>
      <c r="G3500" t="n">
        <v>0.2962397585</v>
      </c>
      <c r="H3500" t="n">
        <v>0.3562895924</v>
      </c>
    </row>
    <row r="3501">
      <c r="A3501" t="inlineStr">
        <is>
          <t>SOM|mit.typ.p3.2</t>
        </is>
      </c>
      <c r="B3501" t="inlineStr">
        <is>
          <t>SOM</t>
        </is>
      </c>
      <c r="C3501" t="inlineStr">
        <is>
          <t>mit.typ.p3.2</t>
        </is>
      </c>
      <c r="D3501" t="n">
        <v>0</v>
      </c>
      <c r="E3501" t="n">
        <v>0.006678628412</v>
      </c>
      <c r="F3501" t="n">
        <v>0.008831125701</v>
      </c>
      <c r="G3501" t="n">
        <v>0.01352775356</v>
      </c>
      <c r="H3501" t="n">
        <v>0.01738252557</v>
      </c>
    </row>
    <row r="3502">
      <c r="A3502" t="inlineStr">
        <is>
          <t>SRB|mit.typ.p3.2</t>
        </is>
      </c>
      <c r="B3502" t="inlineStr">
        <is>
          <t>SRB</t>
        </is>
      </c>
      <c r="C3502" t="inlineStr">
        <is>
          <t>mit.typ.p3.2</t>
        </is>
      </c>
      <c r="D3502" t="n">
        <v>0</v>
      </c>
      <c r="E3502" t="n">
        <v>0.6435164759000001</v>
      </c>
      <c r="F3502" t="n">
        <v>0.8810314753</v>
      </c>
      <c r="G3502" t="n">
        <v>1.399892151</v>
      </c>
      <c r="H3502" t="n">
        <v>1.196676951</v>
      </c>
    </row>
    <row r="3503">
      <c r="A3503" t="inlineStr">
        <is>
          <t>STP|mit.typ.p3.2</t>
        </is>
      </c>
      <c r="B3503" t="inlineStr">
        <is>
          <t>STP</t>
        </is>
      </c>
      <c r="C3503" t="inlineStr">
        <is>
          <t>mit.typ.p3.2</t>
        </is>
      </c>
      <c r="D3503" t="n">
        <v>0</v>
      </c>
      <c r="E3503" t="n">
        <v>0.0007694623604</v>
      </c>
      <c r="F3503" t="n">
        <v>0.001136905764</v>
      </c>
      <c r="G3503" t="n">
        <v>0.001847664459</v>
      </c>
      <c r="H3503" t="n">
        <v>0.00211620326</v>
      </c>
    </row>
    <row r="3504">
      <c r="A3504" t="inlineStr">
        <is>
          <t>SUR|mit.typ.p3.2</t>
        </is>
      </c>
      <c r="B3504" t="inlineStr">
        <is>
          <t>SUR</t>
        </is>
      </c>
      <c r="C3504" t="inlineStr">
        <is>
          <t>mit.typ.p3.2</t>
        </is>
      </c>
      <c r="D3504" t="n">
        <v>0</v>
      </c>
      <c r="E3504" t="n">
        <v>0.02209107871</v>
      </c>
      <c r="F3504" t="n">
        <v>0.03172094485</v>
      </c>
      <c r="G3504" t="n">
        <v>0.04173553289</v>
      </c>
      <c r="H3504" t="n">
        <v>0.04380707327</v>
      </c>
    </row>
    <row r="3505">
      <c r="A3505" t="inlineStr">
        <is>
          <t>SVK|mit.typ.p3.2</t>
        </is>
      </c>
      <c r="B3505" t="inlineStr">
        <is>
          <t>SVK</t>
        </is>
      </c>
      <c r="C3505" t="inlineStr">
        <is>
          <t>mit.typ.p3.2</t>
        </is>
      </c>
      <c r="D3505" t="n">
        <v>0</v>
      </c>
      <c r="E3505" t="n">
        <v>0.8905315435</v>
      </c>
      <c r="F3505" t="n">
        <v>1.032003166</v>
      </c>
      <c r="G3505" t="n">
        <v>1.057655652</v>
      </c>
      <c r="H3505" t="n">
        <v>0.9992831494</v>
      </c>
    </row>
    <row r="3506">
      <c r="A3506" t="inlineStr">
        <is>
          <t>SVN|mit.typ.p3.2</t>
        </is>
      </c>
      <c r="B3506" t="inlineStr">
        <is>
          <t>SVN</t>
        </is>
      </c>
      <c r="C3506" t="inlineStr">
        <is>
          <t>mit.typ.p3.2</t>
        </is>
      </c>
      <c r="D3506" t="n">
        <v>0</v>
      </c>
      <c r="E3506" t="n">
        <v>0.4134714148</v>
      </c>
      <c r="F3506" t="n">
        <v>0.5412309732</v>
      </c>
      <c r="G3506" t="n">
        <v>0.4995501804</v>
      </c>
      <c r="H3506" t="n">
        <v>0.4943553349</v>
      </c>
    </row>
    <row r="3507">
      <c r="A3507" t="inlineStr">
        <is>
          <t>SWE|mit.typ.p3.2</t>
        </is>
      </c>
      <c r="B3507" t="inlineStr">
        <is>
          <t>SWE</t>
        </is>
      </c>
      <c r="C3507" t="inlineStr">
        <is>
          <t>mit.typ.p3.2</t>
        </is>
      </c>
      <c r="D3507" t="n">
        <v>0</v>
      </c>
      <c r="E3507" t="n">
        <v>3.340605038</v>
      </c>
      <c r="F3507" t="n">
        <v>4.001176586</v>
      </c>
      <c r="G3507" t="n">
        <v>4.080998876</v>
      </c>
      <c r="H3507" t="n">
        <v>4.206883255</v>
      </c>
    </row>
    <row r="3508">
      <c r="A3508" t="inlineStr">
        <is>
          <t>SWZ|mit.typ.p3.2</t>
        </is>
      </c>
      <c r="B3508" t="inlineStr">
        <is>
          <t>SWZ</t>
        </is>
      </c>
      <c r="C3508" t="inlineStr">
        <is>
          <t>mit.typ.p3.2</t>
        </is>
      </c>
      <c r="D3508" t="n">
        <v>0</v>
      </c>
      <c r="E3508" t="n">
        <v>0.01114472099</v>
      </c>
      <c r="F3508" t="n">
        <v>0.01647601577</v>
      </c>
      <c r="G3508" t="n">
        <v>0.02308916426</v>
      </c>
      <c r="H3508" t="n">
        <v>0.02739250985</v>
      </c>
    </row>
    <row r="3509">
      <c r="A3509" t="inlineStr">
        <is>
          <t>SYC|mit.typ.p3.2</t>
        </is>
      </c>
      <c r="B3509" t="inlineStr">
        <is>
          <t>SYC</t>
        </is>
      </c>
      <c r="C3509" t="inlineStr">
        <is>
          <t>mit.typ.p3.2</t>
        </is>
      </c>
      <c r="D3509" t="n">
        <v>0</v>
      </c>
      <c r="E3509" t="n">
        <v>0.006738398419</v>
      </c>
      <c r="F3509" t="n">
        <v>0.006904365802</v>
      </c>
      <c r="G3509" t="n">
        <v>0.009496211831999999</v>
      </c>
      <c r="H3509" t="n">
        <v>0.00764084517</v>
      </c>
    </row>
    <row r="3510">
      <c r="A3510" t="inlineStr">
        <is>
          <t>SYR|mit.typ.p3.2</t>
        </is>
      </c>
      <c r="B3510" t="inlineStr">
        <is>
          <t>SYR</t>
        </is>
      </c>
      <c r="C3510" t="inlineStr">
        <is>
          <t>mit.typ.p3.2</t>
        </is>
      </c>
      <c r="D3510" t="n">
        <v>0</v>
      </c>
      <c r="E3510" t="n">
        <v>0.4527266268</v>
      </c>
      <c r="F3510" t="n">
        <v>0.5720701744</v>
      </c>
      <c r="G3510" t="n">
        <v>1.030358019</v>
      </c>
      <c r="H3510" t="n">
        <v>0.985219696</v>
      </c>
    </row>
    <row r="3511">
      <c r="A3511" t="inlineStr">
        <is>
          <t>TCD|mit.typ.p3.2</t>
        </is>
      </c>
      <c r="B3511" t="inlineStr">
        <is>
          <t>TCD</t>
        </is>
      </c>
      <c r="C3511" t="inlineStr">
        <is>
          <t>mit.typ.p3.2</t>
        </is>
      </c>
      <c r="D3511" t="n">
        <v>0</v>
      </c>
      <c r="E3511" t="n">
        <v>0.03569103541</v>
      </c>
      <c r="F3511" t="n">
        <v>0.04594841884</v>
      </c>
      <c r="G3511" t="n">
        <v>0.06501879409</v>
      </c>
      <c r="H3511" t="n">
        <v>0.08708258281</v>
      </c>
    </row>
    <row r="3512">
      <c r="A3512" t="inlineStr">
        <is>
          <t>TGO|mit.typ.p3.2</t>
        </is>
      </c>
      <c r="B3512" t="inlineStr">
        <is>
          <t>TGO</t>
        </is>
      </c>
      <c r="C3512" t="inlineStr">
        <is>
          <t>mit.typ.p3.2</t>
        </is>
      </c>
      <c r="D3512" t="n">
        <v>0</v>
      </c>
      <c r="E3512" t="n">
        <v>0.03519300369</v>
      </c>
      <c r="F3512" t="n">
        <v>0.04383139716</v>
      </c>
      <c r="G3512" t="n">
        <v>0.06585801501999999</v>
      </c>
      <c r="H3512" t="n">
        <v>0.07592630529</v>
      </c>
    </row>
    <row r="3513">
      <c r="A3513" t="inlineStr">
        <is>
          <t>THA|mit.typ.p3.2</t>
        </is>
      </c>
      <c r="B3513" t="inlineStr">
        <is>
          <t>THA</t>
        </is>
      </c>
      <c r="C3513" t="inlineStr">
        <is>
          <t>mit.typ.p3.2</t>
        </is>
      </c>
      <c r="D3513" t="n">
        <v>0</v>
      </c>
      <c r="E3513" t="n">
        <v>2.788454787</v>
      </c>
      <c r="F3513" t="n">
        <v>3.173808706</v>
      </c>
      <c r="G3513" t="n">
        <v>5.141806628</v>
      </c>
      <c r="H3513" t="n">
        <v>4.619946973</v>
      </c>
    </row>
    <row r="3514">
      <c r="A3514" t="inlineStr">
        <is>
          <t>TJK|mit.typ.p3.2</t>
        </is>
      </c>
      <c r="B3514" t="inlineStr">
        <is>
          <t>TJK</t>
        </is>
      </c>
      <c r="C3514" t="inlineStr">
        <is>
          <t>mit.typ.p3.2</t>
        </is>
      </c>
      <c r="D3514" t="n">
        <v>0</v>
      </c>
      <c r="E3514" t="n">
        <v>0.1051167803</v>
      </c>
      <c r="F3514" t="n">
        <v>0.1490208714</v>
      </c>
      <c r="G3514" t="n">
        <v>0.1919704701</v>
      </c>
      <c r="H3514" t="n">
        <v>0.2414058508</v>
      </c>
    </row>
    <row r="3515">
      <c r="A3515" t="inlineStr">
        <is>
          <t>TKM|mit.typ.p3.2</t>
        </is>
      </c>
      <c r="B3515" t="inlineStr">
        <is>
          <t>TKM</t>
        </is>
      </c>
      <c r="C3515" t="inlineStr">
        <is>
          <t>mit.typ.p3.2</t>
        </is>
      </c>
      <c r="D3515" t="n">
        <v>0</v>
      </c>
      <c r="E3515" t="n">
        <v>0.2614012997</v>
      </c>
      <c r="F3515" t="n">
        <v>0.3727582956</v>
      </c>
      <c r="G3515" t="n">
        <v>0.6127898711</v>
      </c>
      <c r="H3515" t="n">
        <v>0.6112270877</v>
      </c>
    </row>
    <row r="3516">
      <c r="A3516" t="inlineStr">
        <is>
          <t>TLS|mit.typ.p3.2</t>
        </is>
      </c>
      <c r="B3516" t="inlineStr">
        <is>
          <t>TLS</t>
        </is>
      </c>
      <c r="C3516" t="inlineStr">
        <is>
          <t>mit.typ.p3.2</t>
        </is>
      </c>
      <c r="D3516" t="n">
        <v>0</v>
      </c>
      <c r="E3516" t="n">
        <v>0.005506236731</v>
      </c>
      <c r="F3516" t="n">
        <v>0.008194911134</v>
      </c>
      <c r="G3516" t="n">
        <v>0.01335668979</v>
      </c>
      <c r="H3516" t="n">
        <v>0.01485495278</v>
      </c>
    </row>
    <row r="3517">
      <c r="A3517" t="inlineStr">
        <is>
          <t>TON|mit.typ.p3.2</t>
        </is>
      </c>
      <c r="B3517" t="inlineStr">
        <is>
          <t>TON</t>
        </is>
      </c>
      <c r="C3517" t="inlineStr">
        <is>
          <t>mit.typ.p3.2</t>
        </is>
      </c>
      <c r="D3517" t="n">
        <v>0</v>
      </c>
      <c r="E3517" t="n">
        <v>0.002455083296</v>
      </c>
      <c r="F3517" t="n">
        <v>0.003373041096</v>
      </c>
      <c r="G3517" t="n">
        <v>0.005343639205</v>
      </c>
      <c r="H3517" t="n">
        <v>0.004932063123</v>
      </c>
    </row>
    <row r="3518">
      <c r="A3518" t="inlineStr">
        <is>
          <t>TTO|mit.typ.p3.2</t>
        </is>
      </c>
      <c r="B3518" t="inlineStr">
        <is>
          <t>TTO</t>
        </is>
      </c>
      <c r="C3518" t="inlineStr">
        <is>
          <t>mit.typ.p3.2</t>
        </is>
      </c>
      <c r="D3518" t="n">
        <v>0</v>
      </c>
      <c r="E3518" t="n">
        <v>0.110242326</v>
      </c>
      <c r="F3518" t="n">
        <v>0.1310962319</v>
      </c>
      <c r="G3518" t="n">
        <v>0.2025155073</v>
      </c>
      <c r="H3518" t="n">
        <v>0.1508593034</v>
      </c>
    </row>
    <row r="3519">
      <c r="A3519" t="inlineStr">
        <is>
          <t>TUN|mit.typ.p3.2</t>
        </is>
      </c>
      <c r="B3519" t="inlineStr">
        <is>
          <t>TUN</t>
        </is>
      </c>
      <c r="C3519" t="inlineStr">
        <is>
          <t>mit.typ.p3.2</t>
        </is>
      </c>
      <c r="D3519" t="n">
        <v>0</v>
      </c>
      <c r="E3519" t="n">
        <v>0.324450997</v>
      </c>
      <c r="F3519" t="n">
        <v>0.440049201</v>
      </c>
      <c r="G3519" t="n">
        <v>0.8450043562</v>
      </c>
      <c r="H3519" t="n">
        <v>0.8001954106</v>
      </c>
    </row>
    <row r="3520">
      <c r="A3520" t="inlineStr">
        <is>
          <t>TUR|mit.typ.p3.2</t>
        </is>
      </c>
      <c r="B3520" t="inlineStr">
        <is>
          <t>TUR</t>
        </is>
      </c>
      <c r="C3520" t="inlineStr">
        <is>
          <t>mit.typ.p3.2</t>
        </is>
      </c>
      <c r="D3520" t="n">
        <v>0</v>
      </c>
      <c r="E3520" t="n">
        <v>7.074149015</v>
      </c>
      <c r="F3520" t="n">
        <v>8.587979348999999</v>
      </c>
      <c r="G3520" t="n">
        <v>12.54787362</v>
      </c>
      <c r="H3520" t="n">
        <v>11.8336508</v>
      </c>
    </row>
    <row r="3521">
      <c r="A3521" t="inlineStr">
        <is>
          <t>TZA|mit.typ.p3.2</t>
        </is>
      </c>
      <c r="B3521" t="inlineStr">
        <is>
          <t>TZA</t>
        </is>
      </c>
      <c r="C3521" t="inlineStr">
        <is>
          <t>mit.typ.p3.2</t>
        </is>
      </c>
      <c r="D3521" t="n">
        <v>0</v>
      </c>
      <c r="E3521" t="n">
        <v>0.212505036</v>
      </c>
      <c r="F3521" t="n">
        <v>0.3164877735</v>
      </c>
      <c r="G3521" t="n">
        <v>0.5255185795</v>
      </c>
      <c r="H3521" t="n">
        <v>0.6158198915999999</v>
      </c>
    </row>
    <row r="3522">
      <c r="A3522" t="inlineStr">
        <is>
          <t>UGA|mit.typ.p3.2</t>
        </is>
      </c>
      <c r="B3522" t="inlineStr">
        <is>
          <t>UGA</t>
        </is>
      </c>
      <c r="C3522" t="inlineStr">
        <is>
          <t>mit.typ.p3.2</t>
        </is>
      </c>
      <c r="D3522" t="n">
        <v>0</v>
      </c>
      <c r="E3522" t="n">
        <v>0.1148768045</v>
      </c>
      <c r="F3522" t="n">
        <v>0.1806775867</v>
      </c>
      <c r="G3522" t="n">
        <v>0.2754623785</v>
      </c>
      <c r="H3522" t="n">
        <v>0.3653305195</v>
      </c>
    </row>
    <row r="3523">
      <c r="A3523" t="inlineStr">
        <is>
          <t>UKR|mit.typ.p3.2</t>
        </is>
      </c>
      <c r="B3523" t="inlineStr">
        <is>
          <t>UKR</t>
        </is>
      </c>
      <c r="C3523" t="inlineStr">
        <is>
          <t>mit.typ.p3.2</t>
        </is>
      </c>
      <c r="D3523" t="n">
        <v>0</v>
      </c>
      <c r="E3523" t="n">
        <v>2.250513114</v>
      </c>
      <c r="F3523" t="n">
        <v>3.084214783</v>
      </c>
      <c r="G3523" t="n">
        <v>4.597648438</v>
      </c>
      <c r="H3523" t="n">
        <v>5.64129904</v>
      </c>
    </row>
    <row r="3524">
      <c r="A3524" t="inlineStr">
        <is>
          <t>URY|mit.typ.p3.2</t>
        </is>
      </c>
      <c r="B3524" t="inlineStr">
        <is>
          <t>URY</t>
        </is>
      </c>
      <c r="C3524" t="inlineStr">
        <is>
          <t>mit.typ.p3.2</t>
        </is>
      </c>
      <c r="D3524" t="n">
        <v>0</v>
      </c>
      <c r="E3524" t="n">
        <v>0.2444701727</v>
      </c>
      <c r="F3524" t="n">
        <v>0.2324897487</v>
      </c>
      <c r="G3524" t="n">
        <v>0.2599134225</v>
      </c>
      <c r="H3524" t="n">
        <v>0.2635724795</v>
      </c>
    </row>
    <row r="3525">
      <c r="A3525" t="inlineStr">
        <is>
          <t>USA|mit.typ.p3.2</t>
        </is>
      </c>
      <c r="B3525" t="inlineStr">
        <is>
          <t>USA</t>
        </is>
      </c>
      <c r="C3525" t="inlineStr">
        <is>
          <t>mit.typ.p3.2</t>
        </is>
      </c>
      <c r="D3525" t="n">
        <v>0</v>
      </c>
      <c r="E3525" t="n">
        <v>178.578087</v>
      </c>
      <c r="F3525" t="n">
        <v>239.2082478</v>
      </c>
      <c r="G3525" t="n">
        <v>206.6308363</v>
      </c>
      <c r="H3525" t="n">
        <v>198.8560652</v>
      </c>
    </row>
    <row r="3526">
      <c r="A3526" t="inlineStr">
        <is>
          <t>UZB|mit.typ.p3.2</t>
        </is>
      </c>
      <c r="B3526" t="inlineStr">
        <is>
          <t>UZB</t>
        </is>
      </c>
      <c r="C3526" t="inlineStr">
        <is>
          <t>mit.typ.p3.2</t>
        </is>
      </c>
      <c r="D3526" t="n">
        <v>0</v>
      </c>
      <c r="E3526" t="n">
        <v>1.307109494</v>
      </c>
      <c r="F3526" t="n">
        <v>1.802655889</v>
      </c>
      <c r="G3526" t="n">
        <v>3.035447226</v>
      </c>
      <c r="H3526" t="n">
        <v>3.071529325</v>
      </c>
    </row>
    <row r="3527">
      <c r="A3527" t="inlineStr">
        <is>
          <t>VCT|mit.typ.p3.2</t>
        </is>
      </c>
      <c r="B3527" t="inlineStr">
        <is>
          <t>VCT</t>
        </is>
      </c>
      <c r="C3527" t="inlineStr">
        <is>
          <t>mit.typ.p3.2</t>
        </is>
      </c>
      <c r="D3527" t="n">
        <v>0</v>
      </c>
      <c r="E3527" t="n">
        <v>0.001877596101</v>
      </c>
      <c r="F3527" t="n">
        <v>0.002527351453</v>
      </c>
      <c r="G3527" t="n">
        <v>0.003725604906</v>
      </c>
      <c r="H3527" t="n">
        <v>0.003678924073</v>
      </c>
    </row>
    <row r="3528">
      <c r="A3528" t="inlineStr">
        <is>
          <t>VEN|mit.typ.p3.2</t>
        </is>
      </c>
      <c r="B3528" t="inlineStr">
        <is>
          <t>VEN</t>
        </is>
      </c>
      <c r="C3528" t="inlineStr">
        <is>
          <t>mit.typ.p3.2</t>
        </is>
      </c>
      <c r="D3528" t="n">
        <v>0</v>
      </c>
      <c r="E3528" t="n">
        <v>0.698835212</v>
      </c>
      <c r="F3528" t="n">
        <v>0.9585424087</v>
      </c>
      <c r="G3528" t="n">
        <v>1.202914145</v>
      </c>
      <c r="H3528" t="n">
        <v>1.398281611</v>
      </c>
    </row>
    <row r="3529">
      <c r="A3529" t="inlineStr">
        <is>
          <t>VNM|mit.typ.p3.2</t>
        </is>
      </c>
      <c r="B3529" t="inlineStr">
        <is>
          <t>VNM</t>
        </is>
      </c>
      <c r="C3529" t="inlineStr">
        <is>
          <t>mit.typ.p3.2</t>
        </is>
      </c>
      <c r="D3529" t="n">
        <v>0</v>
      </c>
      <c r="E3529" t="n">
        <v>4.219042513</v>
      </c>
      <c r="F3529" t="n">
        <v>5.277961448</v>
      </c>
      <c r="G3529" t="n">
        <v>7.674788532</v>
      </c>
      <c r="H3529" t="n">
        <v>7.611478735</v>
      </c>
    </row>
    <row r="3530">
      <c r="A3530" t="inlineStr">
        <is>
          <t>VUT|mit.typ.p3.2</t>
        </is>
      </c>
      <c r="B3530" t="inlineStr">
        <is>
          <t>VUT</t>
        </is>
      </c>
      <c r="C3530" t="inlineStr">
        <is>
          <t>mit.typ.p3.2</t>
        </is>
      </c>
      <c r="D3530" t="n">
        <v>0</v>
      </c>
      <c r="E3530" t="n">
        <v>0.002013008163</v>
      </c>
      <c r="F3530" t="n">
        <v>0.003216352536</v>
      </c>
      <c r="G3530" t="n">
        <v>0.004819573642</v>
      </c>
      <c r="H3530" t="n">
        <v>0.005071577767</v>
      </c>
    </row>
    <row r="3531">
      <c r="A3531" t="inlineStr">
        <is>
          <t>WSM|mit.typ.p3.2</t>
        </is>
      </c>
      <c r="B3531" t="inlineStr">
        <is>
          <t>WSM</t>
        </is>
      </c>
      <c r="C3531" t="inlineStr">
        <is>
          <t>mit.typ.p3.2</t>
        </is>
      </c>
      <c r="D3531" t="n">
        <v>0</v>
      </c>
      <c r="E3531" t="n">
        <v>0.005041344259</v>
      </c>
      <c r="F3531" t="n">
        <v>0.0066835372</v>
      </c>
      <c r="G3531" t="n">
        <v>0.01002013025</v>
      </c>
      <c r="H3531" t="n">
        <v>0.009831864139</v>
      </c>
    </row>
    <row r="3532">
      <c r="A3532" t="inlineStr">
        <is>
          <t>XKX|mit.typ.p3.2</t>
        </is>
      </c>
      <c r="B3532" t="inlineStr">
        <is>
          <t>XKX</t>
        </is>
      </c>
      <c r="C3532" t="inlineStr">
        <is>
          <t>mit.typ.p3.2</t>
        </is>
      </c>
      <c r="D3532" t="n">
        <v>0</v>
      </c>
      <c r="E3532" t="n">
        <v>0.06890979836</v>
      </c>
      <c r="F3532" t="n">
        <v>0.08313100486</v>
      </c>
      <c r="G3532" t="n">
        <v>0.1370788829</v>
      </c>
      <c r="H3532" t="n">
        <v>0.1261235841</v>
      </c>
    </row>
    <row r="3533">
      <c r="A3533" t="inlineStr">
        <is>
          <t>YEM|mit.typ.p3.2</t>
        </is>
      </c>
      <c r="B3533" t="inlineStr">
        <is>
          <t>YEM</t>
        </is>
      </c>
      <c r="C3533" t="inlineStr">
        <is>
          <t>mit.typ.p3.2</t>
        </is>
      </c>
      <c r="D3533" t="n">
        <v>0</v>
      </c>
      <c r="E3533" t="n">
        <v>0.04143696305</v>
      </c>
      <c r="F3533" t="n">
        <v>0.05317119505</v>
      </c>
      <c r="G3533" t="n">
        <v>0.07965234390000001</v>
      </c>
      <c r="H3533" t="n">
        <v>0.08473536527</v>
      </c>
    </row>
    <row r="3534">
      <c r="A3534" t="inlineStr">
        <is>
          <t>ZAF|mit.typ.p3.2</t>
        </is>
      </c>
      <c r="B3534" t="inlineStr">
        <is>
          <t>ZAF</t>
        </is>
      </c>
      <c r="C3534" t="inlineStr">
        <is>
          <t>mit.typ.p3.2</t>
        </is>
      </c>
      <c r="D3534" t="n">
        <v>0</v>
      </c>
      <c r="E3534" t="n">
        <v>3.03406587</v>
      </c>
      <c r="F3534" t="n">
        <v>3.584802487</v>
      </c>
      <c r="G3534" t="n">
        <v>5.809849578</v>
      </c>
      <c r="H3534" t="n">
        <v>4.972360852</v>
      </c>
    </row>
    <row r="3535">
      <c r="A3535" t="inlineStr">
        <is>
          <t>ZMB|mit.typ.p3.2</t>
        </is>
      </c>
      <c r="B3535" t="inlineStr">
        <is>
          <t>ZMB</t>
        </is>
      </c>
      <c r="C3535" t="inlineStr">
        <is>
          <t>mit.typ.p3.2</t>
        </is>
      </c>
      <c r="D3535" t="n">
        <v>0</v>
      </c>
      <c r="E3535" t="n">
        <v>0.133934284</v>
      </c>
      <c r="F3535" t="n">
        <v>0.1866875339</v>
      </c>
      <c r="G3535" t="n">
        <v>0.2671204016</v>
      </c>
      <c r="H3535" t="n">
        <v>0.3053563766</v>
      </c>
    </row>
    <row r="3536">
      <c r="A3536" t="inlineStr">
        <is>
          <t>ZWE|mit.typ.p3.2</t>
        </is>
      </c>
      <c r="B3536" t="inlineStr">
        <is>
          <t>ZWE</t>
        </is>
      </c>
      <c r="C3536" t="inlineStr">
        <is>
          <t>mit.typ.p3.2</t>
        </is>
      </c>
      <c r="D3536" t="n">
        <v>0</v>
      </c>
      <c r="E3536" t="n">
        <v>0.2394397489</v>
      </c>
      <c r="F3536" t="n">
        <v>0.2568595352</v>
      </c>
      <c r="G3536" t="n">
        <v>0.3950165375</v>
      </c>
      <c r="H3536" t="n">
        <v>0.4577697561</v>
      </c>
    </row>
    <row r="3537">
      <c r="A3537" t="inlineStr">
        <is>
          <t>ABW|mit.typ.p4.2</t>
        </is>
      </c>
      <c r="B3537" t="inlineStr">
        <is>
          <t>ABW</t>
        </is>
      </c>
      <c r="C3537" t="inlineStr">
        <is>
          <t>mit.typ.p4.2</t>
        </is>
      </c>
      <c r="D3537" t="n">
        <v>0</v>
      </c>
      <c r="E3537" t="n">
        <v>0.02563561682</v>
      </c>
      <c r="F3537" t="n">
        <v>0.0291030091</v>
      </c>
      <c r="G3537" t="n">
        <v>0.03259364592</v>
      </c>
      <c r="H3537" t="n">
        <v>0.03672112944</v>
      </c>
    </row>
    <row r="3538">
      <c r="A3538" t="inlineStr">
        <is>
          <t>AFG|mit.typ.p4.2</t>
        </is>
      </c>
      <c r="B3538" t="inlineStr">
        <is>
          <t>AFG</t>
        </is>
      </c>
      <c r="C3538" t="inlineStr">
        <is>
          <t>mit.typ.p4.2</t>
        </is>
      </c>
      <c r="D3538" t="n">
        <v>0</v>
      </c>
      <c r="E3538" t="n">
        <v>0.2116895574</v>
      </c>
      <c r="F3538" t="n">
        <v>0.4312337831</v>
      </c>
      <c r="G3538" t="n">
        <v>0.6045895689</v>
      </c>
      <c r="H3538" t="n">
        <v>0.8065334304</v>
      </c>
    </row>
    <row r="3539">
      <c r="A3539" t="inlineStr">
        <is>
          <t>AGO|mit.typ.p4.2</t>
        </is>
      </c>
      <c r="B3539" t="inlineStr">
        <is>
          <t>AGO</t>
        </is>
      </c>
      <c r="C3539" t="inlineStr">
        <is>
          <t>mit.typ.p4.2</t>
        </is>
      </c>
      <c r="D3539" t="n">
        <v>0</v>
      </c>
      <c r="E3539" t="n">
        <v>0.7057456993</v>
      </c>
      <c r="F3539" t="n">
        <v>1.716596172</v>
      </c>
      <c r="G3539" t="n">
        <v>2.194163356</v>
      </c>
      <c r="H3539" t="n">
        <v>2.743932207</v>
      </c>
    </row>
    <row r="3540">
      <c r="A3540" t="inlineStr">
        <is>
          <t>ALB|mit.typ.p4.2</t>
        </is>
      </c>
      <c r="B3540" t="inlineStr">
        <is>
          <t>ALB</t>
        </is>
      </c>
      <c r="C3540" t="inlineStr">
        <is>
          <t>mit.typ.p4.2</t>
        </is>
      </c>
      <c r="D3540" t="n">
        <v>0</v>
      </c>
      <c r="E3540" t="n">
        <v>0.07219131759</v>
      </c>
      <c r="F3540" t="n">
        <v>0.1160269532</v>
      </c>
      <c r="G3540" t="n">
        <v>0.1608611586</v>
      </c>
      <c r="H3540" t="n">
        <v>0.2126286846</v>
      </c>
    </row>
    <row r="3541">
      <c r="A3541" t="inlineStr">
        <is>
          <t>ARE|mit.typ.p4.2</t>
        </is>
      </c>
      <c r="B3541" t="inlineStr">
        <is>
          <t>ARE</t>
        </is>
      </c>
      <c r="C3541" t="inlineStr">
        <is>
          <t>mit.typ.p4.2</t>
        </is>
      </c>
      <c r="D3541" t="n">
        <v>0</v>
      </c>
      <c r="E3541" t="n">
        <v>3.789385801</v>
      </c>
      <c r="F3541" t="n">
        <v>5.42351795</v>
      </c>
      <c r="G3541" t="n">
        <v>7.390651539</v>
      </c>
      <c r="H3541" t="n">
        <v>9.077592831</v>
      </c>
    </row>
    <row r="3542">
      <c r="A3542" t="inlineStr">
        <is>
          <t>ARG|mit.typ.p4.2</t>
        </is>
      </c>
      <c r="B3542" t="inlineStr">
        <is>
          <t>ARG</t>
        </is>
      </c>
      <c r="C3542" t="inlineStr">
        <is>
          <t>mit.typ.p4.2</t>
        </is>
      </c>
      <c r="D3542" t="n">
        <v>0</v>
      </c>
      <c r="E3542" t="n">
        <v>4.907819682</v>
      </c>
      <c r="F3542" t="n">
        <v>8.172476537</v>
      </c>
      <c r="G3542" t="n">
        <v>10.02793019</v>
      </c>
      <c r="H3542" t="n">
        <v>11.69930716</v>
      </c>
    </row>
    <row r="3543">
      <c r="A3543" t="inlineStr">
        <is>
          <t>ARM|mit.typ.p4.2</t>
        </is>
      </c>
      <c r="B3543" t="inlineStr">
        <is>
          <t>ARM</t>
        </is>
      </c>
      <c r="C3543" t="inlineStr">
        <is>
          <t>mit.typ.p4.2</t>
        </is>
      </c>
      <c r="D3543" t="n">
        <v>0</v>
      </c>
      <c r="E3543" t="n">
        <v>0.1158598538</v>
      </c>
      <c r="F3543" t="n">
        <v>0.1645475448</v>
      </c>
      <c r="G3543" t="n">
        <v>0.2166559474</v>
      </c>
      <c r="H3543" t="n">
        <v>0.2726562409</v>
      </c>
    </row>
    <row r="3544">
      <c r="A3544" t="inlineStr">
        <is>
          <t>ATG|mit.typ.p4.2</t>
        </is>
      </c>
      <c r="B3544" t="inlineStr">
        <is>
          <t>ATG</t>
        </is>
      </c>
      <c r="C3544" t="inlineStr">
        <is>
          <t>mit.typ.p4.2</t>
        </is>
      </c>
      <c r="D3544" t="n">
        <v>0</v>
      </c>
      <c r="E3544" t="n">
        <v>0.01956604328</v>
      </c>
      <c r="F3544" t="n">
        <v>0.02354576895</v>
      </c>
      <c r="G3544" t="n">
        <v>0.02638889354</v>
      </c>
      <c r="H3544" t="n">
        <v>0.02972535356</v>
      </c>
    </row>
    <row r="3545">
      <c r="A3545" t="inlineStr">
        <is>
          <t>AUS|mit.typ.p4.2</t>
        </is>
      </c>
      <c r="B3545" t="inlineStr">
        <is>
          <t>AUS</t>
        </is>
      </c>
      <c r="C3545" t="inlineStr">
        <is>
          <t>mit.typ.p4.2</t>
        </is>
      </c>
      <c r="D3545" t="n">
        <v>0</v>
      </c>
      <c r="E3545" t="n">
        <v>3.752573195</v>
      </c>
      <c r="F3545" t="n">
        <v>4.823504439</v>
      </c>
      <c r="G3545" t="n">
        <v>5.68012073</v>
      </c>
      <c r="H3545" t="n">
        <v>6.612831374</v>
      </c>
    </row>
    <row r="3546">
      <c r="A3546" t="inlineStr">
        <is>
          <t>AUT|mit.typ.p4.2</t>
        </is>
      </c>
      <c r="B3546" t="inlineStr">
        <is>
          <t>AUT</t>
        </is>
      </c>
      <c r="C3546" t="inlineStr">
        <is>
          <t>mit.typ.p4.2</t>
        </is>
      </c>
      <c r="D3546" t="n">
        <v>0</v>
      </c>
      <c r="E3546" t="n">
        <v>0.6892728818</v>
      </c>
      <c r="F3546" t="n">
        <v>1.007486129</v>
      </c>
      <c r="G3546" t="n">
        <v>1.512156316</v>
      </c>
      <c r="H3546" t="n">
        <v>2.026629017</v>
      </c>
    </row>
    <row r="3547">
      <c r="A3547" t="inlineStr">
        <is>
          <t>AZE|mit.typ.p4.2</t>
        </is>
      </c>
      <c r="B3547" t="inlineStr">
        <is>
          <t>AZE</t>
        </is>
      </c>
      <c r="C3547" t="inlineStr">
        <is>
          <t>mit.typ.p4.2</t>
        </is>
      </c>
      <c r="D3547" t="n">
        <v>0</v>
      </c>
      <c r="E3547" t="n">
        <v>0.6021099858</v>
      </c>
      <c r="F3547" t="n">
        <v>1.005547738</v>
      </c>
      <c r="G3547" t="n">
        <v>1.487441648</v>
      </c>
      <c r="H3547" t="n">
        <v>1.737413019</v>
      </c>
    </row>
    <row r="3548">
      <c r="A3548" t="inlineStr">
        <is>
          <t>BDI|mit.typ.p4.2</t>
        </is>
      </c>
      <c r="B3548" t="inlineStr">
        <is>
          <t>BDI</t>
        </is>
      </c>
      <c r="C3548" t="inlineStr">
        <is>
          <t>mit.typ.p4.2</t>
        </is>
      </c>
      <c r="D3548" t="n">
        <v>0</v>
      </c>
      <c r="E3548" t="n">
        <v>0.02921485847</v>
      </c>
      <c r="F3548" t="n">
        <v>0.1061882692</v>
      </c>
      <c r="G3548" t="n">
        <v>0.1414595178</v>
      </c>
      <c r="H3548" t="n">
        <v>0.1806816461</v>
      </c>
    </row>
    <row r="3549">
      <c r="A3549" t="inlineStr">
        <is>
          <t>BEL|mit.typ.p4.2</t>
        </is>
      </c>
      <c r="B3549" t="inlineStr">
        <is>
          <t>BEL</t>
        </is>
      </c>
      <c r="C3549" t="inlineStr">
        <is>
          <t>mit.typ.p4.2</t>
        </is>
      </c>
      <c r="D3549" t="n">
        <v>0</v>
      </c>
      <c r="E3549" t="n">
        <v>0.6798955983</v>
      </c>
      <c r="F3549" t="n">
        <v>1.047455299</v>
      </c>
      <c r="G3549" t="n">
        <v>1.730175234</v>
      </c>
      <c r="H3549" t="n">
        <v>2.41865314</v>
      </c>
    </row>
    <row r="3550">
      <c r="A3550" t="inlineStr">
        <is>
          <t>BEN|mit.typ.p4.2</t>
        </is>
      </c>
      <c r="B3550" t="inlineStr">
        <is>
          <t>BEN</t>
        </is>
      </c>
      <c r="C3550" t="inlineStr">
        <is>
          <t>mit.typ.p4.2</t>
        </is>
      </c>
      <c r="D3550" t="n">
        <v>0</v>
      </c>
      <c r="E3550" t="n">
        <v>0.1176725093</v>
      </c>
      <c r="F3550" t="n">
        <v>0.374554688</v>
      </c>
      <c r="G3550" t="n">
        <v>0.5406938871</v>
      </c>
      <c r="H3550" t="n">
        <v>0.7402685862</v>
      </c>
    </row>
    <row r="3551">
      <c r="A3551" t="inlineStr">
        <is>
          <t>BFA|mit.typ.p4.2</t>
        </is>
      </c>
      <c r="B3551" t="inlineStr">
        <is>
          <t>BFA</t>
        </is>
      </c>
      <c r="C3551" t="inlineStr">
        <is>
          <t>mit.typ.p4.2</t>
        </is>
      </c>
      <c r="D3551" t="n">
        <v>0</v>
      </c>
      <c r="E3551" t="n">
        <v>0.1822703245</v>
      </c>
      <c r="F3551" t="n">
        <v>0.6228146489</v>
      </c>
      <c r="G3551" t="n">
        <v>0.8113149717</v>
      </c>
      <c r="H3551" t="n">
        <v>1.029572743</v>
      </c>
    </row>
    <row r="3552">
      <c r="A3552" t="inlineStr">
        <is>
          <t>BGD|mit.typ.p4.2</t>
        </is>
      </c>
      <c r="B3552" t="inlineStr">
        <is>
          <t>BGD</t>
        </is>
      </c>
      <c r="C3552" t="inlineStr">
        <is>
          <t>mit.typ.p4.2</t>
        </is>
      </c>
      <c r="D3552" t="n">
        <v>0</v>
      </c>
      <c r="E3552" t="n">
        <v>2.347655304</v>
      </c>
      <c r="F3552" t="n">
        <v>4.506095316</v>
      </c>
      <c r="G3552" t="n">
        <v>6.70465404</v>
      </c>
      <c r="H3552" t="n">
        <v>8.547645836999999</v>
      </c>
    </row>
    <row r="3553">
      <c r="A3553" t="inlineStr">
        <is>
          <t>BGR|mit.typ.p4.2</t>
        </is>
      </c>
      <c r="B3553" t="inlineStr">
        <is>
          <t>BGR</t>
        </is>
      </c>
      <c r="C3553" t="inlineStr">
        <is>
          <t>mit.typ.p4.2</t>
        </is>
      </c>
      <c r="D3553" t="n">
        <v>0</v>
      </c>
      <c r="E3553" t="n">
        <v>0.4037056099</v>
      </c>
      <c r="F3553" t="n">
        <v>0.7488113176</v>
      </c>
      <c r="G3553" t="n">
        <v>1.294919537</v>
      </c>
      <c r="H3553" t="n">
        <v>1.886053917</v>
      </c>
    </row>
    <row r="3554">
      <c r="A3554" t="inlineStr">
        <is>
          <t>BHR|mit.typ.p4.2</t>
        </is>
      </c>
      <c r="B3554" t="inlineStr">
        <is>
          <t>BHR</t>
        </is>
      </c>
      <c r="C3554" t="inlineStr">
        <is>
          <t>mit.typ.p4.2</t>
        </is>
      </c>
      <c r="D3554" t="n">
        <v>0</v>
      </c>
      <c r="E3554" t="n">
        <v>0.5657051211</v>
      </c>
      <c r="F3554" t="n">
        <v>0.8783690762</v>
      </c>
      <c r="G3554" t="n">
        <v>1.248879537</v>
      </c>
      <c r="H3554" t="n">
        <v>1.497477405</v>
      </c>
    </row>
    <row r="3555">
      <c r="A3555" t="inlineStr">
        <is>
          <t>BHS|mit.typ.p4.2</t>
        </is>
      </c>
      <c r="B3555" t="inlineStr">
        <is>
          <t>BHS</t>
        </is>
      </c>
      <c r="C3555" t="inlineStr">
        <is>
          <t>mit.typ.p4.2</t>
        </is>
      </c>
      <c r="D3555" t="n">
        <v>0</v>
      </c>
      <c r="E3555" t="n">
        <v>0.0566356586</v>
      </c>
      <c r="F3555" t="n">
        <v>0.06865006939</v>
      </c>
      <c r="G3555" t="n">
        <v>0.0762792667</v>
      </c>
      <c r="H3555" t="n">
        <v>0.08505463333</v>
      </c>
    </row>
    <row r="3556">
      <c r="A3556" t="inlineStr">
        <is>
          <t>BIH|mit.typ.p4.2</t>
        </is>
      </c>
      <c r="B3556" t="inlineStr">
        <is>
          <t>BIH</t>
        </is>
      </c>
      <c r="C3556" t="inlineStr">
        <is>
          <t>mit.typ.p4.2</t>
        </is>
      </c>
      <c r="D3556" t="n">
        <v>0</v>
      </c>
      <c r="E3556" t="n">
        <v>0.1852097234</v>
      </c>
      <c r="F3556" t="n">
        <v>0.3351767109</v>
      </c>
      <c r="G3556" t="n">
        <v>0.5404601559</v>
      </c>
      <c r="H3556" t="n">
        <v>0.7184373074</v>
      </c>
    </row>
    <row r="3557">
      <c r="A3557" t="inlineStr">
        <is>
          <t>BLR|mit.typ.p4.2</t>
        </is>
      </c>
      <c r="B3557" t="inlineStr">
        <is>
          <t>BLR</t>
        </is>
      </c>
      <c r="C3557" t="inlineStr">
        <is>
          <t>mit.typ.p4.2</t>
        </is>
      </c>
      <c r="D3557" t="n">
        <v>0</v>
      </c>
      <c r="E3557" t="n">
        <v>0.6864191509000001</v>
      </c>
      <c r="F3557" t="n">
        <v>1.135936095</v>
      </c>
      <c r="G3557" t="n">
        <v>1.781568452</v>
      </c>
      <c r="H3557" t="n">
        <v>2.43363482</v>
      </c>
    </row>
    <row r="3558">
      <c r="A3558" t="inlineStr">
        <is>
          <t>BLZ|mit.typ.p4.2</t>
        </is>
      </c>
      <c r="B3558" t="inlineStr">
        <is>
          <t>BLZ</t>
        </is>
      </c>
      <c r="C3558" t="inlineStr">
        <is>
          <t>mit.typ.p4.2</t>
        </is>
      </c>
      <c r="D3558" t="n">
        <v>0</v>
      </c>
      <c r="E3558" t="n">
        <v>0.03393316345</v>
      </c>
      <c r="F3558" t="n">
        <v>0.1314688479</v>
      </c>
      <c r="G3558" t="n">
        <v>0.138931095</v>
      </c>
      <c r="H3558" t="n">
        <v>0.146873796</v>
      </c>
    </row>
    <row r="3559">
      <c r="A3559" t="inlineStr">
        <is>
          <t>BOL|mit.typ.p4.2</t>
        </is>
      </c>
      <c r="B3559" t="inlineStr">
        <is>
          <t>BOL</t>
        </is>
      </c>
      <c r="C3559" t="inlineStr">
        <is>
          <t>mit.typ.p4.2</t>
        </is>
      </c>
      <c r="D3559" t="n">
        <v>0</v>
      </c>
      <c r="E3559" t="n">
        <v>0.6024049968</v>
      </c>
      <c r="F3559" t="n">
        <v>1.724552144</v>
      </c>
      <c r="G3559" t="n">
        <v>2.075045343</v>
      </c>
      <c r="H3559" t="n">
        <v>2.490381563</v>
      </c>
    </row>
    <row r="3560">
      <c r="A3560" t="inlineStr">
        <is>
          <t>BRA|mit.typ.p4.2</t>
        </is>
      </c>
      <c r="B3560" t="inlineStr">
        <is>
          <t>BRA</t>
        </is>
      </c>
      <c r="C3560" t="inlineStr">
        <is>
          <t>mit.typ.p4.2</t>
        </is>
      </c>
      <c r="D3560" t="n">
        <v>0</v>
      </c>
      <c r="E3560" t="n">
        <v>8.774591686000001</v>
      </c>
      <c r="F3560" t="n">
        <v>23.45235888</v>
      </c>
      <c r="G3560" t="n">
        <v>31.30697009</v>
      </c>
      <c r="H3560" t="n">
        <v>39.61527581</v>
      </c>
    </row>
    <row r="3561">
      <c r="A3561" t="inlineStr">
        <is>
          <t>BRB|mit.typ.p4.2</t>
        </is>
      </c>
      <c r="B3561" t="inlineStr">
        <is>
          <t>BRB</t>
        </is>
      </c>
      <c r="C3561" t="inlineStr">
        <is>
          <t>mit.typ.p4.2</t>
        </is>
      </c>
      <c r="D3561" t="n">
        <v>0</v>
      </c>
      <c r="E3561" t="n">
        <v>0.02788249082</v>
      </c>
      <c r="F3561" t="n">
        <v>0.03414030264</v>
      </c>
      <c r="G3561" t="n">
        <v>0.0384103613</v>
      </c>
      <c r="H3561" t="n">
        <v>0.04301424926</v>
      </c>
    </row>
    <row r="3562">
      <c r="A3562" t="inlineStr">
        <is>
          <t>BRN|mit.typ.p4.2</t>
        </is>
      </c>
      <c r="B3562" t="inlineStr">
        <is>
          <t>BRN</t>
        </is>
      </c>
      <c r="C3562" t="inlineStr">
        <is>
          <t>mit.typ.p4.2</t>
        </is>
      </c>
      <c r="D3562" t="n">
        <v>0</v>
      </c>
      <c r="E3562" t="n">
        <v>0.1383071509</v>
      </c>
      <c r="F3562" t="n">
        <v>0.2218785616</v>
      </c>
      <c r="G3562" t="n">
        <v>0.2782339457</v>
      </c>
      <c r="H3562" t="n">
        <v>0.3304815225</v>
      </c>
    </row>
    <row r="3563">
      <c r="A3563" t="inlineStr">
        <is>
          <t>BTN|mit.typ.p4.2</t>
        </is>
      </c>
      <c r="B3563" t="inlineStr">
        <is>
          <t>BTN</t>
        </is>
      </c>
      <c r="C3563" t="inlineStr">
        <is>
          <t>mit.typ.p4.2</t>
        </is>
      </c>
      <c r="D3563" t="n">
        <v>0</v>
      </c>
      <c r="E3563" t="n">
        <v>0.0260154972</v>
      </c>
      <c r="F3563" t="n">
        <v>0.05380065479</v>
      </c>
      <c r="G3563" t="n">
        <v>0.09014859201</v>
      </c>
      <c r="H3563" t="n">
        <v>0.1406907374</v>
      </c>
    </row>
    <row r="3564">
      <c r="A3564" t="inlineStr">
        <is>
          <t>BWA|mit.typ.p4.2</t>
        </is>
      </c>
      <c r="B3564" t="inlineStr">
        <is>
          <t>BWA</t>
        </is>
      </c>
      <c r="C3564" t="inlineStr">
        <is>
          <t>mit.typ.p4.2</t>
        </is>
      </c>
      <c r="D3564" t="n">
        <v>0</v>
      </c>
      <c r="E3564" t="n">
        <v>0.1740460211</v>
      </c>
      <c r="F3564" t="n">
        <v>0.8781335323</v>
      </c>
      <c r="G3564" t="n">
        <v>0.9092549293</v>
      </c>
      <c r="H3564" t="n">
        <v>0.9405781397</v>
      </c>
    </row>
    <row r="3565">
      <c r="A3565" t="inlineStr">
        <is>
          <t>CAF|mit.typ.p4.2</t>
        </is>
      </c>
      <c r="B3565" t="inlineStr">
        <is>
          <t>CAF</t>
        </is>
      </c>
      <c r="C3565" t="inlineStr">
        <is>
          <t>mit.typ.p4.2</t>
        </is>
      </c>
      <c r="D3565" t="n">
        <v>0</v>
      </c>
      <c r="E3565" t="n">
        <v>0.07567265012</v>
      </c>
      <c r="F3565" t="n">
        <v>0.4203998702</v>
      </c>
      <c r="G3565" t="n">
        <v>0.4767737792</v>
      </c>
      <c r="H3565" t="n">
        <v>0.5351130239</v>
      </c>
    </row>
    <row r="3566">
      <c r="A3566" t="inlineStr">
        <is>
          <t>CAN|mit.typ.p4.2</t>
        </is>
      </c>
      <c r="B3566" t="inlineStr">
        <is>
          <t>CAN</t>
        </is>
      </c>
      <c r="C3566" t="inlineStr">
        <is>
          <t>mit.typ.p4.2</t>
        </is>
      </c>
      <c r="D3566" t="n">
        <v>0</v>
      </c>
      <c r="E3566" t="n">
        <v>6.257234002</v>
      </c>
      <c r="F3566" t="n">
        <v>7.610243607</v>
      </c>
      <c r="G3566" t="n">
        <v>9.213917171</v>
      </c>
      <c r="H3566" t="n">
        <v>10.87522775</v>
      </c>
    </row>
    <row r="3567">
      <c r="A3567" t="inlineStr">
        <is>
          <t>CHE|mit.typ.p4.2</t>
        </is>
      </c>
      <c r="B3567" t="inlineStr">
        <is>
          <t>CHE</t>
        </is>
      </c>
      <c r="C3567" t="inlineStr">
        <is>
          <t>mit.typ.p4.2</t>
        </is>
      </c>
      <c r="D3567" t="n">
        <v>0</v>
      </c>
      <c r="E3567" t="n">
        <v>0.2933275875</v>
      </c>
      <c r="F3567" t="n">
        <v>0.4050541594</v>
      </c>
      <c r="G3567" t="n">
        <v>0.5609428541</v>
      </c>
      <c r="H3567" t="n">
        <v>0.7205674808</v>
      </c>
    </row>
    <row r="3568">
      <c r="A3568" t="inlineStr">
        <is>
          <t>CHL|mit.typ.p4.2</t>
        </is>
      </c>
      <c r="B3568" t="inlineStr">
        <is>
          <t>CHL</t>
        </is>
      </c>
      <c r="C3568" t="inlineStr">
        <is>
          <t>mit.typ.p4.2</t>
        </is>
      </c>
      <c r="D3568" t="n">
        <v>0</v>
      </c>
      <c r="E3568" t="n">
        <v>0.4966130052</v>
      </c>
      <c r="F3568" t="n">
        <v>0.9816158413</v>
      </c>
      <c r="G3568" t="n">
        <v>1.542858098</v>
      </c>
      <c r="H3568" t="n">
        <v>2.094229559</v>
      </c>
    </row>
    <row r="3569">
      <c r="A3569" t="inlineStr">
        <is>
          <t>CHN|mit.typ.p4.2</t>
        </is>
      </c>
      <c r="B3569" t="inlineStr">
        <is>
          <t>CHN</t>
        </is>
      </c>
      <c r="C3569" t="inlineStr">
        <is>
          <t>mit.typ.p4.2</t>
        </is>
      </c>
      <c r="D3569" t="n">
        <v>0</v>
      </c>
      <c r="E3569" t="n">
        <v>87.78096612</v>
      </c>
      <c r="F3569" t="n">
        <v>166.7165508</v>
      </c>
      <c r="G3569" t="n">
        <v>286.1766758</v>
      </c>
      <c r="H3569" t="n">
        <v>408.4341548</v>
      </c>
    </row>
    <row r="3570">
      <c r="A3570" t="inlineStr">
        <is>
          <t>CIV|mit.typ.p4.2</t>
        </is>
      </c>
      <c r="B3570" t="inlineStr">
        <is>
          <t>CIV</t>
        </is>
      </c>
      <c r="C3570" t="inlineStr">
        <is>
          <t>mit.typ.p4.2</t>
        </is>
      </c>
      <c r="D3570" t="n">
        <v>0</v>
      </c>
      <c r="E3570" t="n">
        <v>0.2384312646</v>
      </c>
      <c r="F3570" t="n">
        <v>0.4835008207</v>
      </c>
      <c r="G3570" t="n">
        <v>0.6792808326999999</v>
      </c>
      <c r="H3570" t="n">
        <v>0.9238754635999999</v>
      </c>
    </row>
    <row r="3571">
      <c r="A3571" t="inlineStr">
        <is>
          <t>CMR|mit.typ.p4.2</t>
        </is>
      </c>
      <c r="B3571" t="inlineStr">
        <is>
          <t>CMR</t>
        </is>
      </c>
      <c r="C3571" t="inlineStr">
        <is>
          <t>mit.typ.p4.2</t>
        </is>
      </c>
      <c r="D3571" t="n">
        <v>0</v>
      </c>
      <c r="E3571" t="n">
        <v>0.2061109816</v>
      </c>
      <c r="F3571" t="n">
        <v>0.9433204006</v>
      </c>
      <c r="G3571" t="n">
        <v>1.198291612</v>
      </c>
      <c r="H3571" t="n">
        <v>1.471572419</v>
      </c>
    </row>
    <row r="3572">
      <c r="A3572" t="inlineStr">
        <is>
          <t>COD|mit.typ.p4.2</t>
        </is>
      </c>
      <c r="B3572" t="inlineStr">
        <is>
          <t>COD</t>
        </is>
      </c>
      <c r="C3572" t="inlineStr">
        <is>
          <t>mit.typ.p4.2</t>
        </is>
      </c>
      <c r="D3572" t="n">
        <v>0</v>
      </c>
      <c r="E3572" t="n">
        <v>1.259593936</v>
      </c>
      <c r="F3572" t="n">
        <v>6.769450648</v>
      </c>
      <c r="G3572" t="n">
        <v>7.108592931</v>
      </c>
      <c r="H3572" t="n">
        <v>7.488355155</v>
      </c>
    </row>
    <row r="3573">
      <c r="A3573" t="inlineStr">
        <is>
          <t>COG|mit.typ.p4.2</t>
        </is>
      </c>
      <c r="B3573" t="inlineStr">
        <is>
          <t>COG</t>
        </is>
      </c>
      <c r="C3573" t="inlineStr">
        <is>
          <t>mit.typ.p4.2</t>
        </is>
      </c>
      <c r="D3573" t="n">
        <v>0</v>
      </c>
      <c r="E3573" t="n">
        <v>0.09254146101000001</v>
      </c>
      <c r="F3573" t="n">
        <v>0.432926844</v>
      </c>
      <c r="G3573" t="n">
        <v>0.6715232447</v>
      </c>
      <c r="H3573" t="n">
        <v>0.9126735077</v>
      </c>
    </row>
    <row r="3574">
      <c r="A3574" t="inlineStr">
        <is>
          <t>COL|mit.typ.p4.2</t>
        </is>
      </c>
      <c r="B3574" t="inlineStr">
        <is>
          <t>COL</t>
        </is>
      </c>
      <c r="C3574" t="inlineStr">
        <is>
          <t>mit.typ.p4.2</t>
        </is>
      </c>
      <c r="D3574" t="n">
        <v>0</v>
      </c>
      <c r="E3574" t="n">
        <v>0.9691897806000001</v>
      </c>
      <c r="F3574" t="n">
        <v>3.321614173</v>
      </c>
      <c r="G3574" t="n">
        <v>4.298639568</v>
      </c>
      <c r="H3574" t="n">
        <v>5.316954433</v>
      </c>
    </row>
    <row r="3575">
      <c r="A3575" t="inlineStr">
        <is>
          <t>COM|mit.typ.p4.2</t>
        </is>
      </c>
      <c r="B3575" t="inlineStr">
        <is>
          <t>COM</t>
        </is>
      </c>
      <c r="C3575" t="inlineStr">
        <is>
          <t>mit.typ.p4.2</t>
        </is>
      </c>
      <c r="D3575" t="n">
        <v>0</v>
      </c>
      <c r="E3575" t="n">
        <v>0.01009664762</v>
      </c>
      <c r="F3575" t="n">
        <v>0.01823904981</v>
      </c>
      <c r="G3575" t="n">
        <v>0.02560415819</v>
      </c>
      <c r="H3575" t="n">
        <v>0.03692383833</v>
      </c>
    </row>
    <row r="3576">
      <c r="A3576" t="inlineStr">
        <is>
          <t>CPV|mit.typ.p4.2</t>
        </is>
      </c>
      <c r="B3576" t="inlineStr">
        <is>
          <t>CPV</t>
        </is>
      </c>
      <c r="C3576" t="inlineStr">
        <is>
          <t>mit.typ.p4.2</t>
        </is>
      </c>
      <c r="D3576" t="n">
        <v>0</v>
      </c>
      <c r="E3576" t="n">
        <v>0.01537791656</v>
      </c>
      <c r="F3576" t="n">
        <v>0.02381954881</v>
      </c>
      <c r="G3576" t="n">
        <v>0.03640563211</v>
      </c>
      <c r="H3576" t="n">
        <v>0.05326519041</v>
      </c>
    </row>
    <row r="3577">
      <c r="A3577" t="inlineStr">
        <is>
          <t>CRI|mit.typ.p4.2</t>
        </is>
      </c>
      <c r="B3577" t="inlineStr">
        <is>
          <t>CRI</t>
        </is>
      </c>
      <c r="C3577" t="inlineStr">
        <is>
          <t>mit.typ.p4.2</t>
        </is>
      </c>
      <c r="D3577" t="n">
        <v>0</v>
      </c>
      <c r="E3577" t="n">
        <v>0.05772187556</v>
      </c>
      <c r="F3577" t="n">
        <v>0.128433275</v>
      </c>
      <c r="G3577" t="n">
        <v>0.1944861506</v>
      </c>
      <c r="H3577" t="n">
        <v>0.2674087644</v>
      </c>
    </row>
    <row r="3578">
      <c r="A3578" t="inlineStr">
        <is>
          <t>CYP|mit.typ.p4.2</t>
        </is>
      </c>
      <c r="B3578" t="inlineStr">
        <is>
          <t>CYP</t>
        </is>
      </c>
      <c r="C3578" t="inlineStr">
        <is>
          <t>mit.typ.p4.2</t>
        </is>
      </c>
      <c r="D3578" t="n">
        <v>0</v>
      </c>
      <c r="E3578" t="n">
        <v>0.0584874266</v>
      </c>
      <c r="F3578" t="n">
        <v>0.07747407432</v>
      </c>
      <c r="G3578" t="n">
        <v>0.09234163482</v>
      </c>
      <c r="H3578" t="n">
        <v>0.1082803408</v>
      </c>
    </row>
    <row r="3579">
      <c r="A3579" t="inlineStr">
        <is>
          <t>CZE|mit.typ.p4.2</t>
        </is>
      </c>
      <c r="B3579" t="inlineStr">
        <is>
          <t>CZE</t>
        </is>
      </c>
      <c r="C3579" t="inlineStr">
        <is>
          <t>mit.typ.p4.2</t>
        </is>
      </c>
      <c r="D3579" t="n">
        <v>0</v>
      </c>
      <c r="E3579" t="n">
        <v>0.4370108585</v>
      </c>
      <c r="F3579" t="n">
        <v>0.9348281611</v>
      </c>
      <c r="G3579" t="n">
        <v>1.391340023</v>
      </c>
      <c r="H3579" t="n">
        <v>1.851070148</v>
      </c>
    </row>
    <row r="3580">
      <c r="A3580" t="inlineStr">
        <is>
          <t>DEU|mit.typ.p4.2</t>
        </is>
      </c>
      <c r="B3580" t="inlineStr">
        <is>
          <t>DEU</t>
        </is>
      </c>
      <c r="C3580" t="inlineStr">
        <is>
          <t>mit.typ.p4.2</t>
        </is>
      </c>
      <c r="D3580" t="n">
        <v>0</v>
      </c>
      <c r="E3580" t="n">
        <v>4.293211725</v>
      </c>
      <c r="F3580" t="n">
        <v>5.953847325</v>
      </c>
      <c r="G3580" t="n">
        <v>8.897115697</v>
      </c>
      <c r="H3580" t="n">
        <v>11.87113257</v>
      </c>
    </row>
    <row r="3581">
      <c r="A3581" t="inlineStr">
        <is>
          <t>DJI|mit.typ.p4.2</t>
        </is>
      </c>
      <c r="B3581" t="inlineStr">
        <is>
          <t>DJI</t>
        </is>
      </c>
      <c r="C3581" t="inlineStr">
        <is>
          <t>mit.typ.p4.2</t>
        </is>
      </c>
      <c r="D3581" t="n">
        <v>0</v>
      </c>
      <c r="E3581" t="n">
        <v>0.01149338323</v>
      </c>
      <c r="F3581" t="n">
        <v>0.02601256018</v>
      </c>
      <c r="G3581" t="n">
        <v>0.0393122302</v>
      </c>
      <c r="H3581" t="n">
        <v>0.05531766104</v>
      </c>
    </row>
    <row r="3582">
      <c r="A3582" t="inlineStr">
        <is>
          <t>DMA|mit.typ.p4.2</t>
        </is>
      </c>
      <c r="B3582" t="inlineStr">
        <is>
          <t>DMA</t>
        </is>
      </c>
      <c r="C3582" t="inlineStr">
        <is>
          <t>mit.typ.p4.2</t>
        </is>
      </c>
      <c r="D3582" t="n">
        <v>0</v>
      </c>
      <c r="E3582" t="n">
        <v>0.003021296119</v>
      </c>
      <c r="F3582" t="n">
        <v>0.004197932287</v>
      </c>
      <c r="G3582" t="n">
        <v>0.005712110744</v>
      </c>
      <c r="H3582" t="n">
        <v>0.007665136828</v>
      </c>
    </row>
    <row r="3583">
      <c r="A3583" t="inlineStr">
        <is>
          <t>DNK|mit.typ.p4.2</t>
        </is>
      </c>
      <c r="B3583" t="inlineStr">
        <is>
          <t>DNK</t>
        </is>
      </c>
      <c r="C3583" t="inlineStr">
        <is>
          <t>mit.typ.p4.2</t>
        </is>
      </c>
      <c r="D3583" t="n">
        <v>0</v>
      </c>
      <c r="E3583" t="n">
        <v>0.2625244912</v>
      </c>
      <c r="F3583" t="n">
        <v>0.5098353141999999</v>
      </c>
      <c r="G3583" t="n">
        <v>0.7774691448</v>
      </c>
      <c r="H3583" t="n">
        <v>1.048535527</v>
      </c>
    </row>
    <row r="3584">
      <c r="A3584" t="inlineStr">
        <is>
          <t>DOM|mit.typ.p4.2</t>
        </is>
      </c>
      <c r="B3584" t="inlineStr">
        <is>
          <t>DOM</t>
        </is>
      </c>
      <c r="C3584" t="inlineStr">
        <is>
          <t>mit.typ.p4.2</t>
        </is>
      </c>
      <c r="D3584" t="n">
        <v>0</v>
      </c>
      <c r="E3584" t="n">
        <v>0.4726308833</v>
      </c>
      <c r="F3584" t="n">
        <v>0.731476099</v>
      </c>
      <c r="G3584" t="n">
        <v>1.02536229</v>
      </c>
      <c r="H3584" t="n">
        <v>1.244796673</v>
      </c>
    </row>
    <row r="3585">
      <c r="A3585" t="inlineStr">
        <is>
          <t>DZA|mit.typ.p4.2</t>
        </is>
      </c>
      <c r="B3585" t="inlineStr">
        <is>
          <t>DZA</t>
        </is>
      </c>
      <c r="C3585" t="inlineStr">
        <is>
          <t>mit.typ.p4.2</t>
        </is>
      </c>
      <c r="D3585" t="n">
        <v>0</v>
      </c>
      <c r="E3585" t="n">
        <v>3.35804047</v>
      </c>
      <c r="F3585" t="n">
        <v>5.503550963</v>
      </c>
      <c r="G3585" t="n">
        <v>8.092184914000001</v>
      </c>
      <c r="H3585" t="n">
        <v>10.51725236</v>
      </c>
    </row>
    <row r="3586">
      <c r="A3586" t="inlineStr">
        <is>
          <t>ECU|mit.typ.p4.2</t>
        </is>
      </c>
      <c r="B3586" t="inlineStr">
        <is>
          <t>ECU</t>
        </is>
      </c>
      <c r="C3586" t="inlineStr">
        <is>
          <t>mit.typ.p4.2</t>
        </is>
      </c>
      <c r="D3586" t="n">
        <v>0</v>
      </c>
      <c r="E3586" t="n">
        <v>1.171343384</v>
      </c>
      <c r="F3586" t="n">
        <v>2.114315972</v>
      </c>
      <c r="G3586" t="n">
        <v>2.676743923</v>
      </c>
      <c r="H3586" t="n">
        <v>3.254097477</v>
      </c>
    </row>
    <row r="3587">
      <c r="A3587" t="inlineStr">
        <is>
          <t>EGY|mit.typ.p4.2</t>
        </is>
      </c>
      <c r="B3587" t="inlineStr">
        <is>
          <t>EGY</t>
        </is>
      </c>
      <c r="C3587" t="inlineStr">
        <is>
          <t>mit.typ.p4.2</t>
        </is>
      </c>
      <c r="D3587" t="n">
        <v>0</v>
      </c>
      <c r="E3587" t="n">
        <v>4.046246156</v>
      </c>
      <c r="F3587" t="n">
        <v>6.166729423</v>
      </c>
      <c r="G3587" t="n">
        <v>9.169842173999999</v>
      </c>
      <c r="H3587" t="n">
        <v>12.54837459</v>
      </c>
    </row>
    <row r="3588">
      <c r="A3588" t="inlineStr">
        <is>
          <t>ESP|mit.typ.p4.2</t>
        </is>
      </c>
      <c r="B3588" t="inlineStr">
        <is>
          <t>ESP</t>
        </is>
      </c>
      <c r="C3588" t="inlineStr">
        <is>
          <t>mit.typ.p4.2</t>
        </is>
      </c>
      <c r="D3588" t="n">
        <v>0</v>
      </c>
      <c r="E3588" t="n">
        <v>2.033771166</v>
      </c>
      <c r="F3588" t="n">
        <v>3.128456281</v>
      </c>
      <c r="G3588" t="n">
        <v>4.712594109</v>
      </c>
      <c r="H3588" t="n">
        <v>6.322622136</v>
      </c>
    </row>
    <row r="3589">
      <c r="A3589" t="inlineStr">
        <is>
          <t>EST|mit.typ.p4.2</t>
        </is>
      </c>
      <c r="B3589" t="inlineStr">
        <is>
          <t>EST</t>
        </is>
      </c>
      <c r="C3589" t="inlineStr">
        <is>
          <t>mit.typ.p4.2</t>
        </is>
      </c>
      <c r="D3589" t="n">
        <v>0</v>
      </c>
      <c r="E3589" t="n">
        <v>0.08739222315</v>
      </c>
      <c r="F3589" t="n">
        <v>0.2074919035</v>
      </c>
      <c r="G3589" t="n">
        <v>0.3150791441</v>
      </c>
      <c r="H3589" t="n">
        <v>0.4262424804</v>
      </c>
    </row>
    <row r="3590">
      <c r="A3590" t="inlineStr">
        <is>
          <t>ETH|mit.typ.p4.2</t>
        </is>
      </c>
      <c r="B3590" t="inlineStr">
        <is>
          <t>ETH</t>
        </is>
      </c>
      <c r="C3590" t="inlineStr">
        <is>
          <t>mit.typ.p4.2</t>
        </is>
      </c>
      <c r="D3590" t="n">
        <v>0</v>
      </c>
      <c r="E3590" t="n">
        <v>0.8256394859</v>
      </c>
      <c r="F3590" t="n">
        <v>2.914782617</v>
      </c>
      <c r="G3590" t="n">
        <v>4.377685069</v>
      </c>
      <c r="H3590" t="n">
        <v>6.056794172</v>
      </c>
    </row>
    <row r="3591">
      <c r="A3591" t="inlineStr">
        <is>
          <t>FIN|mit.typ.p4.2</t>
        </is>
      </c>
      <c r="B3591" t="inlineStr">
        <is>
          <t>FIN</t>
        </is>
      </c>
      <c r="C3591" t="inlineStr">
        <is>
          <t>mit.typ.p4.2</t>
        </is>
      </c>
      <c r="D3591" t="n">
        <v>0</v>
      </c>
      <c r="E3591" t="n">
        <v>0.3674508593</v>
      </c>
      <c r="F3591" t="n">
        <v>0.5113090303</v>
      </c>
      <c r="G3591" t="n">
        <v>0.7403467309</v>
      </c>
      <c r="H3591" t="n">
        <v>0.9728709215</v>
      </c>
    </row>
    <row r="3592">
      <c r="A3592" t="inlineStr">
        <is>
          <t>FJI|mit.typ.p4.2</t>
        </is>
      </c>
      <c r="B3592" t="inlineStr">
        <is>
          <t>FJI</t>
        </is>
      </c>
      <c r="C3592" t="inlineStr">
        <is>
          <t>mit.typ.p4.2</t>
        </is>
      </c>
      <c r="D3592" t="n">
        <v>0</v>
      </c>
      <c r="E3592" t="n">
        <v>0.01763709909</v>
      </c>
      <c r="F3592" t="n">
        <v>0.03346831398</v>
      </c>
      <c r="G3592" t="n">
        <v>0.05201413899</v>
      </c>
      <c r="H3592" t="n">
        <v>0.07296865414000001</v>
      </c>
    </row>
    <row r="3593">
      <c r="A3593" t="inlineStr">
        <is>
          <t>FRA|mit.typ.p4.2</t>
        </is>
      </c>
      <c r="B3593" t="inlineStr">
        <is>
          <t>FRA</t>
        </is>
      </c>
      <c r="C3593" t="inlineStr">
        <is>
          <t>mit.typ.p4.2</t>
        </is>
      </c>
      <c r="D3593" t="n">
        <v>0</v>
      </c>
      <c r="E3593" t="n">
        <v>1.821766375</v>
      </c>
      <c r="F3593" t="n">
        <v>3.166091137</v>
      </c>
      <c r="G3593" t="n">
        <v>5.198728262</v>
      </c>
      <c r="H3593" t="n">
        <v>7.245385001</v>
      </c>
    </row>
    <row r="3594">
      <c r="A3594" t="inlineStr">
        <is>
          <t>GAB|mit.typ.p4.2</t>
        </is>
      </c>
      <c r="B3594" t="inlineStr">
        <is>
          <t>GAB</t>
        </is>
      </c>
      <c r="C3594" t="inlineStr">
        <is>
          <t>mit.typ.p4.2</t>
        </is>
      </c>
      <c r="D3594" t="n">
        <v>0</v>
      </c>
      <c r="E3594" t="n">
        <v>0.08458158427</v>
      </c>
      <c r="F3594" t="n">
        <v>0.3280542566</v>
      </c>
      <c r="G3594" t="n">
        <v>0.4829165721</v>
      </c>
      <c r="H3594" t="n">
        <v>0.6410229945</v>
      </c>
    </row>
    <row r="3595">
      <c r="A3595" t="inlineStr">
        <is>
          <t>GBR|mit.typ.p4.2</t>
        </is>
      </c>
      <c r="B3595" t="inlineStr">
        <is>
          <t>GBR</t>
        </is>
      </c>
      <c r="C3595" t="inlineStr">
        <is>
          <t>mit.typ.p4.2</t>
        </is>
      </c>
      <c r="D3595" t="n">
        <v>0</v>
      </c>
      <c r="E3595" t="n">
        <v>3.3443804</v>
      </c>
      <c r="F3595" t="n">
        <v>4.289559062</v>
      </c>
      <c r="G3595" t="n">
        <v>5.660993195</v>
      </c>
      <c r="H3595" t="n">
        <v>6.899948304</v>
      </c>
    </row>
    <row r="3596">
      <c r="A3596" t="inlineStr">
        <is>
          <t>GEO|mit.typ.p4.2</t>
        </is>
      </c>
      <c r="B3596" t="inlineStr">
        <is>
          <t>GEO</t>
        </is>
      </c>
      <c r="C3596" t="inlineStr">
        <is>
          <t>mit.typ.p4.2</t>
        </is>
      </c>
      <c r="D3596" t="n">
        <v>0</v>
      </c>
      <c r="E3596" t="n">
        <v>0.2843889151</v>
      </c>
      <c r="F3596" t="n">
        <v>0.4255150646</v>
      </c>
      <c r="G3596" t="n">
        <v>0.6095088149</v>
      </c>
      <c r="H3596" t="n">
        <v>0.8328230657</v>
      </c>
    </row>
    <row r="3597">
      <c r="A3597" t="inlineStr">
        <is>
          <t>GHA|mit.typ.p4.2</t>
        </is>
      </c>
      <c r="B3597" t="inlineStr">
        <is>
          <t>GHA</t>
        </is>
      </c>
      <c r="C3597" t="inlineStr">
        <is>
          <t>mit.typ.p4.2</t>
        </is>
      </c>
      <c r="D3597" t="n">
        <v>0</v>
      </c>
      <c r="E3597" t="n">
        <v>0.3353981311</v>
      </c>
      <c r="F3597" t="n">
        <v>0.7606450235</v>
      </c>
      <c r="G3597" t="n">
        <v>1.179492898</v>
      </c>
      <c r="H3597" t="n">
        <v>1.598677863</v>
      </c>
    </row>
    <row r="3598">
      <c r="A3598" t="inlineStr">
        <is>
          <t>GIN|mit.typ.p4.2</t>
        </is>
      </c>
      <c r="B3598" t="inlineStr">
        <is>
          <t>GIN</t>
        </is>
      </c>
      <c r="C3598" t="inlineStr">
        <is>
          <t>mit.typ.p4.2</t>
        </is>
      </c>
      <c r="D3598" t="n">
        <v>0</v>
      </c>
      <c r="E3598" t="n">
        <v>0.1471732753</v>
      </c>
      <c r="F3598" t="n">
        <v>0.4828229514</v>
      </c>
      <c r="G3598" t="n">
        <v>0.6597302784</v>
      </c>
      <c r="H3598" t="n">
        <v>0.8876082058</v>
      </c>
    </row>
    <row r="3599">
      <c r="A3599" t="inlineStr">
        <is>
          <t>GMB|mit.typ.p4.2</t>
        </is>
      </c>
      <c r="B3599" t="inlineStr">
        <is>
          <t>GMB</t>
        </is>
      </c>
      <c r="C3599" t="inlineStr">
        <is>
          <t>mit.typ.p4.2</t>
        </is>
      </c>
      <c r="D3599" t="n">
        <v>0</v>
      </c>
      <c r="E3599" t="n">
        <v>0.02110972343</v>
      </c>
      <c r="F3599" t="n">
        <v>0.04416498575</v>
      </c>
      <c r="G3599" t="n">
        <v>0.06766246679</v>
      </c>
      <c r="H3599" t="n">
        <v>0.09960263894</v>
      </c>
    </row>
    <row r="3600">
      <c r="A3600" t="inlineStr">
        <is>
          <t>GNB|mit.typ.p4.2</t>
        </is>
      </c>
      <c r="B3600" t="inlineStr">
        <is>
          <t>GNB</t>
        </is>
      </c>
      <c r="C3600" t="inlineStr">
        <is>
          <t>mit.typ.p4.2</t>
        </is>
      </c>
      <c r="D3600" t="n">
        <v>0</v>
      </c>
      <c r="E3600" t="n">
        <v>0.01798783265</v>
      </c>
      <c r="F3600" t="n">
        <v>0.05667543507</v>
      </c>
      <c r="G3600" t="n">
        <v>0.07861026851</v>
      </c>
      <c r="H3600" t="n">
        <v>0.1049448644</v>
      </c>
    </row>
    <row r="3601">
      <c r="A3601" t="inlineStr">
        <is>
          <t>GNQ|mit.typ.p4.2</t>
        </is>
      </c>
      <c r="B3601" t="inlineStr">
        <is>
          <t>GNQ</t>
        </is>
      </c>
      <c r="C3601" t="inlineStr">
        <is>
          <t>mit.typ.p4.2</t>
        </is>
      </c>
      <c r="D3601" t="n">
        <v>0</v>
      </c>
      <c r="E3601" t="n">
        <v>0.07309725918</v>
      </c>
      <c r="F3601" t="n">
        <v>0.2120973861</v>
      </c>
      <c r="G3601" t="n">
        <v>0.3283033786</v>
      </c>
      <c r="H3601" t="n">
        <v>0.4486887639</v>
      </c>
    </row>
    <row r="3602">
      <c r="A3602" t="inlineStr">
        <is>
          <t>GRC|mit.typ.p4.2</t>
        </is>
      </c>
      <c r="B3602" t="inlineStr">
        <is>
          <t>GRC</t>
        </is>
      </c>
      <c r="C3602" t="inlineStr">
        <is>
          <t>mit.typ.p4.2</t>
        </is>
      </c>
      <c r="D3602" t="n">
        <v>0</v>
      </c>
      <c r="E3602" t="n">
        <v>0.4017475416</v>
      </c>
      <c r="F3602" t="n">
        <v>0.8132005769</v>
      </c>
      <c r="G3602" t="n">
        <v>1.47133462</v>
      </c>
      <c r="H3602" t="n">
        <v>2.134429618</v>
      </c>
    </row>
    <row r="3603">
      <c r="A3603" t="inlineStr">
        <is>
          <t>GRD|mit.typ.p4.2</t>
        </is>
      </c>
      <c r="B3603" t="inlineStr">
        <is>
          <t>GRD</t>
        </is>
      </c>
      <c r="C3603" t="inlineStr">
        <is>
          <t>mit.typ.p4.2</t>
        </is>
      </c>
      <c r="D3603" t="n">
        <v>0</v>
      </c>
      <c r="E3603" t="n">
        <v>0.005793161367</v>
      </c>
      <c r="F3603" t="n">
        <v>0.007566197501</v>
      </c>
      <c r="G3603" t="n">
        <v>0.01017857588</v>
      </c>
      <c r="H3603" t="n">
        <v>0.01360149494</v>
      </c>
    </row>
    <row r="3604">
      <c r="A3604" t="inlineStr">
        <is>
          <t>GTM|mit.typ.p4.2</t>
        </is>
      </c>
      <c r="B3604" t="inlineStr">
        <is>
          <t>GTM</t>
        </is>
      </c>
      <c r="C3604" t="inlineStr">
        <is>
          <t>mit.typ.p4.2</t>
        </is>
      </c>
      <c r="D3604" t="n">
        <v>0</v>
      </c>
      <c r="E3604" t="n">
        <v>0.19380217</v>
      </c>
      <c r="F3604" t="n">
        <v>0.5090087858</v>
      </c>
      <c r="G3604" t="n">
        <v>0.7369049661</v>
      </c>
      <c r="H3604" t="n">
        <v>0.9826949339</v>
      </c>
    </row>
    <row r="3605">
      <c r="A3605" t="inlineStr">
        <is>
          <t>GUY|mit.typ.p4.2</t>
        </is>
      </c>
      <c r="B3605" t="inlineStr">
        <is>
          <t>GUY</t>
        </is>
      </c>
      <c r="C3605" t="inlineStr">
        <is>
          <t>mit.typ.p4.2</t>
        </is>
      </c>
      <c r="D3605" t="n">
        <v>0</v>
      </c>
      <c r="E3605" t="n">
        <v>0.1136722745</v>
      </c>
      <c r="F3605" t="n">
        <v>0.4285070209</v>
      </c>
      <c r="G3605" t="n">
        <v>0.5186141959</v>
      </c>
      <c r="H3605" t="n">
        <v>0.6066457261</v>
      </c>
    </row>
    <row r="3606">
      <c r="A3606" t="inlineStr">
        <is>
          <t>HKG|mit.typ.p4.2</t>
        </is>
      </c>
      <c r="B3606" t="inlineStr">
        <is>
          <t>HKG</t>
        </is>
      </c>
      <c r="C3606" t="inlineStr">
        <is>
          <t>mit.typ.p4.2</t>
        </is>
      </c>
      <c r="D3606" t="n">
        <v>0</v>
      </c>
      <c r="E3606" t="n">
        <v>0.1027115998</v>
      </c>
      <c r="F3606" t="n">
        <v>0.1514088868</v>
      </c>
      <c r="G3606" t="n">
        <v>0.1878752851</v>
      </c>
      <c r="H3606" t="n">
        <v>0.2262302068</v>
      </c>
    </row>
    <row r="3607">
      <c r="A3607" t="inlineStr">
        <is>
          <t>HND|mit.typ.p4.2</t>
        </is>
      </c>
      <c r="B3607" t="inlineStr">
        <is>
          <t>HND</t>
        </is>
      </c>
      <c r="C3607" t="inlineStr">
        <is>
          <t>mit.typ.p4.2</t>
        </is>
      </c>
      <c r="D3607" t="n">
        <v>0</v>
      </c>
      <c r="E3607" t="n">
        <v>0.1077054765</v>
      </c>
      <c r="F3607" t="n">
        <v>0.3054502317</v>
      </c>
      <c r="G3607" t="n">
        <v>0.3922695552</v>
      </c>
      <c r="H3607" t="n">
        <v>0.5038370951</v>
      </c>
    </row>
    <row r="3608">
      <c r="A3608" t="inlineStr">
        <is>
          <t>HRV|mit.typ.p4.2</t>
        </is>
      </c>
      <c r="B3608" t="inlineStr">
        <is>
          <t>HRV</t>
        </is>
      </c>
      <c r="C3608" t="inlineStr">
        <is>
          <t>mit.typ.p4.2</t>
        </is>
      </c>
      <c r="D3608" t="n">
        <v>0</v>
      </c>
      <c r="E3608" t="n">
        <v>0.214677213</v>
      </c>
      <c r="F3608" t="n">
        <v>0.3166782718</v>
      </c>
      <c r="G3608" t="n">
        <v>0.4214811819</v>
      </c>
      <c r="H3608" t="n">
        <v>0.5247964485</v>
      </c>
    </row>
    <row r="3609">
      <c r="A3609" t="inlineStr">
        <is>
          <t>HTI|mit.typ.p4.2</t>
        </is>
      </c>
      <c r="B3609" t="inlineStr">
        <is>
          <t>HTI</t>
        </is>
      </c>
      <c r="C3609" t="inlineStr">
        <is>
          <t>mit.typ.p4.2</t>
        </is>
      </c>
      <c r="D3609" t="n">
        <v>0</v>
      </c>
      <c r="E3609" t="n">
        <v>0.1173250962</v>
      </c>
      <c r="F3609" t="n">
        <v>0.2057160666</v>
      </c>
      <c r="G3609" t="n">
        <v>0.2974068958</v>
      </c>
      <c r="H3609" t="n">
        <v>0.4120112875</v>
      </c>
    </row>
    <row r="3610">
      <c r="A3610" t="inlineStr">
        <is>
          <t>HUN|mit.typ.p4.2</t>
        </is>
      </c>
      <c r="B3610" t="inlineStr">
        <is>
          <t>HUN</t>
        </is>
      </c>
      <c r="C3610" t="inlineStr">
        <is>
          <t>mit.typ.p4.2</t>
        </is>
      </c>
      <c r="D3610" t="n">
        <v>0</v>
      </c>
      <c r="E3610" t="n">
        <v>1.42415881</v>
      </c>
      <c r="F3610" t="n">
        <v>1.764272301</v>
      </c>
      <c r="G3610" t="n">
        <v>1.948079347</v>
      </c>
      <c r="H3610" t="n">
        <v>2.189894126</v>
      </c>
    </row>
    <row r="3611">
      <c r="A3611" t="inlineStr">
        <is>
          <t>IDN|mit.typ.p4.2</t>
        </is>
      </c>
      <c r="B3611" t="inlineStr">
        <is>
          <t>IDN</t>
        </is>
      </c>
      <c r="C3611" t="inlineStr">
        <is>
          <t>mit.typ.p4.2</t>
        </is>
      </c>
      <c r="D3611" t="n">
        <v>0</v>
      </c>
      <c r="E3611" t="n">
        <v>9.912941693</v>
      </c>
      <c r="F3611" t="n">
        <v>19.78225754</v>
      </c>
      <c r="G3611" t="n">
        <v>28.03200694</v>
      </c>
      <c r="H3611" t="n">
        <v>38.52882514</v>
      </c>
    </row>
    <row r="3612">
      <c r="A3612" t="inlineStr">
        <is>
          <t>IND|mit.typ.p4.2</t>
        </is>
      </c>
      <c r="B3612" t="inlineStr">
        <is>
          <t>IND</t>
        </is>
      </c>
      <c r="C3612" t="inlineStr">
        <is>
          <t>mit.typ.p4.2</t>
        </is>
      </c>
      <c r="D3612" t="n">
        <v>0</v>
      </c>
      <c r="E3612" t="n">
        <v>35.81997008</v>
      </c>
      <c r="F3612" t="n">
        <v>63.17106491</v>
      </c>
      <c r="G3612" t="n">
        <v>97.91905565</v>
      </c>
      <c r="H3612" t="n">
        <v>132.5816331</v>
      </c>
    </row>
    <row r="3613">
      <c r="A3613" t="inlineStr">
        <is>
          <t>IRL|mit.typ.p4.2</t>
        </is>
      </c>
      <c r="B3613" t="inlineStr">
        <is>
          <t>IRL</t>
        </is>
      </c>
      <c r="C3613" t="inlineStr">
        <is>
          <t>mit.typ.p4.2</t>
        </is>
      </c>
      <c r="D3613" t="n">
        <v>0</v>
      </c>
      <c r="E3613" t="n">
        <v>0.879500183</v>
      </c>
      <c r="F3613" t="n">
        <v>1.295280155</v>
      </c>
      <c r="G3613" t="n">
        <v>1.634799968</v>
      </c>
      <c r="H3613" t="n">
        <v>1.984374675</v>
      </c>
    </row>
    <row r="3614">
      <c r="A3614" t="inlineStr">
        <is>
          <t>IRN|mit.typ.p4.2</t>
        </is>
      </c>
      <c r="B3614" t="inlineStr">
        <is>
          <t>IRN</t>
        </is>
      </c>
      <c r="C3614" t="inlineStr">
        <is>
          <t>mit.typ.p4.2</t>
        </is>
      </c>
      <c r="D3614" t="n">
        <v>0</v>
      </c>
      <c r="E3614" t="n">
        <v>12.51480599</v>
      </c>
      <c r="F3614" t="n">
        <v>11.54876939</v>
      </c>
      <c r="G3614" t="n">
        <v>16.52415271</v>
      </c>
      <c r="H3614" t="n">
        <v>18.95294986</v>
      </c>
    </row>
    <row r="3615">
      <c r="A3615" t="inlineStr">
        <is>
          <t>IRQ|mit.typ.p4.2</t>
        </is>
      </c>
      <c r="B3615" t="inlineStr">
        <is>
          <t>IRQ</t>
        </is>
      </c>
      <c r="C3615" t="inlineStr">
        <is>
          <t>mit.typ.p4.2</t>
        </is>
      </c>
      <c r="D3615" t="n">
        <v>0</v>
      </c>
      <c r="E3615" t="n">
        <v>2.250848908</v>
      </c>
      <c r="F3615" t="n">
        <v>3.595161817</v>
      </c>
      <c r="G3615" t="n">
        <v>5.629793073</v>
      </c>
      <c r="H3615" t="n">
        <v>7.680424803</v>
      </c>
    </row>
    <row r="3616">
      <c r="A3616" t="inlineStr">
        <is>
          <t>ISL|mit.typ.p4.2</t>
        </is>
      </c>
      <c r="B3616" t="inlineStr">
        <is>
          <t>ISL</t>
        </is>
      </c>
      <c r="C3616" t="inlineStr">
        <is>
          <t>mit.typ.p4.2</t>
        </is>
      </c>
      <c r="D3616" t="n">
        <v>0</v>
      </c>
      <c r="E3616" t="n">
        <v>0.06262278696</v>
      </c>
      <c r="F3616" t="n">
        <v>0.2913163281</v>
      </c>
      <c r="G3616" t="n">
        <v>0.3664917063</v>
      </c>
      <c r="H3616" t="n">
        <v>0.4419690066</v>
      </c>
    </row>
    <row r="3617">
      <c r="A3617" t="inlineStr">
        <is>
          <t>ISR|mit.typ.p4.2</t>
        </is>
      </c>
      <c r="B3617" t="inlineStr">
        <is>
          <t>ISR</t>
        </is>
      </c>
      <c r="C3617" t="inlineStr">
        <is>
          <t>mit.typ.p4.2</t>
        </is>
      </c>
      <c r="D3617" t="n">
        <v>0</v>
      </c>
      <c r="E3617" t="n">
        <v>0.2954936182</v>
      </c>
      <c r="F3617" t="n">
        <v>0.6412967311</v>
      </c>
      <c r="G3617" t="n">
        <v>1.040239144</v>
      </c>
      <c r="H3617" t="n">
        <v>1.446453884</v>
      </c>
    </row>
    <row r="3618">
      <c r="A3618" t="inlineStr">
        <is>
          <t>ITA|mit.typ.p4.2</t>
        </is>
      </c>
      <c r="B3618" t="inlineStr">
        <is>
          <t>ITA</t>
        </is>
      </c>
      <c r="C3618" t="inlineStr">
        <is>
          <t>mit.typ.p4.2</t>
        </is>
      </c>
      <c r="D3618" t="n">
        <v>0</v>
      </c>
      <c r="E3618" t="n">
        <v>1.957839516</v>
      </c>
      <c r="F3618" t="n">
        <v>3.231007904</v>
      </c>
      <c r="G3618" t="n">
        <v>5.351925994</v>
      </c>
      <c r="H3618" t="n">
        <v>7.486247509</v>
      </c>
    </row>
    <row r="3619">
      <c r="A3619" t="inlineStr">
        <is>
          <t>JAM|mit.typ.p4.2</t>
        </is>
      </c>
      <c r="B3619" t="inlineStr">
        <is>
          <t>JAM</t>
        </is>
      </c>
      <c r="C3619" t="inlineStr">
        <is>
          <t>mit.typ.p4.2</t>
        </is>
      </c>
      <c r="D3619" t="n">
        <v>0</v>
      </c>
      <c r="E3619" t="n">
        <v>0.07093611052</v>
      </c>
      <c r="F3619" t="n">
        <v>0.08055365692999999</v>
      </c>
      <c r="G3619" t="n">
        <v>0.1088909261</v>
      </c>
      <c r="H3619" t="n">
        <v>0.1459267247</v>
      </c>
    </row>
    <row r="3620">
      <c r="A3620" t="inlineStr">
        <is>
          <t>JOR|mit.typ.p4.2</t>
        </is>
      </c>
      <c r="B3620" t="inlineStr">
        <is>
          <t>JOR</t>
        </is>
      </c>
      <c r="C3620" t="inlineStr">
        <is>
          <t>mit.typ.p4.2</t>
        </is>
      </c>
      <c r="D3620" t="n">
        <v>0</v>
      </c>
      <c r="E3620" t="n">
        <v>0.175058864</v>
      </c>
      <c r="F3620" t="n">
        <v>0.3016903487</v>
      </c>
      <c r="G3620" t="n">
        <v>0.3973718477</v>
      </c>
      <c r="H3620" t="n">
        <v>0.5155253206</v>
      </c>
    </row>
    <row r="3621">
      <c r="A3621" t="inlineStr">
        <is>
          <t>JPN|mit.typ.p4.2</t>
        </is>
      </c>
      <c r="B3621" t="inlineStr">
        <is>
          <t>JPN</t>
        </is>
      </c>
      <c r="C3621" t="inlineStr">
        <is>
          <t>mit.typ.p4.2</t>
        </is>
      </c>
      <c r="D3621" t="n">
        <v>0</v>
      </c>
      <c r="E3621" t="n">
        <v>7.737351187</v>
      </c>
      <c r="F3621" t="n">
        <v>9.80933546</v>
      </c>
      <c r="G3621" t="n">
        <v>13.80198898</v>
      </c>
      <c r="H3621" t="n">
        <v>17.86388209</v>
      </c>
    </row>
    <row r="3622">
      <c r="A3622" t="inlineStr">
        <is>
          <t>KAZ|mit.typ.p4.2</t>
        </is>
      </c>
      <c r="B3622" t="inlineStr">
        <is>
          <t>KAZ</t>
        </is>
      </c>
      <c r="C3622" t="inlineStr">
        <is>
          <t>mit.typ.p4.2</t>
        </is>
      </c>
      <c r="D3622" t="n">
        <v>0</v>
      </c>
      <c r="E3622" t="n">
        <v>3.26827103</v>
      </c>
      <c r="F3622" t="n">
        <v>5.036416455</v>
      </c>
      <c r="G3622" t="n">
        <v>7.413517562</v>
      </c>
      <c r="H3622" t="n">
        <v>9.304005507999999</v>
      </c>
    </row>
    <row r="3623">
      <c r="A3623" t="inlineStr">
        <is>
          <t>KEN|mit.typ.p4.2</t>
        </is>
      </c>
      <c r="B3623" t="inlineStr">
        <is>
          <t>KEN</t>
        </is>
      </c>
      <c r="C3623" t="inlineStr">
        <is>
          <t>mit.typ.p4.2</t>
        </is>
      </c>
      <c r="D3623" t="n">
        <v>0</v>
      </c>
      <c r="E3623" t="n">
        <v>0.3850394868</v>
      </c>
      <c r="F3623" t="n">
        <v>1.133040109</v>
      </c>
      <c r="G3623" t="n">
        <v>1.686290941</v>
      </c>
      <c r="H3623" t="n">
        <v>2.315096612</v>
      </c>
    </row>
    <row r="3624">
      <c r="A3624" t="inlineStr">
        <is>
          <t>KGZ|mit.typ.p4.2</t>
        </is>
      </c>
      <c r="B3624" t="inlineStr">
        <is>
          <t>KGZ</t>
        </is>
      </c>
      <c r="C3624" t="inlineStr">
        <is>
          <t>mit.typ.p4.2</t>
        </is>
      </c>
      <c r="D3624" t="n">
        <v>0</v>
      </c>
      <c r="E3624" t="n">
        <v>0.2926009123</v>
      </c>
      <c r="F3624" t="n">
        <v>0.4454097486</v>
      </c>
      <c r="G3624" t="n">
        <v>0.6370489221</v>
      </c>
      <c r="H3624" t="n">
        <v>0.8825032073</v>
      </c>
    </row>
    <row r="3625">
      <c r="A3625" t="inlineStr">
        <is>
          <t>KHM|mit.typ.p4.2</t>
        </is>
      </c>
      <c r="B3625" t="inlineStr">
        <is>
          <t>KHM</t>
        </is>
      </c>
      <c r="C3625" t="inlineStr">
        <is>
          <t>mit.typ.p4.2</t>
        </is>
      </c>
      <c r="D3625" t="n">
        <v>0</v>
      </c>
      <c r="E3625" t="n">
        <v>0.2877316163</v>
      </c>
      <c r="F3625" t="n">
        <v>0.9574573437</v>
      </c>
      <c r="G3625" t="n">
        <v>1.15203805</v>
      </c>
      <c r="H3625" t="n">
        <v>1.385711413</v>
      </c>
    </row>
    <row r="3626">
      <c r="A3626" t="inlineStr">
        <is>
          <t>KNA|mit.typ.p4.2</t>
        </is>
      </c>
      <c r="B3626" t="inlineStr">
        <is>
          <t>KNA</t>
        </is>
      </c>
      <c r="C3626" t="inlineStr">
        <is>
          <t>mit.typ.p4.2</t>
        </is>
      </c>
      <c r="D3626" t="n">
        <v>0</v>
      </c>
      <c r="E3626" t="n">
        <v>0.007937319373999999</v>
      </c>
      <c r="F3626" t="n">
        <v>0.009481615314</v>
      </c>
      <c r="G3626" t="n">
        <v>0.01051466602</v>
      </c>
      <c r="H3626" t="n">
        <v>0.0118851775</v>
      </c>
    </row>
    <row r="3627">
      <c r="A3627" t="inlineStr">
        <is>
          <t>KOR|mit.typ.p4.2</t>
        </is>
      </c>
      <c r="B3627" t="inlineStr">
        <is>
          <t>KOR</t>
        </is>
      </c>
      <c r="C3627" t="inlineStr">
        <is>
          <t>mit.typ.p4.2</t>
        </is>
      </c>
      <c r="D3627" t="n">
        <v>0</v>
      </c>
      <c r="E3627" t="n">
        <v>4.662110671</v>
      </c>
      <c r="F3627" t="n">
        <v>7.201043226</v>
      </c>
      <c r="G3627" t="n">
        <v>11.14261642</v>
      </c>
      <c r="H3627" t="n">
        <v>15.16796449</v>
      </c>
    </row>
    <row r="3628">
      <c r="A3628" t="inlineStr">
        <is>
          <t>KWT|mit.typ.p4.2</t>
        </is>
      </c>
      <c r="B3628" t="inlineStr">
        <is>
          <t>KWT</t>
        </is>
      </c>
      <c r="C3628" t="inlineStr">
        <is>
          <t>mit.typ.p4.2</t>
        </is>
      </c>
      <c r="D3628" t="n">
        <v>0</v>
      </c>
      <c r="E3628" t="n">
        <v>2.154208229</v>
      </c>
      <c r="F3628" t="n">
        <v>2.460196659</v>
      </c>
      <c r="G3628" t="n">
        <v>2.976117451</v>
      </c>
      <c r="H3628" t="n">
        <v>3.334263829</v>
      </c>
    </row>
    <row r="3629">
      <c r="A3629" t="inlineStr">
        <is>
          <t>LAO|mit.typ.p4.2</t>
        </is>
      </c>
      <c r="B3629" t="inlineStr">
        <is>
          <t>LAO</t>
        </is>
      </c>
      <c r="C3629" t="inlineStr">
        <is>
          <t>mit.typ.p4.2</t>
        </is>
      </c>
      <c r="D3629" t="n">
        <v>0</v>
      </c>
      <c r="E3629" t="n">
        <v>0.1675026662</v>
      </c>
      <c r="F3629" t="n">
        <v>0.7851324145</v>
      </c>
      <c r="G3629" t="n">
        <v>1.389095426</v>
      </c>
      <c r="H3629" t="n">
        <v>2.007355805</v>
      </c>
    </row>
    <row r="3630">
      <c r="A3630" t="inlineStr">
        <is>
          <t>LBN|mit.typ.p4.2</t>
        </is>
      </c>
      <c r="B3630" t="inlineStr">
        <is>
          <t>LBN</t>
        </is>
      </c>
      <c r="C3630" t="inlineStr">
        <is>
          <t>mit.typ.p4.2</t>
        </is>
      </c>
      <c r="D3630" t="n">
        <v>0</v>
      </c>
      <c r="E3630" t="n">
        <v>0.7490981421</v>
      </c>
      <c r="F3630" t="n">
        <v>1.016111966</v>
      </c>
      <c r="G3630" t="n">
        <v>1.388484309</v>
      </c>
      <c r="H3630" t="n">
        <v>1.843040214</v>
      </c>
    </row>
    <row r="3631">
      <c r="A3631" t="inlineStr">
        <is>
          <t>LBR|mit.typ.p4.2</t>
        </is>
      </c>
      <c r="B3631" t="inlineStr">
        <is>
          <t>LBR</t>
        </is>
      </c>
      <c r="C3631" t="inlineStr">
        <is>
          <t>mit.typ.p4.2</t>
        </is>
      </c>
      <c r="D3631" t="n">
        <v>0</v>
      </c>
      <c r="E3631" t="n">
        <v>0.04792781188</v>
      </c>
      <c r="F3631" t="n">
        <v>0.2023762709</v>
      </c>
      <c r="G3631" t="n">
        <v>0.2568930366</v>
      </c>
      <c r="H3631" t="n">
        <v>0.3194751767</v>
      </c>
    </row>
    <row r="3632">
      <c r="A3632" t="inlineStr">
        <is>
          <t>LBY|mit.typ.p4.2</t>
        </is>
      </c>
      <c r="B3632" t="inlineStr">
        <is>
          <t>LBY</t>
        </is>
      </c>
      <c r="C3632" t="inlineStr">
        <is>
          <t>mit.typ.p4.2</t>
        </is>
      </c>
      <c r="D3632" t="n">
        <v>0</v>
      </c>
      <c r="E3632" t="n">
        <v>1.318464876</v>
      </c>
      <c r="F3632" t="n">
        <v>2.117335064</v>
      </c>
      <c r="G3632" t="n">
        <v>3.15591758</v>
      </c>
      <c r="H3632" t="n">
        <v>4.292586332</v>
      </c>
    </row>
    <row r="3633">
      <c r="A3633" t="inlineStr">
        <is>
          <t>LCA|mit.typ.p4.2</t>
        </is>
      </c>
      <c r="B3633" t="inlineStr">
        <is>
          <t>LCA</t>
        </is>
      </c>
      <c r="C3633" t="inlineStr">
        <is>
          <t>mit.typ.p4.2</t>
        </is>
      </c>
      <c r="D3633" t="n">
        <v>0</v>
      </c>
      <c r="E3633" t="n">
        <v>0.007802465319</v>
      </c>
      <c r="F3633" t="n">
        <v>0.01046070936</v>
      </c>
      <c r="G3633" t="n">
        <v>0.01389184019</v>
      </c>
      <c r="H3633" t="n">
        <v>0.01834435801</v>
      </c>
    </row>
    <row r="3634">
      <c r="A3634" t="inlineStr">
        <is>
          <t>LKA|mit.typ.p4.2</t>
        </is>
      </c>
      <c r="B3634" t="inlineStr">
        <is>
          <t>LKA</t>
        </is>
      </c>
      <c r="C3634" t="inlineStr">
        <is>
          <t>mit.typ.p4.2</t>
        </is>
      </c>
      <c r="D3634" t="n">
        <v>0</v>
      </c>
      <c r="E3634" t="n">
        <v>0.2906897396</v>
      </c>
      <c r="F3634" t="n">
        <v>0.5399408569</v>
      </c>
      <c r="G3634" t="n">
        <v>0.7399589745</v>
      </c>
      <c r="H3634" t="n">
        <v>0.9610765905999999</v>
      </c>
    </row>
    <row r="3635">
      <c r="A3635" t="inlineStr">
        <is>
          <t>LSO|mit.typ.p4.2</t>
        </is>
      </c>
      <c r="B3635" t="inlineStr">
        <is>
          <t>LSO</t>
        </is>
      </c>
      <c r="C3635" t="inlineStr">
        <is>
          <t>mit.typ.p4.2</t>
        </is>
      </c>
      <c r="D3635" t="n">
        <v>0</v>
      </c>
      <c r="E3635" t="n">
        <v>0.06722576198000001</v>
      </c>
      <c r="F3635" t="n">
        <v>0.0878854911</v>
      </c>
      <c r="G3635" t="n">
        <v>0.1211844972</v>
      </c>
      <c r="H3635" t="n">
        <v>0.1565285365</v>
      </c>
    </row>
    <row r="3636">
      <c r="A3636" t="inlineStr">
        <is>
          <t>LTU|mit.typ.p4.2</t>
        </is>
      </c>
      <c r="B3636" t="inlineStr">
        <is>
          <t>LTU</t>
        </is>
      </c>
      <c r="C3636" t="inlineStr">
        <is>
          <t>mit.typ.p4.2</t>
        </is>
      </c>
      <c r="D3636" t="n">
        <v>0</v>
      </c>
      <c r="E3636" t="n">
        <v>0.293679607</v>
      </c>
      <c r="F3636" t="n">
        <v>0.4104429274</v>
      </c>
      <c r="G3636" t="n">
        <v>0.511792705</v>
      </c>
      <c r="H3636" t="n">
        <v>0.6158043536</v>
      </c>
    </row>
    <row r="3637">
      <c r="A3637" t="inlineStr">
        <is>
          <t>LUX|mit.typ.p4.2</t>
        </is>
      </c>
      <c r="B3637" t="inlineStr">
        <is>
          <t>LUX</t>
        </is>
      </c>
      <c r="C3637" t="inlineStr">
        <is>
          <t>mit.typ.p4.2</t>
        </is>
      </c>
      <c r="D3637" t="n">
        <v>0</v>
      </c>
      <c r="E3637" t="n">
        <v>0.08056513798000001</v>
      </c>
      <c r="F3637" t="n">
        <v>0.1040401386</v>
      </c>
      <c r="G3637" t="n">
        <v>0.1376267878</v>
      </c>
      <c r="H3637" t="n">
        <v>0.1692803299</v>
      </c>
    </row>
    <row r="3638">
      <c r="A3638" t="inlineStr">
        <is>
          <t>LVA|mit.typ.p4.2</t>
        </is>
      </c>
      <c r="B3638" t="inlineStr">
        <is>
          <t>LVA</t>
        </is>
      </c>
      <c r="C3638" t="inlineStr">
        <is>
          <t>mit.typ.p4.2</t>
        </is>
      </c>
      <c r="D3638" t="n">
        <v>0</v>
      </c>
      <c r="E3638" t="n">
        <v>0.1957990765</v>
      </c>
      <c r="F3638" t="n">
        <v>0.2903607865</v>
      </c>
      <c r="G3638" t="n">
        <v>0.3249693233</v>
      </c>
      <c r="H3638" t="n">
        <v>0.3664420545</v>
      </c>
    </row>
    <row r="3639">
      <c r="A3639" t="inlineStr">
        <is>
          <t>MAC|mit.typ.p4.2</t>
        </is>
      </c>
      <c r="B3639" t="inlineStr">
        <is>
          <t>MAC</t>
        </is>
      </c>
      <c r="C3639" t="inlineStr">
        <is>
          <t>mit.typ.p4.2</t>
        </is>
      </c>
      <c r="D3639" t="n">
        <v>0</v>
      </c>
      <c r="E3639" t="n">
        <v>0.03287059856</v>
      </c>
      <c r="F3639" t="n">
        <v>0.0389647265</v>
      </c>
      <c r="G3639" t="n">
        <v>0.03896997022</v>
      </c>
      <c r="H3639" t="n">
        <v>0.04370504097</v>
      </c>
    </row>
    <row r="3640">
      <c r="A3640" t="inlineStr">
        <is>
          <t>MAR|mit.typ.p4.2</t>
        </is>
      </c>
      <c r="B3640" t="inlineStr">
        <is>
          <t>MAR</t>
        </is>
      </c>
      <c r="C3640" t="inlineStr">
        <is>
          <t>mit.typ.p4.2</t>
        </is>
      </c>
      <c r="D3640" t="n">
        <v>0</v>
      </c>
      <c r="E3640" t="n">
        <v>0.8535196563</v>
      </c>
      <c r="F3640" t="n">
        <v>1.515623483</v>
      </c>
      <c r="G3640" t="n">
        <v>2.253627293</v>
      </c>
      <c r="H3640" t="n">
        <v>3.092105164</v>
      </c>
    </row>
    <row r="3641">
      <c r="A3641" t="inlineStr">
        <is>
          <t>MDA|mit.typ.p4.2</t>
        </is>
      </c>
      <c r="B3641" t="inlineStr">
        <is>
          <t>MDA</t>
        </is>
      </c>
      <c r="C3641" t="inlineStr">
        <is>
          <t>mit.typ.p4.2</t>
        </is>
      </c>
      <c r="D3641" t="n">
        <v>0</v>
      </c>
      <c r="E3641" t="n">
        <v>0.174866894</v>
      </c>
      <c r="F3641" t="n">
        <v>0.2528985362</v>
      </c>
      <c r="G3641" t="n">
        <v>0.3947843602</v>
      </c>
      <c r="H3641" t="n">
        <v>0.5480574192</v>
      </c>
    </row>
    <row r="3642">
      <c r="A3642" t="inlineStr">
        <is>
          <t>MDG|mit.typ.p4.2</t>
        </is>
      </c>
      <c r="B3642" t="inlineStr">
        <is>
          <t>MDG</t>
        </is>
      </c>
      <c r="C3642" t="inlineStr">
        <is>
          <t>mit.typ.p4.2</t>
        </is>
      </c>
      <c r="D3642" t="n">
        <v>0</v>
      </c>
      <c r="E3642" t="n">
        <v>0.1181085381</v>
      </c>
      <c r="F3642" t="n">
        <v>0.4490409847</v>
      </c>
      <c r="G3642" t="n">
        <v>0.6185141852</v>
      </c>
      <c r="H3642" t="n">
        <v>0.8061235324</v>
      </c>
    </row>
    <row r="3643">
      <c r="A3643" t="inlineStr">
        <is>
          <t>MDV|mit.typ.p4.2</t>
        </is>
      </c>
      <c r="B3643" t="inlineStr">
        <is>
          <t>MDV</t>
        </is>
      </c>
      <c r="C3643" t="inlineStr">
        <is>
          <t>mit.typ.p4.2</t>
        </is>
      </c>
      <c r="D3643" t="n">
        <v>0</v>
      </c>
      <c r="E3643" t="n">
        <v>0.06238952513</v>
      </c>
      <c r="F3643" t="n">
        <v>0.07588136468999999</v>
      </c>
      <c r="G3643" t="n">
        <v>0.09970194039999999</v>
      </c>
      <c r="H3643" t="n">
        <v>0.12013525</v>
      </c>
    </row>
    <row r="3644">
      <c r="A3644" t="inlineStr">
        <is>
          <t>MEX|mit.typ.p4.2</t>
        </is>
      </c>
      <c r="B3644" t="inlineStr">
        <is>
          <t>MEX</t>
        </is>
      </c>
      <c r="C3644" t="inlineStr">
        <is>
          <t>mit.typ.p4.2</t>
        </is>
      </c>
      <c r="D3644" t="n">
        <v>0</v>
      </c>
      <c r="E3644" t="n">
        <v>8.03160291</v>
      </c>
      <c r="F3644" t="n">
        <v>14.9599067</v>
      </c>
      <c r="G3644" t="n">
        <v>24.95850045</v>
      </c>
      <c r="H3644" t="n">
        <v>35.35043312</v>
      </c>
    </row>
    <row r="3645">
      <c r="A3645" t="inlineStr">
        <is>
          <t>MKD|mit.typ.p4.2</t>
        </is>
      </c>
      <c r="B3645" t="inlineStr">
        <is>
          <t>MKD</t>
        </is>
      </c>
      <c r="C3645" t="inlineStr">
        <is>
          <t>mit.typ.p4.2</t>
        </is>
      </c>
      <c r="D3645" t="n">
        <v>0</v>
      </c>
      <c r="E3645" t="n">
        <v>0.07018079053</v>
      </c>
      <c r="F3645" t="n">
        <v>0.1321797875</v>
      </c>
      <c r="G3645" t="n">
        <v>0.2204247742</v>
      </c>
      <c r="H3645" t="n">
        <v>0.3127542316</v>
      </c>
    </row>
    <row r="3646">
      <c r="A3646" t="inlineStr">
        <is>
          <t>MLI|mit.typ.p4.2</t>
        </is>
      </c>
      <c r="B3646" t="inlineStr">
        <is>
          <t>MLI</t>
        </is>
      </c>
      <c r="C3646" t="inlineStr">
        <is>
          <t>mit.typ.p4.2</t>
        </is>
      </c>
      <c r="D3646" t="n">
        <v>0</v>
      </c>
      <c r="E3646" t="n">
        <v>0.2561112287</v>
      </c>
      <c r="F3646" t="n">
        <v>0.6823073033</v>
      </c>
      <c r="G3646" t="n">
        <v>1.022703751</v>
      </c>
      <c r="H3646" t="n">
        <v>1.384165437</v>
      </c>
    </row>
    <row r="3647">
      <c r="A3647" t="inlineStr">
        <is>
          <t>MLT|mit.typ.p4.2</t>
        </is>
      </c>
      <c r="B3647" t="inlineStr">
        <is>
          <t>MLT</t>
        </is>
      </c>
      <c r="C3647" t="inlineStr">
        <is>
          <t>mit.typ.p4.2</t>
        </is>
      </c>
      <c r="D3647" t="n">
        <v>0</v>
      </c>
      <c r="E3647" t="n">
        <v>0.005128244427</v>
      </c>
      <c r="F3647" t="n">
        <v>0.009231772033</v>
      </c>
      <c r="G3647" t="n">
        <v>0.01187587757</v>
      </c>
      <c r="H3647" t="n">
        <v>0.01461278919</v>
      </c>
    </row>
    <row r="3648">
      <c r="A3648" t="inlineStr">
        <is>
          <t>MMR|mit.typ.p4.2</t>
        </is>
      </c>
      <c r="B3648" t="inlineStr">
        <is>
          <t>MMR</t>
        </is>
      </c>
      <c r="C3648" t="inlineStr">
        <is>
          <t>mit.typ.p4.2</t>
        </is>
      </c>
      <c r="D3648" t="n">
        <v>0</v>
      </c>
      <c r="E3648" t="n">
        <v>1.089346956</v>
      </c>
      <c r="F3648" t="n">
        <v>4.136544418</v>
      </c>
      <c r="G3648" t="n">
        <v>5.519526716</v>
      </c>
      <c r="H3648" t="n">
        <v>6.949008945</v>
      </c>
    </row>
    <row r="3649">
      <c r="A3649" t="inlineStr">
        <is>
          <t>MNE|mit.typ.p4.2</t>
        </is>
      </c>
      <c r="B3649" t="inlineStr">
        <is>
          <t>MNE</t>
        </is>
      </c>
      <c r="C3649" t="inlineStr">
        <is>
          <t>mit.typ.p4.2</t>
        </is>
      </c>
      <c r="D3649" t="n">
        <v>0</v>
      </c>
      <c r="E3649" t="n">
        <v>0.01393829609</v>
      </c>
      <c r="F3649" t="n">
        <v>0.01811239901</v>
      </c>
      <c r="G3649" t="n">
        <v>0.02093966947</v>
      </c>
      <c r="H3649" t="n">
        <v>0.0266534914</v>
      </c>
    </row>
    <row r="3650">
      <c r="A3650" t="inlineStr">
        <is>
          <t>MNG|mit.typ.p4.2</t>
        </is>
      </c>
      <c r="B3650" t="inlineStr">
        <is>
          <t>MNG</t>
        </is>
      </c>
      <c r="C3650" t="inlineStr">
        <is>
          <t>mit.typ.p4.2</t>
        </is>
      </c>
      <c r="D3650" t="n">
        <v>0</v>
      </c>
      <c r="E3650" t="n">
        <v>0.3586339722</v>
      </c>
      <c r="F3650" t="n">
        <v>1.064843474</v>
      </c>
      <c r="G3650" t="n">
        <v>1.503242878</v>
      </c>
      <c r="H3650" t="n">
        <v>1.934623169</v>
      </c>
    </row>
    <row r="3651">
      <c r="A3651" t="inlineStr">
        <is>
          <t>MOZ|mit.typ.p4.2</t>
        </is>
      </c>
      <c r="B3651" t="inlineStr">
        <is>
          <t>MOZ</t>
        </is>
      </c>
      <c r="C3651" t="inlineStr">
        <is>
          <t>mit.typ.p4.2</t>
        </is>
      </c>
      <c r="D3651" t="n">
        <v>0</v>
      </c>
      <c r="E3651" t="n">
        <v>0.246259279</v>
      </c>
      <c r="F3651" t="n">
        <v>1.049521972</v>
      </c>
      <c r="G3651" t="n">
        <v>1.288003519</v>
      </c>
      <c r="H3651" t="n">
        <v>1.548807386</v>
      </c>
    </row>
    <row r="3652">
      <c r="A3652" t="inlineStr">
        <is>
          <t>MRT|mit.typ.p4.2</t>
        </is>
      </c>
      <c r="B3652" t="inlineStr">
        <is>
          <t>MRT</t>
        </is>
      </c>
      <c r="C3652" t="inlineStr">
        <is>
          <t>mit.typ.p4.2</t>
        </is>
      </c>
      <c r="D3652" t="n">
        <v>0</v>
      </c>
      <c r="E3652" t="n">
        <v>0.1187009199</v>
      </c>
      <c r="F3652" t="n">
        <v>0.2555789715</v>
      </c>
      <c r="G3652" t="n">
        <v>0.3782731628</v>
      </c>
      <c r="H3652" t="n">
        <v>0.5183629494999999</v>
      </c>
    </row>
    <row r="3653">
      <c r="A3653" t="inlineStr">
        <is>
          <t>MUS|mit.typ.p4.2</t>
        </is>
      </c>
      <c r="B3653" t="inlineStr">
        <is>
          <t>MUS</t>
        </is>
      </c>
      <c r="C3653" t="inlineStr">
        <is>
          <t>mit.typ.p4.2</t>
        </is>
      </c>
      <c r="D3653" t="n">
        <v>0</v>
      </c>
      <c r="E3653" t="n">
        <v>0.02756154834</v>
      </c>
      <c r="F3653" t="n">
        <v>0.04733782765</v>
      </c>
      <c r="G3653" t="n">
        <v>0.06699825149999999</v>
      </c>
      <c r="H3653" t="n">
        <v>0.07884585185</v>
      </c>
    </row>
    <row r="3654">
      <c r="A3654" t="inlineStr">
        <is>
          <t>MWI|mit.typ.p4.2</t>
        </is>
      </c>
      <c r="B3654" t="inlineStr">
        <is>
          <t>MWI</t>
        </is>
      </c>
      <c r="C3654" t="inlineStr">
        <is>
          <t>mit.typ.p4.2</t>
        </is>
      </c>
      <c r="D3654" t="n">
        <v>0</v>
      </c>
      <c r="E3654" t="n">
        <v>0.07505536904</v>
      </c>
      <c r="F3654" t="n">
        <v>0.321084672</v>
      </c>
      <c r="G3654" t="n">
        <v>0.5253604079</v>
      </c>
      <c r="H3654" t="n">
        <v>0.7373929722</v>
      </c>
    </row>
    <row r="3655">
      <c r="A3655" t="inlineStr">
        <is>
          <t>MYS|mit.typ.p4.2</t>
        </is>
      </c>
      <c r="B3655" t="inlineStr">
        <is>
          <t>MYS</t>
        </is>
      </c>
      <c r="C3655" t="inlineStr">
        <is>
          <t>mit.typ.p4.2</t>
        </is>
      </c>
      <c r="D3655" t="n">
        <v>0</v>
      </c>
      <c r="E3655" t="n">
        <v>2.089865562</v>
      </c>
      <c r="F3655" t="n">
        <v>4.695791738</v>
      </c>
      <c r="G3655" t="n">
        <v>6.93202556</v>
      </c>
      <c r="H3655" t="n">
        <v>9.503763938000001</v>
      </c>
    </row>
    <row r="3656">
      <c r="A3656" t="inlineStr">
        <is>
          <t>NAM|mit.typ.p4.2</t>
        </is>
      </c>
      <c r="B3656" t="inlineStr">
        <is>
          <t>NAM</t>
        </is>
      </c>
      <c r="C3656" t="inlineStr">
        <is>
          <t>mit.typ.p4.2</t>
        </is>
      </c>
      <c r="D3656" t="n">
        <v>0</v>
      </c>
      <c r="E3656" t="n">
        <v>0.06475266189999999</v>
      </c>
      <c r="F3656" t="n">
        <v>0.2971775568</v>
      </c>
      <c r="G3656" t="n">
        <v>0.3551047515</v>
      </c>
      <c r="H3656" t="n">
        <v>0.4153440718</v>
      </c>
    </row>
    <row r="3657">
      <c r="A3657" t="inlineStr">
        <is>
          <t>NER|mit.typ.p4.2</t>
        </is>
      </c>
      <c r="B3657" t="inlineStr">
        <is>
          <t>NER</t>
        </is>
      </c>
      <c r="C3657" t="inlineStr">
        <is>
          <t>mit.typ.p4.2</t>
        </is>
      </c>
      <c r="D3657" t="n">
        <v>0</v>
      </c>
      <c r="E3657" t="n">
        <v>0.1301794514</v>
      </c>
      <c r="F3657" t="n">
        <v>0.4693474797</v>
      </c>
      <c r="G3657" t="n">
        <v>0.6933681308</v>
      </c>
      <c r="H3657" t="n">
        <v>0.9298688073</v>
      </c>
    </row>
    <row r="3658">
      <c r="A3658" t="inlineStr">
        <is>
          <t>NGA|mit.typ.p4.2</t>
        </is>
      </c>
      <c r="B3658" t="inlineStr">
        <is>
          <t>NGA</t>
        </is>
      </c>
      <c r="C3658" t="inlineStr">
        <is>
          <t>mit.typ.p4.2</t>
        </is>
      </c>
      <c r="D3658" t="n">
        <v>0</v>
      </c>
      <c r="E3658" t="n">
        <v>1.709507943</v>
      </c>
      <c r="F3658" t="n">
        <v>5.309049989</v>
      </c>
      <c r="G3658" t="n">
        <v>7.852410739</v>
      </c>
      <c r="H3658" t="n">
        <v>10.67159094</v>
      </c>
    </row>
    <row r="3659">
      <c r="A3659" t="inlineStr">
        <is>
          <t>NIC|mit.typ.p4.2</t>
        </is>
      </c>
      <c r="B3659" t="inlineStr">
        <is>
          <t>NIC</t>
        </is>
      </c>
      <c r="C3659" t="inlineStr">
        <is>
          <t>mit.typ.p4.2</t>
        </is>
      </c>
      <c r="D3659" t="n">
        <v>0</v>
      </c>
      <c r="E3659" t="n">
        <v>0.164714971</v>
      </c>
      <c r="F3659" t="n">
        <v>0.5369429247</v>
      </c>
      <c r="G3659" t="n">
        <v>0.6540045202</v>
      </c>
      <c r="H3659" t="n">
        <v>0.7901196912</v>
      </c>
    </row>
    <row r="3660">
      <c r="A3660" t="inlineStr">
        <is>
          <t>NLD|mit.typ.p4.2</t>
        </is>
      </c>
      <c r="B3660" t="inlineStr">
        <is>
          <t>NLD</t>
        </is>
      </c>
      <c r="C3660" t="inlineStr">
        <is>
          <t>mit.typ.p4.2</t>
        </is>
      </c>
      <c r="D3660" t="n">
        <v>0</v>
      </c>
      <c r="E3660" t="n">
        <v>1.089711811</v>
      </c>
      <c r="F3660" t="n">
        <v>1.396875376</v>
      </c>
      <c r="G3660" t="n">
        <v>1.584715187</v>
      </c>
      <c r="H3660" t="n">
        <v>1.777429608</v>
      </c>
    </row>
    <row r="3661">
      <c r="A3661" t="inlineStr">
        <is>
          <t>NOR|mit.typ.p4.2</t>
        </is>
      </c>
      <c r="B3661" t="inlineStr">
        <is>
          <t>NOR</t>
        </is>
      </c>
      <c r="C3661" t="inlineStr">
        <is>
          <t>mit.typ.p4.2</t>
        </is>
      </c>
      <c r="D3661" t="n">
        <v>0</v>
      </c>
      <c r="E3661" t="n">
        <v>0.5151201247</v>
      </c>
      <c r="F3661" t="n">
        <v>0.6728028005</v>
      </c>
      <c r="G3661" t="n">
        <v>0.9259357699</v>
      </c>
      <c r="H3661" t="n">
        <v>1.184224571</v>
      </c>
    </row>
    <row r="3662">
      <c r="A3662" t="inlineStr">
        <is>
          <t>NPL|mit.typ.p4.2</t>
        </is>
      </c>
      <c r="B3662" t="inlineStr">
        <is>
          <t>NPL</t>
        </is>
      </c>
      <c r="C3662" t="inlineStr">
        <is>
          <t>mit.typ.p4.2</t>
        </is>
      </c>
      <c r="D3662" t="n">
        <v>0</v>
      </c>
      <c r="E3662" t="n">
        <v>0.3497940396</v>
      </c>
      <c r="F3662" t="n">
        <v>0.7289772341</v>
      </c>
      <c r="G3662" t="n">
        <v>1.093485625</v>
      </c>
      <c r="H3662" t="n">
        <v>1.531932404</v>
      </c>
    </row>
    <row r="3663">
      <c r="A3663" t="inlineStr">
        <is>
          <t>NRU|mit.typ.p4.2</t>
        </is>
      </c>
      <c r="B3663" t="inlineStr">
        <is>
          <t>NRU</t>
        </is>
      </c>
      <c r="C3663" t="inlineStr">
        <is>
          <t>mit.typ.p4.2</t>
        </is>
      </c>
      <c r="D3663" t="n">
        <v>0</v>
      </c>
      <c r="E3663" t="n">
        <v>0.002325511227</v>
      </c>
      <c r="F3663" t="n">
        <v>0.002748844512</v>
      </c>
      <c r="G3663" t="n">
        <v>0.00369329091</v>
      </c>
      <c r="H3663" t="n">
        <v>0.004983372143</v>
      </c>
    </row>
    <row r="3664">
      <c r="A3664" t="inlineStr">
        <is>
          <t>NZL|mit.typ.p4.2</t>
        </is>
      </c>
      <c r="B3664" t="inlineStr">
        <is>
          <t>NZL</t>
        </is>
      </c>
      <c r="C3664" t="inlineStr">
        <is>
          <t>mit.typ.p4.2</t>
        </is>
      </c>
      <c r="D3664" t="n">
        <v>0</v>
      </c>
      <c r="E3664" t="n">
        <v>0.2215043132</v>
      </c>
      <c r="F3664" t="n">
        <v>0.5231356291</v>
      </c>
      <c r="G3664" t="n">
        <v>0.7725971709</v>
      </c>
      <c r="H3664" t="n">
        <v>1.024644534</v>
      </c>
    </row>
    <row r="3665">
      <c r="A3665" t="inlineStr">
        <is>
          <t>OMN|mit.typ.p4.2</t>
        </is>
      </c>
      <c r="B3665" t="inlineStr">
        <is>
          <t>OMN</t>
        </is>
      </c>
      <c r="C3665" t="inlineStr">
        <is>
          <t>mit.typ.p4.2</t>
        </is>
      </c>
      <c r="D3665" t="n">
        <v>0</v>
      </c>
      <c r="E3665" t="n">
        <v>1.859112064</v>
      </c>
      <c r="F3665" t="n">
        <v>2.816494689</v>
      </c>
      <c r="G3665" t="n">
        <v>3.702898159</v>
      </c>
      <c r="H3665" t="n">
        <v>4.563991006</v>
      </c>
    </row>
    <row r="3666">
      <c r="A3666" t="inlineStr">
        <is>
          <t>PAK|mit.typ.p4.2</t>
        </is>
      </c>
      <c r="B3666" t="inlineStr">
        <is>
          <t>PAK</t>
        </is>
      </c>
      <c r="C3666" t="inlineStr">
        <is>
          <t>mit.typ.p4.2</t>
        </is>
      </c>
      <c r="D3666" t="n">
        <v>0</v>
      </c>
      <c r="E3666" t="n">
        <v>2.309851668</v>
      </c>
      <c r="F3666" t="n">
        <v>5.565962555</v>
      </c>
      <c r="G3666" t="n">
        <v>8.358438131</v>
      </c>
      <c r="H3666" t="n">
        <v>11.37665166</v>
      </c>
    </row>
    <row r="3667">
      <c r="A3667" t="inlineStr">
        <is>
          <t>PAN|mit.typ.p4.2</t>
        </is>
      </c>
      <c r="B3667" t="inlineStr">
        <is>
          <t>PAN</t>
        </is>
      </c>
      <c r="C3667" t="inlineStr">
        <is>
          <t>mit.typ.p4.2</t>
        </is>
      </c>
      <c r="D3667" t="n">
        <v>0</v>
      </c>
      <c r="E3667" t="n">
        <v>0.1940016787</v>
      </c>
      <c r="F3667" t="n">
        <v>0.3854863114</v>
      </c>
      <c r="G3667" t="n">
        <v>0.4687399259</v>
      </c>
      <c r="H3667" t="n">
        <v>0.5526367471</v>
      </c>
    </row>
    <row r="3668">
      <c r="A3668" t="inlineStr">
        <is>
          <t>PER|mit.typ.p4.2</t>
        </is>
      </c>
      <c r="B3668" t="inlineStr">
        <is>
          <t>PER</t>
        </is>
      </c>
      <c r="C3668" t="inlineStr">
        <is>
          <t>mit.typ.p4.2</t>
        </is>
      </c>
      <c r="D3668" t="n">
        <v>0</v>
      </c>
      <c r="E3668" t="n">
        <v>0.8144456282</v>
      </c>
      <c r="F3668" t="n">
        <v>2.622771165</v>
      </c>
      <c r="G3668" t="n">
        <v>3.030985712</v>
      </c>
      <c r="H3668" t="n">
        <v>3.469011935</v>
      </c>
    </row>
    <row r="3669">
      <c r="A3669" t="inlineStr">
        <is>
          <t>PHL|mit.typ.p4.2</t>
        </is>
      </c>
      <c r="B3669" t="inlineStr">
        <is>
          <t>PHL</t>
        </is>
      </c>
      <c r="C3669" t="inlineStr">
        <is>
          <t>mit.typ.p4.2</t>
        </is>
      </c>
      <c r="D3669" t="n">
        <v>0</v>
      </c>
      <c r="E3669" t="n">
        <v>1.197040176</v>
      </c>
      <c r="F3669" t="n">
        <v>2.458226082</v>
      </c>
      <c r="G3669" t="n">
        <v>3.861906699</v>
      </c>
      <c r="H3669" t="n">
        <v>5.332870032</v>
      </c>
    </row>
    <row r="3670">
      <c r="A3670" t="inlineStr">
        <is>
          <t>PLW|mit.typ.p4.2</t>
        </is>
      </c>
      <c r="B3670" t="inlineStr">
        <is>
          <t>PLW</t>
        </is>
      </c>
      <c r="C3670" t="inlineStr">
        <is>
          <t>mit.typ.p4.2</t>
        </is>
      </c>
      <c r="D3670" t="n">
        <v>0</v>
      </c>
      <c r="E3670" t="n">
        <v>0.007040440974</v>
      </c>
      <c r="F3670" t="n">
        <v>0.02461749569</v>
      </c>
      <c r="G3670" t="n">
        <v>0.05772722284</v>
      </c>
      <c r="H3670" t="n">
        <v>0.09116360232</v>
      </c>
    </row>
    <row r="3671">
      <c r="A3671" t="inlineStr">
        <is>
          <t>PNG|mit.typ.p4.2</t>
        </is>
      </c>
      <c r="B3671" t="inlineStr">
        <is>
          <t>PNG</t>
        </is>
      </c>
      <c r="C3671" t="inlineStr">
        <is>
          <t>mit.typ.p4.2</t>
        </is>
      </c>
      <c r="D3671" t="n">
        <v>0</v>
      </c>
      <c r="E3671" t="n">
        <v>0.27221736</v>
      </c>
      <c r="F3671" t="n">
        <v>0.7579103805</v>
      </c>
      <c r="G3671" t="n">
        <v>0.9072924913</v>
      </c>
      <c r="H3671" t="n">
        <v>1.121147515</v>
      </c>
    </row>
    <row r="3672">
      <c r="A3672" t="inlineStr">
        <is>
          <t>POL|mit.typ.p4.2</t>
        </is>
      </c>
      <c r="B3672" t="inlineStr">
        <is>
          <t>POL</t>
        </is>
      </c>
      <c r="C3672" t="inlineStr">
        <is>
          <t>mit.typ.p4.2</t>
        </is>
      </c>
      <c r="D3672" t="n">
        <v>0</v>
      </c>
      <c r="E3672" t="n">
        <v>2.520438834</v>
      </c>
      <c r="F3672" t="n">
        <v>3.77905043</v>
      </c>
      <c r="G3672" t="n">
        <v>4.932818915</v>
      </c>
      <c r="H3672" t="n">
        <v>6.209650474</v>
      </c>
    </row>
    <row r="3673">
      <c r="A3673" t="inlineStr">
        <is>
          <t>PRI|mit.typ.p4.2</t>
        </is>
      </c>
      <c r="B3673" t="inlineStr">
        <is>
          <t>PRI</t>
        </is>
      </c>
      <c r="C3673" t="inlineStr">
        <is>
          <t>mit.typ.p4.2</t>
        </is>
      </c>
      <c r="D3673" t="n">
        <v>0</v>
      </c>
      <c r="E3673" t="n">
        <v>0.04001467074</v>
      </c>
      <c r="F3673" t="n">
        <v>0.1266671784</v>
      </c>
      <c r="G3673" t="n">
        <v>0.2838799984</v>
      </c>
      <c r="H3673" t="n">
        <v>0.4413434091</v>
      </c>
    </row>
    <row r="3674">
      <c r="A3674" t="inlineStr">
        <is>
          <t>PRT|mit.typ.p4.2</t>
        </is>
      </c>
      <c r="B3674" t="inlineStr">
        <is>
          <t>PRT</t>
        </is>
      </c>
      <c r="C3674" t="inlineStr">
        <is>
          <t>mit.typ.p4.2</t>
        </is>
      </c>
      <c r="D3674" t="n">
        <v>0</v>
      </c>
      <c r="E3674" t="n">
        <v>0.9318067726</v>
      </c>
      <c r="F3674" t="n">
        <v>1.290341721</v>
      </c>
      <c r="G3674" t="n">
        <v>1.68998336</v>
      </c>
      <c r="H3674" t="n">
        <v>2.14459413</v>
      </c>
    </row>
    <row r="3675">
      <c r="A3675" t="inlineStr">
        <is>
          <t>PRY|mit.typ.p4.2</t>
        </is>
      </c>
      <c r="B3675" t="inlineStr">
        <is>
          <t>PRY</t>
        </is>
      </c>
      <c r="C3675" t="inlineStr">
        <is>
          <t>mit.typ.p4.2</t>
        </is>
      </c>
      <c r="D3675" t="n">
        <v>0</v>
      </c>
      <c r="E3675" t="n">
        <v>0.4414781184</v>
      </c>
      <c r="F3675" t="n">
        <v>1.563046165</v>
      </c>
      <c r="G3675" t="n">
        <v>1.97506114</v>
      </c>
      <c r="H3675" t="n">
        <v>2.381160863</v>
      </c>
    </row>
    <row r="3676">
      <c r="A3676" t="inlineStr">
        <is>
          <t>QAT|mit.typ.p4.2</t>
        </is>
      </c>
      <c r="B3676" t="inlineStr">
        <is>
          <t>QAT</t>
        </is>
      </c>
      <c r="C3676" t="inlineStr">
        <is>
          <t>mit.typ.p4.2</t>
        </is>
      </c>
      <c r="D3676" t="n">
        <v>0</v>
      </c>
      <c r="E3676" t="n">
        <v>2.863896907</v>
      </c>
      <c r="F3676" t="n">
        <v>2.585503404</v>
      </c>
      <c r="G3676" t="n">
        <v>4.013708878</v>
      </c>
      <c r="H3676" t="n">
        <v>5.09319872</v>
      </c>
    </row>
    <row r="3677">
      <c r="A3677" t="inlineStr">
        <is>
          <t>ROU|mit.typ.p4.2</t>
        </is>
      </c>
      <c r="B3677" t="inlineStr">
        <is>
          <t>ROU</t>
        </is>
      </c>
      <c r="C3677" t="inlineStr">
        <is>
          <t>mit.typ.p4.2</t>
        </is>
      </c>
      <c r="D3677" t="n">
        <v>0</v>
      </c>
      <c r="E3677" t="n">
        <v>0.7556258702</v>
      </c>
      <c r="F3677" t="n">
        <v>1.243628917</v>
      </c>
      <c r="G3677" t="n">
        <v>2.025955747</v>
      </c>
      <c r="H3677" t="n">
        <v>2.863420223</v>
      </c>
    </row>
    <row r="3678">
      <c r="A3678" t="inlineStr">
        <is>
          <t>RUS|mit.typ.p4.2</t>
        </is>
      </c>
      <c r="B3678" t="inlineStr">
        <is>
          <t>RUS</t>
        </is>
      </c>
      <c r="C3678" t="inlineStr">
        <is>
          <t>mit.typ.p4.2</t>
        </is>
      </c>
      <c r="D3678" t="n">
        <v>0</v>
      </c>
      <c r="E3678" t="n">
        <v>34.38082852</v>
      </c>
      <c r="F3678" t="n">
        <v>46.03815488</v>
      </c>
      <c r="G3678" t="n">
        <v>71.32275761</v>
      </c>
      <c r="H3678" t="n">
        <v>88.17113156000001</v>
      </c>
    </row>
    <row r="3679">
      <c r="A3679" t="inlineStr">
        <is>
          <t>RWA|mit.typ.p4.2</t>
        </is>
      </c>
      <c r="B3679" t="inlineStr">
        <is>
          <t>RWA</t>
        </is>
      </c>
      <c r="C3679" t="inlineStr">
        <is>
          <t>mit.typ.p4.2</t>
        </is>
      </c>
      <c r="D3679" t="n">
        <v>0</v>
      </c>
      <c r="E3679" t="n">
        <v>0.03347957506</v>
      </c>
      <c r="F3679" t="n">
        <v>0.1058809269</v>
      </c>
      <c r="G3679" t="n">
        <v>0.1566317713</v>
      </c>
      <c r="H3679" t="n">
        <v>0.216698171</v>
      </c>
    </row>
    <row r="3680">
      <c r="A3680" t="inlineStr">
        <is>
          <t>SAU|mit.typ.p4.2</t>
        </is>
      </c>
      <c r="B3680" t="inlineStr">
        <is>
          <t>SAU</t>
        </is>
      </c>
      <c r="C3680" t="inlineStr">
        <is>
          <t>mit.typ.p4.2</t>
        </is>
      </c>
      <c r="D3680" t="n">
        <v>0</v>
      </c>
      <c r="E3680" t="n">
        <v>7.435899123</v>
      </c>
      <c r="F3680" t="n">
        <v>9.981749761</v>
      </c>
      <c r="G3680" t="n">
        <v>12.20443215</v>
      </c>
      <c r="H3680" t="n">
        <v>12.213617</v>
      </c>
    </row>
    <row r="3681">
      <c r="A3681" t="inlineStr">
        <is>
          <t>SDN|mit.typ.p4.2</t>
        </is>
      </c>
      <c r="B3681" t="inlineStr">
        <is>
          <t>SDN</t>
        </is>
      </c>
      <c r="C3681" t="inlineStr">
        <is>
          <t>mit.typ.p4.2</t>
        </is>
      </c>
      <c r="D3681" t="n">
        <v>0</v>
      </c>
      <c r="E3681" t="n">
        <v>0.3820439304</v>
      </c>
      <c r="F3681" t="n">
        <v>1.484485333</v>
      </c>
      <c r="G3681" t="n">
        <v>2.052304907</v>
      </c>
      <c r="H3681" t="n">
        <v>2.665165964</v>
      </c>
    </row>
    <row r="3682">
      <c r="A3682" t="inlineStr">
        <is>
          <t>SEN|mit.typ.p4.2</t>
        </is>
      </c>
      <c r="B3682" t="inlineStr">
        <is>
          <t>SEN</t>
        </is>
      </c>
      <c r="C3682" t="inlineStr">
        <is>
          <t>mit.typ.p4.2</t>
        </is>
      </c>
      <c r="D3682" t="n">
        <v>0</v>
      </c>
      <c r="E3682" t="n">
        <v>0.1349309518</v>
      </c>
      <c r="F3682" t="n">
        <v>0.3037398569</v>
      </c>
      <c r="G3682" t="n">
        <v>0.4104498005</v>
      </c>
      <c r="H3682" t="n">
        <v>0.5443066293</v>
      </c>
    </row>
    <row r="3683">
      <c r="A3683" t="inlineStr">
        <is>
          <t>SGP|mit.typ.p4.2</t>
        </is>
      </c>
      <c r="B3683" t="inlineStr">
        <is>
          <t>SGP</t>
        </is>
      </c>
      <c r="C3683" t="inlineStr">
        <is>
          <t>mit.typ.p4.2</t>
        </is>
      </c>
      <c r="D3683" t="n">
        <v>0</v>
      </c>
      <c r="E3683" t="n">
        <v>0.4196012448</v>
      </c>
      <c r="F3683" t="n">
        <v>0.7651055203</v>
      </c>
      <c r="G3683" t="n">
        <v>1.221478108</v>
      </c>
      <c r="H3683" t="n">
        <v>1.684519511</v>
      </c>
    </row>
    <row r="3684">
      <c r="A3684" t="inlineStr">
        <is>
          <t>SLB|mit.typ.p4.2</t>
        </is>
      </c>
      <c r="B3684" t="inlineStr">
        <is>
          <t>SLB</t>
        </is>
      </c>
      <c r="C3684" t="inlineStr">
        <is>
          <t>mit.typ.p4.2</t>
        </is>
      </c>
      <c r="D3684" t="n">
        <v>0</v>
      </c>
      <c r="E3684" t="n">
        <v>0.1140882947</v>
      </c>
      <c r="F3684" t="n">
        <v>0.657140935</v>
      </c>
      <c r="G3684" t="n">
        <v>0.6608258381</v>
      </c>
      <c r="H3684" t="n">
        <v>0.6665238788</v>
      </c>
    </row>
    <row r="3685">
      <c r="A3685" t="inlineStr">
        <is>
          <t>SLE|mit.typ.p4.2</t>
        </is>
      </c>
      <c r="B3685" t="inlineStr">
        <is>
          <t>SLE</t>
        </is>
      </c>
      <c r="C3685" t="inlineStr">
        <is>
          <t>mit.typ.p4.2</t>
        </is>
      </c>
      <c r="D3685" t="n">
        <v>0</v>
      </c>
      <c r="E3685" t="n">
        <v>0.03822785585</v>
      </c>
      <c r="F3685" t="n">
        <v>0.1161150759</v>
      </c>
      <c r="G3685" t="n">
        <v>0.1574076021</v>
      </c>
      <c r="H3685" t="n">
        <v>0.2102217836</v>
      </c>
    </row>
    <row r="3686">
      <c r="A3686" t="inlineStr">
        <is>
          <t>SLV|mit.typ.p4.2</t>
        </is>
      </c>
      <c r="B3686" t="inlineStr">
        <is>
          <t>SLV</t>
        </is>
      </c>
      <c r="C3686" t="inlineStr">
        <is>
          <t>mit.typ.p4.2</t>
        </is>
      </c>
      <c r="D3686" t="n">
        <v>0</v>
      </c>
      <c r="E3686" t="n">
        <v>0.1075294567</v>
      </c>
      <c r="F3686" t="n">
        <v>0.1818723389</v>
      </c>
      <c r="G3686" t="n">
        <v>0.2552278801</v>
      </c>
      <c r="H3686" t="n">
        <v>0.3612632082</v>
      </c>
    </row>
    <row r="3687">
      <c r="A3687" t="inlineStr">
        <is>
          <t>SOM|mit.typ.p4.2</t>
        </is>
      </c>
      <c r="B3687" t="inlineStr">
        <is>
          <t>SOM</t>
        </is>
      </c>
      <c r="C3687" t="inlineStr">
        <is>
          <t>mit.typ.p4.2</t>
        </is>
      </c>
      <c r="D3687" t="n">
        <v>0</v>
      </c>
      <c r="E3687" t="n">
        <v>0.1130012913</v>
      </c>
      <c r="F3687" t="n">
        <v>0.5023295732</v>
      </c>
      <c r="G3687" t="n">
        <v>0.6698027784</v>
      </c>
      <c r="H3687" t="n">
        <v>0.8487490322</v>
      </c>
    </row>
    <row r="3688">
      <c r="A3688" t="inlineStr">
        <is>
          <t>SRB|mit.typ.p4.2</t>
        </is>
      </c>
      <c r="B3688" t="inlineStr">
        <is>
          <t>SRB</t>
        </is>
      </c>
      <c r="C3688" t="inlineStr">
        <is>
          <t>mit.typ.p4.2</t>
        </is>
      </c>
      <c r="D3688" t="n">
        <v>0</v>
      </c>
      <c r="E3688" t="n">
        <v>0.367302317</v>
      </c>
      <c r="F3688" t="n">
        <v>0.777248967</v>
      </c>
      <c r="G3688" t="n">
        <v>1.432938212</v>
      </c>
      <c r="H3688" t="n">
        <v>2.106915916</v>
      </c>
    </row>
    <row r="3689">
      <c r="A3689" t="inlineStr">
        <is>
          <t>STP|mit.typ.p4.2</t>
        </is>
      </c>
      <c r="B3689" t="inlineStr">
        <is>
          <t>STP</t>
        </is>
      </c>
      <c r="C3689" t="inlineStr">
        <is>
          <t>mit.typ.p4.2</t>
        </is>
      </c>
      <c r="D3689" t="n">
        <v>0</v>
      </c>
      <c r="E3689" t="n">
        <v>0.004846802285</v>
      </c>
      <c r="F3689" t="n">
        <v>0.009370518357</v>
      </c>
      <c r="G3689" t="n">
        <v>0.01259037646</v>
      </c>
      <c r="H3689" t="n">
        <v>0.01664547034</v>
      </c>
    </row>
    <row r="3690">
      <c r="A3690" t="inlineStr">
        <is>
          <t>SUR|mit.typ.p4.2</t>
        </is>
      </c>
      <c r="B3690" t="inlineStr">
        <is>
          <t>SUR</t>
        </is>
      </c>
      <c r="C3690" t="inlineStr">
        <is>
          <t>mit.typ.p4.2</t>
        </is>
      </c>
      <c r="D3690" t="n">
        <v>0</v>
      </c>
      <c r="E3690" t="n">
        <v>0.1012993312</v>
      </c>
      <c r="F3690" t="n">
        <v>0.2790800804</v>
      </c>
      <c r="G3690" t="n">
        <v>0.3162290269</v>
      </c>
      <c r="H3690" t="n">
        <v>0.3585785794</v>
      </c>
    </row>
    <row r="3691">
      <c r="A3691" t="inlineStr">
        <is>
          <t>SVK|mit.typ.p4.2</t>
        </is>
      </c>
      <c r="B3691" t="inlineStr">
        <is>
          <t>SVK</t>
        </is>
      </c>
      <c r="C3691" t="inlineStr">
        <is>
          <t>mit.typ.p4.2</t>
        </is>
      </c>
      <c r="D3691" t="n">
        <v>0</v>
      </c>
      <c r="E3691" t="n">
        <v>0.340706169</v>
      </c>
      <c r="F3691" t="n">
        <v>0.5386075265</v>
      </c>
      <c r="G3691" t="n">
        <v>0.9030860634</v>
      </c>
      <c r="H3691" t="n">
        <v>1.258324567</v>
      </c>
    </row>
    <row r="3692">
      <c r="A3692" t="inlineStr">
        <is>
          <t>SVN|mit.typ.p4.2</t>
        </is>
      </c>
      <c r="B3692" t="inlineStr">
        <is>
          <t>SVN</t>
        </is>
      </c>
      <c r="C3692" t="inlineStr">
        <is>
          <t>mit.typ.p4.2</t>
        </is>
      </c>
      <c r="D3692" t="n">
        <v>0</v>
      </c>
      <c r="E3692" t="n">
        <v>0.06640049421999999</v>
      </c>
      <c r="F3692" t="n">
        <v>0.1108372706</v>
      </c>
      <c r="G3692" t="n">
        <v>0.1710681911</v>
      </c>
      <c r="H3692" t="n">
        <v>0.232024733</v>
      </c>
    </row>
    <row r="3693">
      <c r="A3693" t="inlineStr">
        <is>
          <t>SWE|mit.typ.p4.2</t>
        </is>
      </c>
      <c r="B3693" t="inlineStr">
        <is>
          <t>SWE</t>
        </is>
      </c>
      <c r="C3693" t="inlineStr">
        <is>
          <t>mit.typ.p4.2</t>
        </is>
      </c>
      <c r="D3693" t="n">
        <v>0</v>
      </c>
      <c r="E3693" t="n">
        <v>0.2929156883</v>
      </c>
      <c r="F3693" t="n">
        <v>0.3733256892</v>
      </c>
      <c r="G3693" t="n">
        <v>0.4486466547</v>
      </c>
      <c r="H3693" t="n">
        <v>0.5279994269</v>
      </c>
    </row>
    <row r="3694">
      <c r="A3694" t="inlineStr">
        <is>
          <t>SWZ|mit.typ.p4.2</t>
        </is>
      </c>
      <c r="B3694" t="inlineStr">
        <is>
          <t>SWZ</t>
        </is>
      </c>
      <c r="C3694" t="inlineStr">
        <is>
          <t>mit.typ.p4.2</t>
        </is>
      </c>
      <c r="D3694" t="n">
        <v>0</v>
      </c>
      <c r="E3694" t="n">
        <v>0.01881473843</v>
      </c>
      <c r="F3694" t="n">
        <v>0.04211506401</v>
      </c>
      <c r="G3694" t="n">
        <v>0.06135769147</v>
      </c>
      <c r="H3694" t="n">
        <v>0.08295733659</v>
      </c>
    </row>
    <row r="3695">
      <c r="A3695" t="inlineStr">
        <is>
          <t>SYC|mit.typ.p4.2</t>
        </is>
      </c>
      <c r="B3695" t="inlineStr">
        <is>
          <t>SYC</t>
        </is>
      </c>
      <c r="C3695" t="inlineStr">
        <is>
          <t>mit.typ.p4.2</t>
        </is>
      </c>
      <c r="D3695" t="n">
        <v>0</v>
      </c>
      <c r="E3695" t="n">
        <v>0.0114001428</v>
      </c>
      <c r="F3695" t="n">
        <v>0.01301632713</v>
      </c>
      <c r="G3695" t="n">
        <v>0.01480606054</v>
      </c>
      <c r="H3695" t="n">
        <v>0.01684261969</v>
      </c>
    </row>
    <row r="3696">
      <c r="A3696" t="inlineStr">
        <is>
          <t>SYR|mit.typ.p4.2</t>
        </is>
      </c>
      <c r="B3696" t="inlineStr">
        <is>
          <t>SYR</t>
        </is>
      </c>
      <c r="C3696" t="inlineStr">
        <is>
          <t>mit.typ.p4.2</t>
        </is>
      </c>
      <c r="D3696" t="n">
        <v>0</v>
      </c>
      <c r="E3696" t="n">
        <v>0.8223409936</v>
      </c>
      <c r="F3696" t="n">
        <v>1.169335725</v>
      </c>
      <c r="G3696" t="n">
        <v>1.850653411</v>
      </c>
      <c r="H3696" t="n">
        <v>2.440147524</v>
      </c>
    </row>
    <row r="3697">
      <c r="A3697" t="inlineStr">
        <is>
          <t>TCD|mit.typ.p4.2</t>
        </is>
      </c>
      <c r="B3697" t="inlineStr">
        <is>
          <t>TCD</t>
        </is>
      </c>
      <c r="C3697" t="inlineStr">
        <is>
          <t>mit.typ.p4.2</t>
        </is>
      </c>
      <c r="D3697" t="n">
        <v>0</v>
      </c>
      <c r="E3697" t="n">
        <v>0.2470210292</v>
      </c>
      <c r="F3697" t="n">
        <v>1.096060674</v>
      </c>
      <c r="G3697" t="n">
        <v>1.531971807</v>
      </c>
      <c r="H3697" t="n">
        <v>1.997345685</v>
      </c>
    </row>
    <row r="3698">
      <c r="A3698" t="inlineStr">
        <is>
          <t>TGO|mit.typ.p4.2</t>
        </is>
      </c>
      <c r="B3698" t="inlineStr">
        <is>
          <t>TGO</t>
        </is>
      </c>
      <c r="C3698" t="inlineStr">
        <is>
          <t>mit.typ.p4.2</t>
        </is>
      </c>
      <c r="D3698" t="n">
        <v>0</v>
      </c>
      <c r="E3698" t="n">
        <v>0.04115852727</v>
      </c>
      <c r="F3698" t="n">
        <v>0.120704883</v>
      </c>
      <c r="G3698" t="n">
        <v>0.1692059506</v>
      </c>
      <c r="H3698" t="n">
        <v>0.2289029209</v>
      </c>
    </row>
    <row r="3699">
      <c r="A3699" t="inlineStr">
        <is>
          <t>THA|mit.typ.p4.2</t>
        </is>
      </c>
      <c r="B3699" t="inlineStr">
        <is>
          <t>THA</t>
        </is>
      </c>
      <c r="C3699" t="inlineStr">
        <is>
          <t>mit.typ.p4.2</t>
        </is>
      </c>
      <c r="D3699" t="n">
        <v>0</v>
      </c>
      <c r="E3699" t="n">
        <v>2.202955912</v>
      </c>
      <c r="F3699" t="n">
        <v>4.473058568</v>
      </c>
      <c r="G3699" t="n">
        <v>6.968950196</v>
      </c>
      <c r="H3699" t="n">
        <v>9.644938798</v>
      </c>
    </row>
    <row r="3700">
      <c r="A3700" t="inlineStr">
        <is>
          <t>TJK|mit.typ.p4.2</t>
        </is>
      </c>
      <c r="B3700" t="inlineStr">
        <is>
          <t>TJK</t>
        </is>
      </c>
      <c r="C3700" t="inlineStr">
        <is>
          <t>mit.typ.p4.2</t>
        </is>
      </c>
      <c r="D3700" t="n">
        <v>0</v>
      </c>
      <c r="E3700" t="n">
        <v>0.2110217883</v>
      </c>
      <c r="F3700" t="n">
        <v>0.4417311987</v>
      </c>
      <c r="G3700" t="n">
        <v>0.7264659161</v>
      </c>
      <c r="H3700" t="n">
        <v>1.056997836</v>
      </c>
    </row>
    <row r="3701">
      <c r="A3701" t="inlineStr">
        <is>
          <t>TKM|mit.typ.p4.2</t>
        </is>
      </c>
      <c r="B3701" t="inlineStr">
        <is>
          <t>TKM</t>
        </is>
      </c>
      <c r="C3701" t="inlineStr">
        <is>
          <t>mit.typ.p4.2</t>
        </is>
      </c>
      <c r="D3701" t="n">
        <v>0</v>
      </c>
      <c r="E3701" t="n">
        <v>2.38157355</v>
      </c>
      <c r="F3701" t="n">
        <v>3.189019163</v>
      </c>
      <c r="G3701" t="n">
        <v>4.30357757</v>
      </c>
      <c r="H3701" t="n">
        <v>5.47681994</v>
      </c>
    </row>
    <row r="3702">
      <c r="A3702" t="inlineStr">
        <is>
          <t>TLS|mit.typ.p4.2</t>
        </is>
      </c>
      <c r="B3702" t="inlineStr">
        <is>
          <t>TLS</t>
        </is>
      </c>
      <c r="C3702" t="inlineStr">
        <is>
          <t>mit.typ.p4.2</t>
        </is>
      </c>
      <c r="D3702" t="n">
        <v>0</v>
      </c>
      <c r="E3702" t="n">
        <v>0.02169804467</v>
      </c>
      <c r="F3702" t="n">
        <v>0.04635121775</v>
      </c>
      <c r="G3702" t="n">
        <v>0.06541138320000001</v>
      </c>
      <c r="H3702" t="n">
        <v>0.09083022856</v>
      </c>
    </row>
    <row r="3703">
      <c r="A3703" t="inlineStr">
        <is>
          <t>TON|mit.typ.p4.2</t>
        </is>
      </c>
      <c r="B3703" t="inlineStr">
        <is>
          <t>TON</t>
        </is>
      </c>
      <c r="C3703" t="inlineStr">
        <is>
          <t>mit.typ.p4.2</t>
        </is>
      </c>
      <c r="D3703" t="n">
        <v>0</v>
      </c>
      <c r="E3703" t="n">
        <v>0.002150517954</v>
      </c>
      <c r="F3703" t="n">
        <v>0.003445216716</v>
      </c>
      <c r="G3703" t="n">
        <v>0.004394180372</v>
      </c>
      <c r="H3703" t="n">
        <v>0.005665584965</v>
      </c>
    </row>
    <row r="3704">
      <c r="A3704" t="inlineStr">
        <is>
          <t>TTO|mit.typ.p4.2</t>
        </is>
      </c>
      <c r="B3704" t="inlineStr">
        <is>
          <t>TTO</t>
        </is>
      </c>
      <c r="C3704" t="inlineStr">
        <is>
          <t>mit.typ.p4.2</t>
        </is>
      </c>
      <c r="D3704" t="n">
        <v>0</v>
      </c>
      <c r="E3704" t="n">
        <v>0.3582871982</v>
      </c>
      <c r="F3704" t="n">
        <v>0.7527742022</v>
      </c>
      <c r="G3704" t="n">
        <v>1.379101596</v>
      </c>
      <c r="H3704" t="n">
        <v>1.957979955</v>
      </c>
    </row>
    <row r="3705">
      <c r="A3705" t="inlineStr">
        <is>
          <t>TUN|mit.typ.p4.2</t>
        </is>
      </c>
      <c r="B3705" t="inlineStr">
        <is>
          <t>TUN</t>
        </is>
      </c>
      <c r="C3705" t="inlineStr">
        <is>
          <t>mit.typ.p4.2</t>
        </is>
      </c>
      <c r="D3705" t="n">
        <v>0</v>
      </c>
      <c r="E3705" t="n">
        <v>0.556978918</v>
      </c>
      <c r="F3705" t="n">
        <v>0.9221208405</v>
      </c>
      <c r="G3705" t="n">
        <v>1.592209249</v>
      </c>
      <c r="H3705" t="n">
        <v>2.190269432</v>
      </c>
    </row>
    <row r="3706">
      <c r="A3706" t="inlineStr">
        <is>
          <t>TUR|mit.typ.p4.2</t>
        </is>
      </c>
      <c r="B3706" t="inlineStr">
        <is>
          <t>TUR</t>
        </is>
      </c>
      <c r="C3706" t="inlineStr">
        <is>
          <t>mit.typ.p4.2</t>
        </is>
      </c>
      <c r="D3706" t="n">
        <v>0</v>
      </c>
      <c r="E3706" t="n">
        <v>4.839910489</v>
      </c>
      <c r="F3706" t="n">
        <v>7.198966086</v>
      </c>
      <c r="G3706" t="n">
        <v>10.39348145</v>
      </c>
      <c r="H3706" t="n">
        <v>13.88400522</v>
      </c>
    </row>
    <row r="3707">
      <c r="A3707" t="inlineStr">
        <is>
          <t>TZA|mit.typ.p4.2</t>
        </is>
      </c>
      <c r="B3707" t="inlineStr">
        <is>
          <t>TZA</t>
        </is>
      </c>
      <c r="C3707" t="inlineStr">
        <is>
          <t>mit.typ.p4.2</t>
        </is>
      </c>
      <c r="D3707" t="n">
        <v>0</v>
      </c>
      <c r="E3707" t="n">
        <v>0.4402637852</v>
      </c>
      <c r="F3707" t="n">
        <v>1.60440485</v>
      </c>
      <c r="G3707" t="n">
        <v>2.014494236</v>
      </c>
      <c r="H3707" t="n">
        <v>2.517233676</v>
      </c>
    </row>
    <row r="3708">
      <c r="A3708" t="inlineStr">
        <is>
          <t>UGA|mit.typ.p4.2</t>
        </is>
      </c>
      <c r="B3708" t="inlineStr">
        <is>
          <t>UGA</t>
        </is>
      </c>
      <c r="C3708" t="inlineStr">
        <is>
          <t>mit.typ.p4.2</t>
        </is>
      </c>
      <c r="D3708" t="n">
        <v>0</v>
      </c>
      <c r="E3708" t="n">
        <v>0.2344125815</v>
      </c>
      <c r="F3708" t="n">
        <v>0.7642448958</v>
      </c>
      <c r="G3708" t="n">
        <v>1.09243591</v>
      </c>
      <c r="H3708" t="n">
        <v>1.474260434</v>
      </c>
    </row>
    <row r="3709">
      <c r="A3709" t="inlineStr">
        <is>
          <t>UKR|mit.typ.p4.2</t>
        </is>
      </c>
      <c r="B3709" t="inlineStr">
        <is>
          <t>UKR</t>
        </is>
      </c>
      <c r="C3709" t="inlineStr">
        <is>
          <t>mit.typ.p4.2</t>
        </is>
      </c>
      <c r="D3709" t="n">
        <v>0</v>
      </c>
      <c r="E3709" t="n">
        <v>3.929139419</v>
      </c>
      <c r="F3709" t="n">
        <v>6.110588703</v>
      </c>
      <c r="G3709" t="n">
        <v>9.260037930999999</v>
      </c>
      <c r="H3709" t="n">
        <v>12.89230754</v>
      </c>
    </row>
    <row r="3710">
      <c r="A3710" t="inlineStr">
        <is>
          <t>URY|mit.typ.p4.2</t>
        </is>
      </c>
      <c r="B3710" t="inlineStr">
        <is>
          <t>URY</t>
        </is>
      </c>
      <c r="C3710" t="inlineStr">
        <is>
          <t>mit.typ.p4.2</t>
        </is>
      </c>
      <c r="D3710" t="n">
        <v>0</v>
      </c>
      <c r="E3710" t="n">
        <v>0.08663308862999999</v>
      </c>
      <c r="F3710" t="n">
        <v>0.294436084</v>
      </c>
      <c r="G3710" t="n">
        <v>0.4432001788</v>
      </c>
      <c r="H3710" t="n">
        <v>0.5927471741</v>
      </c>
    </row>
    <row r="3711">
      <c r="A3711" t="inlineStr">
        <is>
          <t>USA|mit.typ.p4.2</t>
        </is>
      </c>
      <c r="B3711" t="inlineStr">
        <is>
          <t>USA</t>
        </is>
      </c>
      <c r="C3711" t="inlineStr">
        <is>
          <t>mit.typ.p4.2</t>
        </is>
      </c>
      <c r="D3711" t="n">
        <v>0</v>
      </c>
      <c r="E3711" t="n">
        <v>31.13879201</v>
      </c>
      <c r="F3711" t="n">
        <v>49.79012872</v>
      </c>
      <c r="G3711" t="n">
        <v>72.36188249999999</v>
      </c>
      <c r="H3711" t="n">
        <v>95.34945633</v>
      </c>
    </row>
    <row r="3712">
      <c r="A3712" t="inlineStr">
        <is>
          <t>UZB|mit.typ.p4.2</t>
        </is>
      </c>
      <c r="B3712" t="inlineStr">
        <is>
          <t>UZB</t>
        </is>
      </c>
      <c r="C3712" t="inlineStr">
        <is>
          <t>mit.typ.p4.2</t>
        </is>
      </c>
      <c r="D3712" t="n">
        <v>0</v>
      </c>
      <c r="E3712" t="n">
        <v>3.020178752</v>
      </c>
      <c r="F3712" t="n">
        <v>5.264924671</v>
      </c>
      <c r="G3712" t="n">
        <v>8.569855687</v>
      </c>
      <c r="H3712" t="n">
        <v>11.91394365</v>
      </c>
    </row>
    <row r="3713">
      <c r="A3713" t="inlineStr">
        <is>
          <t>VCT|mit.typ.p4.2</t>
        </is>
      </c>
      <c r="B3713" t="inlineStr">
        <is>
          <t>VCT</t>
        </is>
      </c>
      <c r="C3713" t="inlineStr">
        <is>
          <t>mit.typ.p4.2</t>
        </is>
      </c>
      <c r="D3713" t="n">
        <v>0</v>
      </c>
      <c r="E3713" t="n">
        <v>0.003468115434</v>
      </c>
      <c r="F3713" t="n">
        <v>0.004788412554</v>
      </c>
      <c r="G3713" t="n">
        <v>0.00624588225</v>
      </c>
      <c r="H3713" t="n">
        <v>0.00827753914</v>
      </c>
    </row>
    <row r="3714">
      <c r="A3714" t="inlineStr">
        <is>
          <t>VEN|mit.typ.p4.2</t>
        </is>
      </c>
      <c r="B3714" t="inlineStr">
        <is>
          <t>VEN</t>
        </is>
      </c>
      <c r="C3714" t="inlineStr">
        <is>
          <t>mit.typ.p4.2</t>
        </is>
      </c>
      <c r="D3714" t="n">
        <v>0</v>
      </c>
      <c r="E3714" t="n">
        <v>1.779059689</v>
      </c>
      <c r="F3714" t="n">
        <v>4.506643666</v>
      </c>
      <c r="G3714" t="n">
        <v>7.498882055</v>
      </c>
      <c r="H3714" t="n">
        <v>10.67600489</v>
      </c>
    </row>
    <row r="3715">
      <c r="A3715" t="inlineStr">
        <is>
          <t>VNM|mit.typ.p4.2</t>
        </is>
      </c>
      <c r="B3715" t="inlineStr">
        <is>
          <t>VNM</t>
        </is>
      </c>
      <c r="C3715" t="inlineStr">
        <is>
          <t>mit.typ.p4.2</t>
        </is>
      </c>
      <c r="D3715" t="n">
        <v>0</v>
      </c>
      <c r="E3715" t="n">
        <v>3.898781119</v>
      </c>
      <c r="F3715" t="n">
        <v>6.659073981</v>
      </c>
      <c r="G3715" t="n">
        <v>10.03163186</v>
      </c>
      <c r="H3715" t="n">
        <v>13.43871107</v>
      </c>
    </row>
    <row r="3716">
      <c r="A3716" t="inlineStr">
        <is>
          <t>VUT|mit.typ.p4.2</t>
        </is>
      </c>
      <c r="B3716" t="inlineStr">
        <is>
          <t>VUT</t>
        </is>
      </c>
      <c r="C3716" t="inlineStr">
        <is>
          <t>mit.typ.p4.2</t>
        </is>
      </c>
      <c r="D3716" t="n">
        <v>0</v>
      </c>
      <c r="E3716" t="n">
        <v>0.00437858769</v>
      </c>
      <c r="F3716" t="n">
        <v>0.008926281596999999</v>
      </c>
      <c r="G3716" t="n">
        <v>0.01154790818</v>
      </c>
      <c r="H3716" t="n">
        <v>0.01555975178</v>
      </c>
    </row>
    <row r="3717">
      <c r="A3717" t="inlineStr">
        <is>
          <t>WSM|mit.typ.p4.2</t>
        </is>
      </c>
      <c r="B3717" t="inlineStr">
        <is>
          <t>WSM</t>
        </is>
      </c>
      <c r="C3717" t="inlineStr">
        <is>
          <t>mit.typ.p4.2</t>
        </is>
      </c>
      <c r="D3717" t="n">
        <v>0</v>
      </c>
      <c r="E3717" t="n">
        <v>0.00480120288</v>
      </c>
      <c r="F3717" t="n">
        <v>0.009188247278</v>
      </c>
      <c r="G3717" t="n">
        <v>0.01157642203</v>
      </c>
      <c r="H3717" t="n">
        <v>0.01468502</v>
      </c>
    </row>
    <row r="3718">
      <c r="A3718" t="inlineStr">
        <is>
          <t>XKX|mit.typ.p4.2</t>
        </is>
      </c>
      <c r="B3718" t="inlineStr">
        <is>
          <t>XKX</t>
        </is>
      </c>
      <c r="C3718" t="inlineStr">
        <is>
          <t>mit.typ.p4.2</t>
        </is>
      </c>
      <c r="D3718" t="n">
        <v>0</v>
      </c>
      <c r="E3718" t="n">
        <v>0.04647029724</v>
      </c>
      <c r="F3718" t="n">
        <v>0.06046066616</v>
      </c>
      <c r="G3718" t="n">
        <v>0.08481480924</v>
      </c>
      <c r="H3718" t="n">
        <v>0.1162871441</v>
      </c>
    </row>
    <row r="3719">
      <c r="A3719" t="inlineStr">
        <is>
          <t>YEM|mit.typ.p4.2</t>
        </is>
      </c>
      <c r="B3719" t="inlineStr">
        <is>
          <t>YEM</t>
        </is>
      </c>
      <c r="C3719" t="inlineStr">
        <is>
          <t>mit.typ.p4.2</t>
        </is>
      </c>
      <c r="D3719" t="n">
        <v>0</v>
      </c>
      <c r="E3719" t="n">
        <v>0.1949958238</v>
      </c>
      <c r="F3719" t="n">
        <v>0.456141824</v>
      </c>
      <c r="G3719" t="n">
        <v>0.728341253</v>
      </c>
      <c r="H3719" t="n">
        <v>1.037151964</v>
      </c>
    </row>
    <row r="3720">
      <c r="A3720" t="inlineStr">
        <is>
          <t>ZAF|mit.typ.p4.2</t>
        </is>
      </c>
      <c r="B3720" t="inlineStr">
        <is>
          <t>ZAF</t>
        </is>
      </c>
      <c r="C3720" t="inlineStr">
        <is>
          <t>mit.typ.p4.2</t>
        </is>
      </c>
      <c r="D3720" t="n">
        <v>0</v>
      </c>
      <c r="E3720" t="n">
        <v>2.048329495</v>
      </c>
      <c r="F3720" t="n">
        <v>3.198589025</v>
      </c>
      <c r="G3720" t="n">
        <v>4.311048902</v>
      </c>
      <c r="H3720" t="n">
        <v>5.479505874</v>
      </c>
    </row>
    <row r="3721">
      <c r="A3721" t="inlineStr">
        <is>
          <t>ZMB|mit.typ.p4.2</t>
        </is>
      </c>
      <c r="B3721" t="inlineStr">
        <is>
          <t>ZMB</t>
        </is>
      </c>
      <c r="C3721" t="inlineStr">
        <is>
          <t>mit.typ.p4.2</t>
        </is>
      </c>
      <c r="D3721" t="n">
        <v>0</v>
      </c>
      <c r="E3721" t="n">
        <v>0.2821018847</v>
      </c>
      <c r="F3721" t="n">
        <v>1.091781236</v>
      </c>
      <c r="G3721" t="n">
        <v>1.295551093</v>
      </c>
      <c r="H3721" t="n">
        <v>1.49986608</v>
      </c>
    </row>
    <row r="3722">
      <c r="A3722" t="inlineStr">
        <is>
          <t>ZWE|mit.typ.p4.2</t>
        </is>
      </c>
      <c r="B3722" t="inlineStr">
        <is>
          <t>ZWE</t>
        </is>
      </c>
      <c r="C3722" t="inlineStr">
        <is>
          <t>mit.typ.p4.2</t>
        </is>
      </c>
      <c r="D3722" t="n">
        <v>0</v>
      </c>
      <c r="E3722" t="n">
        <v>0.3585222262</v>
      </c>
      <c r="F3722" t="n">
        <v>1.249803749</v>
      </c>
      <c r="G3722" t="n">
        <v>1.460868422</v>
      </c>
      <c r="H3722" t="n">
        <v>1.718875377</v>
      </c>
    </row>
    <row r="3723">
      <c r="A3723" t="inlineStr">
        <is>
          <t>ABW|mit.typ.p5.2</t>
        </is>
      </c>
      <c r="B3723" t="inlineStr">
        <is>
          <t>ABW</t>
        </is>
      </c>
      <c r="C3723" t="inlineStr">
        <is>
          <t>mit.typ.p5.2</t>
        </is>
      </c>
      <c r="D3723" t="n">
        <v>0</v>
      </c>
      <c r="E3723" t="n">
        <v>0.03964561012</v>
      </c>
      <c r="F3723" t="n">
        <v>0.04495174091</v>
      </c>
      <c r="G3723" t="n">
        <v>0.04878141382</v>
      </c>
      <c r="H3723" t="n">
        <v>0.05391503307</v>
      </c>
    </row>
    <row r="3724">
      <c r="A3724" t="inlineStr">
        <is>
          <t>AFG|mit.typ.p5.2</t>
        </is>
      </c>
      <c r="B3724" t="inlineStr">
        <is>
          <t>AFG</t>
        </is>
      </c>
      <c r="C3724" t="inlineStr">
        <is>
          <t>mit.typ.p5.2</t>
        </is>
      </c>
      <c r="D3724" t="n">
        <v>0</v>
      </c>
      <c r="E3724" t="n">
        <v>0.0789773889</v>
      </c>
      <c r="F3724" t="n">
        <v>0.1337321322</v>
      </c>
      <c r="G3724" t="n">
        <v>0.1804845067</v>
      </c>
      <c r="H3724" t="n">
        <v>0.2409416471</v>
      </c>
    </row>
    <row r="3725">
      <c r="A3725" t="inlineStr">
        <is>
          <t>AGO|mit.typ.p5.2</t>
        </is>
      </c>
      <c r="B3725" t="inlineStr">
        <is>
          <t>AGO</t>
        </is>
      </c>
      <c r="C3725" t="inlineStr">
        <is>
          <t>mit.typ.p5.2</t>
        </is>
      </c>
      <c r="D3725" t="n">
        <v>0</v>
      </c>
      <c r="E3725" t="n">
        <v>0.3066808865</v>
      </c>
      <c r="F3725" t="n">
        <v>0.4550243783</v>
      </c>
      <c r="G3725" t="n">
        <v>0.6281417238</v>
      </c>
      <c r="H3725" t="n">
        <v>0.8525549622</v>
      </c>
    </row>
    <row r="3726">
      <c r="A3726" t="inlineStr">
        <is>
          <t>ALB|mit.typ.p5.2</t>
        </is>
      </c>
      <c r="B3726" t="inlineStr">
        <is>
          <t>ALB</t>
        </is>
      </c>
      <c r="C3726" t="inlineStr">
        <is>
          <t>mit.typ.p5.2</t>
        </is>
      </c>
      <c r="D3726" t="n">
        <v>0</v>
      </c>
      <c r="E3726" t="n">
        <v>0.1512119826</v>
      </c>
      <c r="F3726" t="n">
        <v>0.1994200512</v>
      </c>
      <c r="G3726" t="n">
        <v>0.2438380772</v>
      </c>
      <c r="H3726" t="n">
        <v>0.3035695347</v>
      </c>
    </row>
    <row r="3727">
      <c r="A3727" t="inlineStr">
        <is>
          <t>ARE|mit.typ.p5.2</t>
        </is>
      </c>
      <c r="B3727" t="inlineStr">
        <is>
          <t>ARE</t>
        </is>
      </c>
      <c r="C3727" t="inlineStr">
        <is>
          <t>mit.typ.p5.2</t>
        </is>
      </c>
      <c r="D3727" t="n">
        <v>0</v>
      </c>
      <c r="E3727" t="n">
        <v>5.236509374</v>
      </c>
      <c r="F3727" t="n">
        <v>6.374539708</v>
      </c>
      <c r="G3727" t="n">
        <v>6.980709001</v>
      </c>
      <c r="H3727" t="n">
        <v>7.50068651</v>
      </c>
    </row>
    <row r="3728">
      <c r="A3728" t="inlineStr">
        <is>
          <t>ARG|mit.typ.p5.2</t>
        </is>
      </c>
      <c r="B3728" t="inlineStr">
        <is>
          <t>ARG</t>
        </is>
      </c>
      <c r="C3728" t="inlineStr">
        <is>
          <t>mit.typ.p5.2</t>
        </is>
      </c>
      <c r="D3728" t="n">
        <v>0</v>
      </c>
      <c r="E3728" t="n">
        <v>3.549214457</v>
      </c>
      <c r="F3728" t="n">
        <v>4.419545548</v>
      </c>
      <c r="G3728" t="n">
        <v>4.894772147</v>
      </c>
      <c r="H3728" t="n">
        <v>5.093008744</v>
      </c>
    </row>
    <row r="3729">
      <c r="A3729" t="inlineStr">
        <is>
          <t>ARM|mit.typ.p5.2</t>
        </is>
      </c>
      <c r="B3729" t="inlineStr">
        <is>
          <t>ARM</t>
        </is>
      </c>
      <c r="C3729" t="inlineStr">
        <is>
          <t>mit.typ.p5.2</t>
        </is>
      </c>
      <c r="D3729" t="n">
        <v>0</v>
      </c>
      <c r="E3729" t="n">
        <v>0.2847786267</v>
      </c>
      <c r="F3729" t="n">
        <v>0.3415141599</v>
      </c>
      <c r="G3729" t="n">
        <v>0.4140391875</v>
      </c>
      <c r="H3729" t="n">
        <v>0.4807256552</v>
      </c>
    </row>
    <row r="3730">
      <c r="A3730" t="inlineStr">
        <is>
          <t>ATG|mit.typ.p5.2</t>
        </is>
      </c>
      <c r="B3730" t="inlineStr">
        <is>
          <t>ATG</t>
        </is>
      </c>
      <c r="C3730" t="inlineStr">
        <is>
          <t>mit.typ.p5.2</t>
        </is>
      </c>
      <c r="D3730" t="n">
        <v>0</v>
      </c>
      <c r="E3730" t="n">
        <v>0.02648181498</v>
      </c>
      <c r="F3730" t="n">
        <v>0.03237436947</v>
      </c>
      <c r="G3730" t="n">
        <v>0.03512468021</v>
      </c>
      <c r="H3730" t="n">
        <v>0.03842643395</v>
      </c>
    </row>
    <row r="3731">
      <c r="A3731" t="inlineStr">
        <is>
          <t>AUS|mit.typ.p5.2</t>
        </is>
      </c>
      <c r="B3731" t="inlineStr">
        <is>
          <t>AUS</t>
        </is>
      </c>
      <c r="C3731" t="inlineStr">
        <is>
          <t>mit.typ.p5.2</t>
        </is>
      </c>
      <c r="D3731" t="n">
        <v>0</v>
      </c>
      <c r="E3731" t="n">
        <v>28.47596679</v>
      </c>
      <c r="F3731" t="n">
        <v>32.53234465</v>
      </c>
      <c r="G3731" t="n">
        <v>30.34801633</v>
      </c>
      <c r="H3731" t="n">
        <v>31.34015945</v>
      </c>
    </row>
    <row r="3732">
      <c r="A3732" t="inlineStr">
        <is>
          <t>AUT|mit.typ.p5.2</t>
        </is>
      </c>
      <c r="B3732" t="inlineStr">
        <is>
          <t>AUT</t>
        </is>
      </c>
      <c r="C3732" t="inlineStr">
        <is>
          <t>mit.typ.p5.2</t>
        </is>
      </c>
      <c r="D3732" t="n">
        <v>0</v>
      </c>
      <c r="E3732" t="n">
        <v>5.896490423</v>
      </c>
      <c r="F3732" t="n">
        <v>6.17258491</v>
      </c>
      <c r="G3732" t="n">
        <v>5.814894108</v>
      </c>
      <c r="H3732" t="n">
        <v>5.683369596</v>
      </c>
    </row>
    <row r="3733">
      <c r="A3733" t="inlineStr">
        <is>
          <t>AZE|mit.typ.p5.2</t>
        </is>
      </c>
      <c r="B3733" t="inlineStr">
        <is>
          <t>AZE</t>
        </is>
      </c>
      <c r="C3733" t="inlineStr">
        <is>
          <t>mit.typ.p5.2</t>
        </is>
      </c>
      <c r="D3733" t="n">
        <v>0</v>
      </c>
      <c r="E3733" t="n">
        <v>0.5795043106</v>
      </c>
      <c r="F3733" t="n">
        <v>0.7540127453</v>
      </c>
      <c r="G3733" t="n">
        <v>0.9215203575000001</v>
      </c>
      <c r="H3733" t="n">
        <v>1.04163232</v>
      </c>
    </row>
    <row r="3734">
      <c r="A3734" t="inlineStr">
        <is>
          <t>BDI|mit.typ.p5.2</t>
        </is>
      </c>
      <c r="B3734" t="inlineStr">
        <is>
          <t>BDI</t>
        </is>
      </c>
      <c r="C3734" t="inlineStr">
        <is>
          <t>mit.typ.p5.2</t>
        </is>
      </c>
      <c r="D3734" t="n">
        <v>0</v>
      </c>
      <c r="E3734" t="n">
        <v>0.01255955053</v>
      </c>
      <c r="F3734" t="n">
        <v>0.0304827392</v>
      </c>
      <c r="G3734" t="n">
        <v>0.04182789453</v>
      </c>
      <c r="H3734" t="n">
        <v>0.0564378791</v>
      </c>
    </row>
    <row r="3735">
      <c r="A3735" t="inlineStr">
        <is>
          <t>BEL|mit.typ.p5.2</t>
        </is>
      </c>
      <c r="B3735" t="inlineStr">
        <is>
          <t>BEL</t>
        </is>
      </c>
      <c r="C3735" t="inlineStr">
        <is>
          <t>mit.typ.p5.2</t>
        </is>
      </c>
      <c r="D3735" t="n">
        <v>0</v>
      </c>
      <c r="E3735" t="n">
        <v>8.664547915</v>
      </c>
      <c r="F3735" t="n">
        <v>8.922167760000001</v>
      </c>
      <c r="G3735" t="n">
        <v>8.609984333</v>
      </c>
      <c r="H3735" t="n">
        <v>7.49944552</v>
      </c>
    </row>
    <row r="3736">
      <c r="A3736" t="inlineStr">
        <is>
          <t>BEN|mit.typ.p5.2</t>
        </is>
      </c>
      <c r="B3736" t="inlineStr">
        <is>
          <t>BEN</t>
        </is>
      </c>
      <c r="C3736" t="inlineStr">
        <is>
          <t>mit.typ.p5.2</t>
        </is>
      </c>
      <c r="D3736" t="n">
        <v>0</v>
      </c>
      <c r="E3736" t="n">
        <v>0.07240286738</v>
      </c>
      <c r="F3736" t="n">
        <v>0.136307667</v>
      </c>
      <c r="G3736" t="n">
        <v>0.1670031072</v>
      </c>
      <c r="H3736" t="n">
        <v>0.2214560724</v>
      </c>
    </row>
    <row r="3737">
      <c r="A3737" t="inlineStr">
        <is>
          <t>BFA|mit.typ.p5.2</t>
        </is>
      </c>
      <c r="B3737" t="inlineStr">
        <is>
          <t>BFA</t>
        </is>
      </c>
      <c r="C3737" t="inlineStr">
        <is>
          <t>mit.typ.p5.2</t>
        </is>
      </c>
      <c r="D3737" t="n">
        <v>0</v>
      </c>
      <c r="E3737" t="n">
        <v>0.09812978157</v>
      </c>
      <c r="F3737" t="n">
        <v>0.2061899166</v>
      </c>
      <c r="G3737" t="n">
        <v>0.2940860731</v>
      </c>
      <c r="H3737" t="n">
        <v>0.4027658292</v>
      </c>
    </row>
    <row r="3738">
      <c r="A3738" t="inlineStr">
        <is>
          <t>BGD|mit.typ.p5.2</t>
        </is>
      </c>
      <c r="B3738" t="inlineStr">
        <is>
          <t>BGD</t>
        </is>
      </c>
      <c r="C3738" t="inlineStr">
        <is>
          <t>mit.typ.p5.2</t>
        </is>
      </c>
      <c r="D3738" t="n">
        <v>0</v>
      </c>
      <c r="E3738" t="n">
        <v>1.363353005</v>
      </c>
      <c r="F3738" t="n">
        <v>2.150221306</v>
      </c>
      <c r="G3738" t="n">
        <v>3.162149564</v>
      </c>
      <c r="H3738" t="n">
        <v>4.114669374</v>
      </c>
    </row>
    <row r="3739">
      <c r="A3739" t="inlineStr">
        <is>
          <t>BGR|mit.typ.p5.2</t>
        </is>
      </c>
      <c r="B3739" t="inlineStr">
        <is>
          <t>BGR</t>
        </is>
      </c>
      <c r="C3739" t="inlineStr">
        <is>
          <t>mit.typ.p5.2</t>
        </is>
      </c>
      <c r="D3739" t="n">
        <v>0</v>
      </c>
      <c r="E3739" t="n">
        <v>0.96935224</v>
      </c>
      <c r="F3739" t="n">
        <v>1.243113232</v>
      </c>
      <c r="G3739" t="n">
        <v>1.472402596</v>
      </c>
      <c r="H3739" t="n">
        <v>1.80234805</v>
      </c>
    </row>
    <row r="3740">
      <c r="A3740" t="inlineStr">
        <is>
          <t>BHR|mit.typ.p5.2</t>
        </is>
      </c>
      <c r="B3740" t="inlineStr">
        <is>
          <t>BHR</t>
        </is>
      </c>
      <c r="C3740" t="inlineStr">
        <is>
          <t>mit.typ.p5.2</t>
        </is>
      </c>
      <c r="D3740" t="n">
        <v>0</v>
      </c>
      <c r="E3740" t="n">
        <v>0.2959484893</v>
      </c>
      <c r="F3740" t="n">
        <v>0.3712008805</v>
      </c>
      <c r="G3740" t="n">
        <v>0.4410504422</v>
      </c>
      <c r="H3740" t="n">
        <v>0.4837653836</v>
      </c>
    </row>
    <row r="3741">
      <c r="A3741" t="inlineStr">
        <is>
          <t>BHS|mit.typ.p5.2</t>
        </is>
      </c>
      <c r="B3741" t="inlineStr">
        <is>
          <t>BHS</t>
        </is>
      </c>
      <c r="C3741" t="inlineStr">
        <is>
          <t>mit.typ.p5.2</t>
        </is>
      </c>
      <c r="D3741" t="n">
        <v>0</v>
      </c>
      <c r="E3741" t="n">
        <v>0.1028592986</v>
      </c>
      <c r="F3741" t="n">
        <v>0.1220537565</v>
      </c>
      <c r="G3741" t="n">
        <v>0.1292252388</v>
      </c>
      <c r="H3741" t="n">
        <v>0.1387326561</v>
      </c>
    </row>
    <row r="3742">
      <c r="A3742" t="inlineStr">
        <is>
          <t>BIH|mit.typ.p5.2</t>
        </is>
      </c>
      <c r="B3742" t="inlineStr">
        <is>
          <t>BIH</t>
        </is>
      </c>
      <c r="C3742" t="inlineStr">
        <is>
          <t>mit.typ.p5.2</t>
        </is>
      </c>
      <c r="D3742" t="n">
        <v>0</v>
      </c>
      <c r="E3742" t="n">
        <v>0.2404652854</v>
      </c>
      <c r="F3742" t="n">
        <v>0.3256106575</v>
      </c>
      <c r="G3742" t="n">
        <v>0.4237136635</v>
      </c>
      <c r="H3742" t="n">
        <v>0.4559861404</v>
      </c>
    </row>
    <row r="3743">
      <c r="A3743" t="inlineStr">
        <is>
          <t>BLR|mit.typ.p5.2</t>
        </is>
      </c>
      <c r="B3743" t="inlineStr">
        <is>
          <t>BLR</t>
        </is>
      </c>
      <c r="C3743" t="inlineStr">
        <is>
          <t>mit.typ.p5.2</t>
        </is>
      </c>
      <c r="D3743" t="n">
        <v>0</v>
      </c>
      <c r="E3743" t="n">
        <v>0.5390611239</v>
      </c>
      <c r="F3743" t="n">
        <v>0.6772681526</v>
      </c>
      <c r="G3743" t="n">
        <v>0.8536778346</v>
      </c>
      <c r="H3743" t="n">
        <v>1.061585733</v>
      </c>
    </row>
    <row r="3744">
      <c r="A3744" t="inlineStr">
        <is>
          <t>BLZ|mit.typ.p5.2</t>
        </is>
      </c>
      <c r="B3744" t="inlineStr">
        <is>
          <t>BLZ</t>
        </is>
      </c>
      <c r="C3744" t="inlineStr">
        <is>
          <t>mit.typ.p5.2</t>
        </is>
      </c>
      <c r="D3744" t="n">
        <v>0</v>
      </c>
      <c r="E3744" t="n">
        <v>0.02176981154</v>
      </c>
      <c r="F3744" t="n">
        <v>0.0293899824</v>
      </c>
      <c r="G3744" t="n">
        <v>0.03403732186</v>
      </c>
      <c r="H3744" t="n">
        <v>0.04207754707</v>
      </c>
    </row>
    <row r="3745">
      <c r="A3745" t="inlineStr">
        <is>
          <t>BOL|mit.typ.p5.2</t>
        </is>
      </c>
      <c r="B3745" t="inlineStr">
        <is>
          <t>BOL</t>
        </is>
      </c>
      <c r="C3745" t="inlineStr">
        <is>
          <t>mit.typ.p5.2</t>
        </is>
      </c>
      <c r="D3745" t="n">
        <v>0</v>
      </c>
      <c r="E3745" t="n">
        <v>0.2997341249</v>
      </c>
      <c r="F3745" t="n">
        <v>0.3651964119</v>
      </c>
      <c r="G3745" t="n">
        <v>0.5466292705</v>
      </c>
      <c r="H3745" t="n">
        <v>0.702711703</v>
      </c>
    </row>
    <row r="3746">
      <c r="A3746" t="inlineStr">
        <is>
          <t>BRA|mit.typ.p5.2</t>
        </is>
      </c>
      <c r="B3746" t="inlineStr">
        <is>
          <t>BRA</t>
        </is>
      </c>
      <c r="C3746" t="inlineStr">
        <is>
          <t>mit.typ.p5.2</t>
        </is>
      </c>
      <c r="D3746" t="n">
        <v>0</v>
      </c>
      <c r="E3746" t="n">
        <v>14.39517891</v>
      </c>
      <c r="F3746" t="n">
        <v>19.969194</v>
      </c>
      <c r="G3746" t="n">
        <v>25.56283148</v>
      </c>
      <c r="H3746" t="n">
        <v>31.50326713</v>
      </c>
    </row>
    <row r="3747">
      <c r="A3747" t="inlineStr">
        <is>
          <t>BRB|mit.typ.p5.2</t>
        </is>
      </c>
      <c r="B3747" t="inlineStr">
        <is>
          <t>BRB</t>
        </is>
      </c>
      <c r="C3747" t="inlineStr">
        <is>
          <t>mit.typ.p5.2</t>
        </is>
      </c>
      <c r="D3747" t="n">
        <v>0</v>
      </c>
      <c r="E3747" t="n">
        <v>0.04238172384</v>
      </c>
      <c r="F3747" t="n">
        <v>0.05139712642</v>
      </c>
      <c r="G3747" t="n">
        <v>0.05465115521</v>
      </c>
      <c r="H3747" t="n">
        <v>0.0598807486</v>
      </c>
    </row>
    <row r="3748">
      <c r="A3748" t="inlineStr">
        <is>
          <t>BRN|mit.typ.p5.2</t>
        </is>
      </c>
      <c r="B3748" t="inlineStr">
        <is>
          <t>BRN</t>
        </is>
      </c>
      <c r="C3748" t="inlineStr">
        <is>
          <t>mit.typ.p5.2</t>
        </is>
      </c>
      <c r="D3748" t="n">
        <v>0</v>
      </c>
      <c r="E3748" t="n">
        <v>0.1000685363</v>
      </c>
      <c r="F3748" t="n">
        <v>0.1345493274</v>
      </c>
      <c r="G3748" t="n">
        <v>0.1521587441</v>
      </c>
      <c r="H3748" t="n">
        <v>0.170080012</v>
      </c>
    </row>
    <row r="3749">
      <c r="A3749" t="inlineStr">
        <is>
          <t>BTN|mit.typ.p5.2</t>
        </is>
      </c>
      <c r="B3749" t="inlineStr">
        <is>
          <t>BTN</t>
        </is>
      </c>
      <c r="C3749" t="inlineStr">
        <is>
          <t>mit.typ.p5.2</t>
        </is>
      </c>
      <c r="D3749" t="n">
        <v>0</v>
      </c>
      <c r="E3749" t="n">
        <v>0.01977959395</v>
      </c>
      <c r="F3749" t="n">
        <v>0.0319127324</v>
      </c>
      <c r="G3749" t="n">
        <v>0.04588051186</v>
      </c>
      <c r="H3749" t="n">
        <v>0.06735374806</v>
      </c>
    </row>
    <row r="3750">
      <c r="A3750" t="inlineStr">
        <is>
          <t>BWA|mit.typ.p5.2</t>
        </is>
      </c>
      <c r="B3750" t="inlineStr">
        <is>
          <t>BWA</t>
        </is>
      </c>
      <c r="C3750" t="inlineStr">
        <is>
          <t>mit.typ.p5.2</t>
        </is>
      </c>
      <c r="D3750" t="n">
        <v>0</v>
      </c>
      <c r="E3750" t="n">
        <v>0.0756825651</v>
      </c>
      <c r="F3750" t="n">
        <v>0.1361413127</v>
      </c>
      <c r="G3750" t="n">
        <v>0.1578418586</v>
      </c>
      <c r="H3750" t="n">
        <v>0.189019462</v>
      </c>
    </row>
    <row r="3751">
      <c r="A3751" t="inlineStr">
        <is>
          <t>CAF|mit.typ.p5.2</t>
        </is>
      </c>
      <c r="B3751" t="inlineStr">
        <is>
          <t>CAF</t>
        </is>
      </c>
      <c r="C3751" t="inlineStr">
        <is>
          <t>mit.typ.p5.2</t>
        </is>
      </c>
      <c r="D3751" t="n">
        <v>0</v>
      </c>
      <c r="E3751" t="n">
        <v>0.0111013433</v>
      </c>
      <c r="F3751" t="n">
        <v>0.04043693122</v>
      </c>
      <c r="G3751" t="n">
        <v>0.05906314274</v>
      </c>
      <c r="H3751" t="n">
        <v>0.0793686388</v>
      </c>
    </row>
    <row r="3752">
      <c r="A3752" t="inlineStr">
        <is>
          <t>CAN|mit.typ.p5.2</t>
        </is>
      </c>
      <c r="B3752" t="inlineStr">
        <is>
          <t>CAN</t>
        </is>
      </c>
      <c r="C3752" t="inlineStr">
        <is>
          <t>mit.typ.p5.2</t>
        </is>
      </c>
      <c r="D3752" t="n">
        <v>0</v>
      </c>
      <c r="E3752" t="n">
        <v>39.55131659</v>
      </c>
      <c r="F3752" t="n">
        <v>41.11134752</v>
      </c>
      <c r="G3752" t="n">
        <v>39.03450426</v>
      </c>
      <c r="H3752" t="n">
        <v>35.06899078</v>
      </c>
    </row>
    <row r="3753">
      <c r="A3753" t="inlineStr">
        <is>
          <t>CHE|mit.typ.p5.2</t>
        </is>
      </c>
      <c r="B3753" t="inlineStr">
        <is>
          <t>CHE</t>
        </is>
      </c>
      <c r="C3753" t="inlineStr">
        <is>
          <t>mit.typ.p5.2</t>
        </is>
      </c>
      <c r="D3753" t="n">
        <v>0</v>
      </c>
      <c r="E3753" t="n">
        <v>7.345013627</v>
      </c>
      <c r="F3753" t="n">
        <v>7.848404312</v>
      </c>
      <c r="G3753" t="n">
        <v>8.179677409</v>
      </c>
      <c r="H3753" t="n">
        <v>8.437004869000001</v>
      </c>
    </row>
    <row r="3754">
      <c r="A3754" t="inlineStr">
        <is>
          <t>CHL|mit.typ.p5.2</t>
        </is>
      </c>
      <c r="B3754" t="inlineStr">
        <is>
          <t>CHL</t>
        </is>
      </c>
      <c r="C3754" t="inlineStr">
        <is>
          <t>mit.typ.p5.2</t>
        </is>
      </c>
      <c r="D3754" t="n">
        <v>0</v>
      </c>
      <c r="E3754" t="n">
        <v>3.014324894</v>
      </c>
      <c r="F3754" t="n">
        <v>3.806843308</v>
      </c>
      <c r="G3754" t="n">
        <v>4.21481379</v>
      </c>
      <c r="H3754" t="n">
        <v>4.316380435</v>
      </c>
    </row>
    <row r="3755">
      <c r="A3755" t="inlineStr">
        <is>
          <t>CHN|mit.typ.p5.2</t>
        </is>
      </c>
      <c r="B3755" t="inlineStr">
        <is>
          <t>CHN</t>
        </is>
      </c>
      <c r="C3755" t="inlineStr">
        <is>
          <t>mit.typ.p5.2</t>
        </is>
      </c>
      <c r="D3755" t="n">
        <v>0</v>
      </c>
      <c r="E3755" t="n">
        <v>312.6034697</v>
      </c>
      <c r="F3755" t="n">
        <v>324.521223</v>
      </c>
      <c r="G3755" t="n">
        <v>379.1525385</v>
      </c>
      <c r="H3755" t="n">
        <v>436.9502556</v>
      </c>
    </row>
    <row r="3756">
      <c r="A3756" t="inlineStr">
        <is>
          <t>CIV|mit.typ.p5.2</t>
        </is>
      </c>
      <c r="B3756" t="inlineStr">
        <is>
          <t>CIV</t>
        </is>
      </c>
      <c r="C3756" t="inlineStr">
        <is>
          <t>mit.typ.p5.2</t>
        </is>
      </c>
      <c r="D3756" t="n">
        <v>0</v>
      </c>
      <c r="E3756" t="n">
        <v>0.2633212069</v>
      </c>
      <c r="F3756" t="n">
        <v>0.4317495814</v>
      </c>
      <c r="G3756" t="n">
        <v>0.5716999357</v>
      </c>
      <c r="H3756" t="n">
        <v>0.7683181501</v>
      </c>
    </row>
    <row r="3757">
      <c r="A3757" t="inlineStr">
        <is>
          <t>CMR|mit.typ.p5.2</t>
        </is>
      </c>
      <c r="B3757" t="inlineStr">
        <is>
          <t>CMR</t>
        </is>
      </c>
      <c r="C3757" t="inlineStr">
        <is>
          <t>mit.typ.p5.2</t>
        </is>
      </c>
      <c r="D3757" t="n">
        <v>0</v>
      </c>
      <c r="E3757" t="n">
        <v>0.1208748595</v>
      </c>
      <c r="F3757" t="n">
        <v>0.2512254825</v>
      </c>
      <c r="G3757" t="n">
        <v>0.3413028658</v>
      </c>
      <c r="H3757" t="n">
        <v>0.4573598013</v>
      </c>
    </row>
    <row r="3758">
      <c r="A3758" t="inlineStr">
        <is>
          <t>COD|mit.typ.p5.2</t>
        </is>
      </c>
      <c r="B3758" t="inlineStr">
        <is>
          <t>COD</t>
        </is>
      </c>
      <c r="C3758" t="inlineStr">
        <is>
          <t>mit.typ.p5.2</t>
        </is>
      </c>
      <c r="D3758" t="n">
        <v>0</v>
      </c>
      <c r="E3758" t="n">
        <v>0.1274259154</v>
      </c>
      <c r="F3758" t="n">
        <v>0.3008287561</v>
      </c>
      <c r="G3758" t="n">
        <v>0.4235250225</v>
      </c>
      <c r="H3758" t="n">
        <v>0.5795150207999999</v>
      </c>
    </row>
    <row r="3759">
      <c r="A3759" t="inlineStr">
        <is>
          <t>COG|mit.typ.p5.2</t>
        </is>
      </c>
      <c r="B3759" t="inlineStr">
        <is>
          <t>COG</t>
        </is>
      </c>
      <c r="C3759" t="inlineStr">
        <is>
          <t>mit.typ.p5.2</t>
        </is>
      </c>
      <c r="D3759" t="n">
        <v>0</v>
      </c>
      <c r="E3759" t="n">
        <v>0.03382450025</v>
      </c>
      <c r="F3759" t="n">
        <v>0.08966412968</v>
      </c>
      <c r="G3759" t="n">
        <v>0.1247936863</v>
      </c>
      <c r="H3759" t="n">
        <v>0.1658468599</v>
      </c>
    </row>
    <row r="3760">
      <c r="A3760" t="inlineStr">
        <is>
          <t>COL|mit.typ.p5.2</t>
        </is>
      </c>
      <c r="B3760" t="inlineStr">
        <is>
          <t>COL</t>
        </is>
      </c>
      <c r="C3760" t="inlineStr">
        <is>
          <t>mit.typ.p5.2</t>
        </is>
      </c>
      <c r="D3760" t="n">
        <v>0</v>
      </c>
      <c r="E3760" t="n">
        <v>2.535266894</v>
      </c>
      <c r="F3760" t="n">
        <v>3.54201933</v>
      </c>
      <c r="G3760" t="n">
        <v>4.452677938</v>
      </c>
      <c r="H3760" t="n">
        <v>5.516141357</v>
      </c>
    </row>
    <row r="3761">
      <c r="A3761" t="inlineStr">
        <is>
          <t>COM|mit.typ.p5.2</t>
        </is>
      </c>
      <c r="B3761" t="inlineStr">
        <is>
          <t>COM</t>
        </is>
      </c>
      <c r="C3761" t="inlineStr">
        <is>
          <t>mit.typ.p5.2</t>
        </is>
      </c>
      <c r="D3761" t="n">
        <v>0</v>
      </c>
      <c r="E3761" t="n">
        <v>0.006900560081</v>
      </c>
      <c r="F3761" t="n">
        <v>0.0110556576</v>
      </c>
      <c r="G3761" t="n">
        <v>0.01492485861</v>
      </c>
      <c r="H3761" t="n">
        <v>0.0211428326</v>
      </c>
    </row>
    <row r="3762">
      <c r="A3762" t="inlineStr">
        <is>
          <t>CPV|mit.typ.p5.2</t>
        </is>
      </c>
      <c r="B3762" t="inlineStr">
        <is>
          <t>CPV</t>
        </is>
      </c>
      <c r="C3762" t="inlineStr">
        <is>
          <t>mit.typ.p5.2</t>
        </is>
      </c>
      <c r="D3762" t="n">
        <v>0</v>
      </c>
      <c r="E3762" t="n">
        <v>0.01465811918</v>
      </c>
      <c r="F3762" t="n">
        <v>0.02055821295</v>
      </c>
      <c r="G3762" t="n">
        <v>0.0283189382</v>
      </c>
      <c r="H3762" t="n">
        <v>0.03968938697</v>
      </c>
    </row>
    <row r="3763">
      <c r="A3763" t="inlineStr">
        <is>
          <t>CRI|mit.typ.p5.2</t>
        </is>
      </c>
      <c r="B3763" t="inlineStr">
        <is>
          <t>CRI</t>
        </is>
      </c>
      <c r="C3763" t="inlineStr">
        <is>
          <t>mit.typ.p5.2</t>
        </is>
      </c>
      <c r="D3763" t="n">
        <v>0</v>
      </c>
      <c r="E3763" t="n">
        <v>0.4414422765</v>
      </c>
      <c r="F3763" t="n">
        <v>0.5950323384</v>
      </c>
      <c r="G3763" t="n">
        <v>0.7136579547</v>
      </c>
      <c r="H3763" t="n">
        <v>0.8814180608</v>
      </c>
    </row>
    <row r="3764">
      <c r="A3764" t="inlineStr">
        <is>
          <t>CYP|mit.typ.p5.2</t>
        </is>
      </c>
      <c r="B3764" t="inlineStr">
        <is>
          <t>CYP</t>
        </is>
      </c>
      <c r="C3764" t="inlineStr">
        <is>
          <t>mit.typ.p5.2</t>
        </is>
      </c>
      <c r="D3764" t="n">
        <v>0</v>
      </c>
      <c r="E3764" t="n">
        <v>0.4021232053</v>
      </c>
      <c r="F3764" t="n">
        <v>0.4501709518</v>
      </c>
      <c r="G3764" t="n">
        <v>0.4417832006</v>
      </c>
      <c r="H3764" t="n">
        <v>0.482612648</v>
      </c>
    </row>
    <row r="3765">
      <c r="A3765" t="inlineStr">
        <is>
          <t>CZE|mit.typ.p5.2</t>
        </is>
      </c>
      <c r="B3765" t="inlineStr">
        <is>
          <t>CZE</t>
        </is>
      </c>
      <c r="C3765" t="inlineStr">
        <is>
          <t>mit.typ.p5.2</t>
        </is>
      </c>
      <c r="D3765" t="n">
        <v>0</v>
      </c>
      <c r="E3765" t="n">
        <v>5.733181652</v>
      </c>
      <c r="F3765" t="n">
        <v>6.454584358</v>
      </c>
      <c r="G3765" t="n">
        <v>5.89881121</v>
      </c>
      <c r="H3765" t="n">
        <v>5.140897339</v>
      </c>
    </row>
    <row r="3766">
      <c r="A3766" t="inlineStr">
        <is>
          <t>DEU|mit.typ.p5.2</t>
        </is>
      </c>
      <c r="B3766" t="inlineStr">
        <is>
          <t>DEU</t>
        </is>
      </c>
      <c r="C3766" t="inlineStr">
        <is>
          <t>mit.typ.p5.2</t>
        </is>
      </c>
      <c r="D3766" t="n">
        <v>0</v>
      </c>
      <c r="E3766" t="n">
        <v>59.48585438</v>
      </c>
      <c r="F3766" t="n">
        <v>62.87588395</v>
      </c>
      <c r="G3766" t="n">
        <v>59.13014398</v>
      </c>
      <c r="H3766" t="n">
        <v>52.69641012</v>
      </c>
    </row>
    <row r="3767">
      <c r="A3767" t="inlineStr">
        <is>
          <t>DJI|mit.typ.p5.2</t>
        </is>
      </c>
      <c r="B3767" t="inlineStr">
        <is>
          <t>DJI</t>
        </is>
      </c>
      <c r="C3767" t="inlineStr">
        <is>
          <t>mit.typ.p5.2</t>
        </is>
      </c>
      <c r="D3767" t="n">
        <v>0</v>
      </c>
      <c r="E3767" t="n">
        <v>0.01366102185</v>
      </c>
      <c r="F3767" t="n">
        <v>0.02270959417</v>
      </c>
      <c r="G3767" t="n">
        <v>0.03213308985</v>
      </c>
      <c r="H3767" t="n">
        <v>0.04394576697</v>
      </c>
    </row>
    <row r="3768">
      <c r="A3768" t="inlineStr">
        <is>
          <t>DMA|mit.typ.p5.2</t>
        </is>
      </c>
      <c r="B3768" t="inlineStr">
        <is>
          <t>DMA</t>
        </is>
      </c>
      <c r="C3768" t="inlineStr">
        <is>
          <t>mit.typ.p5.2</t>
        </is>
      </c>
      <c r="D3768" t="n">
        <v>0</v>
      </c>
      <c r="E3768" t="n">
        <v>0.004571288952</v>
      </c>
      <c r="F3768" t="n">
        <v>0.00592254414</v>
      </c>
      <c r="G3768" t="n">
        <v>0.007589101757</v>
      </c>
      <c r="H3768" t="n">
        <v>0.009905522979000001</v>
      </c>
    </row>
    <row r="3769">
      <c r="A3769" t="inlineStr">
        <is>
          <t>DNK|mit.typ.p5.2</t>
        </is>
      </c>
      <c r="B3769" t="inlineStr">
        <is>
          <t>DNK</t>
        </is>
      </c>
      <c r="C3769" t="inlineStr">
        <is>
          <t>mit.typ.p5.2</t>
        </is>
      </c>
      <c r="D3769" t="n">
        <v>0</v>
      </c>
      <c r="E3769" t="n">
        <v>4.162123869</v>
      </c>
      <c r="F3769" t="n">
        <v>4.271717656</v>
      </c>
      <c r="G3769" t="n">
        <v>4.31575637</v>
      </c>
      <c r="H3769" t="n">
        <v>4.378235972</v>
      </c>
    </row>
    <row r="3770">
      <c r="A3770" t="inlineStr">
        <is>
          <t>DOM|mit.typ.p5.2</t>
        </is>
      </c>
      <c r="B3770" t="inlineStr">
        <is>
          <t>DOM</t>
        </is>
      </c>
      <c r="C3770" t="inlineStr">
        <is>
          <t>mit.typ.p5.2</t>
        </is>
      </c>
      <c r="D3770" t="n">
        <v>0</v>
      </c>
      <c r="E3770" t="n">
        <v>0.8352710846</v>
      </c>
      <c r="F3770" t="n">
        <v>1.169526829</v>
      </c>
      <c r="G3770" t="n">
        <v>1.545229865</v>
      </c>
      <c r="H3770" t="n">
        <v>1.841989127</v>
      </c>
    </row>
    <row r="3771">
      <c r="A3771" t="inlineStr">
        <is>
          <t>DZA|mit.typ.p5.2</t>
        </is>
      </c>
      <c r="B3771" t="inlineStr">
        <is>
          <t>DZA</t>
        </is>
      </c>
      <c r="C3771" t="inlineStr">
        <is>
          <t>mit.typ.p5.2</t>
        </is>
      </c>
      <c r="D3771" t="n">
        <v>0</v>
      </c>
      <c r="E3771" t="n">
        <v>1.684661105</v>
      </c>
      <c r="F3771" t="n">
        <v>2.262772137</v>
      </c>
      <c r="G3771" t="n">
        <v>2.736017627</v>
      </c>
      <c r="H3771" t="n">
        <v>3.296975595</v>
      </c>
    </row>
    <row r="3772">
      <c r="A3772" t="inlineStr">
        <is>
          <t>ECU|mit.typ.p5.2</t>
        </is>
      </c>
      <c r="B3772" t="inlineStr">
        <is>
          <t>ECU</t>
        </is>
      </c>
      <c r="C3772" t="inlineStr">
        <is>
          <t>mit.typ.p5.2</t>
        </is>
      </c>
      <c r="D3772" t="n">
        <v>0</v>
      </c>
      <c r="E3772" t="n">
        <v>0.7077993488</v>
      </c>
      <c r="F3772" t="n">
        <v>0.9161702927000001</v>
      </c>
      <c r="G3772" t="n">
        <v>1.187297418</v>
      </c>
      <c r="H3772" t="n">
        <v>1.37193161</v>
      </c>
    </row>
    <row r="3773">
      <c r="A3773" t="inlineStr">
        <is>
          <t>EGY|mit.typ.p5.2</t>
        </is>
      </c>
      <c r="B3773" t="inlineStr">
        <is>
          <t>EGY</t>
        </is>
      </c>
      <c r="C3773" t="inlineStr">
        <is>
          <t>mit.typ.p5.2</t>
        </is>
      </c>
      <c r="D3773" t="n">
        <v>0</v>
      </c>
      <c r="E3773" t="n">
        <v>1.812256601</v>
      </c>
      <c r="F3773" t="n">
        <v>2.563440914</v>
      </c>
      <c r="G3773" t="n">
        <v>3.586989215</v>
      </c>
      <c r="H3773" t="n">
        <v>4.915045268</v>
      </c>
    </row>
    <row r="3774">
      <c r="A3774" t="inlineStr">
        <is>
          <t>ESP|mit.typ.p5.2</t>
        </is>
      </c>
      <c r="B3774" t="inlineStr">
        <is>
          <t>ESP</t>
        </is>
      </c>
      <c r="C3774" t="inlineStr">
        <is>
          <t>mit.typ.p5.2</t>
        </is>
      </c>
      <c r="D3774" t="n">
        <v>0</v>
      </c>
      <c r="E3774" t="n">
        <v>23.25112758</v>
      </c>
      <c r="F3774" t="n">
        <v>25.16270788</v>
      </c>
      <c r="G3774" t="n">
        <v>24.11689936</v>
      </c>
      <c r="H3774" t="n">
        <v>23.82106873</v>
      </c>
    </row>
    <row r="3775">
      <c r="A3775" t="inlineStr">
        <is>
          <t>EST|mit.typ.p5.2</t>
        </is>
      </c>
      <c r="B3775" t="inlineStr">
        <is>
          <t>EST</t>
        </is>
      </c>
      <c r="C3775" t="inlineStr">
        <is>
          <t>mit.typ.p5.2</t>
        </is>
      </c>
      <c r="D3775" t="n">
        <v>0</v>
      </c>
      <c r="E3775" t="n">
        <v>0.4448675819</v>
      </c>
      <c r="F3775" t="n">
        <v>0.4880565875</v>
      </c>
      <c r="G3775" t="n">
        <v>0.4464703348</v>
      </c>
      <c r="H3775" t="n">
        <v>0.4410441483</v>
      </c>
    </row>
    <row r="3776">
      <c r="A3776" t="inlineStr">
        <is>
          <t>ETH|mit.typ.p5.2</t>
        </is>
      </c>
      <c r="B3776" t="inlineStr">
        <is>
          <t>ETH</t>
        </is>
      </c>
      <c r="C3776" t="inlineStr">
        <is>
          <t>mit.typ.p5.2</t>
        </is>
      </c>
      <c r="D3776" t="n">
        <v>0</v>
      </c>
      <c r="E3776" t="n">
        <v>0.3761306642</v>
      </c>
      <c r="F3776" t="n">
        <v>0.9944113914</v>
      </c>
      <c r="G3776" t="n">
        <v>1.469245849</v>
      </c>
      <c r="H3776" t="n">
        <v>2.080619879</v>
      </c>
    </row>
    <row r="3777">
      <c r="A3777" t="inlineStr">
        <is>
          <t>FIN|mit.typ.p5.2</t>
        </is>
      </c>
      <c r="B3777" t="inlineStr">
        <is>
          <t>FIN</t>
        </is>
      </c>
      <c r="C3777" t="inlineStr">
        <is>
          <t>mit.typ.p5.2</t>
        </is>
      </c>
      <c r="D3777" t="n">
        <v>0</v>
      </c>
      <c r="E3777" t="n">
        <v>3.494415079</v>
      </c>
      <c r="F3777" t="n">
        <v>3.469102284</v>
      </c>
      <c r="G3777" t="n">
        <v>3.52585034</v>
      </c>
      <c r="H3777" t="n">
        <v>3.834764231</v>
      </c>
    </row>
    <row r="3778">
      <c r="A3778" t="inlineStr">
        <is>
          <t>FJI|mit.typ.p5.2</t>
        </is>
      </c>
      <c r="B3778" t="inlineStr">
        <is>
          <t>FJI</t>
        </is>
      </c>
      <c r="C3778" t="inlineStr">
        <is>
          <t>mit.typ.p5.2</t>
        </is>
      </c>
      <c r="D3778" t="n">
        <v>0</v>
      </c>
      <c r="E3778" t="n">
        <v>0.03093242826</v>
      </c>
      <c r="F3778" t="n">
        <v>0.0422339866</v>
      </c>
      <c r="G3778" t="n">
        <v>0.05182560932</v>
      </c>
      <c r="H3778" t="n">
        <v>0.06648955698</v>
      </c>
    </row>
    <row r="3779">
      <c r="A3779" t="inlineStr">
        <is>
          <t>FRA|mit.typ.p5.2</t>
        </is>
      </c>
      <c r="B3779" t="inlineStr">
        <is>
          <t>FRA</t>
        </is>
      </c>
      <c r="C3779" t="inlineStr">
        <is>
          <t>mit.typ.p5.2</t>
        </is>
      </c>
      <c r="D3779" t="n">
        <v>0</v>
      </c>
      <c r="E3779" t="n">
        <v>35.73690246</v>
      </c>
      <c r="F3779" t="n">
        <v>35.07094542</v>
      </c>
      <c r="G3779" t="n">
        <v>34.72115007</v>
      </c>
      <c r="H3779" t="n">
        <v>32.06421624</v>
      </c>
    </row>
    <row r="3780">
      <c r="A3780" t="inlineStr">
        <is>
          <t>GAB|mit.typ.p5.2</t>
        </is>
      </c>
      <c r="B3780" t="inlineStr">
        <is>
          <t>GAB</t>
        </is>
      </c>
      <c r="C3780" t="inlineStr">
        <is>
          <t>mit.typ.p5.2</t>
        </is>
      </c>
      <c r="D3780" t="n">
        <v>0</v>
      </c>
      <c r="E3780" t="n">
        <v>0.06836832571</v>
      </c>
      <c r="F3780" t="n">
        <v>0.126018712</v>
      </c>
      <c r="G3780" t="n">
        <v>0.1785060995</v>
      </c>
      <c r="H3780" t="n">
        <v>0.2365756059</v>
      </c>
    </row>
    <row r="3781">
      <c r="A3781" t="inlineStr">
        <is>
          <t>GBR|mit.typ.p5.2</t>
        </is>
      </c>
      <c r="B3781" t="inlineStr">
        <is>
          <t>GBR</t>
        </is>
      </c>
      <c r="C3781" t="inlineStr">
        <is>
          <t>mit.typ.p5.2</t>
        </is>
      </c>
      <c r="D3781" t="n">
        <v>0</v>
      </c>
      <c r="E3781" t="n">
        <v>41.83411186</v>
      </c>
      <c r="F3781" t="n">
        <v>43.65245576</v>
      </c>
      <c r="G3781" t="n">
        <v>41.56270455</v>
      </c>
      <c r="H3781" t="n">
        <v>35.51735362</v>
      </c>
    </row>
    <row r="3782">
      <c r="A3782" t="inlineStr">
        <is>
          <t>GEO|mit.typ.p5.2</t>
        </is>
      </c>
      <c r="B3782" t="inlineStr">
        <is>
          <t>GEO</t>
        </is>
      </c>
      <c r="C3782" t="inlineStr">
        <is>
          <t>mit.typ.p5.2</t>
        </is>
      </c>
      <c r="D3782" t="n">
        <v>0</v>
      </c>
      <c r="E3782" t="n">
        <v>0.2878590506</v>
      </c>
      <c r="F3782" t="n">
        <v>0.338590801</v>
      </c>
      <c r="G3782" t="n">
        <v>0.4372693821</v>
      </c>
      <c r="H3782" t="n">
        <v>0.5201058750000001</v>
      </c>
    </row>
    <row r="3783">
      <c r="A3783" t="inlineStr">
        <is>
          <t>GHA|mit.typ.p5.2</t>
        </is>
      </c>
      <c r="B3783" t="inlineStr">
        <is>
          <t>GHA</t>
        </is>
      </c>
      <c r="C3783" t="inlineStr">
        <is>
          <t>mit.typ.p5.2</t>
        </is>
      </c>
      <c r="D3783" t="n">
        <v>0</v>
      </c>
      <c r="E3783" t="n">
        <v>0.24079375</v>
      </c>
      <c r="F3783" t="n">
        <v>0.4199816684</v>
      </c>
      <c r="G3783" t="n">
        <v>0.5552270002</v>
      </c>
      <c r="H3783" t="n">
        <v>0.72325764</v>
      </c>
    </row>
    <row r="3784">
      <c r="A3784" t="inlineStr">
        <is>
          <t>GIN|mit.typ.p5.2</t>
        </is>
      </c>
      <c r="B3784" t="inlineStr">
        <is>
          <t>GIN</t>
        </is>
      </c>
      <c r="C3784" t="inlineStr">
        <is>
          <t>mit.typ.p5.2</t>
        </is>
      </c>
      <c r="D3784" t="n">
        <v>0</v>
      </c>
      <c r="E3784" t="n">
        <v>0.0829721343</v>
      </c>
      <c r="F3784" t="n">
        <v>0.1867903477</v>
      </c>
      <c r="G3784" t="n">
        <v>0.267303494</v>
      </c>
      <c r="H3784" t="n">
        <v>0.3786699851</v>
      </c>
    </row>
    <row r="3785">
      <c r="A3785" t="inlineStr">
        <is>
          <t>GMB|mit.typ.p5.2</t>
        </is>
      </c>
      <c r="B3785" t="inlineStr">
        <is>
          <t>GMB</t>
        </is>
      </c>
      <c r="C3785" t="inlineStr">
        <is>
          <t>mit.typ.p5.2</t>
        </is>
      </c>
      <c r="D3785" t="n">
        <v>0</v>
      </c>
      <c r="E3785" t="n">
        <v>0.01215683871</v>
      </c>
      <c r="F3785" t="n">
        <v>0.02018257726</v>
      </c>
      <c r="G3785" t="n">
        <v>0.03239828385</v>
      </c>
      <c r="H3785" t="n">
        <v>0.04847055135</v>
      </c>
    </row>
    <row r="3786">
      <c r="A3786" t="inlineStr">
        <is>
          <t>GNB|mit.typ.p5.2</t>
        </is>
      </c>
      <c r="B3786" t="inlineStr">
        <is>
          <t>GNB</t>
        </is>
      </c>
      <c r="C3786" t="inlineStr">
        <is>
          <t>mit.typ.p5.2</t>
        </is>
      </c>
      <c r="D3786" t="n">
        <v>0</v>
      </c>
      <c r="E3786" t="n">
        <v>0.006526791032</v>
      </c>
      <c r="F3786" t="n">
        <v>0.01391187846</v>
      </c>
      <c r="G3786" t="n">
        <v>0.02151236609</v>
      </c>
      <c r="H3786" t="n">
        <v>0.03097875216</v>
      </c>
    </row>
    <row r="3787">
      <c r="A3787" t="inlineStr">
        <is>
          <t>GNQ|mit.typ.p5.2</t>
        </is>
      </c>
      <c r="B3787" t="inlineStr">
        <is>
          <t>GNQ</t>
        </is>
      </c>
      <c r="C3787" t="inlineStr">
        <is>
          <t>mit.typ.p5.2</t>
        </is>
      </c>
      <c r="D3787" t="n">
        <v>0</v>
      </c>
      <c r="E3787" t="n">
        <v>0.06634701850999999</v>
      </c>
      <c r="F3787" t="n">
        <v>0.08282389682999999</v>
      </c>
      <c r="G3787" t="n">
        <v>0.1149876464</v>
      </c>
      <c r="H3787" t="n">
        <v>0.1542449333</v>
      </c>
    </row>
    <row r="3788">
      <c r="A3788" t="inlineStr">
        <is>
          <t>GRC|mit.typ.p5.2</t>
        </is>
      </c>
      <c r="B3788" t="inlineStr">
        <is>
          <t>GRC</t>
        </is>
      </c>
      <c r="C3788" t="inlineStr">
        <is>
          <t>mit.typ.p5.2</t>
        </is>
      </c>
      <c r="D3788" t="n">
        <v>0</v>
      </c>
      <c r="E3788" t="n">
        <v>3.933522299</v>
      </c>
      <c r="F3788" t="n">
        <v>4.393795679</v>
      </c>
      <c r="G3788" t="n">
        <v>3.988231493</v>
      </c>
      <c r="H3788" t="n">
        <v>4.014592164</v>
      </c>
    </row>
    <row r="3789">
      <c r="A3789" t="inlineStr">
        <is>
          <t>GRD|mit.typ.p5.2</t>
        </is>
      </c>
      <c r="B3789" t="inlineStr">
        <is>
          <t>GRD</t>
        </is>
      </c>
      <c r="C3789" t="inlineStr">
        <is>
          <t>mit.typ.p5.2</t>
        </is>
      </c>
      <c r="D3789" t="n">
        <v>0</v>
      </c>
      <c r="E3789" t="n">
        <v>0.009123111461</v>
      </c>
      <c r="F3789" t="n">
        <v>0.01164259327</v>
      </c>
      <c r="G3789" t="n">
        <v>0.01469094869</v>
      </c>
      <c r="H3789" t="n">
        <v>0.01909793023</v>
      </c>
    </row>
    <row r="3790">
      <c r="A3790" t="inlineStr">
        <is>
          <t>GTM|mit.typ.p5.2</t>
        </is>
      </c>
      <c r="B3790" t="inlineStr">
        <is>
          <t>GTM</t>
        </is>
      </c>
      <c r="C3790" t="inlineStr">
        <is>
          <t>mit.typ.p5.2</t>
        </is>
      </c>
      <c r="D3790" t="n">
        <v>0</v>
      </c>
      <c r="E3790" t="n">
        <v>0.5825728219</v>
      </c>
      <c r="F3790" t="n">
        <v>0.8760883356</v>
      </c>
      <c r="G3790" t="n">
        <v>1.050301632</v>
      </c>
      <c r="H3790" t="n">
        <v>1.296441722</v>
      </c>
    </row>
    <row r="3791">
      <c r="A3791" t="inlineStr">
        <is>
          <t>GUY|mit.typ.p5.2</t>
        </is>
      </c>
      <c r="B3791" t="inlineStr">
        <is>
          <t>GUY</t>
        </is>
      </c>
      <c r="C3791" t="inlineStr">
        <is>
          <t>mit.typ.p5.2</t>
        </is>
      </c>
      <c r="D3791" t="n">
        <v>0</v>
      </c>
      <c r="E3791" t="n">
        <v>0.1150629725</v>
      </c>
      <c r="F3791" t="n">
        <v>0.2520670467</v>
      </c>
      <c r="G3791" t="n">
        <v>0.3644440675</v>
      </c>
      <c r="H3791" t="n">
        <v>0.47755659</v>
      </c>
    </row>
    <row r="3792">
      <c r="A3792" t="inlineStr">
        <is>
          <t>HKG|mit.typ.p5.2</t>
        </is>
      </c>
      <c r="B3792" t="inlineStr">
        <is>
          <t>HKG</t>
        </is>
      </c>
      <c r="C3792" t="inlineStr">
        <is>
          <t>mit.typ.p5.2</t>
        </is>
      </c>
      <c r="D3792" t="n">
        <v>0</v>
      </c>
      <c r="E3792" t="n">
        <v>2.263183214</v>
      </c>
      <c r="F3792" t="n">
        <v>2.467554448</v>
      </c>
      <c r="G3792" t="n">
        <v>2.493193246</v>
      </c>
      <c r="H3792" t="n">
        <v>2.676228031</v>
      </c>
    </row>
    <row r="3793">
      <c r="A3793" t="inlineStr">
        <is>
          <t>HND|mit.typ.p5.2</t>
        </is>
      </c>
      <c r="B3793" t="inlineStr">
        <is>
          <t>HND</t>
        </is>
      </c>
      <c r="C3793" t="inlineStr">
        <is>
          <t>mit.typ.p5.2</t>
        </is>
      </c>
      <c r="D3793" t="n">
        <v>0</v>
      </c>
      <c r="E3793" t="n">
        <v>0.2088959513</v>
      </c>
      <c r="F3793" t="n">
        <v>0.3296108185</v>
      </c>
      <c r="G3793" t="n">
        <v>0.4280430214</v>
      </c>
      <c r="H3793" t="n">
        <v>0.5740972228</v>
      </c>
    </row>
    <row r="3794">
      <c r="A3794" t="inlineStr">
        <is>
          <t>HRV|mit.typ.p5.2</t>
        </is>
      </c>
      <c r="B3794" t="inlineStr">
        <is>
          <t>HRV</t>
        </is>
      </c>
      <c r="C3794" t="inlineStr">
        <is>
          <t>mit.typ.p5.2</t>
        </is>
      </c>
      <c r="D3794" t="n">
        <v>0</v>
      </c>
      <c r="E3794" t="n">
        <v>1.223624073</v>
      </c>
      <c r="F3794" t="n">
        <v>1.352507321</v>
      </c>
      <c r="G3794" t="n">
        <v>1.272647387</v>
      </c>
      <c r="H3794" t="n">
        <v>1.182071029</v>
      </c>
    </row>
    <row r="3795">
      <c r="A3795" t="inlineStr">
        <is>
          <t>HTI|mit.typ.p5.2</t>
        </is>
      </c>
      <c r="B3795" t="inlineStr">
        <is>
          <t>HTI</t>
        </is>
      </c>
      <c r="C3795" t="inlineStr">
        <is>
          <t>mit.typ.p5.2</t>
        </is>
      </c>
      <c r="D3795" t="n">
        <v>0</v>
      </c>
      <c r="E3795" t="n">
        <v>0.05358694262</v>
      </c>
      <c r="F3795" t="n">
        <v>0.07679055435</v>
      </c>
      <c r="G3795" t="n">
        <v>0.1075387033</v>
      </c>
      <c r="H3795" t="n">
        <v>0.1513213199</v>
      </c>
    </row>
    <row r="3796">
      <c r="A3796" t="inlineStr">
        <is>
          <t>HUN|mit.typ.p5.2</t>
        </is>
      </c>
      <c r="B3796" t="inlineStr">
        <is>
          <t>HUN</t>
        </is>
      </c>
      <c r="C3796" t="inlineStr">
        <is>
          <t>mit.typ.p5.2</t>
        </is>
      </c>
      <c r="D3796" t="n">
        <v>0</v>
      </c>
      <c r="E3796" t="n">
        <v>1.15431425</v>
      </c>
      <c r="F3796" t="n">
        <v>1.337140159</v>
      </c>
      <c r="G3796" t="n">
        <v>1.316141081</v>
      </c>
      <c r="H3796" t="n">
        <v>1.338708475</v>
      </c>
    </row>
    <row r="3797">
      <c r="A3797" t="inlineStr">
        <is>
          <t>IDN|mit.typ.p5.2</t>
        </is>
      </c>
      <c r="B3797" t="inlineStr">
        <is>
          <t>IDN</t>
        </is>
      </c>
      <c r="C3797" t="inlineStr">
        <is>
          <t>mit.typ.p5.2</t>
        </is>
      </c>
      <c r="D3797" t="n">
        <v>0</v>
      </c>
      <c r="E3797" t="n">
        <v>7.370182579</v>
      </c>
      <c r="F3797" t="n">
        <v>11.20658085</v>
      </c>
      <c r="G3797" t="n">
        <v>15.43920993</v>
      </c>
      <c r="H3797" t="n">
        <v>20.95315053</v>
      </c>
    </row>
    <row r="3798">
      <c r="A3798" t="inlineStr">
        <is>
          <t>IND|mit.typ.p5.2</t>
        </is>
      </c>
      <c r="B3798" t="inlineStr">
        <is>
          <t>IND</t>
        </is>
      </c>
      <c r="C3798" t="inlineStr">
        <is>
          <t>mit.typ.p5.2</t>
        </is>
      </c>
      <c r="D3798" t="n">
        <v>0</v>
      </c>
      <c r="E3798" t="n">
        <v>36.67978773</v>
      </c>
      <c r="F3798" t="n">
        <v>52.30637512</v>
      </c>
      <c r="G3798" t="n">
        <v>76.21042540000001</v>
      </c>
      <c r="H3798" t="n">
        <v>91.96199454000001</v>
      </c>
    </row>
    <row r="3799">
      <c r="A3799" t="inlineStr">
        <is>
          <t>IRL|mit.typ.p5.2</t>
        </is>
      </c>
      <c r="B3799" t="inlineStr">
        <is>
          <t>IRL</t>
        </is>
      </c>
      <c r="C3799" t="inlineStr">
        <is>
          <t>mit.typ.p5.2</t>
        </is>
      </c>
      <c r="D3799" t="n">
        <v>0</v>
      </c>
      <c r="E3799" t="n">
        <v>6.3406259</v>
      </c>
      <c r="F3799" t="n">
        <v>6.244772625</v>
      </c>
      <c r="G3799" t="n">
        <v>6.336269484</v>
      </c>
      <c r="H3799" t="n">
        <v>6.158125733</v>
      </c>
    </row>
    <row r="3800">
      <c r="A3800" t="inlineStr">
        <is>
          <t>IRN|mit.typ.p5.2</t>
        </is>
      </c>
      <c r="B3800" t="inlineStr">
        <is>
          <t>IRN</t>
        </is>
      </c>
      <c r="C3800" t="inlineStr">
        <is>
          <t>mit.typ.p5.2</t>
        </is>
      </c>
      <c r="D3800" t="n">
        <v>0</v>
      </c>
      <c r="E3800" t="n">
        <v>11.2106866</v>
      </c>
      <c r="F3800" t="n">
        <v>9.454609823</v>
      </c>
      <c r="G3800" t="n">
        <v>12.76468006</v>
      </c>
      <c r="H3800" t="n">
        <v>13.82085929</v>
      </c>
    </row>
    <row r="3801">
      <c r="A3801" t="inlineStr">
        <is>
          <t>IRQ|mit.typ.p5.2</t>
        </is>
      </c>
      <c r="B3801" t="inlineStr">
        <is>
          <t>IRQ</t>
        </is>
      </c>
      <c r="C3801" t="inlineStr">
        <is>
          <t>mit.typ.p5.2</t>
        </is>
      </c>
      <c r="D3801" t="n">
        <v>0</v>
      </c>
      <c r="E3801" t="n">
        <v>1.436028769</v>
      </c>
      <c r="F3801" t="n">
        <v>1.573119298</v>
      </c>
      <c r="G3801" t="n">
        <v>1.947058965</v>
      </c>
      <c r="H3801" t="n">
        <v>2.46742248</v>
      </c>
    </row>
    <row r="3802">
      <c r="A3802" t="inlineStr">
        <is>
          <t>ISL|mit.typ.p5.2</t>
        </is>
      </c>
      <c r="B3802" t="inlineStr">
        <is>
          <t>ISL</t>
        </is>
      </c>
      <c r="C3802" t="inlineStr">
        <is>
          <t>mit.typ.p5.2</t>
        </is>
      </c>
      <c r="D3802" t="n">
        <v>0</v>
      </c>
      <c r="E3802" t="n">
        <v>0.2735242022</v>
      </c>
      <c r="F3802" t="n">
        <v>0.3159717811</v>
      </c>
      <c r="G3802" t="n">
        <v>0.3213083504</v>
      </c>
      <c r="H3802" t="n">
        <v>0.3606267577</v>
      </c>
    </row>
    <row r="3803">
      <c r="A3803" t="inlineStr">
        <is>
          <t>ISR|mit.typ.p5.2</t>
        </is>
      </c>
      <c r="B3803" t="inlineStr">
        <is>
          <t>ISR</t>
        </is>
      </c>
      <c r="C3803" t="inlineStr">
        <is>
          <t>mit.typ.p5.2</t>
        </is>
      </c>
      <c r="D3803" t="n">
        <v>0</v>
      </c>
      <c r="E3803" t="n">
        <v>4.236954794</v>
      </c>
      <c r="F3803" t="n">
        <v>5.012924368</v>
      </c>
      <c r="G3803" t="n">
        <v>4.611816456</v>
      </c>
      <c r="H3803" t="n">
        <v>5.094279166</v>
      </c>
    </row>
    <row r="3804">
      <c r="A3804" t="inlineStr">
        <is>
          <t>ITA|mit.typ.p5.2</t>
        </is>
      </c>
      <c r="B3804" t="inlineStr">
        <is>
          <t>ITA</t>
        </is>
      </c>
      <c r="C3804" t="inlineStr">
        <is>
          <t>mit.typ.p5.2</t>
        </is>
      </c>
      <c r="D3804" t="n">
        <v>0</v>
      </c>
      <c r="E3804" t="n">
        <v>30.44351001</v>
      </c>
      <c r="F3804" t="n">
        <v>31.90518408</v>
      </c>
      <c r="G3804" t="n">
        <v>29.5018497</v>
      </c>
      <c r="H3804" t="n">
        <v>25.57331774</v>
      </c>
    </row>
    <row r="3805">
      <c r="A3805" t="inlineStr">
        <is>
          <t>JAM|mit.typ.p5.2</t>
        </is>
      </c>
      <c r="B3805" t="inlineStr">
        <is>
          <t>JAM</t>
        </is>
      </c>
      <c r="C3805" t="inlineStr">
        <is>
          <t>mit.typ.p5.2</t>
        </is>
      </c>
      <c r="D3805" t="n">
        <v>0</v>
      </c>
      <c r="E3805" t="n">
        <v>0.1972120771</v>
      </c>
      <c r="F3805" t="n">
        <v>0.2148486675</v>
      </c>
      <c r="G3805" t="n">
        <v>0.2689600014</v>
      </c>
      <c r="H3805" t="n">
        <v>0.3364844364</v>
      </c>
    </row>
    <row r="3806">
      <c r="A3806" t="inlineStr">
        <is>
          <t>JOR|mit.typ.p5.2</t>
        </is>
      </c>
      <c r="B3806" t="inlineStr">
        <is>
          <t>JOR</t>
        </is>
      </c>
      <c r="C3806" t="inlineStr">
        <is>
          <t>mit.typ.p5.2</t>
        </is>
      </c>
      <c r="D3806" t="n">
        <v>0</v>
      </c>
      <c r="E3806" t="n">
        <v>0.3331683597</v>
      </c>
      <c r="F3806" t="n">
        <v>0.4688744638</v>
      </c>
      <c r="G3806" t="n">
        <v>0.5470337562000001</v>
      </c>
      <c r="H3806" t="n">
        <v>0.6566175931</v>
      </c>
    </row>
    <row r="3807">
      <c r="A3807" t="inlineStr">
        <is>
          <t>JPN|mit.typ.p5.2</t>
        </is>
      </c>
      <c r="B3807" t="inlineStr">
        <is>
          <t>JPN</t>
        </is>
      </c>
      <c r="C3807" t="inlineStr">
        <is>
          <t>mit.typ.p5.2</t>
        </is>
      </c>
      <c r="D3807" t="n">
        <v>0</v>
      </c>
      <c r="E3807" t="n">
        <v>64.00835225</v>
      </c>
      <c r="F3807" t="n">
        <v>68.92226604</v>
      </c>
      <c r="G3807" t="n">
        <v>62.23028769</v>
      </c>
      <c r="H3807" t="n">
        <v>59.60664252</v>
      </c>
    </row>
    <row r="3808">
      <c r="A3808" t="inlineStr">
        <is>
          <t>KAZ|mit.typ.p5.2</t>
        </is>
      </c>
      <c r="B3808" t="inlineStr">
        <is>
          <t>KAZ</t>
        </is>
      </c>
      <c r="C3808" t="inlineStr">
        <is>
          <t>mit.typ.p5.2</t>
        </is>
      </c>
      <c r="D3808" t="n">
        <v>0</v>
      </c>
      <c r="E3808" t="n">
        <v>4.149212691</v>
      </c>
      <c r="F3808" t="n">
        <v>5.375155575</v>
      </c>
      <c r="G3808" t="n">
        <v>7.092812503</v>
      </c>
      <c r="H3808" t="n">
        <v>8.020274707</v>
      </c>
    </row>
    <row r="3809">
      <c r="A3809" t="inlineStr">
        <is>
          <t>KEN|mit.typ.p5.2</t>
        </is>
      </c>
      <c r="B3809" t="inlineStr">
        <is>
          <t>KEN</t>
        </is>
      </c>
      <c r="C3809" t="inlineStr">
        <is>
          <t>mit.typ.p5.2</t>
        </is>
      </c>
      <c r="D3809" t="n">
        <v>0</v>
      </c>
      <c r="E3809" t="n">
        <v>0.4463556302</v>
      </c>
      <c r="F3809" t="n">
        <v>0.8737351969</v>
      </c>
      <c r="G3809" t="n">
        <v>1.183291216</v>
      </c>
      <c r="H3809" t="n">
        <v>1.602476992</v>
      </c>
    </row>
    <row r="3810">
      <c r="A3810" t="inlineStr">
        <is>
          <t>KGZ|mit.typ.p5.2</t>
        </is>
      </c>
      <c r="B3810" t="inlineStr">
        <is>
          <t>KGZ</t>
        </is>
      </c>
      <c r="C3810" t="inlineStr">
        <is>
          <t>mit.typ.p5.2</t>
        </is>
      </c>
      <c r="D3810" t="n">
        <v>0</v>
      </c>
      <c r="E3810" t="n">
        <v>0.1323942402</v>
      </c>
      <c r="F3810" t="n">
        <v>0.179410768</v>
      </c>
      <c r="G3810" t="n">
        <v>0.2359042363</v>
      </c>
      <c r="H3810" t="n">
        <v>0.3185825109</v>
      </c>
    </row>
    <row r="3811">
      <c r="A3811" t="inlineStr">
        <is>
          <t>KHM|mit.typ.p5.2</t>
        </is>
      </c>
      <c r="B3811" t="inlineStr">
        <is>
          <t>KHM</t>
        </is>
      </c>
      <c r="C3811" t="inlineStr">
        <is>
          <t>mit.typ.p5.2</t>
        </is>
      </c>
      <c r="D3811" t="n">
        <v>0</v>
      </c>
      <c r="E3811" t="n">
        <v>0.2440832868</v>
      </c>
      <c r="F3811" t="n">
        <v>0.4122345938</v>
      </c>
      <c r="G3811" t="n">
        <v>0.5426149973</v>
      </c>
      <c r="H3811" t="n">
        <v>0.7069168796</v>
      </c>
    </row>
    <row r="3812">
      <c r="A3812" t="inlineStr">
        <is>
          <t>KNA|mit.typ.p5.2</t>
        </is>
      </c>
      <c r="B3812" t="inlineStr">
        <is>
          <t>KNA</t>
        </is>
      </c>
      <c r="C3812" t="inlineStr">
        <is>
          <t>mit.typ.p5.2</t>
        </is>
      </c>
      <c r="D3812" t="n">
        <v>0</v>
      </c>
      <c r="E3812" t="n">
        <v>0.01227848025</v>
      </c>
      <c r="F3812" t="n">
        <v>0.01504712424</v>
      </c>
      <c r="G3812" t="n">
        <v>0.01568378546</v>
      </c>
      <c r="H3812" t="n">
        <v>0.01721721171</v>
      </c>
    </row>
    <row r="3813">
      <c r="A3813" t="inlineStr">
        <is>
          <t>KOR|mit.typ.p5.2</t>
        </is>
      </c>
      <c r="B3813" t="inlineStr">
        <is>
          <t>KOR</t>
        </is>
      </c>
      <c r="C3813" t="inlineStr">
        <is>
          <t>mit.typ.p5.2</t>
        </is>
      </c>
      <c r="D3813" t="n">
        <v>0</v>
      </c>
      <c r="E3813" t="n">
        <v>25.39026985</v>
      </c>
      <c r="F3813" t="n">
        <v>27.6642028</v>
      </c>
      <c r="G3813" t="n">
        <v>25.68851382</v>
      </c>
      <c r="H3813" t="n">
        <v>23.75762469</v>
      </c>
    </row>
    <row r="3814">
      <c r="A3814" t="inlineStr">
        <is>
          <t>KWT|mit.typ.p5.2</t>
        </is>
      </c>
      <c r="B3814" t="inlineStr">
        <is>
          <t>KWT</t>
        </is>
      </c>
      <c r="C3814" t="inlineStr">
        <is>
          <t>mit.typ.p5.2</t>
        </is>
      </c>
      <c r="D3814" t="n">
        <v>0</v>
      </c>
      <c r="E3814" t="n">
        <v>1.526112373</v>
      </c>
      <c r="F3814" t="n">
        <v>1.624142358</v>
      </c>
      <c r="G3814" t="n">
        <v>1.797858123</v>
      </c>
      <c r="H3814" t="n">
        <v>1.990437958</v>
      </c>
    </row>
    <row r="3815">
      <c r="A3815" t="inlineStr">
        <is>
          <t>LAO|mit.typ.p5.2</t>
        </is>
      </c>
      <c r="B3815" t="inlineStr">
        <is>
          <t>LAO</t>
        </is>
      </c>
      <c r="C3815" t="inlineStr">
        <is>
          <t>mit.typ.p5.2</t>
        </is>
      </c>
      <c r="D3815" t="n">
        <v>0</v>
      </c>
      <c r="E3815" t="n">
        <v>0.0335184788</v>
      </c>
      <c r="F3815" t="n">
        <v>0.0746422232</v>
      </c>
      <c r="G3815" t="n">
        <v>0.0996962827</v>
      </c>
      <c r="H3815" t="n">
        <v>0.1336942965</v>
      </c>
    </row>
    <row r="3816">
      <c r="A3816" t="inlineStr">
        <is>
          <t>LBN|mit.typ.p5.2</t>
        </is>
      </c>
      <c r="B3816" t="inlineStr">
        <is>
          <t>LBN</t>
        </is>
      </c>
      <c r="C3816" t="inlineStr">
        <is>
          <t>mit.typ.p5.2</t>
        </is>
      </c>
      <c r="D3816" t="n">
        <v>0</v>
      </c>
      <c r="E3816" t="n">
        <v>0.3139553084</v>
      </c>
      <c r="F3816" t="n">
        <v>0.4066854716</v>
      </c>
      <c r="G3816" t="n">
        <v>0.5063799467</v>
      </c>
      <c r="H3816" t="n">
        <v>0.6562107862</v>
      </c>
    </row>
    <row r="3817">
      <c r="A3817" t="inlineStr">
        <is>
          <t>LBR|mit.typ.p5.2</t>
        </is>
      </c>
      <c r="B3817" t="inlineStr">
        <is>
          <t>LBR</t>
        </is>
      </c>
      <c r="C3817" t="inlineStr">
        <is>
          <t>mit.typ.p5.2</t>
        </is>
      </c>
      <c r="D3817" t="n">
        <v>0</v>
      </c>
      <c r="E3817" t="n">
        <v>0.01023740057</v>
      </c>
      <c r="F3817" t="n">
        <v>0.02044631478</v>
      </c>
      <c r="G3817" t="n">
        <v>0.02928890804</v>
      </c>
      <c r="H3817" t="n">
        <v>0.04166264091</v>
      </c>
    </row>
    <row r="3818">
      <c r="A3818" t="inlineStr">
        <is>
          <t>LBY|mit.typ.p5.2</t>
        </is>
      </c>
      <c r="B3818" t="inlineStr">
        <is>
          <t>LBY</t>
        </is>
      </c>
      <c r="C3818" t="inlineStr">
        <is>
          <t>mit.typ.p5.2</t>
        </is>
      </c>
      <c r="D3818" t="n">
        <v>0</v>
      </c>
      <c r="E3818" t="n">
        <v>0.9585591159</v>
      </c>
      <c r="F3818" t="n">
        <v>1.317066458</v>
      </c>
      <c r="G3818" t="n">
        <v>1.588985285</v>
      </c>
      <c r="H3818" t="n">
        <v>2.038229695</v>
      </c>
    </row>
    <row r="3819">
      <c r="A3819" t="inlineStr">
        <is>
          <t>LCA|mit.typ.p5.2</t>
        </is>
      </c>
      <c r="B3819" t="inlineStr">
        <is>
          <t>LCA</t>
        </is>
      </c>
      <c r="C3819" t="inlineStr">
        <is>
          <t>mit.typ.p5.2</t>
        </is>
      </c>
      <c r="D3819" t="n">
        <v>0</v>
      </c>
      <c r="E3819" t="n">
        <v>0.01295085223</v>
      </c>
      <c r="F3819" t="n">
        <v>0.0166492866</v>
      </c>
      <c r="G3819" t="n">
        <v>0.02040267781</v>
      </c>
      <c r="H3819" t="n">
        <v>0.02613566736</v>
      </c>
    </row>
    <row r="3820">
      <c r="A3820" t="inlineStr">
        <is>
          <t>LKA|mit.typ.p5.2</t>
        </is>
      </c>
      <c r="B3820" t="inlineStr">
        <is>
          <t>LKA</t>
        </is>
      </c>
      <c r="C3820" t="inlineStr">
        <is>
          <t>mit.typ.p5.2</t>
        </is>
      </c>
      <c r="D3820" t="n">
        <v>0</v>
      </c>
      <c r="E3820" t="n">
        <v>0.1964075773</v>
      </c>
      <c r="F3820" t="n">
        <v>0.30495723</v>
      </c>
      <c r="G3820" t="n">
        <v>0.3928898726</v>
      </c>
      <c r="H3820" t="n">
        <v>0.5197872204</v>
      </c>
    </row>
    <row r="3821">
      <c r="A3821" t="inlineStr">
        <is>
          <t>LSO|mit.typ.p5.2</t>
        </is>
      </c>
      <c r="B3821" t="inlineStr">
        <is>
          <t>LSO</t>
        </is>
      </c>
      <c r="C3821" t="inlineStr">
        <is>
          <t>mit.typ.p5.2</t>
        </is>
      </c>
      <c r="D3821" t="n">
        <v>0</v>
      </c>
      <c r="E3821" t="n">
        <v>0.05364922815</v>
      </c>
      <c r="F3821" t="n">
        <v>0.06487586486999999</v>
      </c>
      <c r="G3821" t="n">
        <v>0.08610096588</v>
      </c>
      <c r="H3821" t="n">
        <v>0.1119406551</v>
      </c>
    </row>
    <row r="3822">
      <c r="A3822" t="inlineStr">
        <is>
          <t>LTU|mit.typ.p5.2</t>
        </is>
      </c>
      <c r="B3822" t="inlineStr">
        <is>
          <t>LTU</t>
        </is>
      </c>
      <c r="C3822" t="inlineStr">
        <is>
          <t>mit.typ.p5.2</t>
        </is>
      </c>
      <c r="D3822" t="n">
        <v>0</v>
      </c>
      <c r="E3822" t="n">
        <v>0.9602567024999999</v>
      </c>
      <c r="F3822" t="n">
        <v>1.08948028</v>
      </c>
      <c r="G3822" t="n">
        <v>1.039105712</v>
      </c>
      <c r="H3822" t="n">
        <v>0.9958326727</v>
      </c>
    </row>
    <row r="3823">
      <c r="A3823" t="inlineStr">
        <is>
          <t>LUX|mit.typ.p5.2</t>
        </is>
      </c>
      <c r="B3823" t="inlineStr">
        <is>
          <t>LUX</t>
        </is>
      </c>
      <c r="C3823" t="inlineStr">
        <is>
          <t>mit.typ.p5.2</t>
        </is>
      </c>
      <c r="D3823" t="n">
        <v>0</v>
      </c>
      <c r="E3823" t="n">
        <v>0.9217192036</v>
      </c>
      <c r="F3823" t="n">
        <v>0.9680235447</v>
      </c>
      <c r="G3823" t="n">
        <v>0.9203673596</v>
      </c>
      <c r="H3823" t="n">
        <v>0.9117805074999999</v>
      </c>
    </row>
    <row r="3824">
      <c r="A3824" t="inlineStr">
        <is>
          <t>LVA|mit.typ.p5.2</t>
        </is>
      </c>
      <c r="B3824" t="inlineStr">
        <is>
          <t>LVA</t>
        </is>
      </c>
      <c r="C3824" t="inlineStr">
        <is>
          <t>mit.typ.p5.2</t>
        </is>
      </c>
      <c r="D3824" t="n">
        <v>0</v>
      </c>
      <c r="E3824" t="n">
        <v>0.4314577826</v>
      </c>
      <c r="F3824" t="n">
        <v>0.4871223326</v>
      </c>
      <c r="G3824" t="n">
        <v>0.4567830235</v>
      </c>
      <c r="H3824" t="n">
        <v>0.4446141188</v>
      </c>
    </row>
    <row r="3825">
      <c r="A3825" t="inlineStr">
        <is>
          <t>MAC|mit.typ.p5.2</t>
        </is>
      </c>
      <c r="B3825" t="inlineStr">
        <is>
          <t>MAC</t>
        </is>
      </c>
      <c r="C3825" t="inlineStr">
        <is>
          <t>mit.typ.p5.2</t>
        </is>
      </c>
      <c r="D3825" t="n">
        <v>0</v>
      </c>
      <c r="E3825" t="n">
        <v>0.2070735775</v>
      </c>
      <c r="F3825" t="n">
        <v>0.2326257227</v>
      </c>
      <c r="G3825" t="n">
        <v>0.2585242585</v>
      </c>
      <c r="H3825" t="n">
        <v>0.2896559888</v>
      </c>
    </row>
    <row r="3826">
      <c r="A3826" t="inlineStr">
        <is>
          <t>MAR|mit.typ.p5.2</t>
        </is>
      </c>
      <c r="B3826" t="inlineStr">
        <is>
          <t>MAR</t>
        </is>
      </c>
      <c r="C3826" t="inlineStr">
        <is>
          <t>mit.typ.p5.2</t>
        </is>
      </c>
      <c r="D3826" t="n">
        <v>0</v>
      </c>
      <c r="E3826" t="n">
        <v>0.6722664897</v>
      </c>
      <c r="F3826" t="n">
        <v>1.004764184</v>
      </c>
      <c r="G3826" t="n">
        <v>1.335131657</v>
      </c>
      <c r="H3826" t="n">
        <v>1.764923003</v>
      </c>
    </row>
    <row r="3827">
      <c r="A3827" t="inlineStr">
        <is>
          <t>MDA|mit.typ.p5.2</t>
        </is>
      </c>
      <c r="B3827" t="inlineStr">
        <is>
          <t>MDA</t>
        </is>
      </c>
      <c r="C3827" t="inlineStr">
        <is>
          <t>mit.typ.p5.2</t>
        </is>
      </c>
      <c r="D3827" t="n">
        <v>0</v>
      </c>
      <c r="E3827" t="n">
        <v>0.1916023042</v>
      </c>
      <c r="F3827" t="n">
        <v>0.2295708936</v>
      </c>
      <c r="G3827" t="n">
        <v>0.3228831893</v>
      </c>
      <c r="H3827" t="n">
        <v>0.3914082216</v>
      </c>
    </row>
    <row r="3828">
      <c r="A3828" t="inlineStr">
        <is>
          <t>MDG|mit.typ.p5.2</t>
        </is>
      </c>
      <c r="B3828" t="inlineStr">
        <is>
          <t>MDG</t>
        </is>
      </c>
      <c r="C3828" t="inlineStr">
        <is>
          <t>mit.typ.p5.2</t>
        </is>
      </c>
      <c r="D3828" t="n">
        <v>0</v>
      </c>
      <c r="E3828" t="n">
        <v>0.05113366021</v>
      </c>
      <c r="F3828" t="n">
        <v>0.1311004161</v>
      </c>
      <c r="G3828" t="n">
        <v>0.188807651</v>
      </c>
      <c r="H3828" t="n">
        <v>0.2568956822</v>
      </c>
    </row>
    <row r="3829">
      <c r="A3829" t="inlineStr">
        <is>
          <t>MDV|mit.typ.p5.2</t>
        </is>
      </c>
      <c r="B3829" t="inlineStr">
        <is>
          <t>MDV</t>
        </is>
      </c>
      <c r="C3829" t="inlineStr">
        <is>
          <t>mit.typ.p5.2</t>
        </is>
      </c>
      <c r="D3829" t="n">
        <v>0</v>
      </c>
      <c r="E3829" t="n">
        <v>0.0491997172</v>
      </c>
      <c r="F3829" t="n">
        <v>0.06126703497</v>
      </c>
      <c r="G3829" t="n">
        <v>0.07453097974</v>
      </c>
      <c r="H3829" t="n">
        <v>0.09182963986000001</v>
      </c>
    </row>
    <row r="3830">
      <c r="A3830" t="inlineStr">
        <is>
          <t>MEX|mit.typ.p5.2</t>
        </is>
      </c>
      <c r="B3830" t="inlineStr">
        <is>
          <t>MEX</t>
        </is>
      </c>
      <c r="C3830" t="inlineStr">
        <is>
          <t>mit.typ.p5.2</t>
        </is>
      </c>
      <c r="D3830" t="n">
        <v>0</v>
      </c>
      <c r="E3830" t="n">
        <v>10.29592896</v>
      </c>
      <c r="F3830" t="n">
        <v>13.34899987</v>
      </c>
      <c r="G3830" t="n">
        <v>17.56869613</v>
      </c>
      <c r="H3830" t="n">
        <v>21.40684818</v>
      </c>
    </row>
    <row r="3831">
      <c r="A3831" t="inlineStr">
        <is>
          <t>MKD|mit.typ.p5.2</t>
        </is>
      </c>
      <c r="B3831" t="inlineStr">
        <is>
          <t>MKD</t>
        </is>
      </c>
      <c r="C3831" t="inlineStr">
        <is>
          <t>mit.typ.p5.2</t>
        </is>
      </c>
      <c r="D3831" t="n">
        <v>0</v>
      </c>
      <c r="E3831" t="n">
        <v>0.1330973053</v>
      </c>
      <c r="F3831" t="n">
        <v>0.1756483441</v>
      </c>
      <c r="G3831" t="n">
        <v>0.2122264075</v>
      </c>
      <c r="H3831" t="n">
        <v>0.2525125337</v>
      </c>
    </row>
    <row r="3832">
      <c r="A3832" t="inlineStr">
        <is>
          <t>MLI|mit.typ.p5.2</t>
        </is>
      </c>
      <c r="B3832" t="inlineStr">
        <is>
          <t>MLI</t>
        </is>
      </c>
      <c r="C3832" t="inlineStr">
        <is>
          <t>mit.typ.p5.2</t>
        </is>
      </c>
      <c r="D3832" t="n">
        <v>0</v>
      </c>
      <c r="E3832" t="n">
        <v>0.07774569108</v>
      </c>
      <c r="F3832" t="n">
        <v>0.17224688</v>
      </c>
      <c r="G3832" t="n">
        <v>0.2515363759</v>
      </c>
      <c r="H3832" t="n">
        <v>0.3390326519</v>
      </c>
    </row>
    <row r="3833">
      <c r="A3833" t="inlineStr">
        <is>
          <t>MLT|mit.typ.p5.2</t>
        </is>
      </c>
      <c r="B3833" t="inlineStr">
        <is>
          <t>MLT</t>
        </is>
      </c>
      <c r="C3833" t="inlineStr">
        <is>
          <t>mit.typ.p5.2</t>
        </is>
      </c>
      <c r="D3833" t="n">
        <v>0</v>
      </c>
      <c r="E3833" t="n">
        <v>0.140279397</v>
      </c>
      <c r="F3833" t="n">
        <v>0.1607876558</v>
      </c>
      <c r="G3833" t="n">
        <v>0.1630781629</v>
      </c>
      <c r="H3833" t="n">
        <v>0.1816408329</v>
      </c>
    </row>
    <row r="3834">
      <c r="A3834" t="inlineStr">
        <is>
          <t>MMR|mit.typ.p5.2</t>
        </is>
      </c>
      <c r="B3834" t="inlineStr">
        <is>
          <t>MMR</t>
        </is>
      </c>
      <c r="C3834" t="inlineStr">
        <is>
          <t>mit.typ.p5.2</t>
        </is>
      </c>
      <c r="D3834" t="n">
        <v>0</v>
      </c>
      <c r="E3834" t="n">
        <v>0.365313005</v>
      </c>
      <c r="F3834" t="n">
        <v>0.7696453082</v>
      </c>
      <c r="G3834" t="n">
        <v>1.155629219</v>
      </c>
      <c r="H3834" t="n">
        <v>1.605480017</v>
      </c>
    </row>
    <row r="3835">
      <c r="A3835" t="inlineStr">
        <is>
          <t>MNE|mit.typ.p5.2</t>
        </is>
      </c>
      <c r="B3835" t="inlineStr">
        <is>
          <t>MNE</t>
        </is>
      </c>
      <c r="C3835" t="inlineStr">
        <is>
          <t>mit.typ.p5.2</t>
        </is>
      </c>
      <c r="D3835" t="n">
        <v>0</v>
      </c>
      <c r="E3835" t="n">
        <v>0.03025550356</v>
      </c>
      <c r="F3835" t="n">
        <v>0.04060719532</v>
      </c>
      <c r="G3835" t="n">
        <v>0.04373780513</v>
      </c>
      <c r="H3835" t="n">
        <v>0.05380118804</v>
      </c>
    </row>
    <row r="3836">
      <c r="A3836" t="inlineStr">
        <is>
          <t>MNG|mit.typ.p5.2</t>
        </is>
      </c>
      <c r="B3836" t="inlineStr">
        <is>
          <t>MNG</t>
        </is>
      </c>
      <c r="C3836" t="inlineStr">
        <is>
          <t>mit.typ.p5.2</t>
        </is>
      </c>
      <c r="D3836" t="n">
        <v>0</v>
      </c>
      <c r="E3836" t="n">
        <v>0.1361144469</v>
      </c>
      <c r="F3836" t="n">
        <v>0.2523446226</v>
      </c>
      <c r="G3836" t="n">
        <v>0.3502589098</v>
      </c>
      <c r="H3836" t="n">
        <v>0.4579972508</v>
      </c>
    </row>
    <row r="3837">
      <c r="A3837" t="inlineStr">
        <is>
          <t>MOZ|mit.typ.p5.2</t>
        </is>
      </c>
      <c r="B3837" t="inlineStr">
        <is>
          <t>MOZ</t>
        </is>
      </c>
      <c r="C3837" t="inlineStr">
        <is>
          <t>mit.typ.p5.2</t>
        </is>
      </c>
      <c r="D3837" t="n">
        <v>0</v>
      </c>
      <c r="E3837" t="n">
        <v>0.07934369695</v>
      </c>
      <c r="F3837" t="n">
        <v>0.1729567614</v>
      </c>
      <c r="G3837" t="n">
        <v>0.255108359</v>
      </c>
      <c r="H3837" t="n">
        <v>0.3425423159</v>
      </c>
    </row>
    <row r="3838">
      <c r="A3838" t="inlineStr">
        <is>
          <t>MRT|mit.typ.p5.2</t>
        </is>
      </c>
      <c r="B3838" t="inlineStr">
        <is>
          <t>MRT</t>
        </is>
      </c>
      <c r="C3838" t="inlineStr">
        <is>
          <t>mit.typ.p5.2</t>
        </is>
      </c>
      <c r="D3838" t="n">
        <v>0</v>
      </c>
      <c r="E3838" t="n">
        <v>0.05526885266</v>
      </c>
      <c r="F3838" t="n">
        <v>0.1001943318</v>
      </c>
      <c r="G3838" t="n">
        <v>0.1410938969</v>
      </c>
      <c r="H3838" t="n">
        <v>0.1939351054</v>
      </c>
    </row>
    <row r="3839">
      <c r="A3839" t="inlineStr">
        <is>
          <t>MUS|mit.typ.p5.2</t>
        </is>
      </c>
      <c r="B3839" t="inlineStr">
        <is>
          <t>MUS</t>
        </is>
      </c>
      <c r="C3839" t="inlineStr">
        <is>
          <t>mit.typ.p5.2</t>
        </is>
      </c>
      <c r="D3839" t="n">
        <v>0</v>
      </c>
      <c r="E3839" t="n">
        <v>0.0635043849</v>
      </c>
      <c r="F3839" t="n">
        <v>0.09106098741</v>
      </c>
      <c r="G3839" t="n">
        <v>0.1113890782</v>
      </c>
      <c r="H3839" t="n">
        <v>0.1354498047</v>
      </c>
    </row>
    <row r="3840">
      <c r="A3840" t="inlineStr">
        <is>
          <t>MWI|mit.typ.p5.2</t>
        </is>
      </c>
      <c r="B3840" t="inlineStr">
        <is>
          <t>MWI</t>
        </is>
      </c>
      <c r="C3840" t="inlineStr">
        <is>
          <t>mit.typ.p5.2</t>
        </is>
      </c>
      <c r="D3840" t="n">
        <v>0</v>
      </c>
      <c r="E3840" t="n">
        <v>0.02725767574</v>
      </c>
      <c r="F3840" t="n">
        <v>0.06656326939</v>
      </c>
      <c r="G3840" t="n">
        <v>0.09421321202000001</v>
      </c>
      <c r="H3840" t="n">
        <v>0.1278534492</v>
      </c>
    </row>
    <row r="3841">
      <c r="A3841" t="inlineStr">
        <is>
          <t>MYS|mit.typ.p5.2</t>
        </is>
      </c>
      <c r="B3841" t="inlineStr">
        <is>
          <t>MYS</t>
        </is>
      </c>
      <c r="C3841" t="inlineStr">
        <is>
          <t>mit.typ.p5.2</t>
        </is>
      </c>
      <c r="D3841" t="n">
        <v>0</v>
      </c>
      <c r="E3841" t="n">
        <v>3.468300723</v>
      </c>
      <c r="F3841" t="n">
        <v>5.027178531</v>
      </c>
      <c r="G3841" t="n">
        <v>6.445374043</v>
      </c>
      <c r="H3841" t="n">
        <v>8.205158557000001</v>
      </c>
    </row>
    <row r="3842">
      <c r="A3842" t="inlineStr">
        <is>
          <t>NAM|mit.typ.p5.2</t>
        </is>
      </c>
      <c r="B3842" t="inlineStr">
        <is>
          <t>NAM</t>
        </is>
      </c>
      <c r="C3842" t="inlineStr">
        <is>
          <t>mit.typ.p5.2</t>
        </is>
      </c>
      <c r="D3842" t="n">
        <v>0</v>
      </c>
      <c r="E3842" t="n">
        <v>0.1007997295</v>
      </c>
      <c r="F3842" t="n">
        <v>0.1700905169</v>
      </c>
      <c r="G3842" t="n">
        <v>0.2115636104</v>
      </c>
      <c r="H3842" t="n">
        <v>0.2731551474</v>
      </c>
    </row>
    <row r="3843">
      <c r="A3843" t="inlineStr">
        <is>
          <t>NER|mit.typ.p5.2</t>
        </is>
      </c>
      <c r="B3843" t="inlineStr">
        <is>
          <t>NER</t>
        </is>
      </c>
      <c r="C3843" t="inlineStr">
        <is>
          <t>mit.typ.p5.2</t>
        </is>
      </c>
      <c r="D3843" t="n">
        <v>0</v>
      </c>
      <c r="E3843" t="n">
        <v>0.04928033419</v>
      </c>
      <c r="F3843" t="n">
        <v>0.1374930474</v>
      </c>
      <c r="G3843" t="n">
        <v>0.2011576585</v>
      </c>
      <c r="H3843" t="n">
        <v>0.2727139923</v>
      </c>
    </row>
    <row r="3844">
      <c r="A3844" t="inlineStr">
        <is>
          <t>NGA|mit.typ.p5.2</t>
        </is>
      </c>
      <c r="B3844" t="inlineStr">
        <is>
          <t>NGA</t>
        </is>
      </c>
      <c r="C3844" t="inlineStr">
        <is>
          <t>mit.typ.p5.2</t>
        </is>
      </c>
      <c r="D3844" t="n">
        <v>0</v>
      </c>
      <c r="E3844" t="n">
        <v>0.789822591</v>
      </c>
      <c r="F3844" t="n">
        <v>1.637397054</v>
      </c>
      <c r="G3844" t="n">
        <v>2.248539558</v>
      </c>
      <c r="H3844" t="n">
        <v>3.00430567</v>
      </c>
    </row>
    <row r="3845">
      <c r="A3845" t="inlineStr">
        <is>
          <t>NIC|mit.typ.p5.2</t>
        </is>
      </c>
      <c r="B3845" t="inlineStr">
        <is>
          <t>NIC</t>
        </is>
      </c>
      <c r="C3845" t="inlineStr">
        <is>
          <t>mit.typ.p5.2</t>
        </is>
      </c>
      <c r="D3845" t="n">
        <v>0</v>
      </c>
      <c r="E3845" t="n">
        <v>0.122102217</v>
      </c>
      <c r="F3845" t="n">
        <v>0.1988730212</v>
      </c>
      <c r="G3845" t="n">
        <v>0.2802093024</v>
      </c>
      <c r="H3845" t="n">
        <v>0.374492241</v>
      </c>
    </row>
    <row r="3846">
      <c r="A3846" t="inlineStr">
        <is>
          <t>NLD|mit.typ.p5.2</t>
        </is>
      </c>
      <c r="B3846" t="inlineStr">
        <is>
          <t>NLD</t>
        </is>
      </c>
      <c r="C3846" t="inlineStr">
        <is>
          <t>mit.typ.p5.2</t>
        </is>
      </c>
      <c r="D3846" t="n">
        <v>0</v>
      </c>
      <c r="E3846" t="n">
        <v>14.71409855</v>
      </c>
      <c r="F3846" t="n">
        <v>15.60663944</v>
      </c>
      <c r="G3846" t="n">
        <v>15.17313637</v>
      </c>
      <c r="H3846" t="n">
        <v>13.01199577</v>
      </c>
    </row>
    <row r="3847">
      <c r="A3847" t="inlineStr">
        <is>
          <t>NOR|mit.typ.p5.2</t>
        </is>
      </c>
      <c r="B3847" t="inlineStr">
        <is>
          <t>NOR</t>
        </is>
      </c>
      <c r="C3847" t="inlineStr">
        <is>
          <t>mit.typ.p5.2</t>
        </is>
      </c>
      <c r="D3847" t="n">
        <v>0</v>
      </c>
      <c r="E3847" t="n">
        <v>4.813003296</v>
      </c>
      <c r="F3847" t="n">
        <v>5.305981659</v>
      </c>
      <c r="G3847" t="n">
        <v>5.559329365</v>
      </c>
      <c r="H3847" t="n">
        <v>6.117900586</v>
      </c>
    </row>
    <row r="3848">
      <c r="A3848" t="inlineStr">
        <is>
          <t>NPL|mit.typ.p5.2</t>
        </is>
      </c>
      <c r="B3848" t="inlineStr">
        <is>
          <t>NPL</t>
        </is>
      </c>
      <c r="C3848" t="inlineStr">
        <is>
          <t>mit.typ.p5.2</t>
        </is>
      </c>
      <c r="D3848" t="n">
        <v>0</v>
      </c>
      <c r="E3848" t="n">
        <v>0.2147831899</v>
      </c>
      <c r="F3848" t="n">
        <v>0.3418327492</v>
      </c>
      <c r="G3848" t="n">
        <v>0.4869070784</v>
      </c>
      <c r="H3848" t="n">
        <v>0.6765222198</v>
      </c>
    </row>
    <row r="3849">
      <c r="A3849" t="inlineStr">
        <is>
          <t>NRU|mit.typ.p5.2</t>
        </is>
      </c>
      <c r="B3849" t="inlineStr">
        <is>
          <t>NRU</t>
        </is>
      </c>
      <c r="C3849" t="inlineStr">
        <is>
          <t>mit.typ.p5.2</t>
        </is>
      </c>
      <c r="D3849" t="n">
        <v>0</v>
      </c>
      <c r="E3849" t="n">
        <v>0.003396394659</v>
      </c>
      <c r="F3849" t="n">
        <v>0.004210901214</v>
      </c>
      <c r="G3849" t="n">
        <v>0.005311257863</v>
      </c>
      <c r="H3849" t="n">
        <v>0.006942298656</v>
      </c>
    </row>
    <row r="3850">
      <c r="A3850" t="inlineStr">
        <is>
          <t>NZL|mit.typ.p5.2</t>
        </is>
      </c>
      <c r="B3850" t="inlineStr">
        <is>
          <t>NZL</t>
        </is>
      </c>
      <c r="C3850" t="inlineStr">
        <is>
          <t>mit.typ.p5.2</t>
        </is>
      </c>
      <c r="D3850" t="n">
        <v>0</v>
      </c>
      <c r="E3850" t="n">
        <v>2.960830674</v>
      </c>
      <c r="F3850" t="n">
        <v>3.564986563</v>
      </c>
      <c r="G3850" t="n">
        <v>3.423078576</v>
      </c>
      <c r="H3850" t="n">
        <v>3.471924789</v>
      </c>
    </row>
    <row r="3851">
      <c r="A3851" t="inlineStr">
        <is>
          <t>OMN|mit.typ.p5.2</t>
        </is>
      </c>
      <c r="B3851" t="inlineStr">
        <is>
          <t>OMN</t>
        </is>
      </c>
      <c r="C3851" t="inlineStr">
        <is>
          <t>mit.typ.p5.2</t>
        </is>
      </c>
      <c r="D3851" t="n">
        <v>0</v>
      </c>
      <c r="E3851" t="n">
        <v>1.745898548</v>
      </c>
      <c r="F3851" t="n">
        <v>2.142636559</v>
      </c>
      <c r="G3851" t="n">
        <v>2.258471726</v>
      </c>
      <c r="H3851" t="n">
        <v>2.301748099</v>
      </c>
    </row>
    <row r="3852">
      <c r="A3852" t="inlineStr">
        <is>
          <t>PAK|mit.typ.p5.2</t>
        </is>
      </c>
      <c r="B3852" t="inlineStr">
        <is>
          <t>PAK</t>
        </is>
      </c>
      <c r="C3852" t="inlineStr">
        <is>
          <t>mit.typ.p5.2</t>
        </is>
      </c>
      <c r="D3852" t="n">
        <v>0</v>
      </c>
      <c r="E3852" t="n">
        <v>1.996448237</v>
      </c>
      <c r="F3852" t="n">
        <v>3.477803232</v>
      </c>
      <c r="G3852" t="n">
        <v>4.662895574</v>
      </c>
      <c r="H3852" t="n">
        <v>6.125350227</v>
      </c>
    </row>
    <row r="3853">
      <c r="A3853" t="inlineStr">
        <is>
          <t>PAN|mit.typ.p5.2</t>
        </is>
      </c>
      <c r="B3853" t="inlineStr">
        <is>
          <t>PAN</t>
        </is>
      </c>
      <c r="C3853" t="inlineStr">
        <is>
          <t>mit.typ.p5.2</t>
        </is>
      </c>
      <c r="D3853" t="n">
        <v>0</v>
      </c>
      <c r="E3853" t="n">
        <v>0.4141152054</v>
      </c>
      <c r="F3853" t="n">
        <v>0.5368787354</v>
      </c>
      <c r="G3853" t="n">
        <v>0.5765669368</v>
      </c>
      <c r="H3853" t="n">
        <v>0.6139708677</v>
      </c>
    </row>
    <row r="3854">
      <c r="A3854" t="inlineStr">
        <is>
          <t>PER|mit.typ.p5.2</t>
        </is>
      </c>
      <c r="B3854" t="inlineStr">
        <is>
          <t>PER</t>
        </is>
      </c>
      <c r="C3854" t="inlineStr">
        <is>
          <t>mit.typ.p5.2</t>
        </is>
      </c>
      <c r="D3854" t="n">
        <v>0</v>
      </c>
      <c r="E3854" t="n">
        <v>2.249016462</v>
      </c>
      <c r="F3854" t="n">
        <v>2.956110648</v>
      </c>
      <c r="G3854" t="n">
        <v>3.824696895</v>
      </c>
      <c r="H3854" t="n">
        <v>4.557759064</v>
      </c>
    </row>
    <row r="3855">
      <c r="A3855" t="inlineStr">
        <is>
          <t>PHL|mit.typ.p5.2</t>
        </is>
      </c>
      <c r="B3855" t="inlineStr">
        <is>
          <t>PHL</t>
        </is>
      </c>
      <c r="C3855" t="inlineStr">
        <is>
          <t>mit.typ.p5.2</t>
        </is>
      </c>
      <c r="D3855" t="n">
        <v>0</v>
      </c>
      <c r="E3855" t="n">
        <v>2.806602652</v>
      </c>
      <c r="F3855" t="n">
        <v>4.056226698</v>
      </c>
      <c r="G3855" t="n">
        <v>5.815920251</v>
      </c>
      <c r="H3855" t="n">
        <v>6.979670675</v>
      </c>
    </row>
    <row r="3856">
      <c r="A3856" t="inlineStr">
        <is>
          <t>PLW|mit.typ.p5.2</t>
        </is>
      </c>
      <c r="B3856" t="inlineStr">
        <is>
          <t>PLW</t>
        </is>
      </c>
      <c r="C3856" t="inlineStr">
        <is>
          <t>mit.typ.p5.2</t>
        </is>
      </c>
      <c r="D3856" t="n">
        <v>0</v>
      </c>
      <c r="E3856" t="n">
        <v>0.006903342477</v>
      </c>
      <c r="F3856" t="n">
        <v>0.008791408808999999</v>
      </c>
      <c r="G3856" t="n">
        <v>0.00846870619</v>
      </c>
      <c r="H3856" t="n">
        <v>0.009153360571</v>
      </c>
    </row>
    <row r="3857">
      <c r="A3857" t="inlineStr">
        <is>
          <t>PNG|mit.typ.p5.2</t>
        </is>
      </c>
      <c r="B3857" t="inlineStr">
        <is>
          <t>PNG</t>
        </is>
      </c>
      <c r="C3857" t="inlineStr">
        <is>
          <t>mit.typ.p5.2</t>
        </is>
      </c>
      <c r="D3857" t="n">
        <v>0</v>
      </c>
      <c r="E3857" t="n">
        <v>0.1901389376</v>
      </c>
      <c r="F3857" t="n">
        <v>0.2561172863</v>
      </c>
      <c r="G3857" t="n">
        <v>0.3850694873</v>
      </c>
      <c r="H3857" t="n">
        <v>0.5645097072</v>
      </c>
    </row>
    <row r="3858">
      <c r="A3858" t="inlineStr">
        <is>
          <t>POL|mit.typ.p5.2</t>
        </is>
      </c>
      <c r="B3858" t="inlineStr">
        <is>
          <t>POL</t>
        </is>
      </c>
      <c r="C3858" t="inlineStr">
        <is>
          <t>mit.typ.p5.2</t>
        </is>
      </c>
      <c r="D3858" t="n">
        <v>0</v>
      </c>
      <c r="E3858" t="n">
        <v>8.712877545</v>
      </c>
      <c r="F3858" t="n">
        <v>10.50369069</v>
      </c>
      <c r="G3858" t="n">
        <v>11.5924403</v>
      </c>
      <c r="H3858" t="n">
        <v>11.05971147</v>
      </c>
    </row>
    <row r="3859">
      <c r="A3859" t="inlineStr">
        <is>
          <t>PRI|mit.typ.p5.2</t>
        </is>
      </c>
      <c r="B3859" t="inlineStr">
        <is>
          <t>PRI</t>
        </is>
      </c>
      <c r="C3859" t="inlineStr">
        <is>
          <t>mit.typ.p5.2</t>
        </is>
      </c>
      <c r="D3859" t="n">
        <v>0</v>
      </c>
      <c r="E3859" t="n">
        <v>0.8851193194</v>
      </c>
      <c r="F3859" t="n">
        <v>0.877329512</v>
      </c>
      <c r="G3859" t="n">
        <v>0.7386087788</v>
      </c>
      <c r="H3859" t="n">
        <v>0.780167156</v>
      </c>
    </row>
    <row r="3860">
      <c r="A3860" t="inlineStr">
        <is>
          <t>PRT|mit.typ.p5.2</t>
        </is>
      </c>
      <c r="B3860" t="inlineStr">
        <is>
          <t>PRT</t>
        </is>
      </c>
      <c r="C3860" t="inlineStr">
        <is>
          <t>mit.typ.p5.2</t>
        </is>
      </c>
      <c r="D3860" t="n">
        <v>0</v>
      </c>
      <c r="E3860" t="n">
        <v>2.728997949</v>
      </c>
      <c r="F3860" t="n">
        <v>2.994280731</v>
      </c>
      <c r="G3860" t="n">
        <v>2.840438834</v>
      </c>
      <c r="H3860" t="n">
        <v>2.894132688</v>
      </c>
    </row>
    <row r="3861">
      <c r="A3861" t="inlineStr">
        <is>
          <t>PRY|mit.typ.p5.2</t>
        </is>
      </c>
      <c r="B3861" t="inlineStr">
        <is>
          <t>PRY</t>
        </is>
      </c>
      <c r="C3861" t="inlineStr">
        <is>
          <t>mit.typ.p5.2</t>
        </is>
      </c>
      <c r="D3861" t="n">
        <v>0</v>
      </c>
      <c r="E3861" t="n">
        <v>0.3024153894</v>
      </c>
      <c r="F3861" t="n">
        <v>0.5078690031999999</v>
      </c>
      <c r="G3861" t="n">
        <v>0.6620521157</v>
      </c>
      <c r="H3861" t="n">
        <v>0.8651612972</v>
      </c>
    </row>
    <row r="3862">
      <c r="A3862" t="inlineStr">
        <is>
          <t>QAT|mit.typ.p5.2</t>
        </is>
      </c>
      <c r="B3862" t="inlineStr">
        <is>
          <t>QAT</t>
        </is>
      </c>
      <c r="C3862" t="inlineStr">
        <is>
          <t>mit.typ.p5.2</t>
        </is>
      </c>
      <c r="D3862" t="n">
        <v>0</v>
      </c>
      <c r="E3862" t="n">
        <v>1.907768374</v>
      </c>
      <c r="F3862" t="n">
        <v>1.279502309</v>
      </c>
      <c r="G3862" t="n">
        <v>1.563018165</v>
      </c>
      <c r="H3862" t="n">
        <v>1.772191466</v>
      </c>
    </row>
    <row r="3863">
      <c r="A3863" t="inlineStr">
        <is>
          <t>ROU|mit.typ.p5.2</t>
        </is>
      </c>
      <c r="B3863" t="inlineStr">
        <is>
          <t>ROU</t>
        </is>
      </c>
      <c r="C3863" t="inlineStr">
        <is>
          <t>mit.typ.p5.2</t>
        </is>
      </c>
      <c r="D3863" t="n">
        <v>0</v>
      </c>
      <c r="E3863" t="n">
        <v>3.073664929</v>
      </c>
      <c r="F3863" t="n">
        <v>3.526376922</v>
      </c>
      <c r="G3863" t="n">
        <v>4.39855501</v>
      </c>
      <c r="H3863" t="n">
        <v>5.206107391</v>
      </c>
    </row>
    <row r="3864">
      <c r="A3864" t="inlineStr">
        <is>
          <t>RUS|mit.typ.p5.2</t>
        </is>
      </c>
      <c r="B3864" t="inlineStr">
        <is>
          <t>RUS</t>
        </is>
      </c>
      <c r="C3864" t="inlineStr">
        <is>
          <t>mit.typ.p5.2</t>
        </is>
      </c>
      <c r="D3864" t="n">
        <v>0</v>
      </c>
      <c r="E3864" t="n">
        <v>29.21564393</v>
      </c>
      <c r="F3864" t="n">
        <v>34.46924757</v>
      </c>
      <c r="G3864" t="n">
        <v>48.37920328</v>
      </c>
      <c r="H3864" t="n">
        <v>54.40396262</v>
      </c>
    </row>
    <row r="3865">
      <c r="A3865" t="inlineStr">
        <is>
          <t>RWA|mit.typ.p5.2</t>
        </is>
      </c>
      <c r="B3865" t="inlineStr">
        <is>
          <t>RWA</t>
        </is>
      </c>
      <c r="C3865" t="inlineStr">
        <is>
          <t>mit.typ.p5.2</t>
        </is>
      </c>
      <c r="D3865" t="n">
        <v>0</v>
      </c>
      <c r="E3865" t="n">
        <v>0.03466249712</v>
      </c>
      <c r="F3865" t="n">
        <v>0.0706437884</v>
      </c>
      <c r="G3865" t="n">
        <v>0.10303584</v>
      </c>
      <c r="H3865" t="n">
        <v>0.1458544366</v>
      </c>
    </row>
    <row r="3866">
      <c r="A3866" t="inlineStr">
        <is>
          <t>SAU|mit.typ.p5.2</t>
        </is>
      </c>
      <c r="B3866" t="inlineStr">
        <is>
          <t>SAU</t>
        </is>
      </c>
      <c r="C3866" t="inlineStr">
        <is>
          <t>mit.typ.p5.2</t>
        </is>
      </c>
      <c r="D3866" t="n">
        <v>0</v>
      </c>
      <c r="E3866" t="n">
        <v>9.230130594</v>
      </c>
      <c r="F3866" t="n">
        <v>11.93809446</v>
      </c>
      <c r="G3866" t="n">
        <v>12.94549907</v>
      </c>
      <c r="H3866" t="n">
        <v>13.63464782</v>
      </c>
    </row>
    <row r="3867">
      <c r="A3867" t="inlineStr">
        <is>
          <t>SDN|mit.typ.p5.2</t>
        </is>
      </c>
      <c r="B3867" t="inlineStr">
        <is>
          <t>SDN</t>
        </is>
      </c>
      <c r="C3867" t="inlineStr">
        <is>
          <t>mit.typ.p5.2</t>
        </is>
      </c>
      <c r="D3867" t="n">
        <v>0</v>
      </c>
      <c r="E3867" t="n">
        <v>0.2775959279</v>
      </c>
      <c r="F3867" t="n">
        <v>0.6580623032</v>
      </c>
      <c r="G3867" t="n">
        <v>0.9133723558</v>
      </c>
      <c r="H3867" t="n">
        <v>1.218310874</v>
      </c>
    </row>
    <row r="3868">
      <c r="A3868" t="inlineStr">
        <is>
          <t>SEN|mit.typ.p5.2</t>
        </is>
      </c>
      <c r="B3868" t="inlineStr">
        <is>
          <t>SEN</t>
        </is>
      </c>
      <c r="C3868" t="inlineStr">
        <is>
          <t>mit.typ.p5.2</t>
        </is>
      </c>
      <c r="D3868" t="n">
        <v>0</v>
      </c>
      <c r="E3868" t="n">
        <v>0.1569997499</v>
      </c>
      <c r="F3868" t="n">
        <v>0.2267260737</v>
      </c>
      <c r="G3868" t="n">
        <v>0.3058192444</v>
      </c>
      <c r="H3868" t="n">
        <v>0.4086601785</v>
      </c>
    </row>
    <row r="3869">
      <c r="A3869" t="inlineStr">
        <is>
          <t>SGP|mit.typ.p5.2</t>
        </is>
      </c>
      <c r="B3869" t="inlineStr">
        <is>
          <t>SGP</t>
        </is>
      </c>
      <c r="C3869" t="inlineStr">
        <is>
          <t>mit.typ.p5.2</t>
        </is>
      </c>
      <c r="D3869" t="n">
        <v>0</v>
      </c>
      <c r="E3869" t="n">
        <v>4.841014129</v>
      </c>
      <c r="F3869" t="n">
        <v>5.977084955</v>
      </c>
      <c r="G3869" t="n">
        <v>6.098680176</v>
      </c>
      <c r="H3869" t="n">
        <v>6.805647826</v>
      </c>
    </row>
    <row r="3870">
      <c r="A3870" t="inlineStr">
        <is>
          <t>SLB|mit.typ.p5.2</t>
        </is>
      </c>
      <c r="B3870" t="inlineStr">
        <is>
          <t>SLB</t>
        </is>
      </c>
      <c r="C3870" t="inlineStr">
        <is>
          <t>mit.typ.p5.2</t>
        </is>
      </c>
      <c r="D3870" t="n">
        <v>0</v>
      </c>
      <c r="E3870" t="n">
        <v>0.007083609234</v>
      </c>
      <c r="F3870" t="n">
        <v>0.01050993491</v>
      </c>
      <c r="G3870" t="n">
        <v>0.01314720092</v>
      </c>
      <c r="H3870" t="n">
        <v>0.01804892662</v>
      </c>
    </row>
    <row r="3871">
      <c r="A3871" t="inlineStr">
        <is>
          <t>SLE|mit.typ.p5.2</t>
        </is>
      </c>
      <c r="B3871" t="inlineStr">
        <is>
          <t>SLE</t>
        </is>
      </c>
      <c r="C3871" t="inlineStr">
        <is>
          <t>mit.typ.p5.2</t>
        </is>
      </c>
      <c r="D3871" t="n">
        <v>0</v>
      </c>
      <c r="E3871" t="n">
        <v>0.0198207788</v>
      </c>
      <c r="F3871" t="n">
        <v>0.03968643528</v>
      </c>
      <c r="G3871" t="n">
        <v>0.05748995111</v>
      </c>
      <c r="H3871" t="n">
        <v>0.08248511453</v>
      </c>
    </row>
    <row r="3872">
      <c r="A3872" t="inlineStr">
        <is>
          <t>SLV|mit.typ.p5.2</t>
        </is>
      </c>
      <c r="B3872" t="inlineStr">
        <is>
          <t>SLV</t>
        </is>
      </c>
      <c r="C3872" t="inlineStr">
        <is>
          <t>mit.typ.p5.2</t>
        </is>
      </c>
      <c r="D3872" t="n">
        <v>0</v>
      </c>
      <c r="E3872" t="n">
        <v>0.2773644106</v>
      </c>
      <c r="F3872" t="n">
        <v>0.3800499234</v>
      </c>
      <c r="G3872" t="n">
        <v>0.512984812</v>
      </c>
      <c r="H3872" t="n">
        <v>0.6908722965</v>
      </c>
    </row>
    <row r="3873">
      <c r="A3873" t="inlineStr">
        <is>
          <t>SOM|mit.typ.p5.2</t>
        </is>
      </c>
      <c r="B3873" t="inlineStr">
        <is>
          <t>SOM</t>
        </is>
      </c>
      <c r="C3873" t="inlineStr">
        <is>
          <t>mit.typ.p5.2</t>
        </is>
      </c>
      <c r="D3873" t="n">
        <v>0</v>
      </c>
      <c r="E3873" t="n">
        <v>0.03051493755</v>
      </c>
      <c r="F3873" t="n">
        <v>0.09409848304</v>
      </c>
      <c r="G3873" t="n">
        <v>0.1391691382</v>
      </c>
      <c r="H3873" t="n">
        <v>0.1902175106</v>
      </c>
    </row>
    <row r="3874">
      <c r="A3874" t="inlineStr">
        <is>
          <t>SRB|mit.typ.p5.2</t>
        </is>
      </c>
      <c r="B3874" t="inlineStr">
        <is>
          <t>SRB</t>
        </is>
      </c>
      <c r="C3874" t="inlineStr">
        <is>
          <t>mit.typ.p5.2</t>
        </is>
      </c>
      <c r="D3874" t="n">
        <v>0</v>
      </c>
      <c r="E3874" t="n">
        <v>0.5764620694</v>
      </c>
      <c r="F3874" t="n">
        <v>0.7676198719</v>
      </c>
      <c r="G3874" t="n">
        <v>0.9459971628</v>
      </c>
      <c r="H3874" t="n">
        <v>1.119182116</v>
      </c>
    </row>
    <row r="3875">
      <c r="A3875" t="inlineStr">
        <is>
          <t>STP|mit.typ.p5.2</t>
        </is>
      </c>
      <c r="B3875" t="inlineStr">
        <is>
          <t>STP</t>
        </is>
      </c>
      <c r="C3875" t="inlineStr">
        <is>
          <t>mit.typ.p5.2</t>
        </is>
      </c>
      <c r="D3875" t="n">
        <v>0</v>
      </c>
      <c r="E3875" t="n">
        <v>0.002842366804</v>
      </c>
      <c r="F3875" t="n">
        <v>0.003908281996</v>
      </c>
      <c r="G3875" t="n">
        <v>0.005647728745</v>
      </c>
      <c r="H3875" t="n">
        <v>0.008092035278999999</v>
      </c>
    </row>
    <row r="3876">
      <c r="A3876" t="inlineStr">
        <is>
          <t>SUR|mit.typ.p5.2</t>
        </is>
      </c>
      <c r="B3876" t="inlineStr">
        <is>
          <t>SUR</t>
        </is>
      </c>
      <c r="C3876" t="inlineStr">
        <is>
          <t>mit.typ.p5.2</t>
        </is>
      </c>
      <c r="D3876" t="n">
        <v>0</v>
      </c>
      <c r="E3876" t="n">
        <v>0.04720316767</v>
      </c>
      <c r="F3876" t="n">
        <v>0.06571380764</v>
      </c>
      <c r="G3876" t="n">
        <v>0.08688410129</v>
      </c>
      <c r="H3876" t="n">
        <v>0.1145893529</v>
      </c>
    </row>
    <row r="3877">
      <c r="A3877" t="inlineStr">
        <is>
          <t>SVK|mit.typ.p5.2</t>
        </is>
      </c>
      <c r="B3877" t="inlineStr">
        <is>
          <t>SVK</t>
        </is>
      </c>
      <c r="C3877" t="inlineStr">
        <is>
          <t>mit.typ.p5.2</t>
        </is>
      </c>
      <c r="D3877" t="n">
        <v>0</v>
      </c>
      <c r="E3877" t="n">
        <v>2.163631786</v>
      </c>
      <c r="F3877" t="n">
        <v>2.220121844</v>
      </c>
      <c r="G3877" t="n">
        <v>2.128952217</v>
      </c>
      <c r="H3877" t="n">
        <v>1.824249307</v>
      </c>
    </row>
    <row r="3878">
      <c r="A3878" t="inlineStr">
        <is>
          <t>SVN|mit.typ.p5.2</t>
        </is>
      </c>
      <c r="B3878" t="inlineStr">
        <is>
          <t>SVN</t>
        </is>
      </c>
      <c r="C3878" t="inlineStr">
        <is>
          <t>mit.typ.p5.2</t>
        </is>
      </c>
      <c r="D3878" t="n">
        <v>0</v>
      </c>
      <c r="E3878" t="n">
        <v>0.9062011923</v>
      </c>
      <c r="F3878" t="n">
        <v>1.017712114</v>
      </c>
      <c r="G3878" t="n">
        <v>0.9192427560999999</v>
      </c>
      <c r="H3878" t="n">
        <v>0.9430088697</v>
      </c>
    </row>
    <row r="3879">
      <c r="A3879" t="inlineStr">
        <is>
          <t>SWE|mit.typ.p5.2</t>
        </is>
      </c>
      <c r="B3879" t="inlineStr">
        <is>
          <t>SWE</t>
        </is>
      </c>
      <c r="C3879" t="inlineStr">
        <is>
          <t>mit.typ.p5.2</t>
        </is>
      </c>
      <c r="D3879" t="n">
        <v>0</v>
      </c>
      <c r="E3879" t="n">
        <v>5.317124719</v>
      </c>
      <c r="F3879" t="n">
        <v>5.940189246</v>
      </c>
      <c r="G3879" t="n">
        <v>5.990462755</v>
      </c>
      <c r="H3879" t="n">
        <v>6.524842823</v>
      </c>
    </row>
    <row r="3880">
      <c r="A3880" t="inlineStr">
        <is>
          <t>SWZ|mit.typ.p5.2</t>
        </is>
      </c>
      <c r="B3880" t="inlineStr">
        <is>
          <t>SWZ</t>
        </is>
      </c>
      <c r="C3880" t="inlineStr">
        <is>
          <t>mit.typ.p5.2</t>
        </is>
      </c>
      <c r="D3880" t="n">
        <v>0</v>
      </c>
      <c r="E3880" t="n">
        <v>0.01875342258</v>
      </c>
      <c r="F3880" t="n">
        <v>0.03226867867</v>
      </c>
      <c r="G3880" t="n">
        <v>0.03892618208</v>
      </c>
      <c r="H3880" t="n">
        <v>0.05056473265</v>
      </c>
    </row>
    <row r="3881">
      <c r="A3881" t="inlineStr">
        <is>
          <t>SYC|mit.typ.p5.2</t>
        </is>
      </c>
      <c r="B3881" t="inlineStr">
        <is>
          <t>SYC</t>
        </is>
      </c>
      <c r="C3881" t="inlineStr">
        <is>
          <t>mit.typ.p5.2</t>
        </is>
      </c>
      <c r="D3881" t="n">
        <v>0</v>
      </c>
      <c r="E3881" t="n">
        <v>0.0185099664</v>
      </c>
      <c r="F3881" t="n">
        <v>0.0205328685</v>
      </c>
      <c r="G3881" t="n">
        <v>0.02233167625</v>
      </c>
      <c r="H3881" t="n">
        <v>0.02464428484</v>
      </c>
    </row>
    <row r="3882">
      <c r="A3882" t="inlineStr">
        <is>
          <t>SYR|mit.typ.p5.2</t>
        </is>
      </c>
      <c r="B3882" t="inlineStr">
        <is>
          <t>SYR</t>
        </is>
      </c>
      <c r="C3882" t="inlineStr">
        <is>
          <t>mit.typ.p5.2</t>
        </is>
      </c>
      <c r="D3882" t="n">
        <v>0</v>
      </c>
      <c r="E3882" t="n">
        <v>0.423843527</v>
      </c>
      <c r="F3882" t="n">
        <v>0.5830042089</v>
      </c>
      <c r="G3882" t="n">
        <v>0.8752705773</v>
      </c>
      <c r="H3882" t="n">
        <v>1.19944519</v>
      </c>
    </row>
    <row r="3883">
      <c r="A3883" t="inlineStr">
        <is>
          <t>TCD|mit.typ.p5.2</t>
        </is>
      </c>
      <c r="B3883" t="inlineStr">
        <is>
          <t>TCD</t>
        </is>
      </c>
      <c r="C3883" t="inlineStr">
        <is>
          <t>mit.typ.p5.2</t>
        </is>
      </c>
      <c r="D3883" t="n">
        <v>0</v>
      </c>
      <c r="E3883" t="n">
        <v>0.07409788623999999</v>
      </c>
      <c r="F3883" t="n">
        <v>0.2582065433</v>
      </c>
      <c r="G3883" t="n">
        <v>0.3884812856</v>
      </c>
      <c r="H3883" t="n">
        <v>0.5334453025</v>
      </c>
    </row>
    <row r="3884">
      <c r="A3884" t="inlineStr">
        <is>
          <t>TGO|mit.typ.p5.2</t>
        </is>
      </c>
      <c r="B3884" t="inlineStr">
        <is>
          <t>TGO</t>
        </is>
      </c>
      <c r="C3884" t="inlineStr">
        <is>
          <t>mit.typ.p5.2</t>
        </is>
      </c>
      <c r="D3884" t="n">
        <v>0</v>
      </c>
      <c r="E3884" t="n">
        <v>0.029621451</v>
      </c>
      <c r="F3884" t="n">
        <v>0.05875423407</v>
      </c>
      <c r="G3884" t="n">
        <v>0.078844556</v>
      </c>
      <c r="H3884" t="n">
        <v>0.1067071511</v>
      </c>
    </row>
    <row r="3885">
      <c r="A3885" t="inlineStr">
        <is>
          <t>THA|mit.typ.p5.2</t>
        </is>
      </c>
      <c r="B3885" t="inlineStr">
        <is>
          <t>THA</t>
        </is>
      </c>
      <c r="C3885" t="inlineStr">
        <is>
          <t>mit.typ.p5.2</t>
        </is>
      </c>
      <c r="D3885" t="n">
        <v>0</v>
      </c>
      <c r="E3885" t="n">
        <v>3.876581118</v>
      </c>
      <c r="F3885" t="n">
        <v>5.143015937</v>
      </c>
      <c r="G3885" t="n">
        <v>6.552190985</v>
      </c>
      <c r="H3885" t="n">
        <v>8.201996208000001</v>
      </c>
    </row>
    <row r="3886">
      <c r="A3886" t="inlineStr">
        <is>
          <t>TJK|mit.typ.p5.2</t>
        </is>
      </c>
      <c r="B3886" t="inlineStr">
        <is>
          <t>TJK</t>
        </is>
      </c>
      <c r="C3886" t="inlineStr">
        <is>
          <t>mit.typ.p5.2</t>
        </is>
      </c>
      <c r="D3886" t="n">
        <v>0</v>
      </c>
      <c r="E3886" t="n">
        <v>0.07386373951</v>
      </c>
      <c r="F3886" t="n">
        <v>0.1206851849</v>
      </c>
      <c r="G3886" t="n">
        <v>0.164821269</v>
      </c>
      <c r="H3886" t="n">
        <v>0.2276074665</v>
      </c>
    </row>
    <row r="3887">
      <c r="A3887" t="inlineStr">
        <is>
          <t>TKM|mit.typ.p5.2</t>
        </is>
      </c>
      <c r="B3887" t="inlineStr">
        <is>
          <t>TKM</t>
        </is>
      </c>
      <c r="C3887" t="inlineStr">
        <is>
          <t>mit.typ.p5.2</t>
        </is>
      </c>
      <c r="D3887" t="n">
        <v>0</v>
      </c>
      <c r="E3887" t="n">
        <v>2.045167434</v>
      </c>
      <c r="F3887" t="n">
        <v>2.41991146</v>
      </c>
      <c r="G3887" t="n">
        <v>3.004958235</v>
      </c>
      <c r="H3887" t="n">
        <v>3.71038599</v>
      </c>
    </row>
    <row r="3888">
      <c r="A3888" t="inlineStr">
        <is>
          <t>TLS|mit.typ.p5.2</t>
        </is>
      </c>
      <c r="B3888" t="inlineStr">
        <is>
          <t>TLS</t>
        </is>
      </c>
      <c r="C3888" t="inlineStr">
        <is>
          <t>mit.typ.p5.2</t>
        </is>
      </c>
      <c r="D3888" t="n">
        <v>0</v>
      </c>
      <c r="E3888" t="n">
        <v>0.0186279818</v>
      </c>
      <c r="F3888" t="n">
        <v>0.03058904776</v>
      </c>
      <c r="G3888" t="n">
        <v>0.0430972261</v>
      </c>
      <c r="H3888" t="n">
        <v>0.06135350341</v>
      </c>
    </row>
    <row r="3889">
      <c r="A3889" t="inlineStr">
        <is>
          <t>TON|mit.typ.p5.2</t>
        </is>
      </c>
      <c r="B3889" t="inlineStr">
        <is>
          <t>TON</t>
        </is>
      </c>
      <c r="C3889" t="inlineStr">
        <is>
          <t>mit.typ.p5.2</t>
        </is>
      </c>
      <c r="D3889" t="n">
        <v>0</v>
      </c>
      <c r="E3889" t="n">
        <v>0.004693401593</v>
      </c>
      <c r="F3889" t="n">
        <v>0.006578664228</v>
      </c>
      <c r="G3889" t="n">
        <v>0.007440334415</v>
      </c>
      <c r="H3889" t="n">
        <v>0.009084232160999999</v>
      </c>
    </row>
    <row r="3890">
      <c r="A3890" t="inlineStr">
        <is>
          <t>TTO|mit.typ.p5.2</t>
        </is>
      </c>
      <c r="B3890" t="inlineStr">
        <is>
          <t>TTO</t>
        </is>
      </c>
      <c r="C3890" t="inlineStr">
        <is>
          <t>mit.typ.p5.2</t>
        </is>
      </c>
      <c r="D3890" t="n">
        <v>0</v>
      </c>
      <c r="E3890" t="n">
        <v>0.211107051</v>
      </c>
      <c r="F3890" t="n">
        <v>0.2661797777</v>
      </c>
      <c r="G3890" t="n">
        <v>0.3109641657</v>
      </c>
      <c r="H3890" t="n">
        <v>0.3444864235</v>
      </c>
    </row>
    <row r="3891">
      <c r="A3891" t="inlineStr">
        <is>
          <t>TUN|mit.typ.p5.2</t>
        </is>
      </c>
      <c r="B3891" t="inlineStr">
        <is>
          <t>TUN</t>
        </is>
      </c>
      <c r="C3891" t="inlineStr">
        <is>
          <t>mit.typ.p5.2</t>
        </is>
      </c>
      <c r="D3891" t="n">
        <v>0</v>
      </c>
      <c r="E3891" t="n">
        <v>0.2465845679</v>
      </c>
      <c r="F3891" t="n">
        <v>0.3285935095</v>
      </c>
      <c r="G3891" t="n">
        <v>0.4788018209</v>
      </c>
      <c r="H3891" t="n">
        <v>0.6077030555</v>
      </c>
    </row>
    <row r="3892">
      <c r="A3892" t="inlineStr">
        <is>
          <t>TUR|mit.typ.p5.2</t>
        </is>
      </c>
      <c r="B3892" t="inlineStr">
        <is>
          <t>TUR</t>
        </is>
      </c>
      <c r="C3892" t="inlineStr">
        <is>
          <t>mit.typ.p5.2</t>
        </is>
      </c>
      <c r="D3892" t="n">
        <v>0</v>
      </c>
      <c r="E3892" t="n">
        <v>12.6315839</v>
      </c>
      <c r="F3892" t="n">
        <v>15.13313433</v>
      </c>
      <c r="G3892" t="n">
        <v>18.47427912</v>
      </c>
      <c r="H3892" t="n">
        <v>21.09107311</v>
      </c>
    </row>
    <row r="3893">
      <c r="A3893" t="inlineStr">
        <is>
          <t>TZA|mit.typ.p5.2</t>
        </is>
      </c>
      <c r="B3893" t="inlineStr">
        <is>
          <t>TZA</t>
        </is>
      </c>
      <c r="C3893" t="inlineStr">
        <is>
          <t>mit.typ.p5.2</t>
        </is>
      </c>
      <c r="D3893" t="n">
        <v>0</v>
      </c>
      <c r="E3893" t="n">
        <v>0.2304700261</v>
      </c>
      <c r="F3893" t="n">
        <v>0.4888035801</v>
      </c>
      <c r="G3893" t="n">
        <v>0.6713705911</v>
      </c>
      <c r="H3893" t="n">
        <v>0.9132624599</v>
      </c>
    </row>
    <row r="3894">
      <c r="A3894" t="inlineStr">
        <is>
          <t>UGA|mit.typ.p5.2</t>
        </is>
      </c>
      <c r="B3894" t="inlineStr">
        <is>
          <t>UGA</t>
        </is>
      </c>
      <c r="C3894" t="inlineStr">
        <is>
          <t>mit.typ.p5.2</t>
        </is>
      </c>
      <c r="D3894" t="n">
        <v>0</v>
      </c>
      <c r="E3894" t="n">
        <v>0.1617303165</v>
      </c>
      <c r="F3894" t="n">
        <v>0.3690862115</v>
      </c>
      <c r="G3894" t="n">
        <v>0.5298363937</v>
      </c>
      <c r="H3894" t="n">
        <v>0.7457074387</v>
      </c>
    </row>
    <row r="3895">
      <c r="A3895" t="inlineStr">
        <is>
          <t>UKR|mit.typ.p5.2</t>
        </is>
      </c>
      <c r="B3895" t="inlineStr">
        <is>
          <t>UKR</t>
        </is>
      </c>
      <c r="C3895" t="inlineStr">
        <is>
          <t>mit.typ.p5.2</t>
        </is>
      </c>
      <c r="D3895" t="n">
        <v>0</v>
      </c>
      <c r="E3895" t="n">
        <v>1.611229704</v>
      </c>
      <c r="F3895" t="n">
        <v>2.095378644</v>
      </c>
      <c r="G3895" t="n">
        <v>2.890396848</v>
      </c>
      <c r="H3895" t="n">
        <v>3.736788934</v>
      </c>
    </row>
    <row r="3896">
      <c r="A3896" t="inlineStr">
        <is>
          <t>URY|mit.typ.p5.2</t>
        </is>
      </c>
      <c r="B3896" t="inlineStr">
        <is>
          <t>URY</t>
        </is>
      </c>
      <c r="C3896" t="inlineStr">
        <is>
          <t>mit.typ.p5.2</t>
        </is>
      </c>
      <c r="D3896" t="n">
        <v>0</v>
      </c>
      <c r="E3896" t="n">
        <v>0.3944921444</v>
      </c>
      <c r="F3896" t="n">
        <v>0.601866706</v>
      </c>
      <c r="G3896" t="n">
        <v>0.7005625597</v>
      </c>
      <c r="H3896" t="n">
        <v>0.8315304754</v>
      </c>
    </row>
    <row r="3897">
      <c r="A3897" t="inlineStr">
        <is>
          <t>USA|mit.typ.p5.2</t>
        </is>
      </c>
      <c r="B3897" t="inlineStr">
        <is>
          <t>USA</t>
        </is>
      </c>
      <c r="C3897" t="inlineStr">
        <is>
          <t>mit.typ.p5.2</t>
        </is>
      </c>
      <c r="D3897" t="n">
        <v>0</v>
      </c>
      <c r="E3897" t="n">
        <v>429.4800229</v>
      </c>
      <c r="F3897" t="n">
        <v>478.0909656</v>
      </c>
      <c r="G3897" t="n">
        <v>430.4509655</v>
      </c>
      <c r="H3897" t="n">
        <v>384.2612606</v>
      </c>
    </row>
    <row r="3898">
      <c r="A3898" t="inlineStr">
        <is>
          <t>UZB|mit.typ.p5.2</t>
        </is>
      </c>
      <c r="B3898" t="inlineStr">
        <is>
          <t>UZB</t>
        </is>
      </c>
      <c r="C3898" t="inlineStr">
        <is>
          <t>mit.typ.p5.2</t>
        </is>
      </c>
      <c r="D3898" t="n">
        <v>0</v>
      </c>
      <c r="E3898" t="n">
        <v>1.479751411</v>
      </c>
      <c r="F3898" t="n">
        <v>2.106607503</v>
      </c>
      <c r="G3898" t="n">
        <v>2.971379894</v>
      </c>
      <c r="H3898" t="n">
        <v>3.904561396</v>
      </c>
    </row>
    <row r="3899">
      <c r="A3899" t="inlineStr">
        <is>
          <t>VCT|mit.typ.p5.2</t>
        </is>
      </c>
      <c r="B3899" t="inlineStr">
        <is>
          <t>VCT</t>
        </is>
      </c>
      <c r="C3899" t="inlineStr">
        <is>
          <t>mit.typ.p5.2</t>
        </is>
      </c>
      <c r="D3899" t="n">
        <v>0</v>
      </c>
      <c r="E3899" t="n">
        <v>0.006509326615</v>
      </c>
      <c r="F3899" t="n">
        <v>0.008690162949</v>
      </c>
      <c r="G3899" t="n">
        <v>0.01037234138</v>
      </c>
      <c r="H3899" t="n">
        <v>0.01325273436</v>
      </c>
    </row>
    <row r="3900">
      <c r="A3900" t="inlineStr">
        <is>
          <t>VEN|mit.typ.p5.2</t>
        </is>
      </c>
      <c r="B3900" t="inlineStr">
        <is>
          <t>VEN</t>
        </is>
      </c>
      <c r="C3900" t="inlineStr">
        <is>
          <t>mit.typ.p5.2</t>
        </is>
      </c>
      <c r="D3900" t="n">
        <v>0</v>
      </c>
      <c r="E3900" t="n">
        <v>1.020774874</v>
      </c>
      <c r="F3900" t="n">
        <v>1.546987424</v>
      </c>
      <c r="G3900" t="n">
        <v>2.00718463</v>
      </c>
      <c r="H3900" t="n">
        <v>2.636278239</v>
      </c>
    </row>
    <row r="3901">
      <c r="A3901" t="inlineStr">
        <is>
          <t>VNM|mit.typ.p5.2</t>
        </is>
      </c>
      <c r="B3901" t="inlineStr">
        <is>
          <t>VNM</t>
        </is>
      </c>
      <c r="C3901" t="inlineStr">
        <is>
          <t>mit.typ.p5.2</t>
        </is>
      </c>
      <c r="D3901" t="n">
        <v>0</v>
      </c>
      <c r="E3901" t="n">
        <v>4.236366486</v>
      </c>
      <c r="F3901" t="n">
        <v>5.801115598</v>
      </c>
      <c r="G3901" t="n">
        <v>7.859668615</v>
      </c>
      <c r="H3901" t="n">
        <v>9.383143817000001</v>
      </c>
    </row>
    <row r="3902">
      <c r="A3902" t="inlineStr">
        <is>
          <t>VUT|mit.typ.p5.2</t>
        </is>
      </c>
      <c r="B3902" t="inlineStr">
        <is>
          <t>VUT</t>
        </is>
      </c>
      <c r="C3902" t="inlineStr">
        <is>
          <t>mit.typ.p5.2</t>
        </is>
      </c>
      <c r="D3902" t="n">
        <v>0</v>
      </c>
      <c r="E3902" t="n">
        <v>0.005588230324</v>
      </c>
      <c r="F3902" t="n">
        <v>0.009435365309</v>
      </c>
      <c r="G3902" t="n">
        <v>0.01099310502</v>
      </c>
      <c r="H3902" t="n">
        <v>0.01435281911</v>
      </c>
    </row>
    <row r="3903">
      <c r="A3903" t="inlineStr">
        <is>
          <t>WSM|mit.typ.p5.2</t>
        </is>
      </c>
      <c r="B3903" t="inlineStr">
        <is>
          <t>WSM</t>
        </is>
      </c>
      <c r="C3903" t="inlineStr">
        <is>
          <t>mit.typ.p5.2</t>
        </is>
      </c>
      <c r="D3903" t="n">
        <v>0</v>
      </c>
      <c r="E3903" t="n">
        <v>0.008686449334</v>
      </c>
      <c r="F3903" t="n">
        <v>0.01221540877</v>
      </c>
      <c r="G3903" t="n">
        <v>0.01417143048</v>
      </c>
      <c r="H3903" t="n">
        <v>0.01772650063</v>
      </c>
    </row>
    <row r="3904">
      <c r="A3904" t="inlineStr">
        <is>
          <t>XKX|mit.typ.p5.2</t>
        </is>
      </c>
      <c r="B3904" t="inlineStr">
        <is>
          <t>XKX</t>
        </is>
      </c>
      <c r="C3904" t="inlineStr">
        <is>
          <t>mit.typ.p5.2</t>
        </is>
      </c>
      <c r="D3904" t="n">
        <v>0</v>
      </c>
      <c r="E3904" t="n">
        <v>0.05078863403</v>
      </c>
      <c r="F3904" t="n">
        <v>0.06700447471</v>
      </c>
      <c r="G3904" t="n">
        <v>0.08831662478000001</v>
      </c>
      <c r="H3904" t="n">
        <v>0.1154969351</v>
      </c>
    </row>
    <row r="3905">
      <c r="A3905" t="inlineStr">
        <is>
          <t>YEM|mit.typ.p5.2</t>
        </is>
      </c>
      <c r="B3905" t="inlineStr">
        <is>
          <t>YEM</t>
        </is>
      </c>
      <c r="C3905" t="inlineStr">
        <is>
          <t>mit.typ.p5.2</t>
        </is>
      </c>
      <c r="D3905" t="n">
        <v>0</v>
      </c>
      <c r="E3905" t="n">
        <v>0.06280176903</v>
      </c>
      <c r="F3905" t="n">
        <v>0.1063610306</v>
      </c>
      <c r="G3905" t="n">
        <v>0.152709577</v>
      </c>
      <c r="H3905" t="n">
        <v>0.2090325178</v>
      </c>
    </row>
    <row r="3906">
      <c r="A3906" t="inlineStr">
        <is>
          <t>ZAF|mit.typ.p5.2</t>
        </is>
      </c>
      <c r="B3906" t="inlineStr">
        <is>
          <t>ZAF</t>
        </is>
      </c>
      <c r="C3906" t="inlineStr">
        <is>
          <t>mit.typ.p5.2</t>
        </is>
      </c>
      <c r="D3906" t="n">
        <v>0</v>
      </c>
      <c r="E3906" t="n">
        <v>4.157442046</v>
      </c>
      <c r="F3906" t="n">
        <v>5.126326938</v>
      </c>
      <c r="G3906" t="n">
        <v>6.316151811</v>
      </c>
      <c r="H3906" t="n">
        <v>7.493370258</v>
      </c>
    </row>
    <row r="3907">
      <c r="A3907" t="inlineStr">
        <is>
          <t>ZMB|mit.typ.p5.2</t>
        </is>
      </c>
      <c r="B3907" t="inlineStr">
        <is>
          <t>ZMB</t>
        </is>
      </c>
      <c r="C3907" t="inlineStr">
        <is>
          <t>mit.typ.p5.2</t>
        </is>
      </c>
      <c r="D3907" t="n">
        <v>0</v>
      </c>
      <c r="E3907" t="n">
        <v>0.17712536</v>
      </c>
      <c r="F3907" t="n">
        <v>0.317348565</v>
      </c>
      <c r="G3907" t="n">
        <v>0.4386130827</v>
      </c>
      <c r="H3907" t="n">
        <v>0.5919187855</v>
      </c>
    </row>
    <row r="3908">
      <c r="A3908" t="inlineStr">
        <is>
          <t>ZWE|mit.typ.p5.2</t>
        </is>
      </c>
      <c r="B3908" t="inlineStr">
        <is>
          <t>ZWE</t>
        </is>
      </c>
      <c r="C3908" t="inlineStr">
        <is>
          <t>mit.typ.p5.2</t>
        </is>
      </c>
      <c r="D3908" t="n">
        <v>0</v>
      </c>
      <c r="E3908" t="n">
        <v>0.1134476746</v>
      </c>
      <c r="F3908" t="n">
        <v>0.1706022276</v>
      </c>
      <c r="G3908" t="n">
        <v>0.2504613617</v>
      </c>
      <c r="H3908" t="n">
        <v>0.3453557824</v>
      </c>
    </row>
    <row r="3909">
      <c r="A3909" t="inlineStr">
        <is>
          <t>ABW|mit.typ.bud.2</t>
        </is>
      </c>
      <c r="B3909" t="inlineStr">
        <is>
          <t>ABW</t>
        </is>
      </c>
      <c r="C3909" t="inlineStr">
        <is>
          <t>mit.typ.bud.2</t>
        </is>
      </c>
      <c r="D3909" t="n">
        <v>0</v>
      </c>
      <c r="E3909" t="n">
        <v>0.01154150339</v>
      </c>
      <c r="F3909" t="n">
        <v>0.01313325927</v>
      </c>
      <c r="G3909" t="n">
        <v>0.01466254462</v>
      </c>
      <c r="H3909" t="n">
        <v>0.01655619456</v>
      </c>
    </row>
    <row r="3910">
      <c r="A3910" t="inlineStr">
        <is>
          <t>AFG|mit.typ.bud.2</t>
        </is>
      </c>
      <c r="B3910" t="inlineStr">
        <is>
          <t>AFG</t>
        </is>
      </c>
      <c r="C3910" t="inlineStr">
        <is>
          <t>mit.typ.bud.2</t>
        </is>
      </c>
      <c r="D3910" t="n">
        <v>0</v>
      </c>
      <c r="E3910" t="n">
        <v>0.2021917551</v>
      </c>
      <c r="F3910" t="n">
        <v>0.4052387298</v>
      </c>
      <c r="G3910" t="n">
        <v>0.6173446212</v>
      </c>
      <c r="H3910" t="n">
        <v>0.7992025188</v>
      </c>
    </row>
    <row r="3911">
      <c r="A3911" t="inlineStr">
        <is>
          <t>AGO|mit.typ.bud.2</t>
        </is>
      </c>
      <c r="B3911" t="inlineStr">
        <is>
          <t>AGO</t>
        </is>
      </c>
      <c r="C3911" t="inlineStr">
        <is>
          <t>mit.typ.bud.2</t>
        </is>
      </c>
      <c r="D3911" t="n">
        <v>0</v>
      </c>
      <c r="E3911" t="n">
        <v>0.9788614101999999</v>
      </c>
      <c r="F3911" t="n">
        <v>2.772151077</v>
      </c>
      <c r="G3911" t="n">
        <v>3.39228314</v>
      </c>
      <c r="H3911" t="n">
        <v>3.90024718</v>
      </c>
    </row>
    <row r="3912">
      <c r="A3912" t="inlineStr">
        <is>
          <t>ALB|mit.typ.bud.2</t>
        </is>
      </c>
      <c r="B3912" t="inlineStr">
        <is>
          <t>ALB</t>
        </is>
      </c>
      <c r="C3912" t="inlineStr">
        <is>
          <t>mit.typ.bud.2</t>
        </is>
      </c>
      <c r="D3912" t="n">
        <v>0</v>
      </c>
      <c r="E3912" t="n">
        <v>0.05479400447</v>
      </c>
      <c r="F3912" t="n">
        <v>0.08256682937</v>
      </c>
      <c r="G3912" t="n">
        <v>0.1110713185</v>
      </c>
      <c r="H3912" t="n">
        <v>0.1452085872</v>
      </c>
    </row>
    <row r="3913">
      <c r="A3913" t="inlineStr">
        <is>
          <t>ARE|mit.typ.bud.2</t>
        </is>
      </c>
      <c r="B3913" t="inlineStr">
        <is>
          <t>ARE</t>
        </is>
      </c>
      <c r="C3913" t="inlineStr">
        <is>
          <t>mit.typ.bud.2</t>
        </is>
      </c>
      <c r="D3913" t="n">
        <v>0</v>
      </c>
      <c r="E3913" t="n">
        <v>3.18055073</v>
      </c>
      <c r="F3913" t="n">
        <v>4.007802811</v>
      </c>
      <c r="G3913" t="n">
        <v>5.930801504</v>
      </c>
      <c r="H3913" t="n">
        <v>6.00420145</v>
      </c>
    </row>
    <row r="3914">
      <c r="A3914" t="inlineStr">
        <is>
          <t>ARG|mit.typ.bud.2</t>
        </is>
      </c>
      <c r="B3914" t="inlineStr">
        <is>
          <t>ARG</t>
        </is>
      </c>
      <c r="C3914" t="inlineStr">
        <is>
          <t>mit.typ.bud.2</t>
        </is>
      </c>
      <c r="D3914" t="n">
        <v>0</v>
      </c>
      <c r="E3914" t="n">
        <v>3.395477762</v>
      </c>
      <c r="F3914" t="n">
        <v>5.779850436</v>
      </c>
      <c r="G3914" t="n">
        <v>7.039534665</v>
      </c>
      <c r="H3914" t="n">
        <v>7.628446638</v>
      </c>
    </row>
    <row r="3915">
      <c r="A3915" t="inlineStr">
        <is>
          <t>ARM|mit.typ.bud.2</t>
        </is>
      </c>
      <c r="B3915" t="inlineStr">
        <is>
          <t>ARM</t>
        </is>
      </c>
      <c r="C3915" t="inlineStr">
        <is>
          <t>mit.typ.bud.2</t>
        </is>
      </c>
      <c r="D3915" t="n">
        <v>0</v>
      </c>
      <c r="E3915" t="n">
        <v>0.1084035336</v>
      </c>
      <c r="F3915" t="n">
        <v>0.1402263191</v>
      </c>
      <c r="G3915" t="n">
        <v>0.1695615765</v>
      </c>
      <c r="H3915" t="n">
        <v>0.2020790531</v>
      </c>
    </row>
    <row r="3916">
      <c r="A3916" t="inlineStr">
        <is>
          <t>ATG|mit.typ.bud.2</t>
        </is>
      </c>
      <c r="B3916" t="inlineStr">
        <is>
          <t>ATG</t>
        </is>
      </c>
      <c r="C3916" t="inlineStr">
        <is>
          <t>mit.typ.bud.2</t>
        </is>
      </c>
      <c r="D3916" t="n">
        <v>0</v>
      </c>
      <c r="E3916" t="n">
        <v>0.007805682458</v>
      </c>
      <c r="F3916" t="n">
        <v>0.009565722808000001</v>
      </c>
      <c r="G3916" t="n">
        <v>0.0106938104</v>
      </c>
      <c r="H3916" t="n">
        <v>0.0121125182</v>
      </c>
    </row>
    <row r="3917">
      <c r="A3917" t="inlineStr">
        <is>
          <t>AUS|mit.typ.bud.2</t>
        </is>
      </c>
      <c r="B3917" t="inlineStr">
        <is>
          <t>AUS</t>
        </is>
      </c>
      <c r="C3917" t="inlineStr">
        <is>
          <t>mit.typ.bud.2</t>
        </is>
      </c>
      <c r="D3917" t="n">
        <v>0</v>
      </c>
      <c r="E3917" t="n">
        <v>4.665703267</v>
      </c>
      <c r="F3917" t="n">
        <v>5.501835554</v>
      </c>
      <c r="G3917" t="n">
        <v>6.143852185</v>
      </c>
      <c r="H3917" t="n">
        <v>6.400296206</v>
      </c>
    </row>
    <row r="3918">
      <c r="A3918" t="inlineStr">
        <is>
          <t>AUT|mit.typ.bud.2</t>
        </is>
      </c>
      <c r="B3918" t="inlineStr">
        <is>
          <t>AUT</t>
        </is>
      </c>
      <c r="C3918" t="inlineStr">
        <is>
          <t>mit.typ.bud.2</t>
        </is>
      </c>
      <c r="D3918" t="n">
        <v>0</v>
      </c>
      <c r="E3918" t="n">
        <v>1.467250659</v>
      </c>
      <c r="F3918" t="n">
        <v>1.7051362</v>
      </c>
      <c r="G3918" t="n">
        <v>1.907759165</v>
      </c>
      <c r="H3918" t="n">
        <v>1.930472939</v>
      </c>
    </row>
    <row r="3919">
      <c r="A3919" t="inlineStr">
        <is>
          <t>AZE|mit.typ.bud.2</t>
        </is>
      </c>
      <c r="B3919" t="inlineStr">
        <is>
          <t>AZE</t>
        </is>
      </c>
      <c r="C3919" t="inlineStr">
        <is>
          <t>mit.typ.bud.2</t>
        </is>
      </c>
      <c r="D3919" t="n">
        <v>0</v>
      </c>
      <c r="E3919" t="n">
        <v>0.9051713168</v>
      </c>
      <c r="F3919" t="n">
        <v>1.320358465</v>
      </c>
      <c r="G3919" t="n">
        <v>2.370389905</v>
      </c>
      <c r="H3919" t="n">
        <v>2.223903931</v>
      </c>
    </row>
    <row r="3920">
      <c r="A3920" t="inlineStr">
        <is>
          <t>BDI|mit.typ.bud.2</t>
        </is>
      </c>
      <c r="B3920" t="inlineStr">
        <is>
          <t>BDI</t>
        </is>
      </c>
      <c r="C3920" t="inlineStr">
        <is>
          <t>mit.typ.bud.2</t>
        </is>
      </c>
      <c r="D3920" t="n">
        <v>0</v>
      </c>
      <c r="E3920" t="n">
        <v>0.04485337352</v>
      </c>
      <c r="F3920" t="n">
        <v>0.1969279616</v>
      </c>
      <c r="G3920" t="n">
        <v>0.2384859413</v>
      </c>
      <c r="H3920" t="n">
        <v>0.2721246409</v>
      </c>
    </row>
    <row r="3921">
      <c r="A3921" t="inlineStr">
        <is>
          <t>BEL|mit.typ.bud.2</t>
        </is>
      </c>
      <c r="B3921" t="inlineStr">
        <is>
          <t>BEL</t>
        </is>
      </c>
      <c r="C3921" t="inlineStr">
        <is>
          <t>mit.typ.bud.2</t>
        </is>
      </c>
      <c r="D3921" t="n">
        <v>0</v>
      </c>
      <c r="E3921" t="n">
        <v>1.981172996</v>
      </c>
      <c r="F3921" t="n">
        <v>2.10121364</v>
      </c>
      <c r="G3921" t="n">
        <v>2.331237417</v>
      </c>
      <c r="H3921" t="n">
        <v>2.014297994</v>
      </c>
    </row>
    <row r="3922">
      <c r="A3922" t="inlineStr">
        <is>
          <t>BEN|mit.typ.bud.2</t>
        </is>
      </c>
      <c r="B3922" t="inlineStr">
        <is>
          <t>BEN</t>
        </is>
      </c>
      <c r="C3922" t="inlineStr">
        <is>
          <t>mit.typ.bud.2</t>
        </is>
      </c>
      <c r="D3922" t="n">
        <v>0</v>
      </c>
      <c r="E3922" t="n">
        <v>0.1563242411</v>
      </c>
      <c r="F3922" t="n">
        <v>0.6414445089</v>
      </c>
      <c r="G3922" t="n">
        <v>0.7582383219</v>
      </c>
      <c r="H3922" t="n">
        <v>0.8674449927</v>
      </c>
    </row>
    <row r="3923">
      <c r="A3923" t="inlineStr">
        <is>
          <t>BFA|mit.typ.bud.2</t>
        </is>
      </c>
      <c r="B3923" t="inlineStr">
        <is>
          <t>BFA</t>
        </is>
      </c>
      <c r="C3923" t="inlineStr">
        <is>
          <t>mit.typ.bud.2</t>
        </is>
      </c>
      <c r="D3923" t="n">
        <v>0</v>
      </c>
      <c r="E3923" t="n">
        <v>0.3039374883</v>
      </c>
      <c r="F3923" t="n">
        <v>1.356218657</v>
      </c>
      <c r="G3923" t="n">
        <v>1.60810958</v>
      </c>
      <c r="H3923" t="n">
        <v>1.769135452</v>
      </c>
    </row>
    <row r="3924">
      <c r="A3924" t="inlineStr">
        <is>
          <t>BGD|mit.typ.bud.2</t>
        </is>
      </c>
      <c r="B3924" t="inlineStr">
        <is>
          <t>BGD</t>
        </is>
      </c>
      <c r="C3924" t="inlineStr">
        <is>
          <t>mit.typ.bud.2</t>
        </is>
      </c>
      <c r="D3924" t="n">
        <v>0</v>
      </c>
      <c r="E3924" t="n">
        <v>3.162468781</v>
      </c>
      <c r="F3924" t="n">
        <v>5.769763407</v>
      </c>
      <c r="G3924" t="n">
        <v>10.12852855</v>
      </c>
      <c r="H3924" t="n">
        <v>10.64017304</v>
      </c>
    </row>
    <row r="3925">
      <c r="A3925" t="inlineStr">
        <is>
          <t>BGR|mit.typ.bud.2</t>
        </is>
      </c>
      <c r="B3925" t="inlineStr">
        <is>
          <t>BGR</t>
        </is>
      </c>
      <c r="C3925" t="inlineStr">
        <is>
          <t>mit.typ.bud.2</t>
        </is>
      </c>
      <c r="D3925" t="n">
        <v>0</v>
      </c>
      <c r="E3925" t="n">
        <v>0.2711398642</v>
      </c>
      <c r="F3925" t="n">
        <v>0.4217839271</v>
      </c>
      <c r="G3925" t="n">
        <v>0.6311216988</v>
      </c>
      <c r="H3925" t="n">
        <v>0.8693295384</v>
      </c>
    </row>
    <row r="3926">
      <c r="A3926" t="inlineStr">
        <is>
          <t>BHR|mit.typ.bud.2</t>
        </is>
      </c>
      <c r="B3926" t="inlineStr">
        <is>
          <t>BHR</t>
        </is>
      </c>
      <c r="C3926" t="inlineStr">
        <is>
          <t>mit.typ.bud.2</t>
        </is>
      </c>
      <c r="D3926" t="n">
        <v>0</v>
      </c>
      <c r="E3926" t="n">
        <v>0.6018973591</v>
      </c>
      <c r="F3926" t="n">
        <v>0.7762596036</v>
      </c>
      <c r="G3926" t="n">
        <v>1.271577905</v>
      </c>
      <c r="H3926" t="n">
        <v>1.105530352</v>
      </c>
    </row>
    <row r="3927">
      <c r="A3927" t="inlineStr">
        <is>
          <t>BHS|mit.typ.bud.2</t>
        </is>
      </c>
      <c r="B3927" t="inlineStr">
        <is>
          <t>BHS</t>
        </is>
      </c>
      <c r="C3927" t="inlineStr">
        <is>
          <t>mit.typ.bud.2</t>
        </is>
      </c>
      <c r="D3927" t="n">
        <v>0</v>
      </c>
      <c r="E3927" t="n">
        <v>0.03169417646</v>
      </c>
      <c r="F3927" t="n">
        <v>0.03942492739</v>
      </c>
      <c r="G3927" t="n">
        <v>0.04375505726</v>
      </c>
      <c r="H3927" t="n">
        <v>0.0491721849</v>
      </c>
    </row>
    <row r="3928">
      <c r="A3928" t="inlineStr">
        <is>
          <t>BIH|mit.typ.bud.2</t>
        </is>
      </c>
      <c r="B3928" t="inlineStr">
        <is>
          <t>BIH</t>
        </is>
      </c>
      <c r="C3928" t="inlineStr">
        <is>
          <t>mit.typ.bud.2</t>
        </is>
      </c>
      <c r="D3928" t="n">
        <v>0</v>
      </c>
      <c r="E3928" t="n">
        <v>0.09872683302</v>
      </c>
      <c r="F3928" t="n">
        <v>0.1677241394</v>
      </c>
      <c r="G3928" t="n">
        <v>0.2472113922</v>
      </c>
      <c r="H3928" t="n">
        <v>0.3234066487</v>
      </c>
    </row>
    <row r="3929">
      <c r="A3929" t="inlineStr">
        <is>
          <t>BLR|mit.typ.bud.2</t>
        </is>
      </c>
      <c r="B3929" t="inlineStr">
        <is>
          <t>BLR</t>
        </is>
      </c>
      <c r="C3929" t="inlineStr">
        <is>
          <t>mit.typ.bud.2</t>
        </is>
      </c>
      <c r="D3929" t="n">
        <v>0</v>
      </c>
      <c r="E3929" t="n">
        <v>0.8067064067</v>
      </c>
      <c r="F3929" t="n">
        <v>1.171477817</v>
      </c>
      <c r="G3929" t="n">
        <v>2.022387478</v>
      </c>
      <c r="H3929" t="n">
        <v>2.237161967</v>
      </c>
    </row>
    <row r="3930">
      <c r="A3930" t="inlineStr">
        <is>
          <t>BLZ|mit.typ.bud.2</t>
        </is>
      </c>
      <c r="B3930" t="inlineStr">
        <is>
          <t>BLZ</t>
        </is>
      </c>
      <c r="C3930" t="inlineStr">
        <is>
          <t>mit.typ.bud.2</t>
        </is>
      </c>
      <c r="D3930" t="n">
        <v>0</v>
      </c>
      <c r="E3930" t="n">
        <v>0.05087713278</v>
      </c>
      <c r="F3930" t="n">
        <v>0.2183699294</v>
      </c>
      <c r="G3930" t="n">
        <v>0.2303071417</v>
      </c>
      <c r="H3930" t="n">
        <v>0.2372414973</v>
      </c>
    </row>
    <row r="3931">
      <c r="A3931" t="inlineStr">
        <is>
          <t>BOL|mit.typ.bud.2</t>
        </is>
      </c>
      <c r="B3931" t="inlineStr">
        <is>
          <t>BOL</t>
        </is>
      </c>
      <c r="C3931" t="inlineStr">
        <is>
          <t>mit.typ.bud.2</t>
        </is>
      </c>
      <c r="D3931" t="n">
        <v>0</v>
      </c>
      <c r="E3931" t="n">
        <v>0.7251664484</v>
      </c>
      <c r="F3931" t="n">
        <v>3.145564249</v>
      </c>
      <c r="G3931" t="n">
        <v>3.371876819</v>
      </c>
      <c r="H3931" t="n">
        <v>3.608452633</v>
      </c>
    </row>
    <row r="3932">
      <c r="A3932" t="inlineStr">
        <is>
          <t>BRA|mit.typ.bud.2</t>
        </is>
      </c>
      <c r="B3932" t="inlineStr">
        <is>
          <t>BRA</t>
        </is>
      </c>
      <c r="C3932" t="inlineStr">
        <is>
          <t>mit.typ.bud.2</t>
        </is>
      </c>
      <c r="D3932" t="n">
        <v>0</v>
      </c>
      <c r="E3932" t="n">
        <v>7.497391278</v>
      </c>
      <c r="F3932" t="n">
        <v>24.49466356</v>
      </c>
      <c r="G3932" t="n">
        <v>28.66369154</v>
      </c>
      <c r="H3932" t="n">
        <v>33.30240409</v>
      </c>
    </row>
    <row r="3933">
      <c r="A3933" t="inlineStr">
        <is>
          <t>BRB|mit.typ.bud.2</t>
        </is>
      </c>
      <c r="B3933" t="inlineStr">
        <is>
          <t>BRB</t>
        </is>
      </c>
      <c r="C3933" t="inlineStr">
        <is>
          <t>mit.typ.bud.2</t>
        </is>
      </c>
      <c r="D3933" t="n">
        <v>0</v>
      </c>
      <c r="E3933" t="n">
        <v>0.02065809064</v>
      </c>
      <c r="F3933" t="n">
        <v>0.02533116769</v>
      </c>
      <c r="G3933" t="n">
        <v>0.03288263624</v>
      </c>
      <c r="H3933" t="n">
        <v>0.03224048638</v>
      </c>
    </row>
    <row r="3934">
      <c r="A3934" t="inlineStr">
        <is>
          <t>BRN|mit.typ.bud.2</t>
        </is>
      </c>
      <c r="B3934" t="inlineStr">
        <is>
          <t>BRN</t>
        </is>
      </c>
      <c r="C3934" t="inlineStr">
        <is>
          <t>mit.typ.bud.2</t>
        </is>
      </c>
      <c r="D3934" t="n">
        <v>0</v>
      </c>
      <c r="E3934" t="n">
        <v>0.1043399273</v>
      </c>
      <c r="F3934" t="n">
        <v>0.1754448903</v>
      </c>
      <c r="G3934" t="n">
        <v>0.2634159884</v>
      </c>
      <c r="H3934" t="n">
        <v>0.2544792916</v>
      </c>
    </row>
    <row r="3935">
      <c r="A3935" t="inlineStr">
        <is>
          <t>BTN|mit.typ.bud.2</t>
        </is>
      </c>
      <c r="B3935" t="inlineStr">
        <is>
          <t>BTN</t>
        </is>
      </c>
      <c r="C3935" t="inlineStr">
        <is>
          <t>mit.typ.bud.2</t>
        </is>
      </c>
      <c r="D3935" t="n">
        <v>0</v>
      </c>
      <c r="E3935" t="n">
        <v>0.01454116086</v>
      </c>
      <c r="F3935" t="n">
        <v>0.03014192744</v>
      </c>
      <c r="G3935" t="n">
        <v>0.04864803534</v>
      </c>
      <c r="H3935" t="n">
        <v>0.1419241403</v>
      </c>
    </row>
    <row r="3936">
      <c r="A3936" t="inlineStr">
        <is>
          <t>BWA|mit.typ.bud.2</t>
        </is>
      </c>
      <c r="B3936" t="inlineStr">
        <is>
          <t>BWA</t>
        </is>
      </c>
      <c r="C3936" t="inlineStr">
        <is>
          <t>mit.typ.bud.2</t>
        </is>
      </c>
      <c r="D3936" t="n">
        <v>0</v>
      </c>
      <c r="E3936" t="n">
        <v>0.2735079184</v>
      </c>
      <c r="F3936" t="n">
        <v>1.485473674</v>
      </c>
      <c r="G3936" t="n">
        <v>1.524349552</v>
      </c>
      <c r="H3936" t="n">
        <v>1.541800822</v>
      </c>
    </row>
    <row r="3937">
      <c r="A3937" t="inlineStr">
        <is>
          <t>CAF|mit.typ.bud.2</t>
        </is>
      </c>
      <c r="B3937" t="inlineStr">
        <is>
          <t>CAF</t>
        </is>
      </c>
      <c r="C3937" t="inlineStr">
        <is>
          <t>mit.typ.bud.2</t>
        </is>
      </c>
      <c r="D3937" t="n">
        <v>0</v>
      </c>
      <c r="E3937" t="n">
        <v>0.2407189593</v>
      </c>
      <c r="F3937" t="n">
        <v>1.413706272</v>
      </c>
      <c r="G3937" t="n">
        <v>1.467249196</v>
      </c>
      <c r="H3937" t="n">
        <v>1.518587847</v>
      </c>
    </row>
    <row r="3938">
      <c r="A3938" t="inlineStr">
        <is>
          <t>CAN|mit.typ.bud.2</t>
        </is>
      </c>
      <c r="B3938" t="inlineStr">
        <is>
          <t>CAN</t>
        </is>
      </c>
      <c r="C3938" t="inlineStr">
        <is>
          <t>mit.typ.bud.2</t>
        </is>
      </c>
      <c r="D3938" t="n">
        <v>0</v>
      </c>
      <c r="E3938" t="n">
        <v>9.077560382</v>
      </c>
      <c r="F3938" t="n">
        <v>9.822777994999999</v>
      </c>
      <c r="G3938" t="n">
        <v>10.38956979</v>
      </c>
      <c r="H3938" t="n">
        <v>8.508113034999999</v>
      </c>
    </row>
    <row r="3939">
      <c r="A3939" t="inlineStr">
        <is>
          <t>CHE|mit.typ.bud.2</t>
        </is>
      </c>
      <c r="B3939" t="inlineStr">
        <is>
          <t>CHE</t>
        </is>
      </c>
      <c r="C3939" t="inlineStr">
        <is>
          <t>mit.typ.bud.2</t>
        </is>
      </c>
      <c r="D3939" t="n">
        <v>0</v>
      </c>
      <c r="E3939" t="n">
        <v>1.671048822</v>
      </c>
      <c r="F3939" t="n">
        <v>1.797222816</v>
      </c>
      <c r="G3939" t="n">
        <v>2.007429309</v>
      </c>
      <c r="H3939" t="n">
        <v>2.075008553</v>
      </c>
    </row>
    <row r="3940">
      <c r="A3940" t="inlineStr">
        <is>
          <t>CHL|mit.typ.bud.2</t>
        </is>
      </c>
      <c r="B3940" t="inlineStr">
        <is>
          <t>CHL</t>
        </is>
      </c>
      <c r="C3940" t="inlineStr">
        <is>
          <t>mit.typ.bud.2</t>
        </is>
      </c>
      <c r="D3940" t="n">
        <v>0</v>
      </c>
      <c r="E3940" t="n">
        <v>0.591653318</v>
      </c>
      <c r="F3940" t="n">
        <v>0.911482108</v>
      </c>
      <c r="G3940" t="n">
        <v>1.209373679</v>
      </c>
      <c r="H3940" t="n">
        <v>1.456795198</v>
      </c>
    </row>
    <row r="3941">
      <c r="A3941" t="inlineStr">
        <is>
          <t>CHN|mit.typ.bud.2</t>
        </is>
      </c>
      <c r="B3941" t="inlineStr">
        <is>
          <t>CHN</t>
        </is>
      </c>
      <c r="C3941" t="inlineStr">
        <is>
          <t>mit.typ.bud.2</t>
        </is>
      </c>
      <c r="D3941" t="n">
        <v>0</v>
      </c>
      <c r="E3941" t="n">
        <v>80.26153595</v>
      </c>
      <c r="F3941" t="n">
        <v>119.7170119</v>
      </c>
      <c r="G3941" t="n">
        <v>184.5028186</v>
      </c>
      <c r="H3941" t="n">
        <v>222.6601808</v>
      </c>
    </row>
    <row r="3942">
      <c r="A3942" t="inlineStr">
        <is>
          <t>CIV|mit.typ.bud.2</t>
        </is>
      </c>
      <c r="B3942" t="inlineStr">
        <is>
          <t>CIV</t>
        </is>
      </c>
      <c r="C3942" t="inlineStr">
        <is>
          <t>mit.typ.bud.2</t>
        </is>
      </c>
      <c r="D3942" t="n">
        <v>0</v>
      </c>
      <c r="E3942" t="n">
        <v>0.2693435312</v>
      </c>
      <c r="F3942" t="n">
        <v>0.4807638264</v>
      </c>
      <c r="G3942" t="n">
        <v>0.7330818169</v>
      </c>
      <c r="H3942" t="n">
        <v>0.938714787</v>
      </c>
    </row>
    <row r="3943">
      <c r="A3943" t="inlineStr">
        <is>
          <t>CMR|mit.typ.bud.2</t>
        </is>
      </c>
      <c r="B3943" t="inlineStr">
        <is>
          <t>CMR</t>
        </is>
      </c>
      <c r="C3943" t="inlineStr">
        <is>
          <t>mit.typ.bud.2</t>
        </is>
      </c>
      <c r="D3943" t="n">
        <v>0</v>
      </c>
      <c r="E3943" t="n">
        <v>0.354610338</v>
      </c>
      <c r="F3943" t="n">
        <v>1.715865584</v>
      </c>
      <c r="G3943" t="n">
        <v>1.895839885</v>
      </c>
      <c r="H3943" t="n">
        <v>2.089256007</v>
      </c>
    </row>
    <row r="3944">
      <c r="A3944" t="inlineStr">
        <is>
          <t>COD|mit.typ.bud.2</t>
        </is>
      </c>
      <c r="B3944" t="inlineStr">
        <is>
          <t>COD</t>
        </is>
      </c>
      <c r="C3944" t="inlineStr">
        <is>
          <t>mit.typ.bud.2</t>
        </is>
      </c>
      <c r="D3944" t="n">
        <v>0</v>
      </c>
      <c r="E3944" t="n">
        <v>4.688740942</v>
      </c>
      <c r="F3944" t="n">
        <v>26.77413811</v>
      </c>
      <c r="G3944" t="n">
        <v>27.18917532</v>
      </c>
      <c r="H3944" t="n">
        <v>27.60956348</v>
      </c>
    </row>
    <row r="3945">
      <c r="A3945" t="inlineStr">
        <is>
          <t>COG|mit.typ.bud.2</t>
        </is>
      </c>
      <c r="B3945" t="inlineStr">
        <is>
          <t>COG</t>
        </is>
      </c>
      <c r="C3945" t="inlineStr">
        <is>
          <t>mit.typ.bud.2</t>
        </is>
      </c>
      <c r="D3945" t="n">
        <v>0</v>
      </c>
      <c r="E3945" t="n">
        <v>0.129490212</v>
      </c>
      <c r="F3945" t="n">
        <v>0.5965832607</v>
      </c>
      <c r="G3945" t="n">
        <v>0.7668869356</v>
      </c>
      <c r="H3945" t="n">
        <v>0.8844488543</v>
      </c>
    </row>
    <row r="3946">
      <c r="A3946" t="inlineStr">
        <is>
          <t>COL|mit.typ.bud.2</t>
        </is>
      </c>
      <c r="B3946" t="inlineStr">
        <is>
          <t>COL</t>
        </is>
      </c>
      <c r="C3946" t="inlineStr">
        <is>
          <t>mit.typ.bud.2</t>
        </is>
      </c>
      <c r="D3946" t="n">
        <v>0</v>
      </c>
      <c r="E3946" t="n">
        <v>1.331585496</v>
      </c>
      <c r="F3946" t="n">
        <v>4.420703358</v>
      </c>
      <c r="G3946" t="n">
        <v>5.074699755</v>
      </c>
      <c r="H3946" t="n">
        <v>5.744067896</v>
      </c>
    </row>
    <row r="3947">
      <c r="A3947" t="inlineStr">
        <is>
          <t>COM|mit.typ.bud.2</t>
        </is>
      </c>
      <c r="B3947" t="inlineStr">
        <is>
          <t>COM</t>
        </is>
      </c>
      <c r="C3947" t="inlineStr">
        <is>
          <t>mit.typ.bud.2</t>
        </is>
      </c>
      <c r="D3947" t="n">
        <v>0</v>
      </c>
      <c r="E3947" t="n">
        <v>0.008055659365</v>
      </c>
      <c r="F3947" t="n">
        <v>0.01660931954</v>
      </c>
      <c r="G3947" t="n">
        <v>0.0255612773</v>
      </c>
      <c r="H3947" t="n">
        <v>0.03250891596</v>
      </c>
    </row>
    <row r="3948">
      <c r="A3948" t="inlineStr">
        <is>
          <t>CPV|mit.typ.bud.2</t>
        </is>
      </c>
      <c r="B3948" t="inlineStr">
        <is>
          <t>CPV</t>
        </is>
      </c>
      <c r="C3948" t="inlineStr">
        <is>
          <t>mit.typ.bud.2</t>
        </is>
      </c>
      <c r="D3948" t="n">
        <v>0</v>
      </c>
      <c r="E3948" t="n">
        <v>0.01197313329</v>
      </c>
      <c r="F3948" t="n">
        <v>0.01778848192</v>
      </c>
      <c r="G3948" t="n">
        <v>0.02780382825</v>
      </c>
      <c r="H3948" t="n">
        <v>0.03597637713</v>
      </c>
    </row>
    <row r="3949">
      <c r="A3949" t="inlineStr">
        <is>
          <t>CRI|mit.typ.bud.2</t>
        </is>
      </c>
      <c r="B3949" t="inlineStr">
        <is>
          <t>CRI</t>
        </is>
      </c>
      <c r="C3949" t="inlineStr">
        <is>
          <t>mit.typ.bud.2</t>
        </is>
      </c>
      <c r="D3949" t="n">
        <v>0</v>
      </c>
      <c r="E3949" t="n">
        <v>0.1049547498</v>
      </c>
      <c r="F3949" t="n">
        <v>0.1640911763</v>
      </c>
      <c r="G3949" t="n">
        <v>0.225371587</v>
      </c>
      <c r="H3949" t="n">
        <v>0.3004373268</v>
      </c>
    </row>
    <row r="3950">
      <c r="A3950" t="inlineStr">
        <is>
          <t>CYP|mit.typ.bud.2</t>
        </is>
      </c>
      <c r="B3950" t="inlineStr">
        <is>
          <t>CYP</t>
        </is>
      </c>
      <c r="C3950" t="inlineStr">
        <is>
          <t>mit.typ.bud.2</t>
        </is>
      </c>
      <c r="D3950" t="n">
        <v>0</v>
      </c>
      <c r="E3950" t="n">
        <v>0.07993935915</v>
      </c>
      <c r="F3950" t="n">
        <v>0.09704898397</v>
      </c>
      <c r="G3950" t="n">
        <v>0.1129925465</v>
      </c>
      <c r="H3950" t="n">
        <v>0.1254626496</v>
      </c>
    </row>
    <row r="3951">
      <c r="A3951" t="inlineStr">
        <is>
          <t>CZE|mit.typ.bud.2</t>
        </is>
      </c>
      <c r="B3951" t="inlineStr">
        <is>
          <t>CZE</t>
        </is>
      </c>
      <c r="C3951" t="inlineStr">
        <is>
          <t>mit.typ.bud.2</t>
        </is>
      </c>
      <c r="D3951" t="n">
        <v>0</v>
      </c>
      <c r="E3951" t="n">
        <v>1.165972004</v>
      </c>
      <c r="F3951" t="n">
        <v>1.570151348</v>
      </c>
      <c r="G3951" t="n">
        <v>1.760300482</v>
      </c>
      <c r="H3951" t="n">
        <v>1.603969741</v>
      </c>
    </row>
    <row r="3952">
      <c r="A3952" t="inlineStr">
        <is>
          <t>DEU|mit.typ.bud.2</t>
        </is>
      </c>
      <c r="B3952" t="inlineStr">
        <is>
          <t>DEU</t>
        </is>
      </c>
      <c r="C3952" t="inlineStr">
        <is>
          <t>mit.typ.bud.2</t>
        </is>
      </c>
      <c r="D3952" t="n">
        <v>0</v>
      </c>
      <c r="E3952" t="n">
        <v>12.76635207</v>
      </c>
      <c r="F3952" t="n">
        <v>13.4328456</v>
      </c>
      <c r="G3952" t="n">
        <v>14.55436366</v>
      </c>
      <c r="H3952" t="n">
        <v>12.49205169</v>
      </c>
    </row>
    <row r="3953">
      <c r="A3953" t="inlineStr">
        <is>
          <t>DJI|mit.typ.bud.2</t>
        </is>
      </c>
      <c r="B3953" t="inlineStr">
        <is>
          <t>DJI</t>
        </is>
      </c>
      <c r="C3953" t="inlineStr">
        <is>
          <t>mit.typ.bud.2</t>
        </is>
      </c>
      <c r="D3953" t="n">
        <v>0</v>
      </c>
      <c r="E3953" t="n">
        <v>0.01118245949</v>
      </c>
      <c r="F3953" t="n">
        <v>0.02257169405</v>
      </c>
      <c r="G3953" t="n">
        <v>0.03453767144</v>
      </c>
      <c r="H3953" t="n">
        <v>0.04614341732</v>
      </c>
    </row>
    <row r="3954">
      <c r="A3954" t="inlineStr">
        <is>
          <t>DMA|mit.typ.bud.2</t>
        </is>
      </c>
      <c r="B3954" t="inlineStr">
        <is>
          <t>DMA</t>
        </is>
      </c>
      <c r="C3954" t="inlineStr">
        <is>
          <t>mit.typ.bud.2</t>
        </is>
      </c>
      <c r="D3954" t="n">
        <v>0</v>
      </c>
      <c r="E3954" t="n">
        <v>0.001728934642</v>
      </c>
      <c r="F3954" t="n">
        <v>0.002410115587</v>
      </c>
      <c r="G3954" t="n">
        <v>0.003212982996</v>
      </c>
      <c r="H3954" t="n">
        <v>0.004245908245</v>
      </c>
    </row>
    <row r="3955">
      <c r="A3955" t="inlineStr">
        <is>
          <t>DNK|mit.typ.bud.2</t>
        </is>
      </c>
      <c r="B3955" t="inlineStr">
        <is>
          <t>DNK</t>
        </is>
      </c>
      <c r="C3955" t="inlineStr">
        <is>
          <t>mit.typ.bud.2</t>
        </is>
      </c>
      <c r="D3955" t="n">
        <v>0</v>
      </c>
      <c r="E3955" t="n">
        <v>0.86352579</v>
      </c>
      <c r="F3955" t="n">
        <v>1.067350727</v>
      </c>
      <c r="G3955" t="n">
        <v>1.239528005</v>
      </c>
      <c r="H3955" t="n">
        <v>1.308310342</v>
      </c>
    </row>
    <row r="3956">
      <c r="A3956" t="inlineStr">
        <is>
          <t>DOM|mit.typ.bud.2</t>
        </is>
      </c>
      <c r="B3956" t="inlineStr">
        <is>
          <t>DOM</t>
        </is>
      </c>
      <c r="C3956" t="inlineStr">
        <is>
          <t>mit.typ.bud.2</t>
        </is>
      </c>
      <c r="D3956" t="n">
        <v>0</v>
      </c>
      <c r="E3956" t="n">
        <v>0.472380911</v>
      </c>
      <c r="F3956" t="n">
        <v>0.7535399967999999</v>
      </c>
      <c r="G3956" t="n">
        <v>1.260963437</v>
      </c>
      <c r="H3956" t="n">
        <v>1.312267511</v>
      </c>
    </row>
    <row r="3957">
      <c r="A3957" t="inlineStr">
        <is>
          <t>DZA|mit.typ.bud.2</t>
        </is>
      </c>
      <c r="B3957" t="inlineStr">
        <is>
          <t>DZA</t>
        </is>
      </c>
      <c r="C3957" t="inlineStr">
        <is>
          <t>mit.typ.bud.2</t>
        </is>
      </c>
      <c r="D3957" t="n">
        <v>0</v>
      </c>
      <c r="E3957" t="n">
        <v>3.332495854</v>
      </c>
      <c r="F3957" t="n">
        <v>4.715660142</v>
      </c>
      <c r="G3957" t="n">
        <v>7.559057915</v>
      </c>
      <c r="H3957" t="n">
        <v>8.052098243</v>
      </c>
    </row>
    <row r="3958">
      <c r="A3958" t="inlineStr">
        <is>
          <t>ECU|mit.typ.bud.2</t>
        </is>
      </c>
      <c r="B3958" t="inlineStr">
        <is>
          <t>ECU</t>
        </is>
      </c>
      <c r="C3958" t="inlineStr">
        <is>
          <t>mit.typ.bud.2</t>
        </is>
      </c>
      <c r="D3958" t="n">
        <v>0</v>
      </c>
      <c r="E3958" t="n">
        <v>0.738263135</v>
      </c>
      <c r="F3958" t="n">
        <v>1.766183033</v>
      </c>
      <c r="G3958" t="n">
        <v>2.117991483</v>
      </c>
      <c r="H3958" t="n">
        <v>2.4059209</v>
      </c>
    </row>
    <row r="3959">
      <c r="A3959" t="inlineStr">
        <is>
          <t>EGY|mit.typ.bud.2</t>
        </is>
      </c>
      <c r="B3959" t="inlineStr">
        <is>
          <t>EGY</t>
        </is>
      </c>
      <c r="C3959" t="inlineStr">
        <is>
          <t>mit.typ.bud.2</t>
        </is>
      </c>
      <c r="D3959" t="n">
        <v>0</v>
      </c>
      <c r="E3959" t="n">
        <v>3.930490172</v>
      </c>
      <c r="F3959" t="n">
        <v>5.670503878</v>
      </c>
      <c r="G3959" t="n">
        <v>9.989862667000001</v>
      </c>
      <c r="H3959" t="n">
        <v>11.24237394</v>
      </c>
    </row>
    <row r="3960">
      <c r="A3960" t="inlineStr">
        <is>
          <t>ESP|mit.typ.bud.2</t>
        </is>
      </c>
      <c r="B3960" t="inlineStr">
        <is>
          <t>ESP</t>
        </is>
      </c>
      <c r="C3960" t="inlineStr">
        <is>
          <t>mit.typ.bud.2</t>
        </is>
      </c>
      <c r="D3960" t="n">
        <v>0</v>
      </c>
      <c r="E3960" t="n">
        <v>4.217667831</v>
      </c>
      <c r="F3960" t="n">
        <v>4.877033912</v>
      </c>
      <c r="G3960" t="n">
        <v>5.664191336</v>
      </c>
      <c r="H3960" t="n">
        <v>5.760754933</v>
      </c>
    </row>
    <row r="3961">
      <c r="A3961" t="inlineStr">
        <is>
          <t>EST|mit.typ.bud.2</t>
        </is>
      </c>
      <c r="B3961" t="inlineStr">
        <is>
          <t>EST</t>
        </is>
      </c>
      <c r="C3961" t="inlineStr">
        <is>
          <t>mit.typ.bud.2</t>
        </is>
      </c>
      <c r="D3961" t="n">
        <v>0</v>
      </c>
      <c r="E3961" t="n">
        <v>0.1210062353</v>
      </c>
      <c r="F3961" t="n">
        <v>0.2171133308</v>
      </c>
      <c r="G3961" t="n">
        <v>0.2564861779</v>
      </c>
      <c r="H3961" t="n">
        <v>0.2853975145</v>
      </c>
    </row>
    <row r="3962">
      <c r="A3962" t="inlineStr">
        <is>
          <t>ETH|mit.typ.bud.2</t>
        </is>
      </c>
      <c r="B3962" t="inlineStr">
        <is>
          <t>ETH</t>
        </is>
      </c>
      <c r="C3962" t="inlineStr">
        <is>
          <t>mit.typ.bud.2</t>
        </is>
      </c>
      <c r="D3962" t="n">
        <v>0</v>
      </c>
      <c r="E3962" t="n">
        <v>0.8052719086</v>
      </c>
      <c r="F3962" t="n">
        <v>3.835620457</v>
      </c>
      <c r="G3962" t="n">
        <v>5.500400844</v>
      </c>
      <c r="H3962" t="n">
        <v>7.084792037</v>
      </c>
    </row>
    <row r="3963">
      <c r="A3963" t="inlineStr">
        <is>
          <t>FIN|mit.typ.bud.2</t>
        </is>
      </c>
      <c r="B3963" t="inlineStr">
        <is>
          <t>FIN</t>
        </is>
      </c>
      <c r="C3963" t="inlineStr">
        <is>
          <t>mit.typ.bud.2</t>
        </is>
      </c>
      <c r="D3963" t="n">
        <v>0</v>
      </c>
      <c r="E3963" t="n">
        <v>0.5466956341</v>
      </c>
      <c r="F3963" t="n">
        <v>0.634304858</v>
      </c>
      <c r="G3963" t="n">
        <v>0.7559754448</v>
      </c>
      <c r="H3963" t="n">
        <v>0.8981080987</v>
      </c>
    </row>
    <row r="3964">
      <c r="A3964" t="inlineStr">
        <is>
          <t>FJI|mit.typ.bud.2</t>
        </is>
      </c>
      <c r="B3964" t="inlineStr">
        <is>
          <t>FJI</t>
        </is>
      </c>
      <c r="C3964" t="inlineStr">
        <is>
          <t>mit.typ.bud.2</t>
        </is>
      </c>
      <c r="D3964" t="n">
        <v>0</v>
      </c>
      <c r="E3964" t="n">
        <v>0.01376818094</v>
      </c>
      <c r="F3964" t="n">
        <v>0.02284118685</v>
      </c>
      <c r="G3964" t="n">
        <v>0.03238407415</v>
      </c>
      <c r="H3964" t="n">
        <v>0.0436052905</v>
      </c>
    </row>
    <row r="3965">
      <c r="A3965" t="inlineStr">
        <is>
          <t>FRA|mit.typ.bud.2</t>
        </is>
      </c>
      <c r="B3965" t="inlineStr">
        <is>
          <t>FRA</t>
        </is>
      </c>
      <c r="C3965" t="inlineStr">
        <is>
          <t>mit.typ.bud.2</t>
        </is>
      </c>
      <c r="D3965" t="n">
        <v>0</v>
      </c>
      <c r="E3965" t="n">
        <v>7.43941743</v>
      </c>
      <c r="F3965" t="n">
        <v>8.122435761</v>
      </c>
      <c r="G3965" t="n">
        <v>9.078665077</v>
      </c>
      <c r="H3965" t="n">
        <v>8.497211614999999</v>
      </c>
    </row>
    <row r="3966">
      <c r="A3966" t="inlineStr">
        <is>
          <t>GAB|mit.typ.bud.2</t>
        </is>
      </c>
      <c r="B3966" t="inlineStr">
        <is>
          <t>GAB</t>
        </is>
      </c>
      <c r="C3966" t="inlineStr">
        <is>
          <t>mit.typ.bud.2</t>
        </is>
      </c>
      <c r="D3966" t="n">
        <v>0</v>
      </c>
      <c r="E3966" t="n">
        <v>0.08424163341</v>
      </c>
      <c r="F3966" t="n">
        <v>0.3467990701</v>
      </c>
      <c r="G3966" t="n">
        <v>0.4259405948</v>
      </c>
      <c r="H3966" t="n">
        <v>0.5032157866</v>
      </c>
    </row>
    <row r="3967">
      <c r="A3967" t="inlineStr">
        <is>
          <t>GBR|mit.typ.bud.2</t>
        </is>
      </c>
      <c r="B3967" t="inlineStr">
        <is>
          <t>GBR</t>
        </is>
      </c>
      <c r="C3967" t="inlineStr">
        <is>
          <t>mit.typ.bud.2</t>
        </is>
      </c>
      <c r="D3967" t="n">
        <v>0</v>
      </c>
      <c r="E3967" t="n">
        <v>10.49821603</v>
      </c>
      <c r="F3967" t="n">
        <v>10.90698546</v>
      </c>
      <c r="G3967" t="n">
        <v>11.54004373</v>
      </c>
      <c r="H3967" t="n">
        <v>9.235900301999999</v>
      </c>
    </row>
    <row r="3968">
      <c r="A3968" t="inlineStr">
        <is>
          <t>GEO|mit.typ.bud.2</t>
        </is>
      </c>
      <c r="B3968" t="inlineStr">
        <is>
          <t>GEO</t>
        </is>
      </c>
      <c r="C3968" t="inlineStr">
        <is>
          <t>mit.typ.bud.2</t>
        </is>
      </c>
      <c r="D3968" t="n">
        <v>0</v>
      </c>
      <c r="E3968" t="n">
        <v>0.2526041247</v>
      </c>
      <c r="F3968" t="n">
        <v>0.3361390434</v>
      </c>
      <c r="G3968" t="n">
        <v>0.4505390965</v>
      </c>
      <c r="H3968" t="n">
        <v>0.5650510881</v>
      </c>
    </row>
    <row r="3969">
      <c r="A3969" t="inlineStr">
        <is>
          <t>GHA|mit.typ.bud.2</t>
        </is>
      </c>
      <c r="B3969" t="inlineStr">
        <is>
          <t>GHA</t>
        </is>
      </c>
      <c r="C3969" t="inlineStr">
        <is>
          <t>mit.typ.bud.2</t>
        </is>
      </c>
      <c r="D3969" t="n">
        <v>0</v>
      </c>
      <c r="E3969" t="n">
        <v>0.3262198774</v>
      </c>
      <c r="F3969" t="n">
        <v>0.711511139</v>
      </c>
      <c r="G3969" t="n">
        <v>1.293003295</v>
      </c>
      <c r="H3969" t="n">
        <v>1.532686979</v>
      </c>
    </row>
    <row r="3970">
      <c r="A3970" t="inlineStr">
        <is>
          <t>GIN|mit.typ.bud.2</t>
        </is>
      </c>
      <c r="B3970" t="inlineStr">
        <is>
          <t>GIN</t>
        </is>
      </c>
      <c r="C3970" t="inlineStr">
        <is>
          <t>mit.typ.bud.2</t>
        </is>
      </c>
      <c r="D3970" t="n">
        <v>0</v>
      </c>
      <c r="E3970" t="n">
        <v>0.1872801063</v>
      </c>
      <c r="F3970" t="n">
        <v>0.8013179787</v>
      </c>
      <c r="G3970" t="n">
        <v>0.9721990713000001</v>
      </c>
      <c r="H3970" t="n">
        <v>1.141057471</v>
      </c>
    </row>
    <row r="3971">
      <c r="A3971" t="inlineStr">
        <is>
          <t>GMB|mit.typ.bud.2</t>
        </is>
      </c>
      <c r="B3971" t="inlineStr">
        <is>
          <t>GMB</t>
        </is>
      </c>
      <c r="C3971" t="inlineStr">
        <is>
          <t>mit.typ.bud.2</t>
        </is>
      </c>
      <c r="D3971" t="n">
        <v>0</v>
      </c>
      <c r="E3971" t="n">
        <v>0.01601260248</v>
      </c>
      <c r="F3971" t="n">
        <v>0.0483571695</v>
      </c>
      <c r="G3971" t="n">
        <v>0.06844272878</v>
      </c>
      <c r="H3971" t="n">
        <v>0.08581568244</v>
      </c>
    </row>
    <row r="3972">
      <c r="A3972" t="inlineStr">
        <is>
          <t>GNB|mit.typ.bud.2</t>
        </is>
      </c>
      <c r="B3972" t="inlineStr">
        <is>
          <t>GNB</t>
        </is>
      </c>
      <c r="C3972" t="inlineStr">
        <is>
          <t>mit.typ.bud.2</t>
        </is>
      </c>
      <c r="D3972" t="n">
        <v>0</v>
      </c>
      <c r="E3972" t="n">
        <v>0.02284714027</v>
      </c>
      <c r="F3972" t="n">
        <v>0.1021787194</v>
      </c>
      <c r="G3972" t="n">
        <v>0.1228583934</v>
      </c>
      <c r="H3972" t="n">
        <v>0.1405205674</v>
      </c>
    </row>
    <row r="3973">
      <c r="A3973" t="inlineStr">
        <is>
          <t>GNQ|mit.typ.bud.2</t>
        </is>
      </c>
      <c r="B3973" t="inlineStr">
        <is>
          <t>GNQ</t>
        </is>
      </c>
      <c r="C3973" t="inlineStr">
        <is>
          <t>mit.typ.bud.2</t>
        </is>
      </c>
      <c r="D3973" t="n">
        <v>0</v>
      </c>
      <c r="E3973" t="n">
        <v>0.05679332047</v>
      </c>
      <c r="F3973" t="n">
        <v>0.2087092505</v>
      </c>
      <c r="G3973" t="n">
        <v>0.2609652734</v>
      </c>
      <c r="H3973" t="n">
        <v>0.3121122869</v>
      </c>
    </row>
    <row r="3974">
      <c r="A3974" t="inlineStr">
        <is>
          <t>GRC|mit.typ.bud.2</t>
        </is>
      </c>
      <c r="B3974" t="inlineStr">
        <is>
          <t>GRC</t>
        </is>
      </c>
      <c r="C3974" t="inlineStr">
        <is>
          <t>mit.typ.bud.2</t>
        </is>
      </c>
      <c r="D3974" t="n">
        <v>0</v>
      </c>
      <c r="E3974" t="n">
        <v>0.6415914388</v>
      </c>
      <c r="F3974" t="n">
        <v>0.8383417344</v>
      </c>
      <c r="G3974" t="n">
        <v>1.092922957</v>
      </c>
      <c r="H3974" t="n">
        <v>1.269991477</v>
      </c>
    </row>
    <row r="3975">
      <c r="A3975" t="inlineStr">
        <is>
          <t>GRD|mit.typ.bud.2</t>
        </is>
      </c>
      <c r="B3975" t="inlineStr">
        <is>
          <t>GRD</t>
        </is>
      </c>
      <c r="C3975" t="inlineStr">
        <is>
          <t>mit.typ.bud.2</t>
        </is>
      </c>
      <c r="D3975" t="n">
        <v>0</v>
      </c>
      <c r="E3975" t="n">
        <v>0.00362785691</v>
      </c>
      <c r="F3975" t="n">
        <v>0.004695213202</v>
      </c>
      <c r="G3975" t="n">
        <v>0.006556457028</v>
      </c>
      <c r="H3975" t="n">
        <v>0.008204871545999999</v>
      </c>
    </row>
    <row r="3976">
      <c r="A3976" t="inlineStr">
        <is>
          <t>GTM|mit.typ.bud.2</t>
        </is>
      </c>
      <c r="B3976" t="inlineStr">
        <is>
          <t>GTM</t>
        </is>
      </c>
      <c r="C3976" t="inlineStr">
        <is>
          <t>mit.typ.bud.2</t>
        </is>
      </c>
      <c r="D3976" t="n">
        <v>0</v>
      </c>
      <c r="E3976" t="n">
        <v>0.2235686528</v>
      </c>
      <c r="F3976" t="n">
        <v>0.5102178198</v>
      </c>
      <c r="G3976" t="n">
        <v>0.6648577204</v>
      </c>
      <c r="H3976" t="n">
        <v>0.8335625981</v>
      </c>
    </row>
    <row r="3977">
      <c r="A3977" t="inlineStr">
        <is>
          <t>GUY|mit.typ.bud.2</t>
        </is>
      </c>
      <c r="B3977" t="inlineStr">
        <is>
          <t>GUY</t>
        </is>
      </c>
      <c r="C3977" t="inlineStr">
        <is>
          <t>mit.typ.bud.2</t>
        </is>
      </c>
      <c r="D3977" t="n">
        <v>0</v>
      </c>
      <c r="E3977" t="n">
        <v>0.1334562051</v>
      </c>
      <c r="F3977" t="n">
        <v>0.5795601176</v>
      </c>
      <c r="G3977" t="n">
        <v>0.6802224985000001</v>
      </c>
      <c r="H3977" t="n">
        <v>0.7406610119</v>
      </c>
    </row>
    <row r="3978">
      <c r="A3978" t="inlineStr">
        <is>
          <t>HKG|mit.typ.bud.2</t>
        </is>
      </c>
      <c r="B3978" t="inlineStr">
        <is>
          <t>HKG</t>
        </is>
      </c>
      <c r="C3978" t="inlineStr">
        <is>
          <t>mit.typ.bud.2</t>
        </is>
      </c>
      <c r="D3978" t="n">
        <v>0</v>
      </c>
      <c r="E3978" t="n">
        <v>0.6628359709</v>
      </c>
      <c r="F3978" t="n">
        <v>0.7534147979</v>
      </c>
      <c r="G3978" t="n">
        <v>0.8712694897</v>
      </c>
      <c r="H3978" t="n">
        <v>0.9451166828999999</v>
      </c>
    </row>
    <row r="3979">
      <c r="A3979" t="inlineStr">
        <is>
          <t>HND|mit.typ.bud.2</t>
        </is>
      </c>
      <c r="B3979" t="inlineStr">
        <is>
          <t>HND</t>
        </is>
      </c>
      <c r="C3979" t="inlineStr">
        <is>
          <t>mit.typ.bud.2</t>
        </is>
      </c>
      <c r="D3979" t="n">
        <v>0</v>
      </c>
      <c r="E3979" t="n">
        <v>0.1445726426</v>
      </c>
      <c r="F3979" t="n">
        <v>0.4839121537</v>
      </c>
      <c r="G3979" t="n">
        <v>0.5745000183</v>
      </c>
      <c r="H3979" t="n">
        <v>0.6641852928</v>
      </c>
    </row>
    <row r="3980">
      <c r="A3980" t="inlineStr">
        <is>
          <t>HRV|mit.typ.bud.2</t>
        </is>
      </c>
      <c r="B3980" t="inlineStr">
        <is>
          <t>HRV</t>
        </is>
      </c>
      <c r="C3980" t="inlineStr">
        <is>
          <t>mit.typ.bud.2</t>
        </is>
      </c>
      <c r="D3980" t="n">
        <v>0</v>
      </c>
      <c r="E3980" t="n">
        <v>0.3045604411</v>
      </c>
      <c r="F3980" t="n">
        <v>0.3665418734</v>
      </c>
      <c r="G3980" t="n">
        <v>0.4186187589</v>
      </c>
      <c r="H3980" t="n">
        <v>0.4010502844</v>
      </c>
    </row>
    <row r="3981">
      <c r="A3981" t="inlineStr">
        <is>
          <t>HTI|mit.typ.bud.2</t>
        </is>
      </c>
      <c r="B3981" t="inlineStr">
        <is>
          <t>HTI</t>
        </is>
      </c>
      <c r="C3981" t="inlineStr">
        <is>
          <t>mit.typ.bud.2</t>
        </is>
      </c>
      <c r="D3981" t="n">
        <v>0</v>
      </c>
      <c r="E3981" t="n">
        <v>0.1184343236</v>
      </c>
      <c r="F3981" t="n">
        <v>0.2199981826</v>
      </c>
      <c r="G3981" t="n">
        <v>0.3430905523</v>
      </c>
      <c r="H3981" t="n">
        <v>0.4324601379</v>
      </c>
    </row>
    <row r="3982">
      <c r="A3982" t="inlineStr">
        <is>
          <t>HUN|mit.typ.bud.2</t>
        </is>
      </c>
      <c r="B3982" t="inlineStr">
        <is>
          <t>HUN</t>
        </is>
      </c>
      <c r="C3982" t="inlineStr">
        <is>
          <t>mit.typ.bud.2</t>
        </is>
      </c>
      <c r="D3982" t="n">
        <v>0</v>
      </c>
      <c r="E3982" t="n">
        <v>0.9773544724</v>
      </c>
      <c r="F3982" t="n">
        <v>1.11889898</v>
      </c>
      <c r="G3982" t="n">
        <v>1.176402669</v>
      </c>
      <c r="H3982" t="n">
        <v>1.263014622</v>
      </c>
    </row>
    <row r="3983">
      <c r="A3983" t="inlineStr">
        <is>
          <t>IDN|mit.typ.bud.2</t>
        </is>
      </c>
      <c r="B3983" t="inlineStr">
        <is>
          <t>IDN</t>
        </is>
      </c>
      <c r="C3983" t="inlineStr">
        <is>
          <t>mit.typ.bud.2</t>
        </is>
      </c>
      <c r="D3983" t="n">
        <v>0</v>
      </c>
      <c r="E3983" t="n">
        <v>7.895422788</v>
      </c>
      <c r="F3983" t="n">
        <v>18.83859328</v>
      </c>
      <c r="G3983" t="n">
        <v>25.73718904</v>
      </c>
      <c r="H3983" t="n">
        <v>31.22291246</v>
      </c>
    </row>
    <row r="3984">
      <c r="A3984" t="inlineStr">
        <is>
          <t>IND|mit.typ.bud.2</t>
        </is>
      </c>
      <c r="B3984" t="inlineStr">
        <is>
          <t>IND</t>
        </is>
      </c>
      <c r="C3984" t="inlineStr">
        <is>
          <t>mit.typ.bud.2</t>
        </is>
      </c>
      <c r="D3984" t="n">
        <v>0</v>
      </c>
      <c r="E3984" t="n">
        <v>29.35854359</v>
      </c>
      <c r="F3984" t="n">
        <v>49.66207949</v>
      </c>
      <c r="G3984" t="n">
        <v>85.85216532</v>
      </c>
      <c r="H3984" t="n">
        <v>100.2385091</v>
      </c>
    </row>
    <row r="3985">
      <c r="A3985" t="inlineStr">
        <is>
          <t>IRL|mit.typ.bud.2</t>
        </is>
      </c>
      <c r="B3985" t="inlineStr">
        <is>
          <t>IRL</t>
        </is>
      </c>
      <c r="C3985" t="inlineStr">
        <is>
          <t>mit.typ.bud.2</t>
        </is>
      </c>
      <c r="D3985" t="n">
        <v>0</v>
      </c>
      <c r="E3985" t="n">
        <v>2.052876125</v>
      </c>
      <c r="F3985" t="n">
        <v>2.511717251</v>
      </c>
      <c r="G3985" t="n">
        <v>2.695585106</v>
      </c>
      <c r="H3985" t="n">
        <v>2.600954108</v>
      </c>
    </row>
    <row r="3986">
      <c r="A3986" t="inlineStr">
        <is>
          <t>IRN|mit.typ.bud.2</t>
        </is>
      </c>
      <c r="B3986" t="inlineStr">
        <is>
          <t>IRN</t>
        </is>
      </c>
      <c r="C3986" t="inlineStr">
        <is>
          <t>mit.typ.bud.2</t>
        </is>
      </c>
      <c r="D3986" t="n">
        <v>0</v>
      </c>
      <c r="E3986" t="n">
        <v>11.03180589</v>
      </c>
      <c r="F3986" t="n">
        <v>10.55579324</v>
      </c>
      <c r="G3986" t="n">
        <v>19.01436699</v>
      </c>
      <c r="H3986" t="n">
        <v>18.70844209</v>
      </c>
    </row>
    <row r="3987">
      <c r="A3987" t="inlineStr">
        <is>
          <t>IRQ|mit.typ.bud.2</t>
        </is>
      </c>
      <c r="B3987" t="inlineStr">
        <is>
          <t>IRQ</t>
        </is>
      </c>
      <c r="C3987" t="inlineStr">
        <is>
          <t>mit.typ.bud.2</t>
        </is>
      </c>
      <c r="D3987" t="n">
        <v>0</v>
      </c>
      <c r="E3987" t="n">
        <v>2.655667569</v>
      </c>
      <c r="F3987" t="n">
        <v>3.151304866</v>
      </c>
      <c r="G3987" t="n">
        <v>5.811293493</v>
      </c>
      <c r="H3987" t="n">
        <v>6.336136036</v>
      </c>
    </row>
    <row r="3988">
      <c r="A3988" t="inlineStr">
        <is>
          <t>ISL|mit.typ.bud.2</t>
        </is>
      </c>
      <c r="B3988" t="inlineStr">
        <is>
          <t>ISL</t>
        </is>
      </c>
      <c r="C3988" t="inlineStr">
        <is>
          <t>mit.typ.bud.2</t>
        </is>
      </c>
      <c r="D3988" t="n">
        <v>0</v>
      </c>
      <c r="E3988" t="n">
        <v>0.102572261</v>
      </c>
      <c r="F3988" t="n">
        <v>0.364248944</v>
      </c>
      <c r="G3988" t="n">
        <v>0.394955485</v>
      </c>
      <c r="H3988" t="n">
        <v>0.4279960254</v>
      </c>
    </row>
    <row r="3989">
      <c r="A3989" t="inlineStr">
        <is>
          <t>ISR|mit.typ.bud.2</t>
        </is>
      </c>
      <c r="B3989" t="inlineStr">
        <is>
          <t>ISR</t>
        </is>
      </c>
      <c r="C3989" t="inlineStr">
        <is>
          <t>mit.typ.bud.2</t>
        </is>
      </c>
      <c r="D3989" t="n">
        <v>0</v>
      </c>
      <c r="E3989" t="n">
        <v>0.9130882621</v>
      </c>
      <c r="F3989" t="n">
        <v>1.215379442</v>
      </c>
      <c r="G3989" t="n">
        <v>1.528493748</v>
      </c>
      <c r="H3989" t="n">
        <v>1.827996433</v>
      </c>
    </row>
    <row r="3990">
      <c r="A3990" t="inlineStr">
        <is>
          <t>ITA|mit.typ.bud.2</t>
        </is>
      </c>
      <c r="B3990" t="inlineStr">
        <is>
          <t>ITA</t>
        </is>
      </c>
      <c r="C3990" t="inlineStr">
        <is>
          <t>mit.typ.bud.2</t>
        </is>
      </c>
      <c r="D3990" t="n">
        <v>0</v>
      </c>
      <c r="E3990" t="n">
        <v>6.831529712</v>
      </c>
      <c r="F3990" t="n">
        <v>7.299807295</v>
      </c>
      <c r="G3990" t="n">
        <v>8.047217656999999</v>
      </c>
      <c r="H3990" t="n">
        <v>6.95088732</v>
      </c>
    </row>
    <row r="3991">
      <c r="A3991" t="inlineStr">
        <is>
          <t>JAM|mit.typ.bud.2</t>
        </is>
      </c>
      <c r="B3991" t="inlineStr">
        <is>
          <t>JAM</t>
        </is>
      </c>
      <c r="C3991" t="inlineStr">
        <is>
          <t>mit.typ.bud.2</t>
        </is>
      </c>
      <c r="D3991" t="n">
        <v>0</v>
      </c>
      <c r="E3991" t="n">
        <v>0.046088934</v>
      </c>
      <c r="F3991" t="n">
        <v>0.05684067713</v>
      </c>
      <c r="G3991" t="n">
        <v>0.07086244437</v>
      </c>
      <c r="H3991" t="n">
        <v>0.09185121719</v>
      </c>
    </row>
    <row r="3992">
      <c r="A3992" t="inlineStr">
        <is>
          <t>JOR|mit.typ.bud.2</t>
        </is>
      </c>
      <c r="B3992" t="inlineStr">
        <is>
          <t>JOR</t>
        </is>
      </c>
      <c r="C3992" t="inlineStr">
        <is>
          <t>mit.typ.bud.2</t>
        </is>
      </c>
      <c r="D3992" t="n">
        <v>0</v>
      </c>
      <c r="E3992" t="n">
        <v>0.1436931348</v>
      </c>
      <c r="F3992" t="n">
        <v>0.2246695278</v>
      </c>
      <c r="G3992" t="n">
        <v>0.2913110232</v>
      </c>
      <c r="H3992" t="n">
        <v>0.3755675773</v>
      </c>
    </row>
    <row r="3993">
      <c r="A3993" t="inlineStr">
        <is>
          <t>JPN|mit.typ.bud.2</t>
        </is>
      </c>
      <c r="B3993" t="inlineStr">
        <is>
          <t>JPN</t>
        </is>
      </c>
      <c r="C3993" t="inlineStr">
        <is>
          <t>mit.typ.bud.2</t>
        </is>
      </c>
      <c r="D3993" t="n">
        <v>0</v>
      </c>
      <c r="E3993" t="n">
        <v>11.51905167</v>
      </c>
      <c r="F3993" t="n">
        <v>12.41537478</v>
      </c>
      <c r="G3993" t="n">
        <v>14.08855636</v>
      </c>
      <c r="H3993" t="n">
        <v>13.44906914</v>
      </c>
    </row>
    <row r="3994">
      <c r="A3994" t="inlineStr">
        <is>
          <t>KAZ|mit.typ.bud.2</t>
        </is>
      </c>
      <c r="B3994" t="inlineStr">
        <is>
          <t>KAZ</t>
        </is>
      </c>
      <c r="C3994" t="inlineStr">
        <is>
          <t>mit.typ.bud.2</t>
        </is>
      </c>
      <c r="D3994" t="n">
        <v>0</v>
      </c>
      <c r="E3994" t="n">
        <v>2.892873296</v>
      </c>
      <c r="F3994" t="n">
        <v>4.253502713</v>
      </c>
      <c r="G3994" t="n">
        <v>7.083436195</v>
      </c>
      <c r="H3994" t="n">
        <v>7.497244204</v>
      </c>
    </row>
    <row r="3995">
      <c r="A3995" t="inlineStr">
        <is>
          <t>KEN|mit.typ.bud.2</t>
        </is>
      </c>
      <c r="B3995" t="inlineStr">
        <is>
          <t>KEN</t>
        </is>
      </c>
      <c r="C3995" t="inlineStr">
        <is>
          <t>mit.typ.bud.2</t>
        </is>
      </c>
      <c r="D3995" t="n">
        <v>0</v>
      </c>
      <c r="E3995" t="n">
        <v>0.3412344943</v>
      </c>
      <c r="F3995" t="n">
        <v>0.9256336778000001</v>
      </c>
      <c r="G3995" t="n">
        <v>1.364963172</v>
      </c>
      <c r="H3995" t="n">
        <v>1.845206566</v>
      </c>
    </row>
    <row r="3996">
      <c r="A3996" t="inlineStr">
        <is>
          <t>KGZ|mit.typ.bud.2</t>
        </is>
      </c>
      <c r="B3996" t="inlineStr">
        <is>
          <t>KGZ</t>
        </is>
      </c>
      <c r="C3996" t="inlineStr">
        <is>
          <t>mit.typ.bud.2</t>
        </is>
      </c>
      <c r="D3996" t="n">
        <v>0</v>
      </c>
      <c r="E3996" t="n">
        <v>0.4125118466</v>
      </c>
      <c r="F3996" t="n">
        <v>0.5126964399</v>
      </c>
      <c r="G3996" t="n">
        <v>0.6996500103</v>
      </c>
      <c r="H3996" t="n">
        <v>0.9021495916</v>
      </c>
    </row>
    <row r="3997">
      <c r="A3997" t="inlineStr">
        <is>
          <t>KHM|mit.typ.bud.2</t>
        </is>
      </c>
      <c r="B3997" t="inlineStr">
        <is>
          <t>KHM</t>
        </is>
      </c>
      <c r="C3997" t="inlineStr">
        <is>
          <t>mit.typ.bud.2</t>
        </is>
      </c>
      <c r="D3997" t="n">
        <v>0</v>
      </c>
      <c r="E3997" t="n">
        <v>0.382051283</v>
      </c>
      <c r="F3997" t="n">
        <v>1.642047793</v>
      </c>
      <c r="G3997" t="n">
        <v>1.830255081</v>
      </c>
      <c r="H3997" t="n">
        <v>2.000858322</v>
      </c>
    </row>
    <row r="3998">
      <c r="A3998" t="inlineStr">
        <is>
          <t>KNA|mit.typ.bud.2</t>
        </is>
      </c>
      <c r="B3998" t="inlineStr">
        <is>
          <t>KNA</t>
        </is>
      </c>
      <c r="C3998" t="inlineStr">
        <is>
          <t>mit.typ.bud.2</t>
        </is>
      </c>
      <c r="D3998" t="n">
        <v>0</v>
      </c>
      <c r="E3998" t="n">
        <v>0.003383218351</v>
      </c>
      <c r="F3998" t="n">
        <v>0.004157668604</v>
      </c>
      <c r="G3998" t="n">
        <v>0.004586299396</v>
      </c>
      <c r="H3998" t="n">
        <v>0.005208645335</v>
      </c>
    </row>
    <row r="3999">
      <c r="A3999" t="inlineStr">
        <is>
          <t>KOR|mit.typ.bud.2</t>
        </is>
      </c>
      <c r="B3999" t="inlineStr">
        <is>
          <t>KOR</t>
        </is>
      </c>
      <c r="C3999" t="inlineStr">
        <is>
          <t>mit.typ.bud.2</t>
        </is>
      </c>
      <c r="D3999" t="n">
        <v>0</v>
      </c>
      <c r="E3999" t="n">
        <v>6.13762969</v>
      </c>
      <c r="F3999" t="n">
        <v>7.248880393</v>
      </c>
      <c r="G3999" t="n">
        <v>8.688301181</v>
      </c>
      <c r="H3999" t="n">
        <v>8.69551652</v>
      </c>
    </row>
    <row r="4000">
      <c r="A4000" t="inlineStr">
        <is>
          <t>KWT|mit.typ.bud.2</t>
        </is>
      </c>
      <c r="B4000" t="inlineStr">
        <is>
          <t>KWT</t>
        </is>
      </c>
      <c r="C4000" t="inlineStr">
        <is>
          <t>mit.typ.bud.2</t>
        </is>
      </c>
      <c r="D4000" t="n">
        <v>0</v>
      </c>
      <c r="E4000" t="n">
        <v>2.527014338</v>
      </c>
      <c r="F4000" t="n">
        <v>2.533991319</v>
      </c>
      <c r="G4000" t="n">
        <v>4.377044939</v>
      </c>
      <c r="H4000" t="n">
        <v>3.665591122</v>
      </c>
    </row>
    <row r="4001">
      <c r="A4001" t="inlineStr">
        <is>
          <t>LAO|mit.typ.bud.2</t>
        </is>
      </c>
      <c r="B4001" t="inlineStr">
        <is>
          <t>LAO</t>
        </is>
      </c>
      <c r="C4001" t="inlineStr">
        <is>
          <t>mit.typ.bud.2</t>
        </is>
      </c>
      <c r="D4001" t="n">
        <v>0</v>
      </c>
      <c r="E4001" t="n">
        <v>0.1852213733</v>
      </c>
      <c r="F4001" t="n">
        <v>0.9393508863</v>
      </c>
      <c r="G4001" t="n">
        <v>1.161975409</v>
      </c>
      <c r="H4001" t="n">
        <v>1.395532603</v>
      </c>
    </row>
    <row r="4002">
      <c r="A4002" t="inlineStr">
        <is>
          <t>LBN|mit.typ.bud.2</t>
        </is>
      </c>
      <c r="B4002" t="inlineStr">
        <is>
          <t>LBN</t>
        </is>
      </c>
      <c r="C4002" t="inlineStr">
        <is>
          <t>mit.typ.bud.2</t>
        </is>
      </c>
      <c r="D4002" t="n">
        <v>0</v>
      </c>
      <c r="E4002" t="n">
        <v>0.789228842</v>
      </c>
      <c r="F4002" t="n">
        <v>0.9657792302</v>
      </c>
      <c r="G4002" t="n">
        <v>1.50365046</v>
      </c>
      <c r="H4002" t="n">
        <v>1.629866686</v>
      </c>
    </row>
    <row r="4003">
      <c r="A4003" t="inlineStr">
        <is>
          <t>LBR|mit.typ.bud.2</t>
        </is>
      </c>
      <c r="B4003" t="inlineStr">
        <is>
          <t>LBR</t>
        </is>
      </c>
      <c r="C4003" t="inlineStr">
        <is>
          <t>mit.typ.bud.2</t>
        </is>
      </c>
      <c r="D4003" t="n">
        <v>0</v>
      </c>
      <c r="E4003" t="n">
        <v>0.1162409462</v>
      </c>
      <c r="F4003" t="n">
        <v>0.6086777865</v>
      </c>
      <c r="G4003" t="n">
        <v>0.6520024104</v>
      </c>
      <c r="H4003" t="n">
        <v>0.6881537338</v>
      </c>
    </row>
    <row r="4004">
      <c r="A4004" t="inlineStr">
        <is>
          <t>LBY|mit.typ.bud.2</t>
        </is>
      </c>
      <c r="B4004" t="inlineStr">
        <is>
          <t>LBY</t>
        </is>
      </c>
      <c r="C4004" t="inlineStr">
        <is>
          <t>mit.typ.bud.2</t>
        </is>
      </c>
      <c r="D4004" t="n">
        <v>0</v>
      </c>
      <c r="E4004" t="n">
        <v>2.274251009</v>
      </c>
      <c r="F4004" t="n">
        <v>2.322600092</v>
      </c>
      <c r="G4004" t="n">
        <v>3.865572602</v>
      </c>
      <c r="H4004" t="n">
        <v>3.830979797</v>
      </c>
    </row>
    <row r="4005">
      <c r="A4005" t="inlineStr">
        <is>
          <t>LCA|mit.typ.bud.2</t>
        </is>
      </c>
      <c r="B4005" t="inlineStr">
        <is>
          <t>LCA</t>
        </is>
      </c>
      <c r="C4005" t="inlineStr">
        <is>
          <t>mit.typ.bud.2</t>
        </is>
      </c>
      <c r="D4005" t="n">
        <v>0</v>
      </c>
      <c r="E4005" t="n">
        <v>0.005895998715</v>
      </c>
      <c r="F4005" t="n">
        <v>0.007783030289</v>
      </c>
      <c r="G4005" t="n">
        <v>0.0108721069</v>
      </c>
      <c r="H4005" t="n">
        <v>0.01331700449</v>
      </c>
    </row>
    <row r="4006">
      <c r="A4006" t="inlineStr">
        <is>
          <t>LKA|mit.typ.bud.2</t>
        </is>
      </c>
      <c r="B4006" t="inlineStr">
        <is>
          <t>LKA</t>
        </is>
      </c>
      <c r="C4006" t="inlineStr">
        <is>
          <t>mit.typ.bud.2</t>
        </is>
      </c>
      <c r="D4006" t="n">
        <v>0</v>
      </c>
      <c r="E4006" t="n">
        <v>0.3421491882</v>
      </c>
      <c r="F4006" t="n">
        <v>0.6199392912</v>
      </c>
      <c r="G4006" t="n">
        <v>0.9584430329</v>
      </c>
      <c r="H4006" t="n">
        <v>1.137657293</v>
      </c>
    </row>
    <row r="4007">
      <c r="A4007" t="inlineStr">
        <is>
          <t>LSO|mit.typ.bud.2</t>
        </is>
      </c>
      <c r="B4007" t="inlineStr">
        <is>
          <t>LSO</t>
        </is>
      </c>
      <c r="C4007" t="inlineStr">
        <is>
          <t>mit.typ.bud.2</t>
        </is>
      </c>
      <c r="D4007" t="n">
        <v>0</v>
      </c>
      <c r="E4007" t="n">
        <v>0.06098899261</v>
      </c>
      <c r="F4007" t="n">
        <v>0.08882950515</v>
      </c>
      <c r="G4007" t="n">
        <v>0.1640924384</v>
      </c>
      <c r="H4007" t="n">
        <v>0.182194684</v>
      </c>
    </row>
    <row r="4008">
      <c r="A4008" t="inlineStr">
        <is>
          <t>LTU|mit.typ.bud.2</t>
        </is>
      </c>
      <c r="B4008" t="inlineStr">
        <is>
          <t>LTU</t>
        </is>
      </c>
      <c r="C4008" t="inlineStr">
        <is>
          <t>mit.typ.bud.2</t>
        </is>
      </c>
      <c r="D4008" t="n">
        <v>0</v>
      </c>
      <c r="E4008" t="n">
        <v>0.2866677613</v>
      </c>
      <c r="F4008" t="n">
        <v>0.3530120515</v>
      </c>
      <c r="G4008" t="n">
        <v>0.4055518756</v>
      </c>
      <c r="H4008" t="n">
        <v>0.4103997178</v>
      </c>
    </row>
    <row r="4009">
      <c r="A4009" t="inlineStr">
        <is>
          <t>LUX|mit.typ.bud.2</t>
        </is>
      </c>
      <c r="B4009" t="inlineStr">
        <is>
          <t>LUX</t>
        </is>
      </c>
      <c r="C4009" t="inlineStr">
        <is>
          <t>mit.typ.bud.2</t>
        </is>
      </c>
      <c r="D4009" t="n">
        <v>0</v>
      </c>
      <c r="E4009" t="n">
        <v>0.225015325</v>
      </c>
      <c r="F4009" t="n">
        <v>0.2529602899</v>
      </c>
      <c r="G4009" t="n">
        <v>0.2805879423</v>
      </c>
      <c r="H4009" t="n">
        <v>0.2732901988</v>
      </c>
    </row>
    <row r="4010">
      <c r="A4010" t="inlineStr">
        <is>
          <t>LVA|mit.typ.bud.2</t>
        </is>
      </c>
      <c r="B4010" t="inlineStr">
        <is>
          <t>LVA</t>
        </is>
      </c>
      <c r="C4010" t="inlineStr">
        <is>
          <t>mit.typ.bud.2</t>
        </is>
      </c>
      <c r="D4010" t="n">
        <v>0</v>
      </c>
      <c r="E4010" t="n">
        <v>0.1629449785</v>
      </c>
      <c r="F4010" t="n">
        <v>0.2436691224</v>
      </c>
      <c r="G4010" t="n">
        <v>0.2639490815</v>
      </c>
      <c r="H4010" t="n">
        <v>0.2676619207</v>
      </c>
    </row>
    <row r="4011">
      <c r="A4011" t="inlineStr">
        <is>
          <t>MAC|mit.typ.bud.2</t>
        </is>
      </c>
      <c r="B4011" t="inlineStr">
        <is>
          <t>MAC</t>
        </is>
      </c>
      <c r="C4011" t="inlineStr">
        <is>
          <t>mit.typ.bud.2</t>
        </is>
      </c>
      <c r="D4011" t="n">
        <v>0</v>
      </c>
      <c r="E4011" t="n">
        <v>0.1742371659</v>
      </c>
      <c r="F4011" t="n">
        <v>0.2147593641</v>
      </c>
      <c r="G4011" t="n">
        <v>0.2022572521</v>
      </c>
      <c r="H4011" t="n">
        <v>0.2179418118</v>
      </c>
    </row>
    <row r="4012">
      <c r="A4012" t="inlineStr">
        <is>
          <t>MAR|mit.typ.bud.2</t>
        </is>
      </c>
      <c r="B4012" t="inlineStr">
        <is>
          <t>MAR</t>
        </is>
      </c>
      <c r="C4012" t="inlineStr">
        <is>
          <t>mit.typ.bud.2</t>
        </is>
      </c>
      <c r="D4012" t="n">
        <v>0</v>
      </c>
      <c r="E4012" t="n">
        <v>0.9698671629</v>
      </c>
      <c r="F4012" t="n">
        <v>1.556667538</v>
      </c>
      <c r="G4012" t="n">
        <v>2.511696403</v>
      </c>
      <c r="H4012" t="n">
        <v>2.986367496</v>
      </c>
    </row>
    <row r="4013">
      <c r="A4013" t="inlineStr">
        <is>
          <t>MDA|mit.typ.bud.2</t>
        </is>
      </c>
      <c r="B4013" t="inlineStr">
        <is>
          <t>MDA</t>
        </is>
      </c>
      <c r="C4013" t="inlineStr">
        <is>
          <t>mit.typ.bud.2</t>
        </is>
      </c>
      <c r="D4013" t="n">
        <v>0</v>
      </c>
      <c r="E4013" t="n">
        <v>0.1631205182</v>
      </c>
      <c r="F4013" t="n">
        <v>0.2171322932</v>
      </c>
      <c r="G4013" t="n">
        <v>0.3272976003</v>
      </c>
      <c r="H4013" t="n">
        <v>0.3942299453</v>
      </c>
    </row>
    <row r="4014">
      <c r="A4014" t="inlineStr">
        <is>
          <t>MDG|mit.typ.bud.2</t>
        </is>
      </c>
      <c r="B4014" t="inlineStr">
        <is>
          <t>MDG</t>
        </is>
      </c>
      <c r="C4014" t="inlineStr">
        <is>
          <t>mit.typ.bud.2</t>
        </is>
      </c>
      <c r="D4014" t="n">
        <v>0</v>
      </c>
      <c r="E4014" t="n">
        <v>0.1557376905</v>
      </c>
      <c r="F4014" t="n">
        <v>0.7044558187</v>
      </c>
      <c r="G4014" t="n">
        <v>0.8635624946</v>
      </c>
      <c r="H4014" t="n">
        <v>1.016741342</v>
      </c>
    </row>
    <row r="4015">
      <c r="A4015" t="inlineStr">
        <is>
          <t>MDV|mit.typ.bud.2</t>
        </is>
      </c>
      <c r="B4015" t="inlineStr">
        <is>
          <t>MDV</t>
        </is>
      </c>
      <c r="C4015" t="inlineStr">
        <is>
          <t>mit.typ.bud.2</t>
        </is>
      </c>
      <c r="D4015" t="n">
        <v>0</v>
      </c>
      <c r="E4015" t="n">
        <v>0.06015122822</v>
      </c>
      <c r="F4015" t="n">
        <v>0.07082031484</v>
      </c>
      <c r="G4015" t="n">
        <v>0.1233102479</v>
      </c>
      <c r="H4015" t="n">
        <v>0.1192347563</v>
      </c>
    </row>
    <row r="4016">
      <c r="A4016" t="inlineStr">
        <is>
          <t>MEX|mit.typ.bud.2</t>
        </is>
      </c>
      <c r="B4016" t="inlineStr">
        <is>
          <t>MEX</t>
        </is>
      </c>
      <c r="C4016" t="inlineStr">
        <is>
          <t>mit.typ.bud.2</t>
        </is>
      </c>
      <c r="D4016" t="n">
        <v>0</v>
      </c>
      <c r="E4016" t="n">
        <v>4.776894288</v>
      </c>
      <c r="F4016" t="n">
        <v>8.328249116</v>
      </c>
      <c r="G4016" t="n">
        <v>12.40129498</v>
      </c>
      <c r="H4016" t="n">
        <v>16.76693804</v>
      </c>
    </row>
    <row r="4017">
      <c r="A4017" t="inlineStr">
        <is>
          <t>MKD|mit.typ.bud.2</t>
        </is>
      </c>
      <c r="B4017" t="inlineStr">
        <is>
          <t>MKD</t>
        </is>
      </c>
      <c r="C4017" t="inlineStr">
        <is>
          <t>mit.typ.bud.2</t>
        </is>
      </c>
      <c r="D4017" t="n">
        <v>0</v>
      </c>
      <c r="E4017" t="n">
        <v>0.03865226805</v>
      </c>
      <c r="F4017" t="n">
        <v>0.06798059113</v>
      </c>
      <c r="G4017" t="n">
        <v>0.1028797695</v>
      </c>
      <c r="H4017" t="n">
        <v>0.1416677402</v>
      </c>
    </row>
    <row r="4018">
      <c r="A4018" t="inlineStr">
        <is>
          <t>MLI|mit.typ.bud.2</t>
        </is>
      </c>
      <c r="B4018" t="inlineStr">
        <is>
          <t>MLI</t>
        </is>
      </c>
      <c r="C4018" t="inlineStr">
        <is>
          <t>mit.typ.bud.2</t>
        </is>
      </c>
      <c r="D4018" t="n">
        <v>0</v>
      </c>
      <c r="E4018" t="n">
        <v>0.2358312083</v>
      </c>
      <c r="F4018" t="n">
        <v>0.6261748428</v>
      </c>
      <c r="G4018" t="n">
        <v>1.160893502</v>
      </c>
      <c r="H4018" t="n">
        <v>1.395827349</v>
      </c>
    </row>
    <row r="4019">
      <c r="A4019" t="inlineStr">
        <is>
          <t>MLT|mit.typ.bud.2</t>
        </is>
      </c>
      <c r="B4019" t="inlineStr">
        <is>
          <t>MLT</t>
        </is>
      </c>
      <c r="C4019" t="inlineStr">
        <is>
          <t>mit.typ.bud.2</t>
        </is>
      </c>
      <c r="D4019" t="n">
        <v>0</v>
      </c>
      <c r="E4019" t="n">
        <v>0.03835385458</v>
      </c>
      <c r="F4019" t="n">
        <v>0.04700441534</v>
      </c>
      <c r="G4019" t="n">
        <v>0.05690677432</v>
      </c>
      <c r="H4019" t="n">
        <v>0.06472867658000001</v>
      </c>
    </row>
    <row r="4020">
      <c r="A4020" t="inlineStr">
        <is>
          <t>MMR|mit.typ.bud.2</t>
        </is>
      </c>
      <c r="B4020" t="inlineStr">
        <is>
          <t>MMR</t>
        </is>
      </c>
      <c r="C4020" t="inlineStr">
        <is>
          <t>mit.typ.bud.2</t>
        </is>
      </c>
      <c r="D4020" t="n">
        <v>0</v>
      </c>
      <c r="E4020" t="n">
        <v>1.464579672</v>
      </c>
      <c r="F4020" t="n">
        <v>7.047245074</v>
      </c>
      <c r="G4020" t="n">
        <v>8.365681814</v>
      </c>
      <c r="H4020" t="n">
        <v>9.240251773000001</v>
      </c>
    </row>
    <row r="4021">
      <c r="A4021" t="inlineStr">
        <is>
          <t>MNE|mit.typ.bud.2</t>
        </is>
      </c>
      <c r="B4021" t="inlineStr">
        <is>
          <t>MNE</t>
        </is>
      </c>
      <c r="C4021" t="inlineStr">
        <is>
          <t>mit.typ.bud.2</t>
        </is>
      </c>
      <c r="D4021" t="n">
        <v>0</v>
      </c>
      <c r="E4021" t="n">
        <v>0.01120316745</v>
      </c>
      <c r="F4021" t="n">
        <v>0.01385618038</v>
      </c>
      <c r="G4021" t="n">
        <v>0.01667729053</v>
      </c>
      <c r="H4021" t="n">
        <v>0.02155211461</v>
      </c>
    </row>
    <row r="4022">
      <c r="A4022" t="inlineStr">
        <is>
          <t>MNG|mit.typ.bud.2</t>
        </is>
      </c>
      <c r="B4022" t="inlineStr">
        <is>
          <t>MNG</t>
        </is>
      </c>
      <c r="C4022" t="inlineStr">
        <is>
          <t>mit.typ.bud.2</t>
        </is>
      </c>
      <c r="D4022" t="n">
        <v>0</v>
      </c>
      <c r="E4022" t="n">
        <v>0.4345164008</v>
      </c>
      <c r="F4022" t="n">
        <v>1.457680744</v>
      </c>
      <c r="G4022" t="n">
        <v>1.907694276</v>
      </c>
      <c r="H4022" t="n">
        <v>2.084920957</v>
      </c>
    </row>
    <row r="4023">
      <c r="A4023" t="inlineStr">
        <is>
          <t>MOZ|mit.typ.bud.2</t>
        </is>
      </c>
      <c r="B4023" t="inlineStr">
        <is>
          <t>MOZ</t>
        </is>
      </c>
      <c r="C4023" t="inlineStr">
        <is>
          <t>mit.typ.bud.2</t>
        </is>
      </c>
      <c r="D4023" t="n">
        <v>0</v>
      </c>
      <c r="E4023" t="n">
        <v>0.5660156909</v>
      </c>
      <c r="F4023" t="n">
        <v>3.130253425</v>
      </c>
      <c r="G4023" t="n">
        <v>3.369645558</v>
      </c>
      <c r="H4023" t="n">
        <v>3.581072635</v>
      </c>
    </row>
    <row r="4024">
      <c r="A4024" t="inlineStr">
        <is>
          <t>MRT|mit.typ.bud.2</t>
        </is>
      </c>
      <c r="B4024" t="inlineStr">
        <is>
          <t>MRT</t>
        </is>
      </c>
      <c r="C4024" t="inlineStr">
        <is>
          <t>mit.typ.bud.2</t>
        </is>
      </c>
      <c r="D4024" t="n">
        <v>0</v>
      </c>
      <c r="E4024" t="n">
        <v>0.1377429567</v>
      </c>
      <c r="F4024" t="n">
        <v>0.2841456069</v>
      </c>
      <c r="G4024" t="n">
        <v>0.5476535102</v>
      </c>
      <c r="H4024" t="n">
        <v>0.6325801709</v>
      </c>
    </row>
    <row r="4025">
      <c r="A4025" t="inlineStr">
        <is>
          <t>MUS|mit.typ.bud.2</t>
        </is>
      </c>
      <c r="B4025" t="inlineStr">
        <is>
          <t>MUS</t>
        </is>
      </c>
      <c r="C4025" t="inlineStr">
        <is>
          <t>mit.typ.bud.2</t>
        </is>
      </c>
      <c r="D4025" t="n">
        <v>0</v>
      </c>
      <c r="E4025" t="n">
        <v>0.04743075415</v>
      </c>
      <c r="F4025" t="n">
        <v>0.07042984868</v>
      </c>
      <c r="G4025" t="n">
        <v>0.1174888407</v>
      </c>
      <c r="H4025" t="n">
        <v>0.1176805597</v>
      </c>
    </row>
    <row r="4026">
      <c r="A4026" t="inlineStr">
        <is>
          <t>MWI|mit.typ.bud.2</t>
        </is>
      </c>
      <c r="B4026" t="inlineStr">
        <is>
          <t>MWI</t>
        </is>
      </c>
      <c r="C4026" t="inlineStr">
        <is>
          <t>mit.typ.bud.2</t>
        </is>
      </c>
      <c r="D4026" t="n">
        <v>0</v>
      </c>
      <c r="E4026" t="n">
        <v>0.1096367072</v>
      </c>
      <c r="F4026" t="n">
        <v>0.5259609068</v>
      </c>
      <c r="G4026" t="n">
        <v>0.6443554824</v>
      </c>
      <c r="H4026" t="n">
        <v>0.7602546171</v>
      </c>
    </row>
    <row r="4027">
      <c r="A4027" t="inlineStr">
        <is>
          <t>MYS|mit.typ.bud.2</t>
        </is>
      </c>
      <c r="B4027" t="inlineStr">
        <is>
          <t>MYS</t>
        </is>
      </c>
      <c r="C4027" t="inlineStr">
        <is>
          <t>mit.typ.bud.2</t>
        </is>
      </c>
      <c r="D4027" t="n">
        <v>0</v>
      </c>
      <c r="E4027" t="n">
        <v>1.354824093</v>
      </c>
      <c r="F4027" t="n">
        <v>3.789766739</v>
      </c>
      <c r="G4027" t="n">
        <v>4.727236836</v>
      </c>
      <c r="H4027" t="n">
        <v>5.820698309</v>
      </c>
    </row>
    <row r="4028">
      <c r="A4028" t="inlineStr">
        <is>
          <t>NAM|mit.typ.bud.2</t>
        </is>
      </c>
      <c r="B4028" t="inlineStr">
        <is>
          <t>NAM</t>
        </is>
      </c>
      <c r="C4028" t="inlineStr">
        <is>
          <t>mit.typ.bud.2</t>
        </is>
      </c>
      <c r="D4028" t="n">
        <v>0</v>
      </c>
      <c r="E4028" t="n">
        <v>0.08846211066</v>
      </c>
      <c r="F4028" t="n">
        <v>0.4358996675</v>
      </c>
      <c r="G4028" t="n">
        <v>0.4724002702</v>
      </c>
      <c r="H4028" t="n">
        <v>0.5103349973</v>
      </c>
    </row>
    <row r="4029">
      <c r="A4029" t="inlineStr">
        <is>
          <t>NER|mit.typ.bud.2</t>
        </is>
      </c>
      <c r="B4029" t="inlineStr">
        <is>
          <t>NER</t>
        </is>
      </c>
      <c r="C4029" t="inlineStr">
        <is>
          <t>mit.typ.bud.2</t>
        </is>
      </c>
      <c r="D4029" t="n">
        <v>0</v>
      </c>
      <c r="E4029" t="n">
        <v>0.1444301137</v>
      </c>
      <c r="F4029" t="n">
        <v>0.4727173869</v>
      </c>
      <c r="G4029" t="n">
        <v>0.7304720635</v>
      </c>
      <c r="H4029" t="n">
        <v>0.9138270673</v>
      </c>
    </row>
    <row r="4030">
      <c r="A4030" t="inlineStr">
        <is>
          <t>NGA|mit.typ.bud.2</t>
        </is>
      </c>
      <c r="B4030" t="inlineStr">
        <is>
          <t>NGA</t>
        </is>
      </c>
      <c r="C4030" t="inlineStr">
        <is>
          <t>mit.typ.bud.2</t>
        </is>
      </c>
      <c r="D4030" t="n">
        <v>0</v>
      </c>
      <c r="E4030" t="n">
        <v>1.536816151</v>
      </c>
      <c r="F4030" t="n">
        <v>5.143463376</v>
      </c>
      <c r="G4030" t="n">
        <v>7.173225729</v>
      </c>
      <c r="H4030" t="n">
        <v>8.778060472</v>
      </c>
    </row>
    <row r="4031">
      <c r="A4031" t="inlineStr">
        <is>
          <t>NIC|mit.typ.bud.2</t>
        </is>
      </c>
      <c r="B4031" t="inlineStr">
        <is>
          <t>NIC</t>
        </is>
      </c>
      <c r="C4031" t="inlineStr">
        <is>
          <t>mit.typ.bud.2</t>
        </is>
      </c>
      <c r="D4031" t="n">
        <v>0</v>
      </c>
      <c r="E4031" t="n">
        <v>0.2114510349</v>
      </c>
      <c r="F4031" t="n">
        <v>0.9404430385</v>
      </c>
      <c r="G4031" t="n">
        <v>1.042033507</v>
      </c>
      <c r="H4031" t="n">
        <v>1.133186264</v>
      </c>
    </row>
    <row r="4032">
      <c r="A4032" t="inlineStr">
        <is>
          <t>NLD|mit.typ.bud.2</t>
        </is>
      </c>
      <c r="B4032" t="inlineStr">
        <is>
          <t>NLD</t>
        </is>
      </c>
      <c r="C4032" t="inlineStr">
        <is>
          <t>mit.typ.bud.2</t>
        </is>
      </c>
      <c r="D4032" t="n">
        <v>0</v>
      </c>
      <c r="E4032" t="n">
        <v>3.776842599</v>
      </c>
      <c r="F4032" t="n">
        <v>4.14614974</v>
      </c>
      <c r="G4032" t="n">
        <v>4.238036715</v>
      </c>
      <c r="H4032" t="n">
        <v>3.28431763</v>
      </c>
    </row>
    <row r="4033">
      <c r="A4033" t="inlineStr">
        <is>
          <t>NOR|mit.typ.bud.2</t>
        </is>
      </c>
      <c r="B4033" t="inlineStr">
        <is>
          <t>NOR</t>
        </is>
      </c>
      <c r="C4033" t="inlineStr">
        <is>
          <t>mit.typ.bud.2</t>
        </is>
      </c>
      <c r="D4033" t="n">
        <v>0</v>
      </c>
      <c r="E4033" t="n">
        <v>0.8452292795</v>
      </c>
      <c r="F4033" t="n">
        <v>0.9607810141999999</v>
      </c>
      <c r="G4033" t="n">
        <v>1.139034557</v>
      </c>
      <c r="H4033" t="n">
        <v>1.348194188</v>
      </c>
    </row>
    <row r="4034">
      <c r="A4034" t="inlineStr">
        <is>
          <t>NPL|mit.typ.bud.2</t>
        </is>
      </c>
      <c r="B4034" t="inlineStr">
        <is>
          <t>NPL</t>
        </is>
      </c>
      <c r="C4034" t="inlineStr">
        <is>
          <t>mit.typ.bud.2</t>
        </is>
      </c>
      <c r="D4034" t="n">
        <v>0</v>
      </c>
      <c r="E4034" t="n">
        <v>0.2912063799</v>
      </c>
      <c r="F4034" t="n">
        <v>0.6756652131999999</v>
      </c>
      <c r="G4034" t="n">
        <v>0.9996617493</v>
      </c>
      <c r="H4034" t="n">
        <v>1.332354473</v>
      </c>
    </row>
    <row r="4035">
      <c r="A4035" t="inlineStr">
        <is>
          <t>NRU|mit.typ.bud.2</t>
        </is>
      </c>
      <c r="B4035" t="inlineStr">
        <is>
          <t>NRU</t>
        </is>
      </c>
      <c r="C4035" t="inlineStr">
        <is>
          <t>mit.typ.bud.2</t>
        </is>
      </c>
      <c r="D4035" t="n">
        <v>0</v>
      </c>
      <c r="E4035" t="n">
        <v>0.0008655078567</v>
      </c>
      <c r="F4035" t="n">
        <v>0.001037456692</v>
      </c>
      <c r="G4035" t="n">
        <v>0.001345232234</v>
      </c>
      <c r="H4035" t="n">
        <v>0.001796622863</v>
      </c>
    </row>
    <row r="4036">
      <c r="A4036" t="inlineStr">
        <is>
          <t>NZL|mit.typ.bud.2</t>
        </is>
      </c>
      <c r="B4036" t="inlineStr">
        <is>
          <t>NZL</t>
        </is>
      </c>
      <c r="C4036" t="inlineStr">
        <is>
          <t>mit.typ.bud.2</t>
        </is>
      </c>
      <c r="D4036" t="n">
        <v>0</v>
      </c>
      <c r="E4036" t="n">
        <v>0.5933552231</v>
      </c>
      <c r="F4036" t="n">
        <v>0.8256364111</v>
      </c>
      <c r="G4036" t="n">
        <v>0.9977729547</v>
      </c>
      <c r="H4036" t="n">
        <v>1.086804538</v>
      </c>
    </row>
    <row r="4037">
      <c r="A4037" t="inlineStr">
        <is>
          <t>OMN|mit.typ.bud.2</t>
        </is>
      </c>
      <c r="B4037" t="inlineStr">
        <is>
          <t>OMN</t>
        </is>
      </c>
      <c r="C4037" t="inlineStr">
        <is>
          <t>mit.typ.bud.2</t>
        </is>
      </c>
      <c r="D4037" t="n">
        <v>0</v>
      </c>
      <c r="E4037" t="n">
        <v>1.301899378</v>
      </c>
      <c r="F4037" t="n">
        <v>1.77084863</v>
      </c>
      <c r="G4037" t="n">
        <v>2.208538825</v>
      </c>
      <c r="H4037" t="n">
        <v>2.421112563</v>
      </c>
    </row>
    <row r="4038">
      <c r="A4038" t="inlineStr">
        <is>
          <t>PAK|mit.typ.bud.2</t>
        </is>
      </c>
      <c r="B4038" t="inlineStr">
        <is>
          <t>PAK</t>
        </is>
      </c>
      <c r="C4038" t="inlineStr">
        <is>
          <t>mit.typ.bud.2</t>
        </is>
      </c>
      <c r="D4038" t="n">
        <v>0</v>
      </c>
      <c r="E4038" t="n">
        <v>2.305984666</v>
      </c>
      <c r="F4038" t="n">
        <v>5.039869513</v>
      </c>
      <c r="G4038" t="n">
        <v>7.650069457</v>
      </c>
      <c r="H4038" t="n">
        <v>9.471955143000001</v>
      </c>
    </row>
    <row r="4039">
      <c r="A4039" t="inlineStr">
        <is>
          <t>PAN|mit.typ.bud.2</t>
        </is>
      </c>
      <c r="B4039" t="inlineStr">
        <is>
          <t>PAN</t>
        </is>
      </c>
      <c r="C4039" t="inlineStr">
        <is>
          <t>mit.typ.bud.2</t>
        </is>
      </c>
      <c r="D4039" t="n">
        <v>0</v>
      </c>
      <c r="E4039" t="n">
        <v>0.1511911961</v>
      </c>
      <c r="F4039" t="n">
        <v>0.3258197091</v>
      </c>
      <c r="G4039" t="n">
        <v>0.3747041718</v>
      </c>
      <c r="H4039" t="n">
        <v>0.4241298267</v>
      </c>
    </row>
    <row r="4040">
      <c r="A4040" t="inlineStr">
        <is>
          <t>PER|mit.typ.bud.2</t>
        </is>
      </c>
      <c r="B4040" t="inlineStr">
        <is>
          <t>PER</t>
        </is>
      </c>
      <c r="C4040" t="inlineStr">
        <is>
          <t>mit.typ.bud.2</t>
        </is>
      </c>
      <c r="D4040" t="n">
        <v>0</v>
      </c>
      <c r="E4040" t="n">
        <v>1.039376004</v>
      </c>
      <c r="F4040" t="n">
        <v>3.87971957</v>
      </c>
      <c r="G4040" t="n">
        <v>4.155907925</v>
      </c>
      <c r="H4040" t="n">
        <v>4.484130255</v>
      </c>
    </row>
    <row r="4041">
      <c r="A4041" t="inlineStr">
        <is>
          <t>PHL|mit.typ.bud.2</t>
        </is>
      </c>
      <c r="B4041" t="inlineStr">
        <is>
          <t>PHL</t>
        </is>
      </c>
      <c r="C4041" t="inlineStr">
        <is>
          <t>mit.typ.bud.2</t>
        </is>
      </c>
      <c r="D4041" t="n">
        <v>0</v>
      </c>
      <c r="E4041" t="n">
        <v>1.288702246</v>
      </c>
      <c r="F4041" t="n">
        <v>2.370989513</v>
      </c>
      <c r="G4041" t="n">
        <v>3.862240391</v>
      </c>
      <c r="H4041" t="n">
        <v>4.802290285</v>
      </c>
    </row>
    <row r="4042">
      <c r="A4042" t="inlineStr">
        <is>
          <t>PLW|mit.typ.bud.2</t>
        </is>
      </c>
      <c r="B4042" t="inlineStr">
        <is>
          <t>PLW</t>
        </is>
      </c>
      <c r="C4042" t="inlineStr">
        <is>
          <t>mit.typ.bud.2</t>
        </is>
      </c>
      <c r="D4042" t="n">
        <v>0</v>
      </c>
      <c r="E4042" t="n">
        <v>0.002717323957</v>
      </c>
      <c r="F4042" t="n">
        <v>0.008264459691</v>
      </c>
      <c r="G4042" t="n">
        <v>0.01825818651</v>
      </c>
      <c r="H4042" t="n">
        <v>0.02843487522</v>
      </c>
    </row>
    <row r="4043">
      <c r="A4043" t="inlineStr">
        <is>
          <t>PNG|mit.typ.bud.2</t>
        </is>
      </c>
      <c r="B4043" t="inlineStr">
        <is>
          <t>PNG</t>
        </is>
      </c>
      <c r="C4043" t="inlineStr">
        <is>
          <t>mit.typ.bud.2</t>
        </is>
      </c>
      <c r="D4043" t="n">
        <v>0</v>
      </c>
      <c r="E4043" t="n">
        <v>0.3222009395</v>
      </c>
      <c r="F4043" t="n">
        <v>1.436336006</v>
      </c>
      <c r="G4043" t="n">
        <v>1.532918089</v>
      </c>
      <c r="H4043" t="n">
        <v>1.634381288</v>
      </c>
    </row>
    <row r="4044">
      <c r="A4044" t="inlineStr">
        <is>
          <t>POL|mit.typ.bud.2</t>
        </is>
      </c>
      <c r="B4044" t="inlineStr">
        <is>
          <t>POL</t>
        </is>
      </c>
      <c r="C4044" t="inlineStr">
        <is>
          <t>mit.typ.bud.2</t>
        </is>
      </c>
      <c r="D4044" t="n">
        <v>0</v>
      </c>
      <c r="E4044" t="n">
        <v>2.473897801</v>
      </c>
      <c r="F4044" t="n">
        <v>3.169054731</v>
      </c>
      <c r="G4044" t="n">
        <v>3.670155101</v>
      </c>
      <c r="H4044" t="n">
        <v>4.227831196</v>
      </c>
    </row>
    <row r="4045">
      <c r="A4045" t="inlineStr">
        <is>
          <t>PRI|mit.typ.bud.2</t>
        </is>
      </c>
      <c r="B4045" t="inlineStr">
        <is>
          <t>PRI</t>
        </is>
      </c>
      <c r="C4045" t="inlineStr">
        <is>
          <t>mit.typ.bud.2</t>
        </is>
      </c>
      <c r="D4045" t="n">
        <v>0</v>
      </c>
      <c r="E4045" t="n">
        <v>0.2107615389</v>
      </c>
      <c r="F4045" t="n">
        <v>0.2420138151</v>
      </c>
      <c r="G4045" t="n">
        <v>0.2987032801</v>
      </c>
      <c r="H4045" t="n">
        <v>0.3614711107</v>
      </c>
    </row>
    <row r="4046">
      <c r="A4046" t="inlineStr">
        <is>
          <t>PRT|mit.typ.bud.2</t>
        </is>
      </c>
      <c r="B4046" t="inlineStr">
        <is>
          <t>PRT</t>
        </is>
      </c>
      <c r="C4046" t="inlineStr">
        <is>
          <t>mit.typ.bud.2</t>
        </is>
      </c>
      <c r="D4046" t="n">
        <v>0</v>
      </c>
      <c r="E4046" t="n">
        <v>0.8605474482</v>
      </c>
      <c r="F4046" t="n">
        <v>1.046373152</v>
      </c>
      <c r="G4046" t="n">
        <v>1.238224186</v>
      </c>
      <c r="H4046" t="n">
        <v>1.370519128</v>
      </c>
    </row>
    <row r="4047">
      <c r="A4047" t="inlineStr">
        <is>
          <t>PRY|mit.typ.bud.2</t>
        </is>
      </c>
      <c r="B4047" t="inlineStr">
        <is>
          <t>PRY</t>
        </is>
      </c>
      <c r="C4047" t="inlineStr">
        <is>
          <t>mit.typ.bud.2</t>
        </is>
      </c>
      <c r="D4047" t="n">
        <v>0</v>
      </c>
      <c r="E4047" t="n">
        <v>0.4473027784</v>
      </c>
      <c r="F4047" t="n">
        <v>1.991230879</v>
      </c>
      <c r="G4047" t="n">
        <v>2.615918998</v>
      </c>
      <c r="H4047" t="n">
        <v>2.960656361</v>
      </c>
    </row>
    <row r="4048">
      <c r="A4048" t="inlineStr">
        <is>
          <t>QAT|mit.typ.bud.2</t>
        </is>
      </c>
      <c r="B4048" t="inlineStr">
        <is>
          <t>QAT</t>
        </is>
      </c>
      <c r="C4048" t="inlineStr">
        <is>
          <t>mit.typ.bud.2</t>
        </is>
      </c>
      <c r="D4048" t="n">
        <v>0</v>
      </c>
      <c r="E4048" t="n">
        <v>2.251394586</v>
      </c>
      <c r="F4048" t="n">
        <v>1.891589651</v>
      </c>
      <c r="G4048" t="n">
        <v>3.375857162</v>
      </c>
      <c r="H4048" t="n">
        <v>3.422153175</v>
      </c>
    </row>
    <row r="4049">
      <c r="A4049" t="inlineStr">
        <is>
          <t>ROU|mit.typ.bud.2</t>
        </is>
      </c>
      <c r="B4049" t="inlineStr">
        <is>
          <t>ROU</t>
        </is>
      </c>
      <c r="C4049" t="inlineStr">
        <is>
          <t>mit.typ.bud.2</t>
        </is>
      </c>
      <c r="D4049" t="n">
        <v>0</v>
      </c>
      <c r="E4049" t="n">
        <v>0.9641030725</v>
      </c>
      <c r="F4049" t="n">
        <v>1.209054509</v>
      </c>
      <c r="G4049" t="n">
        <v>1.565099915</v>
      </c>
      <c r="H4049" t="n">
        <v>1.993282194</v>
      </c>
    </row>
    <row r="4050">
      <c r="A4050" t="inlineStr">
        <is>
          <t>RUS|mit.typ.bud.2</t>
        </is>
      </c>
      <c r="B4050" t="inlineStr">
        <is>
          <t>RUS</t>
        </is>
      </c>
      <c r="C4050" t="inlineStr">
        <is>
          <t>mit.typ.bud.2</t>
        </is>
      </c>
      <c r="D4050" t="n">
        <v>0</v>
      </c>
      <c r="E4050" t="n">
        <v>29.49058003</v>
      </c>
      <c r="F4050" t="n">
        <v>39.53911112</v>
      </c>
      <c r="G4050" t="n">
        <v>73.36098426</v>
      </c>
      <c r="H4050" t="n">
        <v>78.83206499000001</v>
      </c>
    </row>
    <row r="4051">
      <c r="A4051" t="inlineStr">
        <is>
          <t>RWA|mit.typ.bud.2</t>
        </is>
      </c>
      <c r="B4051" t="inlineStr">
        <is>
          <t>RWA</t>
        </is>
      </c>
      <c r="C4051" t="inlineStr">
        <is>
          <t>mit.typ.bud.2</t>
        </is>
      </c>
      <c r="D4051" t="n">
        <v>0</v>
      </c>
      <c r="E4051" t="n">
        <v>0.04401267032</v>
      </c>
      <c r="F4051" t="n">
        <v>0.1445308718</v>
      </c>
      <c r="G4051" t="n">
        <v>0.1972021656</v>
      </c>
      <c r="H4051" t="n">
        <v>0.2511808005</v>
      </c>
    </row>
    <row r="4052">
      <c r="A4052" t="inlineStr">
        <is>
          <t>SAU|mit.typ.bud.2</t>
        </is>
      </c>
      <c r="B4052" t="inlineStr">
        <is>
          <t>SAU</t>
        </is>
      </c>
      <c r="C4052" t="inlineStr">
        <is>
          <t>mit.typ.bud.2</t>
        </is>
      </c>
      <c r="D4052" t="n">
        <v>0</v>
      </c>
      <c r="E4052" t="n">
        <v>9.092404135000001</v>
      </c>
      <c r="F4052" t="n">
        <v>11.81970476</v>
      </c>
      <c r="G4052" t="n">
        <v>20.25315412</v>
      </c>
      <c r="H4052" t="n">
        <v>15.70901489</v>
      </c>
    </row>
    <row r="4053">
      <c r="A4053" t="inlineStr">
        <is>
          <t>SDN|mit.typ.bud.2</t>
        </is>
      </c>
      <c r="B4053" t="inlineStr">
        <is>
          <t>SDN</t>
        </is>
      </c>
      <c r="C4053" t="inlineStr">
        <is>
          <t>mit.typ.bud.2</t>
        </is>
      </c>
      <c r="D4053" t="n">
        <v>0</v>
      </c>
      <c r="E4053" t="n">
        <v>0.3834660562</v>
      </c>
      <c r="F4053" t="n">
        <v>1.699779243</v>
      </c>
      <c r="G4053" t="n">
        <v>2.147705996</v>
      </c>
      <c r="H4053" t="n">
        <v>2.596230941</v>
      </c>
    </row>
    <row r="4054">
      <c r="A4054" t="inlineStr">
        <is>
          <t>SEN|mit.typ.bud.2</t>
        </is>
      </c>
      <c r="B4054" t="inlineStr">
        <is>
          <t>SEN</t>
        </is>
      </c>
      <c r="C4054" t="inlineStr">
        <is>
          <t>mit.typ.bud.2</t>
        </is>
      </c>
      <c r="D4054" t="n">
        <v>0</v>
      </c>
      <c r="E4054" t="n">
        <v>0.1702336204</v>
      </c>
      <c r="F4054" t="n">
        <v>0.4476831455</v>
      </c>
      <c r="G4054" t="n">
        <v>0.5877220205</v>
      </c>
      <c r="H4054" t="n">
        <v>0.7006005765</v>
      </c>
    </row>
    <row r="4055">
      <c r="A4055" t="inlineStr">
        <is>
          <t>SGP|mit.typ.bud.2</t>
        </is>
      </c>
      <c r="B4055" t="inlineStr">
        <is>
          <t>SGP</t>
        </is>
      </c>
      <c r="C4055" t="inlineStr">
        <is>
          <t>mit.typ.bud.2</t>
        </is>
      </c>
      <c r="D4055" t="n">
        <v>0</v>
      </c>
      <c r="E4055" t="n">
        <v>0.9344221108</v>
      </c>
      <c r="F4055" t="n">
        <v>1.211204259</v>
      </c>
      <c r="G4055" t="n">
        <v>1.572005997</v>
      </c>
      <c r="H4055" t="n">
        <v>1.897347185</v>
      </c>
    </row>
    <row r="4056">
      <c r="A4056" t="inlineStr">
        <is>
          <t>SLB|mit.typ.bud.2</t>
        </is>
      </c>
      <c r="B4056" t="inlineStr">
        <is>
          <t>SLB</t>
        </is>
      </c>
      <c r="C4056" t="inlineStr">
        <is>
          <t>mit.typ.bud.2</t>
        </is>
      </c>
      <c r="D4056" t="n">
        <v>0</v>
      </c>
      <c r="E4056" t="n">
        <v>0.2883142824</v>
      </c>
      <c r="F4056" t="n">
        <v>1.711170358</v>
      </c>
      <c r="G4056" t="n">
        <v>1.714264015</v>
      </c>
      <c r="H4056" t="n">
        <v>1.717498304</v>
      </c>
    </row>
    <row r="4057">
      <c r="A4057" t="inlineStr">
        <is>
          <t>SLE|mit.typ.bud.2</t>
        </is>
      </c>
      <c r="B4057" t="inlineStr">
        <is>
          <t>SLE</t>
        </is>
      </c>
      <c r="C4057" t="inlineStr">
        <is>
          <t>mit.typ.bud.2</t>
        </is>
      </c>
      <c r="D4057" t="n">
        <v>0</v>
      </c>
      <c r="E4057" t="n">
        <v>0.04669959099</v>
      </c>
      <c r="F4057" t="n">
        <v>0.20445151</v>
      </c>
      <c r="G4057" t="n">
        <v>0.2386374969</v>
      </c>
      <c r="H4057" t="n">
        <v>0.2765719674</v>
      </c>
    </row>
    <row r="4058">
      <c r="A4058" t="inlineStr">
        <is>
          <t>SLV|mit.typ.bud.2</t>
        </is>
      </c>
      <c r="B4058" t="inlineStr">
        <is>
          <t>SLV</t>
        </is>
      </c>
      <c r="C4058" t="inlineStr">
        <is>
          <t>mit.typ.bud.2</t>
        </is>
      </c>
      <c r="D4058" t="n">
        <v>0</v>
      </c>
      <c r="E4058" t="n">
        <v>0.1100247507</v>
      </c>
      <c r="F4058" t="n">
        <v>0.1983305385</v>
      </c>
      <c r="G4058" t="n">
        <v>0.2651731514</v>
      </c>
      <c r="H4058" t="n">
        <v>0.3476929491</v>
      </c>
    </row>
    <row r="4059">
      <c r="A4059" t="inlineStr">
        <is>
          <t>SOM|mit.typ.bud.2</t>
        </is>
      </c>
      <c r="B4059" t="inlineStr">
        <is>
          <t>SOM</t>
        </is>
      </c>
      <c r="C4059" t="inlineStr">
        <is>
          <t>mit.typ.bud.2</t>
        </is>
      </c>
      <c r="D4059" t="n">
        <v>0</v>
      </c>
      <c r="E4059" t="n">
        <v>0.2069494152</v>
      </c>
      <c r="F4059" t="n">
        <v>1.015269601</v>
      </c>
      <c r="G4059" t="n">
        <v>1.186657651</v>
      </c>
      <c r="H4059" t="n">
        <v>1.338752288</v>
      </c>
    </row>
    <row r="4060">
      <c r="A4060" t="inlineStr">
        <is>
          <t>SRB|mit.typ.bud.2</t>
        </is>
      </c>
      <c r="B4060" t="inlineStr">
        <is>
          <t>SRB</t>
        </is>
      </c>
      <c r="C4060" t="inlineStr">
        <is>
          <t>mit.typ.bud.2</t>
        </is>
      </c>
      <c r="D4060" t="n">
        <v>0</v>
      </c>
      <c r="E4060" t="n">
        <v>0.263914244</v>
      </c>
      <c r="F4060" t="n">
        <v>0.4353879482</v>
      </c>
      <c r="G4060" t="n">
        <v>0.6740032218000001</v>
      </c>
      <c r="H4060" t="n">
        <v>0.9306742675</v>
      </c>
    </row>
    <row r="4061">
      <c r="A4061" t="inlineStr">
        <is>
          <t>STP|mit.typ.bud.2</t>
        </is>
      </c>
      <c r="B4061" t="inlineStr">
        <is>
          <t>STP</t>
        </is>
      </c>
      <c r="C4061" t="inlineStr">
        <is>
          <t>mit.typ.bud.2</t>
        </is>
      </c>
      <c r="D4061" t="n">
        <v>0</v>
      </c>
      <c r="E4061" t="n">
        <v>0.006785388557</v>
      </c>
      <c r="F4061" t="n">
        <v>0.01633208288</v>
      </c>
      <c r="G4061" t="n">
        <v>0.02417288348</v>
      </c>
      <c r="H4061" t="n">
        <v>0.02720173148</v>
      </c>
    </row>
    <row r="4062">
      <c r="A4062" t="inlineStr">
        <is>
          <t>SUR|mit.typ.bud.2</t>
        </is>
      </c>
      <c r="B4062" t="inlineStr">
        <is>
          <t>SUR</t>
        </is>
      </c>
      <c r="C4062" t="inlineStr">
        <is>
          <t>mit.typ.bud.2</t>
        </is>
      </c>
      <c r="D4062" t="n">
        <v>0</v>
      </c>
      <c r="E4062" t="n">
        <v>0.1078455558</v>
      </c>
      <c r="F4062" t="n">
        <v>0.4001206381</v>
      </c>
      <c r="G4062" t="n">
        <v>0.4459036418</v>
      </c>
      <c r="H4062" t="n">
        <v>0.4666675528</v>
      </c>
    </row>
    <row r="4063">
      <c r="A4063" t="inlineStr">
        <is>
          <t>SVK|mit.typ.bud.2</t>
        </is>
      </c>
      <c r="B4063" t="inlineStr">
        <is>
          <t>SVK</t>
        </is>
      </c>
      <c r="C4063" t="inlineStr">
        <is>
          <t>mit.typ.bud.2</t>
        </is>
      </c>
      <c r="D4063" t="n">
        <v>0</v>
      </c>
      <c r="E4063" t="n">
        <v>0.53049107</v>
      </c>
      <c r="F4063" t="n">
        <v>0.5953104031999999</v>
      </c>
      <c r="G4063" t="n">
        <v>0.7066980441</v>
      </c>
      <c r="H4063" t="n">
        <v>0.6675613979</v>
      </c>
    </row>
    <row r="4064">
      <c r="A4064" t="inlineStr">
        <is>
          <t>SVN|mit.typ.bud.2</t>
        </is>
      </c>
      <c r="B4064" t="inlineStr">
        <is>
          <t>SVN</t>
        </is>
      </c>
      <c r="C4064" t="inlineStr">
        <is>
          <t>mit.typ.bud.2</t>
        </is>
      </c>
      <c r="D4064" t="n">
        <v>0</v>
      </c>
      <c r="E4064" t="n">
        <v>0.153972228</v>
      </c>
      <c r="F4064" t="n">
        <v>0.1837497478</v>
      </c>
      <c r="G4064" t="n">
        <v>0.2143577125</v>
      </c>
      <c r="H4064" t="n">
        <v>0.2358278569</v>
      </c>
    </row>
    <row r="4065">
      <c r="A4065" t="inlineStr">
        <is>
          <t>SWE|mit.typ.bud.2</t>
        </is>
      </c>
      <c r="B4065" t="inlineStr">
        <is>
          <t>SWE</t>
        </is>
      </c>
      <c r="C4065" t="inlineStr">
        <is>
          <t>mit.typ.bud.2</t>
        </is>
      </c>
      <c r="D4065" t="n">
        <v>0</v>
      </c>
      <c r="E4065" t="n">
        <v>0.9455705379</v>
      </c>
      <c r="F4065" t="n">
        <v>1.067897735</v>
      </c>
      <c r="G4065" t="n">
        <v>1.224352883</v>
      </c>
      <c r="H4065" t="n">
        <v>1.401077541</v>
      </c>
    </row>
    <row r="4066">
      <c r="A4066" t="inlineStr">
        <is>
          <t>SWZ|mit.typ.bud.2</t>
        </is>
      </c>
      <c r="B4066" t="inlineStr">
        <is>
          <t>SWZ</t>
        </is>
      </c>
      <c r="C4066" t="inlineStr">
        <is>
          <t>mit.typ.bud.2</t>
        </is>
      </c>
      <c r="D4066" t="n">
        <v>0</v>
      </c>
      <c r="E4066" t="n">
        <v>0.02392246436</v>
      </c>
      <c r="F4066" t="n">
        <v>0.04425162386</v>
      </c>
      <c r="G4066" t="n">
        <v>0.06729795750000001</v>
      </c>
      <c r="H4066" t="n">
        <v>0.08632009759000001</v>
      </c>
    </row>
    <row r="4067">
      <c r="A4067" t="inlineStr">
        <is>
          <t>SYC|mit.typ.bud.2</t>
        </is>
      </c>
      <c r="B4067" t="inlineStr">
        <is>
          <t>SYC</t>
        </is>
      </c>
      <c r="C4067" t="inlineStr">
        <is>
          <t>mit.typ.bud.2</t>
        </is>
      </c>
      <c r="D4067" t="n">
        <v>0</v>
      </c>
      <c r="E4067" t="n">
        <v>0.005831975401</v>
      </c>
      <c r="F4067" t="n">
        <v>0.006759082814</v>
      </c>
      <c r="G4067" t="n">
        <v>0.007656213535</v>
      </c>
      <c r="H4067" t="n">
        <v>0.008739706412</v>
      </c>
    </row>
    <row r="4068">
      <c r="A4068" t="inlineStr">
        <is>
          <t>SYR|mit.typ.bud.2</t>
        </is>
      </c>
      <c r="B4068" t="inlineStr">
        <is>
          <t>SYR</t>
        </is>
      </c>
      <c r="C4068" t="inlineStr">
        <is>
          <t>mit.typ.bud.2</t>
        </is>
      </c>
      <c r="D4068" t="n">
        <v>0</v>
      </c>
      <c r="E4068" t="n">
        <v>1.158931147</v>
      </c>
      <c r="F4068" t="n">
        <v>1.639992089</v>
      </c>
      <c r="G4068" t="n">
        <v>3.580498722</v>
      </c>
      <c r="H4068" t="n">
        <v>3.683784015</v>
      </c>
    </row>
    <row r="4069">
      <c r="A4069" t="inlineStr">
        <is>
          <t>TCD|mit.typ.bud.2</t>
        </is>
      </c>
      <c r="B4069" t="inlineStr">
        <is>
          <t>TCD</t>
        </is>
      </c>
      <c r="C4069" t="inlineStr">
        <is>
          <t>mit.typ.bud.2</t>
        </is>
      </c>
      <c r="D4069" t="n">
        <v>0</v>
      </c>
      <c r="E4069" t="n">
        <v>0.367150473</v>
      </c>
      <c r="F4069" t="n">
        <v>1.759784852</v>
      </c>
      <c r="G4069" t="n">
        <v>2.16406234</v>
      </c>
      <c r="H4069" t="n">
        <v>2.556655617</v>
      </c>
    </row>
    <row r="4070">
      <c r="A4070" t="inlineStr">
        <is>
          <t>TGO|mit.typ.bud.2</t>
        </is>
      </c>
      <c r="B4070" t="inlineStr">
        <is>
          <t>TGO</t>
        </is>
      </c>
      <c r="C4070" t="inlineStr">
        <is>
          <t>mit.typ.bud.2</t>
        </is>
      </c>
      <c r="D4070" t="n">
        <v>0</v>
      </c>
      <c r="E4070" t="n">
        <v>0.04562444044</v>
      </c>
      <c r="F4070" t="n">
        <v>0.1376870179</v>
      </c>
      <c r="G4070" t="n">
        <v>0.1882080625</v>
      </c>
      <c r="H4070" t="n">
        <v>0.2372706984</v>
      </c>
    </row>
    <row r="4071">
      <c r="A4071" t="inlineStr">
        <is>
          <t>THA|mit.typ.bud.2</t>
        </is>
      </c>
      <c r="B4071" t="inlineStr">
        <is>
          <t>THA</t>
        </is>
      </c>
      <c r="C4071" t="inlineStr">
        <is>
          <t>mit.typ.bud.2</t>
        </is>
      </c>
      <c r="D4071" t="n">
        <v>0</v>
      </c>
      <c r="E4071" t="n">
        <v>1.404808079</v>
      </c>
      <c r="F4071" t="n">
        <v>3.041601423</v>
      </c>
      <c r="G4071" t="n">
        <v>4.187071015</v>
      </c>
      <c r="H4071" t="n">
        <v>5.47244387</v>
      </c>
    </row>
    <row r="4072">
      <c r="A4072" t="inlineStr">
        <is>
          <t>TJK|mit.typ.bud.2</t>
        </is>
      </c>
      <c r="B4072" t="inlineStr">
        <is>
          <t>TJK</t>
        </is>
      </c>
      <c r="C4072" t="inlineStr">
        <is>
          <t>mit.typ.bud.2</t>
        </is>
      </c>
      <c r="D4072" t="n">
        <v>0</v>
      </c>
      <c r="E4072" t="n">
        <v>0.2797504413</v>
      </c>
      <c r="F4072" t="n">
        <v>0.486109044</v>
      </c>
      <c r="G4072" t="n">
        <v>0.7672034854999999</v>
      </c>
      <c r="H4072" t="n">
        <v>1.048263252</v>
      </c>
    </row>
    <row r="4073">
      <c r="A4073" t="inlineStr">
        <is>
          <t>TKM|mit.typ.bud.2</t>
        </is>
      </c>
      <c r="B4073" t="inlineStr">
        <is>
          <t>TKM</t>
        </is>
      </c>
      <c r="C4073" t="inlineStr">
        <is>
          <t>mit.typ.bud.2</t>
        </is>
      </c>
      <c r="D4073" t="n">
        <v>0</v>
      </c>
      <c r="E4073" t="n">
        <v>2.781674574</v>
      </c>
      <c r="F4073" t="n">
        <v>3.722214674</v>
      </c>
      <c r="G4073" t="n">
        <v>6.351754057</v>
      </c>
      <c r="H4073" t="n">
        <v>6.743546924</v>
      </c>
    </row>
    <row r="4074">
      <c r="A4074" t="inlineStr">
        <is>
          <t>TLS|mit.typ.bud.2</t>
        </is>
      </c>
      <c r="B4074" t="inlineStr">
        <is>
          <t>TLS</t>
        </is>
      </c>
      <c r="C4074" t="inlineStr">
        <is>
          <t>mit.typ.bud.2</t>
        </is>
      </c>
      <c r="D4074" t="n">
        <v>0</v>
      </c>
      <c r="E4074" t="n">
        <v>0.01361955628</v>
      </c>
      <c r="F4074" t="n">
        <v>0.04171056283</v>
      </c>
      <c r="G4074" t="n">
        <v>0.0548162552</v>
      </c>
      <c r="H4074" t="n">
        <v>0.06779436210000001</v>
      </c>
    </row>
    <row r="4075">
      <c r="A4075" t="inlineStr">
        <is>
          <t>TON|mit.typ.bud.2</t>
        </is>
      </c>
      <c r="B4075" t="inlineStr">
        <is>
          <t>TON</t>
        </is>
      </c>
      <c r="C4075" t="inlineStr">
        <is>
          <t>mit.typ.bud.2</t>
        </is>
      </c>
      <c r="D4075" t="n">
        <v>0</v>
      </c>
      <c r="E4075" t="n">
        <v>0.001703142068</v>
      </c>
      <c r="F4075" t="n">
        <v>0.00254867983</v>
      </c>
      <c r="G4075" t="n">
        <v>0.003213421442</v>
      </c>
      <c r="H4075" t="n">
        <v>0.004117791877</v>
      </c>
    </row>
    <row r="4076">
      <c r="A4076" t="inlineStr">
        <is>
          <t>TTO|mit.typ.bud.2</t>
        </is>
      </c>
      <c r="B4076" t="inlineStr">
        <is>
          <t>TTO</t>
        </is>
      </c>
      <c r="C4076" t="inlineStr">
        <is>
          <t>mit.typ.bud.2</t>
        </is>
      </c>
      <c r="D4076" t="n">
        <v>0</v>
      </c>
      <c r="E4076" t="n">
        <v>0.2426895705</v>
      </c>
      <c r="F4076" t="n">
        <v>0.4329880245</v>
      </c>
      <c r="G4076" t="n">
        <v>0.7969177116</v>
      </c>
      <c r="H4076" t="n">
        <v>0.9162681489</v>
      </c>
    </row>
    <row r="4077">
      <c r="A4077" t="inlineStr">
        <is>
          <t>TUN|mit.typ.bud.2</t>
        </is>
      </c>
      <c r="B4077" t="inlineStr">
        <is>
          <t>TUN</t>
        </is>
      </c>
      <c r="C4077" t="inlineStr">
        <is>
          <t>mit.typ.bud.2</t>
        </is>
      </c>
      <c r="D4077" t="n">
        <v>0</v>
      </c>
      <c r="E4077" t="n">
        <v>0.6036695228</v>
      </c>
      <c r="F4077" t="n">
        <v>0.9192748072</v>
      </c>
      <c r="G4077" t="n">
        <v>1.925769464</v>
      </c>
      <c r="H4077" t="n">
        <v>2.069520622</v>
      </c>
    </row>
    <row r="4078">
      <c r="A4078" t="inlineStr">
        <is>
          <t>TUR|mit.typ.bud.2</t>
        </is>
      </c>
      <c r="B4078" t="inlineStr">
        <is>
          <t>TUR</t>
        </is>
      </c>
      <c r="C4078" t="inlineStr">
        <is>
          <t>mit.typ.bud.2</t>
        </is>
      </c>
      <c r="D4078" t="n">
        <v>0</v>
      </c>
      <c r="E4078" t="n">
        <v>4.89161267</v>
      </c>
      <c r="F4078" t="n">
        <v>6.055756928</v>
      </c>
      <c r="G4078" t="n">
        <v>7.529028641</v>
      </c>
      <c r="H4078" t="n">
        <v>9.257571807</v>
      </c>
    </row>
    <row r="4079">
      <c r="A4079" t="inlineStr">
        <is>
          <t>TZA|mit.typ.bud.2</t>
        </is>
      </c>
      <c r="B4079" t="inlineStr">
        <is>
          <t>TZA</t>
        </is>
      </c>
      <c r="C4079" t="inlineStr">
        <is>
          <t>mit.typ.bud.2</t>
        </is>
      </c>
      <c r="D4079" t="n">
        <v>0</v>
      </c>
      <c r="E4079" t="n">
        <v>0.7681546687</v>
      </c>
      <c r="F4079" t="n">
        <v>3.628218448</v>
      </c>
      <c r="G4079" t="n">
        <v>4.066214265</v>
      </c>
      <c r="H4079" t="n">
        <v>4.485345629</v>
      </c>
    </row>
    <row r="4080">
      <c r="A4080" t="inlineStr">
        <is>
          <t>UGA|mit.typ.bud.2</t>
        </is>
      </c>
      <c r="B4080" t="inlineStr">
        <is>
          <t>UGA</t>
        </is>
      </c>
      <c r="C4080" t="inlineStr">
        <is>
          <t>mit.typ.bud.2</t>
        </is>
      </c>
      <c r="D4080" t="n">
        <v>0</v>
      </c>
      <c r="E4080" t="n">
        <v>0.3270671028</v>
      </c>
      <c r="F4080" t="n">
        <v>1.223964913</v>
      </c>
      <c r="G4080" t="n">
        <v>1.588344741</v>
      </c>
      <c r="H4080" t="n">
        <v>1.936576906</v>
      </c>
    </row>
    <row r="4081">
      <c r="A4081" t="inlineStr">
        <is>
          <t>UKR|mit.typ.bud.2</t>
        </is>
      </c>
      <c r="B4081" t="inlineStr">
        <is>
          <t>UKR</t>
        </is>
      </c>
      <c r="C4081" t="inlineStr">
        <is>
          <t>mit.typ.bud.2</t>
        </is>
      </c>
      <c r="D4081" t="n">
        <v>0</v>
      </c>
      <c r="E4081" t="n">
        <v>2.930229375</v>
      </c>
      <c r="F4081" t="n">
        <v>4.908264643</v>
      </c>
      <c r="G4081" t="n">
        <v>7.426971412</v>
      </c>
      <c r="H4081" t="n">
        <v>9.491168045</v>
      </c>
    </row>
    <row r="4082">
      <c r="A4082" t="inlineStr">
        <is>
          <t>URY|mit.typ.bud.2</t>
        </is>
      </c>
      <c r="B4082" t="inlineStr">
        <is>
          <t>URY</t>
        </is>
      </c>
      <c r="C4082" t="inlineStr">
        <is>
          <t>mit.typ.bud.2</t>
        </is>
      </c>
      <c r="D4082" t="n">
        <v>0</v>
      </c>
      <c r="E4082" t="n">
        <v>0.1079933185</v>
      </c>
      <c r="F4082" t="n">
        <v>0.2617269995</v>
      </c>
      <c r="G4082" t="n">
        <v>0.3641652984</v>
      </c>
      <c r="H4082" t="n">
        <v>0.4696809802</v>
      </c>
    </row>
    <row r="4083">
      <c r="A4083" t="inlineStr">
        <is>
          <t>USA|mit.typ.bud.2</t>
        </is>
      </c>
      <c r="B4083" t="inlineStr">
        <is>
          <t>USA</t>
        </is>
      </c>
      <c r="C4083" t="inlineStr">
        <is>
          <t>mit.typ.bud.2</t>
        </is>
      </c>
      <c r="D4083" t="n">
        <v>0</v>
      </c>
      <c r="E4083" t="n">
        <v>89.68749957</v>
      </c>
      <c r="F4083" t="n">
        <v>102.2155318</v>
      </c>
      <c r="G4083" t="n">
        <v>112.9049551</v>
      </c>
      <c r="H4083" t="n">
        <v>97.58559468</v>
      </c>
    </row>
    <row r="4084">
      <c r="A4084" t="inlineStr">
        <is>
          <t>UZB|mit.typ.bud.2</t>
        </is>
      </c>
      <c r="B4084" t="inlineStr">
        <is>
          <t>UZB</t>
        </is>
      </c>
      <c r="C4084" t="inlineStr">
        <is>
          <t>mit.typ.bud.2</t>
        </is>
      </c>
      <c r="D4084" t="n">
        <v>0</v>
      </c>
      <c r="E4084" t="n">
        <v>3.619896973</v>
      </c>
      <c r="F4084" t="n">
        <v>5.624307566</v>
      </c>
      <c r="G4084" t="n">
        <v>9.989692917999999</v>
      </c>
      <c r="H4084" t="n">
        <v>11.19675346</v>
      </c>
    </row>
    <row r="4085">
      <c r="A4085" t="inlineStr">
        <is>
          <t>VCT|mit.typ.bud.2</t>
        </is>
      </c>
      <c r="B4085" t="inlineStr">
        <is>
          <t>VCT</t>
        </is>
      </c>
      <c r="C4085" t="inlineStr">
        <is>
          <t>mit.typ.bud.2</t>
        </is>
      </c>
      <c r="D4085" t="n">
        <v>0</v>
      </c>
      <c r="E4085" t="n">
        <v>0.002378548387</v>
      </c>
      <c r="F4085" t="n">
        <v>0.003193514697</v>
      </c>
      <c r="G4085" t="n">
        <v>0.004089444838</v>
      </c>
      <c r="H4085" t="n">
        <v>0.005340683835</v>
      </c>
    </row>
    <row r="4086">
      <c r="A4086" t="inlineStr">
        <is>
          <t>VEN|mit.typ.bud.2</t>
        </is>
      </c>
      <c r="B4086" t="inlineStr">
        <is>
          <t>VEN</t>
        </is>
      </c>
      <c r="C4086" t="inlineStr">
        <is>
          <t>mit.typ.bud.2</t>
        </is>
      </c>
      <c r="D4086" t="n">
        <v>0</v>
      </c>
      <c r="E4086" t="n">
        <v>1.454685481</v>
      </c>
      <c r="F4086" t="n">
        <v>3.771210882</v>
      </c>
      <c r="G4086" t="n">
        <v>5.175830457</v>
      </c>
      <c r="H4086" t="n">
        <v>6.530121329</v>
      </c>
    </row>
    <row r="4087">
      <c r="A4087" t="inlineStr">
        <is>
          <t>VNM|mit.typ.bud.2</t>
        </is>
      </c>
      <c r="B4087" t="inlineStr">
        <is>
          <t>VNM</t>
        </is>
      </c>
      <c r="C4087" t="inlineStr">
        <is>
          <t>mit.typ.bud.2</t>
        </is>
      </c>
      <c r="D4087" t="n">
        <v>0</v>
      </c>
      <c r="E4087" t="n">
        <v>3.116875377</v>
      </c>
      <c r="F4087" t="n">
        <v>5.130238371</v>
      </c>
      <c r="G4087" t="n">
        <v>8.257675063000001</v>
      </c>
      <c r="H4087" t="n">
        <v>9.832301713</v>
      </c>
    </row>
    <row r="4088">
      <c r="A4088" t="inlineStr">
        <is>
          <t>VUT|mit.typ.bud.2</t>
        </is>
      </c>
      <c r="B4088" t="inlineStr">
        <is>
          <t>VUT</t>
        </is>
      </c>
      <c r="C4088" t="inlineStr">
        <is>
          <t>mit.typ.bud.2</t>
        </is>
      </c>
      <c r="D4088" t="n">
        <v>0</v>
      </c>
      <c r="E4088" t="n">
        <v>0.003673381132</v>
      </c>
      <c r="F4088" t="n">
        <v>0.007250075423</v>
      </c>
      <c r="G4088" t="n">
        <v>0.01019641974</v>
      </c>
      <c r="H4088" t="n">
        <v>0.01309536211</v>
      </c>
    </row>
    <row r="4089">
      <c r="A4089" t="inlineStr">
        <is>
          <t>WSM|mit.typ.bud.2</t>
        </is>
      </c>
      <c r="B4089" t="inlineStr">
        <is>
          <t>WSM</t>
        </is>
      </c>
      <c r="C4089" t="inlineStr">
        <is>
          <t>mit.typ.bud.2</t>
        </is>
      </c>
      <c r="D4089" t="n">
        <v>0</v>
      </c>
      <c r="E4089" t="n">
        <v>0.00345024304</v>
      </c>
      <c r="F4089" t="n">
        <v>0.008123867938</v>
      </c>
      <c r="G4089" t="n">
        <v>0.009492653443</v>
      </c>
      <c r="H4089" t="n">
        <v>0.01130524232</v>
      </c>
    </row>
    <row r="4090">
      <c r="A4090" t="inlineStr">
        <is>
          <t>XKX|mit.typ.bud.2</t>
        </is>
      </c>
      <c r="B4090" t="inlineStr">
        <is>
          <t>XKX</t>
        </is>
      </c>
      <c r="C4090" t="inlineStr">
        <is>
          <t>mit.typ.bud.2</t>
        </is>
      </c>
      <c r="D4090" t="n">
        <v>0</v>
      </c>
      <c r="E4090" t="n">
        <v>0.04187220187</v>
      </c>
      <c r="F4090" t="n">
        <v>0.05471457901</v>
      </c>
      <c r="G4090" t="n">
        <v>0.09385703567000001</v>
      </c>
      <c r="H4090" t="n">
        <v>0.1035870713</v>
      </c>
    </row>
    <row r="4091">
      <c r="A4091" t="inlineStr">
        <is>
          <t>YEM|mit.typ.bud.2</t>
        </is>
      </c>
      <c r="B4091" t="inlineStr">
        <is>
          <t>YEM</t>
        </is>
      </c>
      <c r="C4091" t="inlineStr">
        <is>
          <t>mit.typ.bud.2</t>
        </is>
      </c>
      <c r="D4091" t="n">
        <v>0</v>
      </c>
      <c r="E4091" t="n">
        <v>0.1618275183</v>
      </c>
      <c r="F4091" t="n">
        <v>0.357859176</v>
      </c>
      <c r="G4091" t="n">
        <v>0.5692663441</v>
      </c>
      <c r="H4091" t="n">
        <v>0.7536925529</v>
      </c>
    </row>
    <row r="4092">
      <c r="A4092" t="inlineStr">
        <is>
          <t>ZAF|mit.typ.bud.2</t>
        </is>
      </c>
      <c r="B4092" t="inlineStr">
        <is>
          <t>ZAF</t>
        </is>
      </c>
      <c r="C4092" t="inlineStr">
        <is>
          <t>mit.typ.bud.2</t>
        </is>
      </c>
      <c r="D4092" t="n">
        <v>0</v>
      </c>
      <c r="E4092" t="n">
        <v>1.348999678</v>
      </c>
      <c r="F4092" t="n">
        <v>2.227896715</v>
      </c>
      <c r="G4092" t="n">
        <v>2.860511664</v>
      </c>
      <c r="H4092" t="n">
        <v>3.57628345</v>
      </c>
    </row>
    <row r="4093">
      <c r="A4093" t="inlineStr">
        <is>
          <t>ZMB|mit.typ.bud.2</t>
        </is>
      </c>
      <c r="B4093" t="inlineStr">
        <is>
          <t>ZMB</t>
        </is>
      </c>
      <c r="C4093" t="inlineStr">
        <is>
          <t>mit.typ.bud.2</t>
        </is>
      </c>
      <c r="D4093" t="n">
        <v>0</v>
      </c>
      <c r="E4093" t="n">
        <v>0.5543313528</v>
      </c>
      <c r="F4093" t="n">
        <v>2.361790765</v>
      </c>
      <c r="G4093" t="n">
        <v>2.649654787</v>
      </c>
      <c r="H4093" t="n">
        <v>2.853683064</v>
      </c>
    </row>
    <row r="4094">
      <c r="A4094" t="inlineStr">
        <is>
          <t>ZWE|mit.typ.bud.2</t>
        </is>
      </c>
      <c r="B4094" t="inlineStr">
        <is>
          <t>ZWE</t>
        </is>
      </c>
      <c r="C4094" t="inlineStr">
        <is>
          <t>mit.typ.bud.2</t>
        </is>
      </c>
      <c r="D4094" t="n">
        <v>0</v>
      </c>
      <c r="E4094" t="n">
        <v>0.8377814754</v>
      </c>
      <c r="F4094" t="n">
        <v>3.971284005</v>
      </c>
      <c r="G4094" t="n">
        <v>4.237405563</v>
      </c>
      <c r="H4094" t="n">
        <v>4.445994742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2026-10-20T11:09:30Z</dcterms:created>
  <dcterms:modified xmlns:dcterms="http://purl.org/dc/terms/" xmlns:xsi="http://www.w3.org/2001/XMLSchema-instance" xsi:type="dcterms:W3CDTF">2026-10-20T11:09:33Z</dcterms:modified>
</cp:coreProperties>
</file>