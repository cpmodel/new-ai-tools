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Country_Metrics" sheetId="2" state="visible" r:id="rId4"/>
    <sheet name="Std_Schedule" sheetId="3" state="visible" r:id="rId5"/>
    <sheet name="Std_Schedule_Code" sheetId="4" state="visible" r:id="rId6"/>
    <sheet name="Parameters" sheetId="5" state="visible" r:id="rId7"/>
    <sheet name="DQ_Scale" sheetId="6" state="visible" r:id="rId8"/>
    <sheet name="Sources" sheetId="7" state="visible" r:id="rId9"/>
  </sheets>
  <definedNames>
    <definedName function="false" hidden="true" localSheetId="3" name="_xlnm._FilterDatabase" vbProcedure="false">Std_Schedule_Code!$A$4:$AP$191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<sst xmlns="http://schemas.openxmlformats.org/spreadsheetml/2006/main" count="5221" uniqueCount="1372">
  <si>
    <t xml:space="preserve">Excise diagnostic: cross-country workbook (Uganda, Sierra Leone, Liberia)</t>
  </si>
  <si>
    <t xml:space="preserve">Data quality at a glance. All figures below are formulas over the other sheets.</t>
  </si>
  <si>
    <t xml:space="preserve">Indicator</t>
  </si>
  <si>
    <t xml:space="preserve">Sierra Leone</t>
  </si>
  <si>
    <t xml:space="preserve">Uganda</t>
  </si>
  <si>
    <t xml:space="preserve">Liberia</t>
  </si>
  <si>
    <t xml:space="preserve">How computed</t>
  </si>
  <si>
    <t xml:space="preserve">Cut-off date</t>
  </si>
  <si>
    <t xml:space="preserve">Parameters</t>
  </si>
  <si>
    <t xml:space="preserve">Standard lines covered (of 30)</t>
  </si>
  <si>
    <t xml:space="preserve">Std_Schedule coverage 1 + 2</t>
  </si>
  <si>
    <t xml:space="preserve">National rate rows (covered)</t>
  </si>
  <si>
    <t xml:space="preserve">Std_Schedule_Code rows with coverage 1 or 2</t>
  </si>
  <si>
    <t xml:space="preserve">Average DQ, schedule rows (covered)</t>
  </si>
  <si>
    <t xml:space="preserve">Mean of dq_score</t>
  </si>
  <si>
    <t xml:space="preserve">Share of schedule rows with DQ &gt;= 4</t>
  </si>
  <si>
    <t xml:space="preserve">Rows verified or corrected</t>
  </si>
  <si>
    <t xml:space="preserve">Rows shown at last legible rate</t>
  </si>
  <si>
    <t xml:space="preserve">Current rate not legible in the published law</t>
  </si>
  <si>
    <t xml:space="preserve">Standard lines with DQ &lt;= 2 (incl. not-covered findings)</t>
  </si>
  <si>
    <t xml:space="preserve">Std_Schedule DQ columns</t>
  </si>
  <si>
    <t xml:space="preserve">Average DQ, country metrics</t>
  </si>
  <si>
    <t xml:space="preserve">Mean of Country_Metrics DQ</t>
  </si>
  <si>
    <t xml:space="preserve">Sheets</t>
  </si>
  <si>
    <t xml:space="preserve">Country_Metrics</t>
  </si>
  <si>
    <t xml:space="preserve">(a) Overall metrics and the seven key questions by country, with DQ per cell.</t>
  </si>
  <si>
    <t xml:space="preserve">Std_Schedule</t>
  </si>
  <si>
    <t xml:space="preserve">(b) Human-readable standardized schedule: 30 standard lines x 3 countries, with coverage and DQ.</t>
  </si>
  <si>
    <t xml:space="preserve">Std_Schedule_Code</t>
  </si>
  <si>
    <t xml:space="preserve">(b) Code-readable schedule: one row per rate component; specific and ad valorem parts of hybrids on separate rows; USD computed by formula.</t>
  </si>
  <si>
    <t xml:space="preserve">Exchange rates, cut-off dates, GDP and conversion factors (inputs in blue).</t>
  </si>
  <si>
    <t xml:space="preserve">DQ_Scale</t>
  </si>
  <si>
    <t xml:space="preserve">Data-quality scale mapped from peer-review status.</t>
  </si>
  <si>
    <t xml:space="preserve">Sources</t>
  </si>
  <si>
    <t xml:space="preserve">Documents behind each country and version notes.</t>
  </si>
  <si>
    <t xml:space="preserve">Read before use</t>
  </si>
  <si>
    <t xml:space="preserve">Cut-off dates differ: Uganda and Sierra Leone at 27 April 2026 (WP v0.8); Liberia at 29 September 2026.</t>
  </si>
  <si>
    <t xml:space="preserve">Uganda lines are extracted but not yet peer reviewed, so they score DQ 2 throughout.</t>
  </si>
  <si>
    <t xml:space="preserve">Sierra Leone spirits, other fermented beverages and all SSB lines show the last legible (FA2023) rates; the FA2024 replacement rows are not legible (DQ 1).</t>
  </si>
  <si>
    <t xml:space="preserve">Liberia's 2026 rates read the 'Proposed' column of the December 2025 Act as in force; this is verified text with an open interpretation point (DQ 4).</t>
  </si>
  <si>
    <t xml:space="preserve">Mapping of HS 2206 (cider, perry, mead) to A3 differs between WP v0.8 (not mapped) and Liberia v0.3 (A3). The code sheet applies HS 2206 -&gt; A3 for all three; the human-readable sheet keeps each report's coverage.</t>
  </si>
  <si>
    <t xml:space="preserve">The 'part' column groups codes into 1 Fuel, 2 Vehicles, 3 Health, 4 Other (plastics E7 placed in Other; gambling G1 in Health, following the WP's 'Health (other)' category; both placements are provisional).</t>
  </si>
  <si>
    <t xml:space="preserve">Editable inputs: blue cells (rate_value, conv_to_std_unit, ref_price_per_rate_unit, Parameters). To add a country, add a Parameters row and append rows to Std_Schedule_Code following the existing rows.</t>
  </si>
  <si>
    <t xml:space="preserve">Overall metrics and key questions by country</t>
  </si>
  <si>
    <t xml:space="preserve">Values as published in each diagnostic. Status column drives the DQ score (formula). Benchmarks from the process specification, section 9.</t>
  </si>
  <si>
    <t xml:space="preserve">Section</t>
  </si>
  <si>
    <t xml:space="preserve">ID</t>
  </si>
  <si>
    <t xml:space="preserve">Metric / question</t>
  </si>
  <si>
    <t xml:space="preserve">Unit</t>
  </si>
  <si>
    <t xml:space="preserve">SLE: Value</t>
  </si>
  <si>
    <t xml:space="preserve">SLE: Review status</t>
  </si>
  <si>
    <t xml:space="preserve">SLE: DQ</t>
  </si>
  <si>
    <t xml:space="preserve">SLE: Source / ref.</t>
  </si>
  <si>
    <t xml:space="preserve">UGA: Value</t>
  </si>
  <si>
    <t xml:space="preserve">UGA: Review status</t>
  </si>
  <si>
    <t xml:space="preserve">UGA: DQ</t>
  </si>
  <si>
    <t xml:space="preserve">UGA: Source / ref.</t>
  </si>
  <si>
    <t xml:space="preserve">LBR: Value</t>
  </si>
  <si>
    <t xml:space="preserve">LBR: Review status</t>
  </si>
  <si>
    <t xml:space="preserve">LBR: DQ</t>
  </si>
  <si>
    <t xml:space="preserve">LBR: Source / ref.</t>
  </si>
  <si>
    <t xml:space="preserve">International reference</t>
  </si>
  <si>
    <t xml:space="preserve">Notes</t>
  </si>
  <si>
    <t xml:space="preserve">Context</t>
  </si>
  <si>
    <t xml:space="preserve">X1</t>
  </si>
  <si>
    <t xml:space="preserve">Legal basis at cut-off</t>
  </si>
  <si>
    <t xml:space="preserve">text</t>
  </si>
  <si>
    <t xml:space="preserve">Excise Act 1982 as amended through Finance Act 2026 (eff. 1 Jan 2026)</t>
  </si>
  <si>
    <t xml:space="preserve">partly_verified</t>
  </si>
  <si>
    <t xml:space="preserve">PR-01</t>
  </si>
  <si>
    <t xml:space="preserve">Excise Duty Act 2014 as amended through the 2025 Amendment Acts (eff. 1 Jul 2025); 2026 Bill not assented</t>
  </si>
  <si>
    <t xml:space="preserve">not_reviewed</t>
  </si>
  <si>
    <t xml:space="preserve">WP Table 13</t>
  </si>
  <si>
    <t xml:space="preserve">Revenue Code Part IV, Ch. 11, as amended through the Tax Amendment Act of Dec 2025 (in force 1 Apr 2026; LRA from 1 May 2026)</t>
  </si>
  <si>
    <t xml:space="preserve">verified_open_point</t>
  </si>
  <si>
    <t xml:space="preserve">PR-17, PR-01</t>
  </si>
  <si>
    <t xml:space="preserve">X2</t>
  </si>
  <si>
    <t xml:space="preserve">date</t>
  </si>
  <si>
    <t xml:space="preserve">2026-04-27</t>
  </si>
  <si>
    <t xml:space="preserve">verified</t>
  </si>
  <si>
    <t xml:space="preserve">WP s.7</t>
  </si>
  <si>
    <t xml:space="preserve">2026-09-29</t>
  </si>
  <si>
    <t xml:space="preserve">v0.3 s.7</t>
  </si>
  <si>
    <t xml:space="preserve">X3</t>
  </si>
  <si>
    <t xml:space="preserve">Working exchange rate</t>
  </si>
  <si>
    <t xml:space="preserve">LCU per USD</t>
  </si>
  <si>
    <t xml:space="preserve">NLe 22 (MoF 22.665-23; USD values may be ~4% high)</t>
  </si>
  <si>
    <t xml:space="preserve">assumption</t>
  </si>
  <si>
    <t xml:space="preserve">PR-40</t>
  </si>
  <si>
    <t xml:space="preserve">UGX 3,750</t>
  </si>
  <si>
    <t xml:space="preserve">LRD 171.59 (CBL mid); excise rates printed in US$</t>
  </si>
  <si>
    <t xml:space="preserve">PR-39</t>
  </si>
  <si>
    <t xml:space="preserve">X4</t>
  </si>
  <si>
    <t xml:space="preserve">Nominal GDP</t>
  </si>
  <si>
    <t xml:space="preserve">USD bn</t>
  </si>
  <si>
    <t xml:space="preserve">7.5 (2026 working; MoF 2025 ~7.2)</t>
  </si>
  <si>
    <t xml:space="preserve">PR-41</t>
  </si>
  <si>
    <t xml:space="preserve">55 (WB 2024: 53.65)</t>
  </si>
  <si>
    <t xml:space="preserve">5.25 (2025, WDI)</t>
  </si>
  <si>
    <t xml:space="preserve">X5</t>
  </si>
  <si>
    <t xml:space="preserve">Currency notation of rates</t>
  </si>
  <si>
    <t xml:space="preserve">US$ -&gt; 'Le' -&gt; 'NLe'; 'Le' confirmed as new Leones</t>
  </si>
  <si>
    <t xml:space="preserve">PR-07</t>
  </si>
  <si>
    <t xml:space="preserve">UGX throughout</t>
  </si>
  <si>
    <t xml:space="preserve">US$ / '$' (read as US$)</t>
  </si>
  <si>
    <t xml:space="preserve">PR-16</t>
  </si>
  <si>
    <t xml:space="preserve">X6</t>
  </si>
  <si>
    <t xml:space="preserve">Peer review (stage A5)</t>
  </si>
  <si>
    <t xml:space="preserve">entries</t>
  </si>
  <si>
    <t xml:space="preserve">49 entries: 18 verified, 11 partly, 16 corrected, 4 not verified</t>
  </si>
  <si>
    <t xml:space="preserve">WP Annex D</t>
  </si>
  <si>
    <t xml:space="preserve">Not yet peer reviewed</t>
  </si>
  <si>
    <t xml:space="preserve">WP note v0.8</t>
  </si>
  <si>
    <t xml:space="preserve">49 entries: 22 verified, 11 partly, 14 corrected, 2 not verified</t>
  </si>
  <si>
    <t xml:space="preserve">v0.3 Annex B</t>
  </si>
  <si>
    <t xml:space="preserve">Revenue</t>
  </si>
  <si>
    <t xml:space="preserve">R1</t>
  </si>
  <si>
    <t xml:space="preserve">Excise collected, all lines</t>
  </si>
  <si>
    <t xml:space="preserve">% of GDP</t>
  </si>
  <si>
    <t xml:space="preserve">1.25-1.28% (2024-25)</t>
  </si>
  <si>
    <t xml:space="preserve">corrected</t>
  </si>
  <si>
    <t xml:space="preserve">PR-48</t>
  </si>
  <si>
    <t xml:space="preserve">n.a. (not collected for WP)</t>
  </si>
  <si>
    <t xml:space="preserve">data_gap</t>
  </si>
  <si>
    <t xml:space="preserve">0.373% (FY2024); 0.378% (FY2023)</t>
  </si>
  <si>
    <t xml:space="preserve">PR-28, PR-29</t>
  </si>
  <si>
    <t xml:space="preserve">Africa avg 2.4%; low-income 2.2% (2021)</t>
  </si>
  <si>
    <t xml:space="preserve">R2</t>
  </si>
  <si>
    <t xml:space="preserve">Excise plus excise-like levies collected</t>
  </si>
  <si>
    <t xml:space="preserve">n.a. (levies not reported)</t>
  </si>
  <si>
    <t xml:space="preserve">n.a.</t>
  </si>
  <si>
    <t xml:space="preserve">1.254% (FY2024: excise + Road Fund 0.665% + motor vehicle 0.215%)</t>
  </si>
  <si>
    <t xml:space="preserve">PR-25, PR-38</t>
  </si>
  <si>
    <t xml:space="preserve">R3</t>
  </si>
  <si>
    <t xml:space="preserve">Fuel excise collected</t>
  </si>
  <si>
    <t xml:space="preserve">1.12-1.15% (2024-25)</t>
  </si>
  <si>
    <t xml:space="preserve">Not in excise law. Road Fund line 0.665% (may include non-fuel receipts)</t>
  </si>
  <si>
    <t xml:space="preserve">PR-25, PR-48</t>
  </si>
  <si>
    <t xml:space="preserve">R4</t>
  </si>
  <si>
    <t xml:space="preserve">Fuel excise implied at current rates</t>
  </si>
  <si>
    <t xml:space="preserve">~1.6% (1.58%, FA2026)</t>
  </si>
  <si>
    <t xml:space="preserve">estimate</t>
  </si>
  <si>
    <t xml:space="preserve">WP Table 14</t>
  </si>
  <si>
    <t xml:space="preserve">~1.3% (1.29%)</t>
  </si>
  <si>
    <t xml:space="preserve">1.061% (levies; 2024 volume, 2025 GDP)</t>
  </si>
  <si>
    <t xml:space="preserve">C-11</t>
  </si>
  <si>
    <t xml:space="preserve">OECD 1.5-2.5%</t>
  </si>
  <si>
    <t xml:space="preserve">R5</t>
  </si>
  <si>
    <t xml:space="preserve">Tobacco excise implied (upper bound)</t>
  </si>
  <si>
    <t xml:space="preserve">0.09-0.17% (5-10 cigarettes a day)</t>
  </si>
  <si>
    <t xml:space="preserve">PR-45</t>
  </si>
  <si>
    <t xml:space="preserve">~0.14%</t>
  </si>
  <si>
    <t xml:space="preserve">0.16% (8 a day)</t>
  </si>
  <si>
    <t xml:space="preserve">C-18</t>
  </si>
  <si>
    <t xml:space="preserve">South Africa ~0.4%; EU ~0.6%</t>
  </si>
  <si>
    <t xml:space="preserve">R6</t>
  </si>
  <si>
    <t xml:space="preserve">Tobacco excise collected</t>
  </si>
  <si>
    <t xml:space="preserve">% of GDP / USD</t>
  </si>
  <si>
    <t xml:space="preserve">n.a. (within non-fuel 0.10-0.16%)</t>
  </si>
  <si>
    <t xml:space="preserve">US$0 on imported tobacco (FY2024, Q1 FY2025)</t>
  </si>
  <si>
    <t xml:space="preserve">PR-28, PR-45</t>
  </si>
  <si>
    <t xml:space="preserve">R7</t>
  </si>
  <si>
    <t xml:space="preserve">Alcohol excise implied</t>
  </si>
  <si>
    <t xml:space="preserve">~0.05% (indicative)</t>
  </si>
  <si>
    <t xml:space="preserve">~0.2% (indicative)</t>
  </si>
  <si>
    <t xml:space="preserve">0.347% at current rates (WHO recorded use, carried forward)</t>
  </si>
  <si>
    <t xml:space="preserve">C-24, PR-43</t>
  </si>
  <si>
    <t xml:space="preserve">OECD 0.4-0.6%</t>
  </si>
  <si>
    <t xml:space="preserve">R8</t>
  </si>
  <si>
    <t xml:space="preserve">SSB excise</t>
  </si>
  <si>
    <t xml:space="preserve">Not estimated (no volumes)</t>
  </si>
  <si>
    <t xml:space="preserve">Imports collected FY2024: US$6.80m (0.142% of GDP); implied not estimated</t>
  </si>
  <si>
    <t xml:space="preserve">PR-28</t>
  </si>
  <si>
    <t xml:space="preserve">R9</t>
  </si>
  <si>
    <t xml:space="preserve">All non-fuel excise</t>
  </si>
  <si>
    <t xml:space="preserve">0.10-0.16% collected (2024-25)</t>
  </si>
  <si>
    <t xml:space="preserve">~0.4% implied (health lines)</t>
  </si>
  <si>
    <t xml:space="preserve">WP Table 7</t>
  </si>
  <si>
    <t xml:space="preserve">0.373% collected (all excise is non-fuel)</t>
  </si>
  <si>
    <t xml:space="preserve">Rate intensity</t>
  </si>
  <si>
    <t xml:space="preserve">I1</t>
  </si>
  <si>
    <t xml:space="preserve">Petrol: USD per liter</t>
  </si>
  <si>
    <t xml:space="preserve">USD/l</t>
  </si>
  <si>
    <t xml:space="preserve">0.23</t>
  </si>
  <si>
    <t xml:space="preserve">PR-12, PR-40</t>
  </si>
  <si>
    <t xml:space="preserve">0.41</t>
  </si>
  <si>
    <t xml:space="preserve">0.0951 (levies only)</t>
  </si>
  <si>
    <t xml:space="preserve">C-12</t>
  </si>
  <si>
    <t xml:space="preserve">OECD 0.55; South Africa 0.20-0.25</t>
  </si>
  <si>
    <t xml:space="preserve">I2</t>
  </si>
  <si>
    <t xml:space="preserve">Petrol: excise as % of pump price</t>
  </si>
  <si>
    <t xml:space="preserve">%</t>
  </si>
  <si>
    <t xml:space="preserve">16%</t>
  </si>
  <si>
    <t xml:space="preserve">PR-42</t>
  </si>
  <si>
    <t xml:space="preserve">30%</t>
  </si>
  <si>
    <t xml:space="preserve">7.29% (June 2026 ceiling)</t>
  </si>
  <si>
    <t xml:space="preserve">C-13</t>
  </si>
  <si>
    <t xml:space="preserve">OECD 30-50%</t>
  </si>
  <si>
    <t xml:space="preserve">I3</t>
  </si>
  <si>
    <t xml:space="preserve">Diesel: USD per liter / % of pump price</t>
  </si>
  <si>
    <t xml:space="preserve">USD/l; %</t>
  </si>
  <si>
    <t xml:space="preserve">0.23 / 18% (pre-increase price)</t>
  </si>
  <si>
    <t xml:space="preserve">not_verified</t>
  </si>
  <si>
    <t xml:space="preserve">PR-43</t>
  </si>
  <si>
    <t xml:space="preserve">0.33 / 24%</t>
  </si>
  <si>
    <t xml:space="preserve">0.0951 / 5.76%</t>
  </si>
  <si>
    <t xml:space="preserve">C-12, C-14</t>
  </si>
  <si>
    <t xml:space="preserve">I4</t>
  </si>
  <si>
    <t xml:space="preserve">Cigarettes: USD per pack of 20</t>
  </si>
  <si>
    <t xml:space="preserve">USD/pack</t>
  </si>
  <si>
    <t xml:space="preserve">0.14</t>
  </si>
  <si>
    <t xml:space="preserve">PR-20</t>
  </si>
  <si>
    <t xml:space="preserve">0.35-1.07 (4 tiers)</t>
  </si>
  <si>
    <t xml:space="preserve">0.50</t>
  </si>
  <si>
    <t xml:space="preserve">PR-09, PR-01</t>
  </si>
  <si>
    <t xml:space="preserve">I5</t>
  </si>
  <si>
    <t xml:space="preserve">Cigarettes: excise as % of retail price</t>
  </si>
  <si>
    <t xml:space="preserve">~14%</t>
  </si>
  <si>
    <t xml:space="preserve">30-50%</t>
  </si>
  <si>
    <t xml:space="preserve">27.2% (at 2022 price)</t>
  </si>
  <si>
    <t xml:space="preserve">C-16a</t>
  </si>
  <si>
    <t xml:space="preserve">WHO excise &gt;=70%; total tax &gt;=75%</t>
  </si>
  <si>
    <t xml:space="preserve">I6</t>
  </si>
  <si>
    <t xml:space="preserve">Beer: USD per liter of pure alcohol</t>
  </si>
  <si>
    <t xml:space="preserve">USD/LPA</t>
  </si>
  <si>
    <t xml:space="preserve">2.3-9.1 (by regime)</t>
  </si>
  <si>
    <t xml:space="preserve">PR-22, PR-26</t>
  </si>
  <si>
    <t xml:space="preserve">4.8-10.9 (by local content)</t>
  </si>
  <si>
    <t xml:space="preserve">20.00</t>
  </si>
  <si>
    <t xml:space="preserve">C-19</t>
  </si>
  <si>
    <t xml:space="preserve">OECD 15-40</t>
  </si>
  <si>
    <t xml:space="preserve">I7</t>
  </si>
  <si>
    <t xml:space="preserve">Spirits: USD per liter of pure alcohol</t>
  </si>
  <si>
    <t xml:space="preserve">7.5 (FA2023; current not legible)</t>
  </si>
  <si>
    <t xml:space="preserve">last_legible</t>
  </si>
  <si>
    <t xml:space="preserve">PR-27</t>
  </si>
  <si>
    <t xml:space="preserve">1.0 / 1.7 (specific floor)</t>
  </si>
  <si>
    <t xml:space="preserve">7.50</t>
  </si>
  <si>
    <t xml:space="preserve">OECD 25-50</t>
  </si>
  <si>
    <t xml:space="preserve">I8</t>
  </si>
  <si>
    <t xml:space="preserve">Soft drinks: USD per liter</t>
  </si>
  <si>
    <t xml:space="preserve">0.10-0.50 by sugar (FA2023; current not legible)</t>
  </si>
  <si>
    <t xml:space="preserve">PR-31</t>
  </si>
  <si>
    <t xml:space="preserve">0.07</t>
  </si>
  <si>
    <t xml:space="preserve">0.45 flat</t>
  </si>
  <si>
    <t xml:space="preserve">PR-11</t>
  </si>
  <si>
    <t xml:space="preserve">UK 0.23-0.30 (sugar-graduated); Mexico ~0.05 (flat)</t>
  </si>
  <si>
    <t xml:space="preserve">I9</t>
  </si>
  <si>
    <t xml:space="preserve">Soft drinks: excise as % of price</t>
  </si>
  <si>
    <t xml:space="preserve">n/a</t>
  </si>
  <si>
    <t xml:space="preserve">~6-10%</t>
  </si>
  <si>
    <t xml:space="preserve">43.7% at 2024 price, before pass-through (pre-reform 1.95%)</t>
  </si>
  <si>
    <t xml:space="preserve">C-39, PR-34</t>
  </si>
  <si>
    <t xml:space="preserve">Structure and base</t>
  </si>
  <si>
    <t xml:space="preserve">B1</t>
  </si>
  <si>
    <t xml:space="preserve">Fuel use (liters per USD 1,000 of GDP)</t>
  </si>
  <si>
    <t xml:space="preserve">l per USD 1,000</t>
  </si>
  <si>
    <t xml:space="preserve">~69 (petrol + diesel)</t>
  </si>
  <si>
    <t xml:space="preserve">~35 (petrol + diesel)</t>
  </si>
  <si>
    <t xml:space="preserve">~122 (all petroleum, 2024)</t>
  </si>
  <si>
    <t xml:space="preserve">P-13</t>
  </si>
  <si>
    <t xml:space="preserve">LBR includes all petroleum products; not comparable</t>
  </si>
  <si>
    <t xml:space="preserve">B2</t>
  </si>
  <si>
    <t xml:space="preserve">count</t>
  </si>
  <si>
    <t xml:space="preserve">Formula: covered (1 + 2) from Std_Schedule</t>
  </si>
  <si>
    <t xml:space="preserve">B3</t>
  </si>
  <si>
    <t xml:space="preserve">Specific rates indexed to inflation</t>
  </si>
  <si>
    <t xml:space="preserve">yes/no</t>
  </si>
  <si>
    <t xml:space="preserve">None</t>
  </si>
  <si>
    <t xml:space="preserve">Legislated from 1 Jan 2027 (s.1108(e)); first rates due 1 Dec 2026</t>
  </si>
  <si>
    <t xml:space="preserve">PR-04</t>
  </si>
  <si>
    <t xml:space="preserve">B4</t>
  </si>
  <si>
    <t xml:space="preserve">Differentiation by origin</t>
  </si>
  <si>
    <t xml:space="preserve">Beer and wine 50-140% higher if imported; juice origin-neutral</t>
  </si>
  <si>
    <t xml:space="preserve">PR-22, PR-24, PR-30</t>
  </si>
  <si>
    <t xml:space="preserve">Cigarettes ~2x if imported; beer, spirits, wine by local raw material</t>
  </si>
  <si>
    <t xml:space="preserve">Removed April 2026 except water (imported US$0.15/l; local nil)</t>
  </si>
  <si>
    <t xml:space="preserve">PR-01, PR-11</t>
  </si>
  <si>
    <t xml:space="preserve">B5</t>
  </si>
  <si>
    <t xml:space="preserve">Excise-like levies outside excise law</t>
  </si>
  <si>
    <t xml:space="preserve">Vehicle circulation levy; cellular surcharge (voice, data, mobile money)</t>
  </si>
  <si>
    <t xml:space="preserve">PR-15, PR-36, PR-37</t>
  </si>
  <si>
    <t xml:space="preserve">None: telecoms and financial lines inside the Excise Duty Act</t>
  </si>
  <si>
    <t xml:space="preserve">Road Fund and LPRC fuel levies; vehicle registration; telecom 5% surtax</t>
  </si>
  <si>
    <t xml:space="preserve">PR-23, PR-24, PR-06</t>
  </si>
  <si>
    <t xml:space="preserve">Key questions</t>
  </si>
  <si>
    <t xml:space="preserve">Q1</t>
  </si>
  <si>
    <t xml:space="preserve">Coverage: what is taxed; which priority categories are absent?</t>
  </si>
  <si>
    <t xml:space="preserve">25 of 30 (21 in Excise Act, 4 levies). Absent: aviation fuel, first registration, traditional beer, sugar, luxury</t>
  </si>
  <si>
    <t xml:space="preserve">WP s.9.1</t>
  </si>
  <si>
    <t xml:space="preserve">26 of 30, all in the Excise Duty Act. Absent: vehicle circulation, e-cigarettes, gambling, other industrial inputs</t>
  </si>
  <si>
    <t xml:space="preserve">21 of 30 (16 in excise law incl. 2 partial; 5 levies). Fuel, plastics, mobile money, cement, edible oils outside excise law; aviation fuel exempt</t>
  </si>
  <si>
    <t xml:space="preserve">v0.3 Table 9.1</t>
  </si>
  <si>
    <t xml:space="preserve">Q2</t>
  </si>
  <si>
    <t xml:space="preserve">Structure: specific, ad valorem or hybrid; how differentiated?</t>
  </si>
  <si>
    <t xml:space="preserve">Mostly specific in NLe; ad valorem local-content beer bands and industrial lines; sugar-graduated SSB design (FA2023); ABV bands</t>
  </si>
  <si>
    <t xml:space="preserve">WP s.9.3</t>
  </si>
  <si>
    <t xml:space="preserve">'Higher-of' hybrids for alcohol and beverages; specific fuel and cigarettes (4 tiers); ad valorem other tobacco, telecoms, finance, luxury</t>
  </si>
  <si>
    <t xml:space="preserve">Specific for all beverages and tobacco, one rate for local and imported (except water); ad valorem 5-50% for luxury, sugar, gaming, pipes; fuel via levies only</t>
  </si>
  <si>
    <t xml:space="preserve">v0.3 s.10</t>
  </si>
  <si>
    <t xml:space="preserve">Q3</t>
  </si>
  <si>
    <t xml:space="preserve">Intensity: USD per unit, share of price, share of GDP</t>
  </si>
  <si>
    <t xml:space="preserve">Fuel 55-69% of Uganda per liter; cigarettes 13-39% of Uganda; mainstream beer near parity; SSBs at or above peers on paper</t>
  </si>
  <si>
    <t xml:space="preserve">WP s.8.1</t>
  </si>
  <si>
    <t xml:space="preserve">Petrol USD 0.41/l (30%); cigarettes USD 0.35-1.07/pack (30-50%); malt beer USD 10.9/LPA</t>
  </si>
  <si>
    <t xml:space="preserve">Fuel levies USD 0.0951/l (7.29%); cigarettes USD 0.50/pack (27.2%); beer USD 20/LPA; spirits USD 7.5/LPA; SSBs USD 0.45/l</t>
  </si>
  <si>
    <t xml:space="preserve">v0.3 s.8.1</t>
  </si>
  <si>
    <t xml:space="preserve">Q4</t>
  </si>
  <si>
    <t xml:space="preserve">Benchmarking against peers and reference levels</t>
  </si>
  <si>
    <t xml:space="preserve">Below OECD on fuel, tobacco, alcohol; fuel revenue near OECD floor on a large base; total excise about half the African average</t>
  </si>
  <si>
    <t xml:space="preserve">WP s.8.4</t>
  </si>
  <si>
    <t xml:space="preserve">Below OECD on fuel, tobacco, alcohol; cigarettes 30-50% of price vs WHO 70%</t>
  </si>
  <si>
    <t xml:space="preserve">Excise 15.5% of African average; fuel 17.3% of OECD per liter; cigarettes 38.9% of WHO benchmark; beer in OECD range; spirits far below; SSBs above UK top band</t>
  </si>
  <si>
    <t xml:space="preserve">v0.3 s.8.4</t>
  </si>
  <si>
    <t xml:space="preserve">Q5</t>
  </si>
  <si>
    <t xml:space="preserve">Erosion: which specific rates lose real value?</t>
  </si>
  <si>
    <t xml:space="preserve">No indexation. 2024 switch from US$ to Leone rates cut beer ~70% and wine 70-90% in USD; FA2026 catch-up (fuel +79-147%, cigarettes +50%)</t>
  </si>
  <si>
    <t xml:space="preserve">WP Table 8 #10</t>
  </si>
  <si>
    <t xml:space="preserve">No indexation. Tobacco unchanged FY2017/18-FY2024/25 then up to +100%; kerosene unchanged since 2018</t>
  </si>
  <si>
    <t xml:space="preserve">Rates in US$ (no LRD erosion); indexation from 1 Jan 2027. Alcohol rates swung twice in 16 months (local spirits 2.00 -&gt; 0.50 -&gt; 3.00)</t>
  </si>
  <si>
    <t xml:space="preserve">PR-04, Table 10.3</t>
  </si>
  <si>
    <t xml:space="preserve">Q6</t>
  </si>
  <si>
    <t xml:space="preserve">Coherence: where do differentiation devices stack into inversions or arbitrage?</t>
  </si>
  <si>
    <t xml:space="preserve">Two beer regimes (1.3-4x gap by classification); wine below beer per LPA; origin gaps; kerosene 40% of diesel; three currency notations</t>
  </si>
  <si>
    <t xml:space="preserve">WP Table 8</t>
  </si>
  <si>
    <t xml:space="preserve">Origin tiers on cigarettes (imported ~2x); local-content tiers on beer; kerosene 16% of diesel</t>
  </si>
  <si>
    <t xml:space="preserve">Spirits 0.375x beer per LPA; water excluded by s.1106(a) yet taxed; SSB flat with no sugar link; 'Current/Proposed' schedule; telecom 18% vs 15%; fuel outside law</t>
  </si>
  <si>
    <t xml:space="preserve">v0.3 Table 8.3</t>
  </si>
  <si>
    <t xml:space="preserve">Q7</t>
  </si>
  <si>
    <t xml:space="preserve">Price tracking: tax-inclusive prices vs CPI and incomes</t>
  </si>
  <si>
    <t xml:space="preserve">Not answered: no retail price series</t>
  </si>
  <si>
    <t xml:space="preserve">Not answered</t>
  </si>
  <si>
    <t xml:space="preserve">Open items</t>
  </si>
  <si>
    <t xml:space="preserve">O1</t>
  </si>
  <si>
    <t xml:space="preserve">Main open items</t>
  </si>
  <si>
    <t xml:space="preserve">Publish legible FA2024 s.4(d)-(i) tables; confirm spirits and SSB rates; line-level NRA collections; configure import excise in ASYCUDA</t>
  </si>
  <si>
    <t xml:space="preserve">WP s.8.5</t>
  </si>
  <si>
    <t xml:space="preserve">Peer review all lines (stage A5); obtain collections; track the 2026 Bill</t>
  </si>
  <si>
    <t xml:space="preserve">Confirm 'Proposed' rates in force; telecom rate; indexation formula and first rates; where tobacco excise is booked; split the Road Fund line</t>
  </si>
  <si>
    <t xml:space="preserve">Standardized cross-country excise schedule (standard schedule v1.0): human-readable</t>
  </si>
  <si>
    <t xml:space="preserve">Coverage: 1 = in excise law; 2 = levy outside excise law; 0 = not covered. DQ = lowest DQ among the country's national lines on that row (formula from Std_Schedule_Code).</t>
  </si>
  <si>
    <t xml:space="preserve">Sierra Leone (WP v0.8; cut-off 27 Apr 2026)</t>
  </si>
  <si>
    <t xml:space="preserve">Uganda (WP v0.8; cut-off 27 Apr 2026; not peer reviewed)</t>
  </si>
  <si>
    <t xml:space="preserve">Liberia (v0.3; cut-off 29 Sep 2026)</t>
  </si>
  <si>
    <t xml:space="preserve">Part</t>
  </si>
  <si>
    <t xml:space="preserve">Typology</t>
  </si>
  <si>
    <t xml:space="preserve">Code</t>
  </si>
  <si>
    <t xml:space="preserve">Standard line</t>
  </si>
  <si>
    <t xml:space="preserve">Standard unit</t>
  </si>
  <si>
    <t xml:space="preserve">SLE: Cov.</t>
  </si>
  <si>
    <t xml:space="preserve">SLE: Statutory rate and structure</t>
  </si>
  <si>
    <t xml:space="preserve">SLE: USD per std unit</t>
  </si>
  <si>
    <t xml:space="preserve">SLE: % of price</t>
  </si>
  <si>
    <t xml:space="preserve">SLE: Ref. / note</t>
  </si>
  <si>
    <t xml:space="preserve">UGA: Cov.</t>
  </si>
  <si>
    <t xml:space="preserve">UGA: Statutory rate and structure</t>
  </si>
  <si>
    <t xml:space="preserve">UGA: USD per std unit</t>
  </si>
  <si>
    <t xml:space="preserve">UGA: % of price</t>
  </si>
  <si>
    <t xml:space="preserve">UGA: Ref. / note</t>
  </si>
  <si>
    <t xml:space="preserve">LBR: Cov.</t>
  </si>
  <si>
    <t xml:space="preserve">LBR: Statutory rate and structure</t>
  </si>
  <si>
    <t xml:space="preserve">LBR: USD per std unit</t>
  </si>
  <si>
    <t xml:space="preserve">LBR: % of price</t>
  </si>
  <si>
    <t xml:space="preserve">LBR: Ref. / note</t>
  </si>
  <si>
    <t xml:space="preserve">Cross-country note</t>
  </si>
  <si>
    <t xml:space="preserve">1 Fuel</t>
  </si>
  <si>
    <t xml:space="preserve">energy_environment</t>
  </si>
  <si>
    <t xml:space="preserve">E1</t>
  </si>
  <si>
    <t xml:space="preserve">Petrol</t>
  </si>
  <si>
    <t xml:space="preserve">per liter</t>
  </si>
  <si>
    <t xml:space="preserve">NLe 5.00/l; specific</t>
  </si>
  <si>
    <t xml:space="preserve">PR-12</t>
  </si>
  <si>
    <t xml:space="preserve">UGX 1,550/l; specific</t>
  </si>
  <si>
    <t xml:space="preserve">US$0.25/gal + US$0.11/gal (Levy)</t>
  </si>
  <si>
    <t xml:space="preserve">0.0951 (to 0.1083)</t>
  </si>
  <si>
    <t xml:space="preserve">7.29% of June 2026 ceiling</t>
  </si>
  <si>
    <t xml:space="preserve">PR-23, PR-24, PR-25</t>
  </si>
  <si>
    <t xml:space="preserve">Liberia: fuel outside excise law; only earmarked levies.</t>
  </si>
  <si>
    <t xml:space="preserve">E2</t>
  </si>
  <si>
    <t xml:space="preserve">Diesel, road</t>
  </si>
  <si>
    <t xml:space="preserve">NLe 5.00/l; specific; harmonized with petrol in FA2026</t>
  </si>
  <si>
    <t xml:space="preserve">18% (pre-increase price)</t>
  </si>
  <si>
    <t xml:space="preserve">UGX 1,230/l; specific; nil for power generation</t>
  </si>
  <si>
    <t xml:space="preserve">0.33</t>
  </si>
  <si>
    <t xml:space="preserve">24%</t>
  </si>
  <si>
    <t xml:space="preserve">Diesel 21% below petrol</t>
  </si>
  <si>
    <t xml:space="preserve">5.76% of June 2026 ceiling</t>
  </si>
  <si>
    <t xml:space="preserve">E3</t>
  </si>
  <si>
    <t xml:space="preserve">Kerosene</t>
  </si>
  <si>
    <t xml:space="preserve">NLe 2.00/l; specific</t>
  </si>
  <si>
    <t xml:space="preserve">0.09</t>
  </si>
  <si>
    <t xml:space="preserve">8%</t>
  </si>
  <si>
    <t xml:space="preserve">PR-13</t>
  </si>
  <si>
    <t xml:space="preserve">UGX 200/l; specific</t>
  </si>
  <si>
    <t xml:space="preserve">0.05</t>
  </si>
  <si>
    <t xml:space="preserve">&lt;5%</t>
  </si>
  <si>
    <t xml:space="preserve">Not identified (confirm): Product scope of fuel levies not verified</t>
  </si>
  <si>
    <t xml:space="preserve">-</t>
  </si>
  <si>
    <t xml:space="preserve">PR-24</t>
  </si>
  <si>
    <t xml:space="preserve">E4</t>
  </si>
  <si>
    <t xml:space="preserve">Aviation fuel</t>
  </si>
  <si>
    <t xml:space="preserve">Not identified</t>
  </si>
  <si>
    <t xml:space="preserve">UGX 630/l; nil for registered airlines</t>
  </si>
  <si>
    <t xml:space="preserve">0.17</t>
  </si>
  <si>
    <t xml:space="preserve">Not excisable: s.1107(a): aviation fuel exempt from excise</t>
  </si>
  <si>
    <t xml:space="preserve">PR-15</t>
  </si>
  <si>
    <t xml:space="preserve">E5</t>
  </si>
  <si>
    <t xml:space="preserve">Heavy fuel oil / other gas oils</t>
  </si>
  <si>
    <t xml:space="preserve">NLe 7.40/l (fuel oil); specific</t>
  </si>
  <si>
    <t xml:space="preserve">0.34</t>
  </si>
  <si>
    <t xml:space="preserve">UGX 630/l (other gas oils); specific</t>
  </si>
  <si>
    <t xml:space="preserve">Definitions differ</t>
  </si>
  <si>
    <t xml:space="preserve">Not identified (confirm): As E3</t>
  </si>
  <si>
    <t xml:space="preserve">E6</t>
  </si>
  <si>
    <t xml:space="preserve">Lubricants</t>
  </si>
  <si>
    <t xml:space="preserve">NLe 4.00/l; specific</t>
  </si>
  <si>
    <t xml:space="preserve">0.18</t>
  </si>
  <si>
    <t xml:space="preserve">15% ad valorem (motor vehicle, not aircraft)</t>
  </si>
  <si>
    <t xml:space="preserve">15% of value</t>
  </si>
  <si>
    <t xml:space="preserve">Not excisable: Not in s.1106</t>
  </si>
  <si>
    <t xml:space="preserve">4 Other</t>
  </si>
  <si>
    <t xml:space="preserve">E7</t>
  </si>
  <si>
    <t xml:space="preserve">Plastic bags and packaging</t>
  </si>
  <si>
    <t xml:space="preserve">per kg</t>
  </si>
  <si>
    <t xml:space="preserve">Le 16/kg: bags; bottles filled with beverages other than water</t>
  </si>
  <si>
    <t xml:space="preserve">0.73</t>
  </si>
  <si>
    <t xml:space="preserve">PR-14</t>
  </si>
  <si>
    <t xml:space="preserve">UGX 10,000/kg (bags); granules 2.5% or USD 70/t</t>
  </si>
  <si>
    <t xml:space="preserve">2.67</t>
  </si>
  <si>
    <t xml:space="preserve">2 Vehicles</t>
  </si>
  <si>
    <t xml:space="preserve">E8</t>
  </si>
  <si>
    <t xml:space="preserve">Vehicles: annual circulation</t>
  </si>
  <si>
    <t xml:space="preserve">per vehicle-year</t>
  </si>
  <si>
    <t xml:space="preserve">NLe 500 (cars, trucks, buses); NLe 200 (motorbikes). Levy outside the Excise Act</t>
  </si>
  <si>
    <t xml:space="preserve">23 / 9</t>
  </si>
  <si>
    <t xml:space="preserve">PR-15, PR-16</t>
  </si>
  <si>
    <t xml:space="preserve">Not in excise schedule</t>
  </si>
  <si>
    <t xml:space="preserve">US$75 (compact car) to US$500 (heavy truck) base (Levy)</t>
  </si>
  <si>
    <t xml:space="preserve">75-500</t>
  </si>
  <si>
    <t xml:space="preserve">PR-27, PR-38</t>
  </si>
  <si>
    <t xml:space="preserve">E9</t>
  </si>
  <si>
    <t xml:space="preserve">Vehicles: first registration / import</t>
  </si>
  <si>
    <t xml:space="preserve">per vehicle</t>
  </si>
  <si>
    <t xml:space="preserve">UGX 200,000 (motorcycles); specific</t>
  </si>
  <si>
    <t xml:space="preserve">53</t>
  </si>
  <si>
    <t xml:space="preserve">10% (Partial: luxury only)</t>
  </si>
  <si>
    <t xml:space="preserve">&gt;= 6,000 new; &gt;= 3,000 used</t>
  </si>
  <si>
    <t xml:space="preserve">n/a (no price data)</t>
  </si>
  <si>
    <t xml:space="preserve">PR-14, PR-49</t>
  </si>
  <si>
    <t xml:space="preserve">3 Health</t>
  </si>
  <si>
    <t xml:space="preserve">health</t>
  </si>
  <si>
    <t xml:space="preserve">T1</t>
  </si>
  <si>
    <t xml:space="preserve">Cigarettes</t>
  </si>
  <si>
    <t xml:space="preserve">per pack of 20</t>
  </si>
  <si>
    <t xml:space="preserve">NLe 3/pack; single specific rate</t>
  </si>
  <si>
    <t xml:space="preserve">PR-19, PR-20</t>
  </si>
  <si>
    <t xml:space="preserve">UGX 65,000-200,000 per 1,000 sticks; specific; 4 tiers by origin and pack type</t>
  </si>
  <si>
    <t xml:space="preserve">0.35-1.07</t>
  </si>
  <si>
    <t xml:space="preserve">$0.50 / pack of 20 sticks</t>
  </si>
  <si>
    <t xml:space="preserve">PR-09, PR-10</t>
  </si>
  <si>
    <t xml:space="preserve">Uganda tiers by origin and pack; SLE and LBR single rate.</t>
  </si>
  <si>
    <t xml:space="preserve">T2</t>
  </si>
  <si>
    <t xml:space="preserve">Cigars and other tobacco</t>
  </si>
  <si>
    <t xml:space="preserve">per pack / per kg</t>
  </si>
  <si>
    <t xml:space="preserve">NLe 38/pack (cigars); NLe 98/kg (loose, homogenized); shisha NLe 98/kg + NLe 225/l</t>
  </si>
  <si>
    <t xml:space="preserve">1.73/pack; 4.45/kg</t>
  </si>
  <si>
    <t xml:space="preserve">PR-21</t>
  </si>
  <si>
    <t xml:space="preserve">200% ad valorem</t>
  </si>
  <si>
    <t xml:space="preserve">$0.50/pack; $0.25/stick; $25.00/Kg; 50%</t>
  </si>
  <si>
    <t xml:space="preserve">0.50; 0.25/stick; 25.00/kg</t>
  </si>
  <si>
    <t xml:space="preserve">T3</t>
  </si>
  <si>
    <t xml:space="preserve">E-cigarettes and novel products</t>
  </si>
  <si>
    <t xml:space="preserve">per ml / per cartridge</t>
  </si>
  <si>
    <t xml:space="preserve">NLe 0.75/ml (device); NLe 1.20/cartridge</t>
  </si>
  <si>
    <t xml:space="preserve">0.03; 0.05</t>
  </si>
  <si>
    <t xml:space="preserve">PR-18, PR-21</t>
  </si>
  <si>
    <t xml:space="preserve">$0.10 / mL; $15.00 / Kg</t>
  </si>
  <si>
    <t xml:space="preserve">0.10/ml; 15.00/kg</t>
  </si>
  <si>
    <t xml:space="preserve">A1</t>
  </si>
  <si>
    <t xml:space="preserve">Beer, mainstream malt (5% ABV)</t>
  </si>
  <si>
    <t xml:space="preserve">per LPA</t>
  </si>
  <si>
    <t xml:space="preserve">HS 2203: Le 10/l local; Le 15/l imported (also printed as Le 0.01 / 0.015 per cl); specific</t>
  </si>
  <si>
    <t xml:space="preserve">9.1 / 13.6</t>
  </si>
  <si>
    <t xml:space="preserve">20% / 30%</t>
  </si>
  <si>
    <t xml:space="preserve">PR-22</t>
  </si>
  <si>
    <t xml:space="preserve">60% or UGX 2,050/l; hybrid</t>
  </si>
  <si>
    <t xml:space="preserve">10.9</t>
  </si>
  <si>
    <t xml:space="preserve">~29%</t>
  </si>
  <si>
    <t xml:space="preserve">$1.00 / L</t>
  </si>
  <si>
    <t xml:space="preserve">36.7% (at 2024 price)</t>
  </si>
  <si>
    <t xml:space="preserve">PR-01, PR-02, PR-03</t>
  </si>
  <si>
    <t xml:space="preserve">A2</t>
  </si>
  <si>
    <t xml:space="preserve">Beer, local-content concession (5% ABV)</t>
  </si>
  <si>
    <t xml:space="preserve">Item 22.09 bands D1-D4: 5 / 8 / 12 / 15% ad valorem (&lt;10% ABV)</t>
  </si>
  <si>
    <t xml:space="preserve">2.3-6.8</t>
  </si>
  <si>
    <t xml:space="preserve">5-15%</t>
  </si>
  <si>
    <t xml:space="preserve">PR-25, PR-26</t>
  </si>
  <si>
    <t xml:space="preserve">&gt;=75% local: 30% or UGX 900/l; Ugandan barley: 30% or UGX 950/l</t>
  </si>
  <si>
    <t xml:space="preserve">4.8-5.1</t>
  </si>
  <si>
    <t xml:space="preserve">~13%</t>
  </si>
  <si>
    <t xml:space="preserve">in A1</t>
  </si>
  <si>
    <t xml:space="preserve">A3</t>
  </si>
  <si>
    <t xml:space="preserve">Traditional / opaque beer (4% ABV)</t>
  </si>
  <si>
    <t xml:space="preserve">Not identified (largely informal). HS 2206 cider/perry/mead line exists (FA2023, last legible); see code sheet</t>
  </si>
  <si>
    <t xml:space="preserve">12% or UGX 150/l; hybrid</t>
  </si>
  <si>
    <t xml:space="preserve">1.0</t>
  </si>
  <si>
    <t xml:space="preserve">~10%</t>
  </si>
  <si>
    <t xml:space="preserve">25.00</t>
  </si>
  <si>
    <t xml:space="preserve">Mapping of HS 2206 (cider, perry, mead; palm wine) to A3 differs between WP v0.8 and Liberia v0.3; settle in schedule v1.1.</t>
  </si>
  <si>
    <t xml:space="preserve">A4</t>
  </si>
  <si>
    <t xml:space="preserve">Wine (12% ABV)</t>
  </si>
  <si>
    <t xml:space="preserve">Le 6.30/l local; Le 12/l imported (10-20% ABV band); specific</t>
  </si>
  <si>
    <t xml:space="preserve">2.4 / 4.5</t>
  </si>
  <si>
    <t xml:space="preserve">Local: 20% or UGX 2,000/l. Other: 80% or UGX 8,000/l</t>
  </si>
  <si>
    <t xml:space="preserve">4.4 / 17.8</t>
  </si>
  <si>
    <t xml:space="preserve">8.33</t>
  </si>
  <si>
    <t xml:space="preserve">A5</t>
  </si>
  <si>
    <t xml:space="preserve">Spirits (40% ABV)</t>
  </si>
  <si>
    <t xml:space="preserve">HS 2208: specific. FA2023: US$3/l (&gt;20% ABV); replaced by FA2024 s.4(e), rate not legible</t>
  </si>
  <si>
    <t xml:space="preserve">7.5 (FA2023 rate)</t>
  </si>
  <si>
    <t xml:space="preserve">Local: 60% or UGX 1,500/l. Imported: 100% or UGX 2,500/l. RTD: 80% or UGX 1,700/l</t>
  </si>
  <si>
    <t xml:space="preserve">$3.00 / L</t>
  </si>
  <si>
    <t xml:space="preserve">73.1% (at 2024 price)</t>
  </si>
  <si>
    <t xml:space="preserve">PR-01, PR-03</t>
  </si>
  <si>
    <t xml:space="preserve">Spirits per LPA below beer in SLE and LBR.</t>
  </si>
  <si>
    <t xml:space="preserve">S1</t>
  </si>
  <si>
    <t xml:space="preserve">Carbonated and other soft drinks</t>
  </si>
  <si>
    <t xml:space="preserve">FA2023: US$0.10 / 0.30 / 0.50 per l for &lt;15 / 15-25 / &gt;25 g sugar per l; current rows not legible</t>
  </si>
  <si>
    <t xml:space="preserve">0.10-0.50</t>
  </si>
  <si>
    <t xml:space="preserve">12% or UGX 250/l; hybrid</t>
  </si>
  <si>
    <t xml:space="preserve">$0.45 / L</t>
  </si>
  <si>
    <t xml:space="preserve">0.45</t>
  </si>
  <si>
    <t xml:space="preserve">43.7% (at 2024 price)</t>
  </si>
  <si>
    <t xml:space="preserve">PR-11, PR-12</t>
  </si>
  <si>
    <t xml:space="preserve">SLE sugar-graduated (FA2023); UGA hybrid flat; LBR flat per liter.</t>
  </si>
  <si>
    <t xml:space="preserve">S2</t>
  </si>
  <si>
    <t xml:space="preserve">Fruit and vegetable juice</t>
  </si>
  <si>
    <t xml:space="preserve">FA2023: US$0 (&lt;5 g/l); 0.10 (5-15); 0.30 (15-25); 0.50 (&gt;25) per l; origin-neutral</t>
  </si>
  <si>
    <t xml:space="preserve">0-0.50</t>
  </si>
  <si>
    <t xml:space="preserve">PR-30</t>
  </si>
  <si>
    <t xml:space="preserve">12% or UGX 250/l; concession for &gt;=30% Ugandan pulp</t>
  </si>
  <si>
    <t xml:space="preserve">S3</t>
  </si>
  <si>
    <t xml:space="preserve">Energy drinks</t>
  </si>
  <si>
    <t xml:space="preserve">Within 'other non-alcoholic beverages' (as S1)</t>
  </si>
  <si>
    <t xml:space="preserve">PR-29</t>
  </si>
  <si>
    <t xml:space="preserve">Within non-alcoholic beverages: 12% or UGX 250/l</t>
  </si>
  <si>
    <t xml:space="preserve">S4</t>
  </si>
  <si>
    <t xml:space="preserve">Bottled and processed water</t>
  </si>
  <si>
    <t xml:space="preserve">Within 'bottled or similarly packaged waters': US$0.10/l (&lt;15 g/l)</t>
  </si>
  <si>
    <t xml:space="preserve">0.10</t>
  </si>
  <si>
    <t xml:space="preserve">Hybrid: fixed plus ad valorem</t>
  </si>
  <si>
    <t xml:space="preserve">$0.15 / L imported; NIL local</t>
  </si>
  <si>
    <t xml:space="preserve">0.15 (imported)</t>
  </si>
  <si>
    <t xml:space="preserve">PR-11, PR-13</t>
  </si>
  <si>
    <t xml:space="preserve">G1</t>
  </si>
  <si>
    <t xml:space="preserve">Gambling, betting and lotteries</t>
  </si>
  <si>
    <t xml:space="preserve">% of base</t>
  </si>
  <si>
    <t xml:space="preserve">10% of net wagered (gross gaming revenue)</t>
  </si>
  <si>
    <t xml:space="preserve">PR-32</t>
  </si>
  <si>
    <t xml:space="preserve">30% (Partial: equipment only)</t>
  </si>
  <si>
    <t xml:space="preserve">PR-14, PR-47, PR-49</t>
  </si>
  <si>
    <t xml:space="preserve">Liberia taxes gaming equipment, Sierra Leone net wagered: different bases.</t>
  </si>
  <si>
    <t xml:space="preserve">telecoms_digital</t>
  </si>
  <si>
    <t xml:space="preserve">D1</t>
  </si>
  <si>
    <t xml:space="preserve">Voice and airtime</t>
  </si>
  <si>
    <t xml:space="preserve">per minute / % of fee</t>
  </si>
  <si>
    <t xml:space="preserve">Cellular surcharge (FA2023 s.13): NLe 0.10 on-net; NLe 0.05 off-net; NLe 2 outgoing international</t>
  </si>
  <si>
    <t xml:space="preserve">0.005 (on-net)</t>
  </si>
  <si>
    <t xml:space="preserve">PR-36</t>
  </si>
  <si>
    <t xml:space="preserve">12% of airtime fee; USD 0.09/min on incoming international calls (EAC partners excluded)</t>
  </si>
  <si>
    <t xml:space="preserve">12% of fee</t>
  </si>
  <si>
    <t xml:space="preserve">13% + 5% surtax (LRA notice: 15%) (Levy)</t>
  </si>
  <si>
    <t xml:space="preserve">5-point surtax</t>
  </si>
  <si>
    <t xml:space="preserve">PR-05, PR-06</t>
  </si>
  <si>
    <t xml:space="preserve">Uganda inside excise law; SLE and LBR levies outside it.</t>
  </si>
  <si>
    <t xml:space="preserve">D2</t>
  </si>
  <si>
    <t xml:space="preserve">Data and value-added services</t>
  </si>
  <si>
    <t xml:space="preserve">% of fee</t>
  </si>
  <si>
    <t xml:space="preserve">Cellular surcharge: up to 5% of data recharge and bundle sales</t>
  </si>
  <si>
    <t xml:space="preserve">&lt;=5%</t>
  </si>
  <si>
    <t xml:space="preserve">PR-37</t>
  </si>
  <si>
    <t xml:space="preserve">12% of fee (medical and education data exempt); 12% on SMS/MMS</t>
  </si>
  <si>
    <t xml:space="preserve">PR-06</t>
  </si>
  <si>
    <t xml:space="preserve">financial_transactions</t>
  </si>
  <si>
    <t xml:space="preserve">F1</t>
  </si>
  <si>
    <t xml:space="preserve">Mobile money and financial services</t>
  </si>
  <si>
    <t xml:space="preserve">% of value or fee</t>
  </si>
  <si>
    <t xml:space="preserve">Cellular surcharge: 2% of mobile-money commissions</t>
  </si>
  <si>
    <t xml:space="preserve">0.5% of mobile-money and agent withdrawals; 15% of bank fees</t>
  </si>
  <si>
    <t xml:space="preserve">Not excisable: Not in s.1106; no levy found</t>
  </si>
  <si>
    <t xml:space="preserve">industrial_residual</t>
  </si>
  <si>
    <t xml:space="preserve">Cement</t>
  </si>
  <si>
    <t xml:space="preserve">per 50 kg bag</t>
  </si>
  <si>
    <t xml:space="preserve">NLe 10/bag; specific (restored in FA2026)</t>
  </si>
  <si>
    <t xml:space="preserve">PR-33</t>
  </si>
  <si>
    <t xml:space="preserve">UGX 500/bag; specific</t>
  </si>
  <si>
    <t xml:space="preserve">0.13</t>
  </si>
  <si>
    <t xml:space="preserve">Edible oils</t>
  </si>
  <si>
    <t xml:space="preserve">per liter / %</t>
  </si>
  <si>
    <t xml:space="preserve">10% ad valorem (vegetable oils, palm olein, margarine)</t>
  </si>
  <si>
    <t xml:space="preserve">PR-35</t>
  </si>
  <si>
    <t xml:space="preserve">UGX 200/l (cooking oil); specific</t>
  </si>
  <si>
    <t xml:space="preserve">0.05/l</t>
  </si>
  <si>
    <t xml:space="preserve">Sugar</t>
  </si>
  <si>
    <t xml:space="preserve">Not excisable</t>
  </si>
  <si>
    <t xml:space="preserve">UGX 100/kg; industrial use nil</t>
  </si>
  <si>
    <t xml:space="preserve">0.03</t>
  </si>
  <si>
    <t xml:space="preserve">5%</t>
  </si>
  <si>
    <t xml:space="preserve">Other industrial inputs</t>
  </si>
  <si>
    <t xml:space="preserve">Soaps 20%; fatty-acid oils 20%; nails 5%; ad valorem</t>
  </si>
  <si>
    <t xml:space="preserve">luxury</t>
  </si>
  <si>
    <t xml:space="preserve">L1</t>
  </si>
  <si>
    <t xml:space="preserve">Cosmetics, furniture and other luxury</t>
  </si>
  <si>
    <t xml:space="preserve">Cosmetics 10%; furniture 20%; ad valorem</t>
  </si>
  <si>
    <t xml:space="preserve">20%; 10%</t>
  </si>
  <si>
    <t xml:space="preserve">Coverage count</t>
  </si>
  <si>
    <t xml:space="preserve">In excise law (1)</t>
  </si>
  <si>
    <t xml:space="preserve">Levy outside excise law (2)</t>
  </si>
  <si>
    <t xml:space="preserve">Not covered (0)</t>
  </si>
  <si>
    <t xml:space="preserve">Covered (1 + 2)</t>
  </si>
  <si>
    <t xml:space="preserve">Sources: SLE and UGA text from WP v0.8 Tables 10a-c (FX NLe 22, UGX 3,750 per USD); LBR from Liberia v0.3 Tables 9.1-9.2. USD figures here are as published; the code sheet recomputes them from Parameters.</t>
  </si>
  <si>
    <t xml:space="preserve">Standardized schedule: code-readable (one row per rate component)</t>
  </si>
  <si>
    <t xml:space="preserve">Long format. A 'higher-of' hybrid has two rows (specific, ad valorem) with the same option_group. Formula columns: fx_lcu_per_usd, usd_per_rate_unit, usd_per_std_unit, share_of_ref_price, dq_score.</t>
  </si>
  <si>
    <t xml:space="preserve">row_id</t>
  </si>
  <si>
    <t xml:space="preserve">country_iso3</t>
  </si>
  <si>
    <t xml:space="preserve">country</t>
  </si>
  <si>
    <t xml:space="preserve">cut_off</t>
  </si>
  <si>
    <t xml:space="preserve">part</t>
  </si>
  <si>
    <t xml:space="preserve">typology</t>
  </si>
  <si>
    <t xml:space="preserve">std_code</t>
  </si>
  <si>
    <t xml:space="preserve">std_line</t>
  </si>
  <si>
    <t xml:space="preserve">std_unit</t>
  </si>
  <si>
    <t xml:space="preserve">coverage_code</t>
  </si>
  <si>
    <t xml:space="preserve">national_item</t>
  </si>
  <si>
    <t xml:space="preserve">hs_code</t>
  </si>
  <si>
    <t xml:space="preserve">instrument</t>
  </si>
  <si>
    <t xml:space="preserve">effective_date</t>
  </si>
  <si>
    <t xml:space="preserve">record_type</t>
  </si>
  <si>
    <t xml:space="preserve">option_group</t>
  </si>
  <si>
    <t xml:space="preserve">combination_rule</t>
  </si>
  <si>
    <t xml:space="preserve">rate_component</t>
  </si>
  <si>
    <t xml:space="preserve">rate_value</t>
  </si>
  <si>
    <t xml:space="preserve">rate_currency</t>
  </si>
  <si>
    <t xml:space="preserve">rate_per_unit</t>
  </si>
  <si>
    <t xml:space="preserve">ad_valorem_base</t>
  </si>
  <si>
    <t xml:space="preserve">text_as_printed</t>
  </si>
  <si>
    <t xml:space="preserve">origin</t>
  </si>
  <si>
    <t xml:space="preserve">abv_min_pct</t>
  </si>
  <si>
    <t xml:space="preserve">abv_max_pct</t>
  </si>
  <si>
    <t xml:space="preserve">sugar_min_g_per_l</t>
  </si>
  <si>
    <t xml:space="preserve">sugar_max_g_per_l</t>
  </si>
  <si>
    <t xml:space="preserve">local_content_min_pct</t>
  </si>
  <si>
    <t xml:space="preserve">local_content_max_pct</t>
  </si>
  <si>
    <t xml:space="preserve">other_condition</t>
  </si>
  <si>
    <t xml:space="preserve">fx_lcu_per_usd</t>
  </si>
  <si>
    <t xml:space="preserve">usd_per_rate_unit</t>
  </si>
  <si>
    <t xml:space="preserve">conv_to_std_unit</t>
  </si>
  <si>
    <t xml:space="preserve">usd_per_std_unit</t>
  </si>
  <si>
    <t xml:space="preserve">ref_price_per_rate_unit</t>
  </si>
  <si>
    <t xml:space="preserve">ref_price_source</t>
  </si>
  <si>
    <t xml:space="preserve">share_of_ref_price</t>
  </si>
  <si>
    <t xml:space="preserve">review_status</t>
  </si>
  <si>
    <t xml:space="preserve">peer_review_ref</t>
  </si>
  <si>
    <t xml:space="preserve">dq_score</t>
  </si>
  <si>
    <t xml:space="preserve">notes</t>
  </si>
  <si>
    <t xml:space="preserve">SLE-001</t>
  </si>
  <si>
    <t xml:space="preserve">SLE</t>
  </si>
  <si>
    <t xml:space="preserve">Finance Act 2026</t>
  </si>
  <si>
    <t xml:space="preserve">2026-01-01</t>
  </si>
  <si>
    <t xml:space="preserve">current</t>
  </si>
  <si>
    <t xml:space="preserve">single</t>
  </si>
  <si>
    <t xml:space="preserve">specific</t>
  </si>
  <si>
    <t xml:space="preserve">NLe</t>
  </si>
  <si>
    <t xml:space="preserve">liter</t>
  </si>
  <si>
    <t xml:space="preserve">NLe 5.00 / liter</t>
  </si>
  <si>
    <t xml:space="preserve">all</t>
  </si>
  <si>
    <t xml:space="preserve">Pump price NLe 32/l, 9 Mar 2026 (PR-42)</t>
  </si>
  <si>
    <t xml:space="preserve">SLE-002</t>
  </si>
  <si>
    <t xml:space="preserve">Diesel</t>
  </si>
  <si>
    <t xml:space="preserve">Pump price NLe 27.4/l, mid-2025, pre-increase (PR-43)</t>
  </si>
  <si>
    <t xml:space="preserve">Harmonized with petrol in FA2026</t>
  </si>
  <si>
    <t xml:space="preserve">SLE-003</t>
  </si>
  <si>
    <t xml:space="preserve">NLe 2.00 / liter</t>
  </si>
  <si>
    <t xml:space="preserve">Estimate NLe ~26/l</t>
  </si>
  <si>
    <t xml:space="preserve">SLE-004</t>
  </si>
  <si>
    <t xml:space="preserve">Aviation fuel: not identified</t>
  </si>
  <si>
    <t xml:space="preserve">not_covered</t>
  </si>
  <si>
    <t xml:space="preserve">none</t>
  </si>
  <si>
    <t xml:space="preserve">WP Level 2: not identified</t>
  </si>
  <si>
    <t xml:space="preserve">SLE-005</t>
  </si>
  <si>
    <t xml:space="preserve">Fuel oil</t>
  </si>
  <si>
    <t xml:space="preserve">NLe 7.40 / liter</t>
  </si>
  <si>
    <t xml:space="preserve">Definitions differ from Uganda 'other gas oils'</t>
  </si>
  <si>
    <t xml:space="preserve">SLE-006</t>
  </si>
  <si>
    <t xml:space="preserve">Lubricating oils</t>
  </si>
  <si>
    <t xml:space="preserve">NLe 4.00 / liter</t>
  </si>
  <si>
    <t xml:space="preserve">SLE-007</t>
  </si>
  <si>
    <t xml:space="preserve">Polyethylene bags; plastic bottles filled with beverages (excl. water)</t>
  </si>
  <si>
    <t xml:space="preserve">39.23</t>
  </si>
  <si>
    <t xml:space="preserve">Finance Act 2024 s.4(l)</t>
  </si>
  <si>
    <t xml:space="preserve">2024-01-01</t>
  </si>
  <si>
    <t xml:space="preserve">kg</t>
  </si>
  <si>
    <t xml:space="preserve">Le 16 / kg (printed 'Le' = new Leones, PR-07)</t>
  </si>
  <si>
    <t xml:space="preserve">PR-14, PR-07</t>
  </si>
  <si>
    <t xml:space="preserve">SLE-008</t>
  </si>
  <si>
    <t xml:space="preserve">Vehicle annual circulation levy: cars, trucks, buses</t>
  </si>
  <si>
    <t xml:space="preserve">Finance Act 2026 (levy outside Excise Act)</t>
  </si>
  <si>
    <t xml:space="preserve">vehicle-year</t>
  </si>
  <si>
    <t xml:space="preserve">NLe 500 / year</t>
  </si>
  <si>
    <t xml:space="preserve">vehicle class: cars, trucks, buses</t>
  </si>
  <si>
    <t xml:space="preserve">SLE-009</t>
  </si>
  <si>
    <t xml:space="preserve">Vehicle circulation levy: motorbikes</t>
  </si>
  <si>
    <t xml:space="preserve">NLe 200 / year</t>
  </si>
  <si>
    <t xml:space="preserve">vehicle class: motorbikes</t>
  </si>
  <si>
    <t xml:space="preserve">SLE-010</t>
  </si>
  <si>
    <t xml:space="preserve">Vehicle circulation levy: vessels up to 15 seats</t>
  </si>
  <si>
    <t xml:space="preserve">USD</t>
  </si>
  <si>
    <t xml:space="preserve">USD 500 / year</t>
  </si>
  <si>
    <t xml:space="preserve">vessels, &lt;=15 seats</t>
  </si>
  <si>
    <t xml:space="preserve">SLE-011</t>
  </si>
  <si>
    <t xml:space="preserve">Vehicle circulation levy: vessels over 15 seats</t>
  </si>
  <si>
    <t xml:space="preserve">USD 1,000 / year</t>
  </si>
  <si>
    <t xml:space="preserve">vessels, &gt;15 seats</t>
  </si>
  <si>
    <t xml:space="preserve">SLE-012</t>
  </si>
  <si>
    <t xml:space="preserve">First registration: not in excise schedule</t>
  </si>
  <si>
    <t xml:space="preserve">SLE-013</t>
  </si>
  <si>
    <t xml:space="preserve">24.02</t>
  </si>
  <si>
    <t xml:space="preserve">pack of 20</t>
  </si>
  <si>
    <t xml:space="preserve">NLe 3 / packet of 20</t>
  </si>
  <si>
    <t xml:space="preserve">Pack price NLe 22 (market estimate)</t>
  </si>
  <si>
    <t xml:space="preserve">SLE-014</t>
  </si>
  <si>
    <t xml:space="preserve">Cigars, cheroots, cigarillos</t>
  </si>
  <si>
    <t xml:space="preserve">packet</t>
  </si>
  <si>
    <t xml:space="preserve">NLe 38 / packet</t>
  </si>
  <si>
    <t xml:space="preserve">SLE-015</t>
  </si>
  <si>
    <t xml:space="preserve">Unmanufactured tobacco</t>
  </si>
  <si>
    <t xml:space="preserve">24.01</t>
  </si>
  <si>
    <t xml:space="preserve">NLe 98 / kg</t>
  </si>
  <si>
    <t xml:space="preserve">SLE-016</t>
  </si>
  <si>
    <t xml:space="preserve">Other manufactured or homogenized tobacco</t>
  </si>
  <si>
    <t xml:space="preserve">24.03</t>
  </si>
  <si>
    <t xml:space="preserve">SLE-017</t>
  </si>
  <si>
    <t xml:space="preserve">Shisha, herbal molasses: per kg component</t>
  </si>
  <si>
    <t xml:space="preserve">SLE-shisha</t>
  </si>
  <si>
    <t xml:space="preserve">compound</t>
  </si>
  <si>
    <t xml:space="preserve">NLe 98 / kg + NLe 225 / l</t>
  </si>
  <si>
    <t xml:space="preserve">SLE-018</t>
  </si>
  <si>
    <t xml:space="preserve">Shisha, herbal molasses: per liter component</t>
  </si>
  <si>
    <t xml:space="preserve">SLE-019</t>
  </si>
  <si>
    <t xml:space="preserve">E-cigarette device (incl. e-shisha, e-hookah)</t>
  </si>
  <si>
    <t xml:space="preserve">24.04</t>
  </si>
  <si>
    <t xml:space="preserve">ml</t>
  </si>
  <si>
    <t xml:space="preserve">NLe 0.75 / ml</t>
  </si>
  <si>
    <t xml:space="preserve">SLE-020</t>
  </si>
  <si>
    <t xml:space="preserve">E-cigarette cartridge</t>
  </si>
  <si>
    <t xml:space="preserve">cartridge</t>
  </si>
  <si>
    <t xml:space="preserve">NLe 1.20 / unit</t>
  </si>
  <si>
    <t xml:space="preserve">SLE-021</t>
  </si>
  <si>
    <t xml:space="preserve">Beer made from malt (&lt;10% ABV), local</t>
  </si>
  <si>
    <t xml:space="preserve">2203</t>
  </si>
  <si>
    <t xml:space="preserve">Finance Act 2024 s.4(a)</t>
  </si>
  <si>
    <t xml:space="preserve">Le 10 / l local (also printed Le 0.01 / cl)</t>
  </si>
  <si>
    <t xml:space="preserve">local</t>
  </si>
  <si>
    <t xml:space="preserve">Beer NLe ~25 per 500 ml (market estimate)</t>
  </si>
  <si>
    <t xml:space="preserve">Per-cl figure is a tenth of the per-liter figure (Level 1 issue 2)</t>
  </si>
  <si>
    <t xml:space="preserve">SLE-022</t>
  </si>
  <si>
    <t xml:space="preserve">Beer made from malt (&lt;10% ABV), imported</t>
  </si>
  <si>
    <t xml:space="preserve">Le 15 / l imported (also printed Le 0.015 / cl)</t>
  </si>
  <si>
    <t xml:space="preserve">imported</t>
  </si>
  <si>
    <t xml:space="preserve">SLE-023</t>
  </si>
  <si>
    <t xml:space="preserve">Local-content beer, band D1 (80-100% local raw material)</t>
  </si>
  <si>
    <t xml:space="preserve">22.09</t>
  </si>
  <si>
    <t xml:space="preserve">Finance Act 2025</t>
  </si>
  <si>
    <t xml:space="preserve">2025-01-01</t>
  </si>
  <si>
    <t xml:space="preserve">ad_valorem</t>
  </si>
  <si>
    <t xml:space="preserve">pct</t>
  </si>
  <si>
    <t xml:space="preserve">% of value</t>
  </si>
  <si>
    <t xml:space="preserve">value (legal base not observed; retail used as upper bound)</t>
  </si>
  <si>
    <t xml:space="preserve">Beer NLe 50/l retail (upper bound)</t>
  </si>
  <si>
    <t xml:space="preserve">PR-26</t>
  </si>
  <si>
    <t xml:space="preserve">SLE-024</t>
  </si>
  <si>
    <t xml:space="preserve">Not evaluated: outside representative 5% ABV</t>
  </si>
  <si>
    <t xml:space="preserve">SLE-025</t>
  </si>
  <si>
    <t xml:space="preserve">12%</t>
  </si>
  <si>
    <t xml:space="preserve">SLE-026</t>
  </si>
  <si>
    <t xml:space="preserve">Local-content beer, band D2 (70-80% local raw material)</t>
  </si>
  <si>
    <t xml:space="preserve">SLE-027</t>
  </si>
  <si>
    <t xml:space="preserve">SLE-028</t>
  </si>
  <si>
    <t xml:space="preserve">15%</t>
  </si>
  <si>
    <t xml:space="preserve">SLE-029</t>
  </si>
  <si>
    <t xml:space="preserve">Local-content beer, band D3 (60-70% local raw material)</t>
  </si>
  <si>
    <t xml:space="preserve">SLE-030</t>
  </si>
  <si>
    <t xml:space="preserve">SLE-031</t>
  </si>
  <si>
    <t xml:space="preserve">17.5%</t>
  </si>
  <si>
    <t xml:space="preserve">SLE-032</t>
  </si>
  <si>
    <t xml:space="preserve">Local-content beer, band D4 (30-60% local raw material)</t>
  </si>
  <si>
    <t xml:space="preserve">SLE-033</t>
  </si>
  <si>
    <t xml:space="preserve">SLE-034</t>
  </si>
  <si>
    <t xml:space="preserve">20%</t>
  </si>
  <si>
    <t xml:space="preserve">SLE-035</t>
  </si>
  <si>
    <t xml:space="preserve">Traditional / opaque beer: not identified (largely informal)</t>
  </si>
  <si>
    <t xml:space="preserve">WP Level 2: not identified. HS 2206 cider/perry/mead line exists (FA2023, last legible); mapped to A3 in this workbook, see rows below</t>
  </si>
  <si>
    <t xml:space="preserve">SLE-036</t>
  </si>
  <si>
    <t xml:space="preserve">Other fermented beverages: cider, perry, mead (&lt;10% ABV)</t>
  </si>
  <si>
    <t xml:space="preserve">2206</t>
  </si>
  <si>
    <t xml:space="preserve">Finance Act 2023 s.3; replaced by FA2024 s.4(d), rows not legible</t>
  </si>
  <si>
    <t xml:space="preserve">2023-04-01</t>
  </si>
  <si>
    <t xml:space="preserve">US$1.50 / l (FA2023)</t>
  </si>
  <si>
    <t xml:space="preserve">Mapping rule: HS 2206 -&gt; A3 (differs from WP Level 2)</t>
  </si>
  <si>
    <t xml:space="preserve">SLE-037</t>
  </si>
  <si>
    <t xml:space="preserve">Other fermented beverages: cider, perry, mead (10-20% ABV)</t>
  </si>
  <si>
    <t xml:space="preserve">US$2.00 / l (FA2023)</t>
  </si>
  <si>
    <t xml:space="preserve">SLE-038</t>
  </si>
  <si>
    <t xml:space="preserve">Wine (HS 2204, 2205), local</t>
  </si>
  <si>
    <t xml:space="preserve">2204, 2205</t>
  </si>
  <si>
    <t xml:space="preserve">Finance Act 2024 s.4(b)-(c)</t>
  </si>
  <si>
    <t xml:space="preserve">Le 4.2 / l local</t>
  </si>
  <si>
    <t xml:space="preserve">Not evaluated: outside representative 12% ABV; bands above 40% exceed any wine</t>
  </si>
  <si>
    <t xml:space="preserve">SLE-039</t>
  </si>
  <si>
    <t xml:space="preserve">Wine (HS 2204, 2205), imported</t>
  </si>
  <si>
    <t xml:space="preserve">Le 10 / l imported</t>
  </si>
  <si>
    <t xml:space="preserve">SLE-040</t>
  </si>
  <si>
    <t xml:space="preserve">Le 6.3 / l local</t>
  </si>
  <si>
    <t xml:space="preserve">SLE-041</t>
  </si>
  <si>
    <t xml:space="preserve">Le 12 / l imported</t>
  </si>
  <si>
    <t xml:space="preserve">SLE-042</t>
  </si>
  <si>
    <t xml:space="preserve">Le 8.3 / l local</t>
  </si>
  <si>
    <t xml:space="preserve">SLE-043</t>
  </si>
  <si>
    <t xml:space="preserve">Le 14 / l imported</t>
  </si>
  <si>
    <t xml:space="preserve">SLE-044</t>
  </si>
  <si>
    <t xml:space="preserve">Le 10.4 / l local</t>
  </si>
  <si>
    <t xml:space="preserve">SLE-045</t>
  </si>
  <si>
    <t xml:space="preserve">Le 16 / l imported</t>
  </si>
  <si>
    <t xml:space="preserve">SLE-046</t>
  </si>
  <si>
    <t xml:space="preserve">Le 15 / l local</t>
  </si>
  <si>
    <t xml:space="preserve">SLE-047</t>
  </si>
  <si>
    <t xml:space="preserve">Le 22 / l imported</t>
  </si>
  <si>
    <t xml:space="preserve">SLE-048</t>
  </si>
  <si>
    <t xml:space="preserve">Spirits: brandy, whisky, rum, gin, vodka, liqueurs (10-20% ABV)</t>
  </si>
  <si>
    <t xml:space="preserve">2208</t>
  </si>
  <si>
    <t xml:space="preserve">Finance Act 2023 s.3; replaced by FA2024 s.4(e), rows not legible</t>
  </si>
  <si>
    <t xml:space="preserve">ABV band 10-20%: not converted to LPA (representative spirits ABV is 40%)</t>
  </si>
  <si>
    <t xml:space="preserve">SLE-049</t>
  </si>
  <si>
    <t xml:space="preserve">Spirits (&gt;20% ABV)</t>
  </si>
  <si>
    <t xml:space="preserve">US$3.00 / l (FA2023)</t>
  </si>
  <si>
    <t xml:space="preserve">SLE-050</t>
  </si>
  <si>
    <t xml:space="preserve">Ethyl alcohol, extra-neutral (&gt;=95%)</t>
  </si>
  <si>
    <t xml:space="preserve">2207</t>
  </si>
  <si>
    <t xml:space="preserve">Finance Act 2023 s.3; replaced by FA2024 s.4(f), rows not legible</t>
  </si>
  <si>
    <t xml:space="preserve">Industrial/neutral alcohol; mapped to A5</t>
  </si>
  <si>
    <t xml:space="preserve">SLE-051</t>
  </si>
  <si>
    <t xml:space="preserve">Other non-alcoholic beverages incl. bottled waters</t>
  </si>
  <si>
    <t xml:space="preserve">20.09</t>
  </si>
  <si>
    <t xml:space="preserve">Finance Act 2023 s.3(g); replaced by FA2024 s.4(h), rows not legible</t>
  </si>
  <si>
    <t xml:space="preserve">US$0.10 / l (FA2023)</t>
  </si>
  <si>
    <t xml:space="preserve">PR-29, PR-31</t>
  </si>
  <si>
    <t xml:space="preserve">Sugar-graduated, origin-neutral</t>
  </si>
  <si>
    <t xml:space="preserve">SLE-052</t>
  </si>
  <si>
    <t xml:space="preserve">US$0.30 / l (FA2023)</t>
  </si>
  <si>
    <t xml:space="preserve">SLE-053</t>
  </si>
  <si>
    <t xml:space="preserve">US$0.50 / l (FA2023)</t>
  </si>
  <si>
    <t xml:space="preserve">SLE-054</t>
  </si>
  <si>
    <t xml:space="preserve">US$0.00 / l (FA2023)</t>
  </si>
  <si>
    <t xml:space="preserve">Superseded FA2020 20% on imported juice</t>
  </si>
  <si>
    <t xml:space="preserve">SLE-055</t>
  </si>
  <si>
    <t xml:space="preserve">SLE-056</t>
  </si>
  <si>
    <t xml:space="preserve">SLE-057</t>
  </si>
  <si>
    <t xml:space="preserve">SLE-058</t>
  </si>
  <si>
    <t xml:space="preserve">Energy drinks (within other non-alcoholic beverages)</t>
  </si>
  <si>
    <t xml:space="preserve">SLE-059</t>
  </si>
  <si>
    <t xml:space="preserve">SLE-060</t>
  </si>
  <si>
    <t xml:space="preserve">SLE-061</t>
  </si>
  <si>
    <t xml:space="preserve">Bottled or similarly packaged waters (&lt;15 g/l sugar)</t>
  </si>
  <si>
    <t xml:space="preserve">SLE-062</t>
  </si>
  <si>
    <t xml:space="preserve">Gambling, betting and lottery services</t>
  </si>
  <si>
    <t xml:space="preserve">98.01</t>
  </si>
  <si>
    <t xml:space="preserve">Finance Act 2024 s.4(m)</t>
  </si>
  <si>
    <t xml:space="preserve">net wagered (stakes less winnings)</t>
  </si>
  <si>
    <t xml:space="preserve">10% of net wagered</t>
  </si>
  <si>
    <t xml:space="preserve">SLE-063</t>
  </si>
  <si>
    <t xml:space="preserve">Cellular surcharge: on-net voice</t>
  </si>
  <si>
    <t xml:space="preserve">Finance Act 2023 s.13 (cellular surcharge)</t>
  </si>
  <si>
    <t xml:space="preserve">call unit (per minute not stated)</t>
  </si>
  <si>
    <t xml:space="preserve">NLe 0.10</t>
  </si>
  <si>
    <t xml:space="preserve">SLE-064</t>
  </si>
  <si>
    <t xml:space="preserve">Cellular surcharge: off-net voice</t>
  </si>
  <si>
    <t xml:space="preserve">NLe 0.05</t>
  </si>
  <si>
    <t xml:space="preserve">SLE-065</t>
  </si>
  <si>
    <t xml:space="preserve">Cellular surcharge: outgoing international voice</t>
  </si>
  <si>
    <t xml:space="preserve">NLe 2</t>
  </si>
  <si>
    <t xml:space="preserve">SLE-066</t>
  </si>
  <si>
    <t xml:space="preserve">Cellular surcharge: mobile data</t>
  </si>
  <si>
    <t xml:space="preserve">data recharge and bundle sales (maximum)</t>
  </si>
  <si>
    <t xml:space="preserve">Up to 5%</t>
  </si>
  <si>
    <t xml:space="preserve">SLE-067</t>
  </si>
  <si>
    <t xml:space="preserve">Cellular surcharge: mobile-money commissions</t>
  </si>
  <si>
    <t xml:space="preserve">mobile-money commissions</t>
  </si>
  <si>
    <t xml:space="preserve">2% of commissions</t>
  </si>
  <si>
    <t xml:space="preserve">SLE-068</t>
  </si>
  <si>
    <t xml:space="preserve">Cement (Portland, slag, hydraulic)</t>
  </si>
  <si>
    <t xml:space="preserve">25.23</t>
  </si>
  <si>
    <t xml:space="preserve">50 kg bag</t>
  </si>
  <si>
    <t xml:space="preserve">NLe 10 / 50 kg bag</t>
  </si>
  <si>
    <t xml:space="preserve">Excise restored in FA2026 (Citizens' Guide); FA2024 20% was customs duty</t>
  </si>
  <si>
    <t xml:space="preserve">SLE-069</t>
  </si>
  <si>
    <t xml:space="preserve">Vegetable oils, palm olein, margarine</t>
  </si>
  <si>
    <t xml:space="preserve">15.11, 15.17</t>
  </si>
  <si>
    <t xml:space="preserve">Finance Act 2021</t>
  </si>
  <si>
    <t xml:space="preserve">2021-01-01</t>
  </si>
  <si>
    <t xml:space="preserve">value</t>
  </si>
  <si>
    <t xml:space="preserve">10%</t>
  </si>
  <si>
    <t xml:space="preserve">SLE-070</t>
  </si>
  <si>
    <t xml:space="preserve">Sugar: not excisable</t>
  </si>
  <si>
    <t xml:space="preserve">SLE-071</t>
  </si>
  <si>
    <t xml:space="preserve">Soaps (toilet, household, laundry)</t>
  </si>
  <si>
    <t xml:space="preserve">34.01</t>
  </si>
  <si>
    <t xml:space="preserve">SLE-072</t>
  </si>
  <si>
    <t xml:space="preserve">Industrial fatty-acid oils; palmitic and stearic acid</t>
  </si>
  <si>
    <t xml:space="preserve">38.23</t>
  </si>
  <si>
    <t xml:space="preserve">SLE-073</t>
  </si>
  <si>
    <t xml:space="preserve">Nails</t>
  </si>
  <si>
    <t xml:space="preserve">73.17</t>
  </si>
  <si>
    <t xml:space="preserve">SLE-074</t>
  </si>
  <si>
    <t xml:space="preserve">Cosmetics and furniture: not excisable</t>
  </si>
  <si>
    <t xml:space="preserve">UGA-075</t>
  </si>
  <si>
    <t xml:space="preserve">UGA</t>
  </si>
  <si>
    <t xml:space="preserve">Petrol (motor spirit)</t>
  </si>
  <si>
    <t xml:space="preserve">Excise Duty Act 2014, as amended to the 2025 Amendment Acts</t>
  </si>
  <si>
    <t xml:space="preserve">2025-07-01</t>
  </si>
  <si>
    <t xml:space="preserve">UGX</t>
  </si>
  <si>
    <t xml:space="preserve">UGX 1,550 / liter</t>
  </si>
  <si>
    <t xml:space="preserve">Pump price UGX 5,244/l, 20 Apr 2026</t>
  </si>
  <si>
    <t xml:space="preserve">UGA-076</t>
  </si>
  <si>
    <t xml:space="preserve">Diesel (gas oil, automotive)</t>
  </si>
  <si>
    <t xml:space="preserve">UGX 1,230 / liter</t>
  </si>
  <si>
    <t xml:space="preserve">Pump price UGX ~5,100/l (estimate)</t>
  </si>
  <si>
    <t xml:space="preserve">UGA-077</t>
  </si>
  <si>
    <t xml:space="preserve">Diesel for power-grid generation</t>
  </si>
  <si>
    <t xml:space="preserve">Nil</t>
  </si>
  <si>
    <t xml:space="preserve">user: power-grid generation</t>
  </si>
  <si>
    <t xml:space="preserve">UGA-078</t>
  </si>
  <si>
    <t xml:space="preserve">Illuminating kerosene</t>
  </si>
  <si>
    <t xml:space="preserve">UGX 200 / liter</t>
  </si>
  <si>
    <t xml:space="preserve">Kerosene above UGX 4,000/l (estimate; share is an upper bound)</t>
  </si>
  <si>
    <t xml:space="preserve">UGA-079</t>
  </si>
  <si>
    <t xml:space="preserve">Jet A1 / aviation fuel</t>
  </si>
  <si>
    <t xml:space="preserve">UGX 630 / liter</t>
  </si>
  <si>
    <t xml:space="preserve">UGA-080</t>
  </si>
  <si>
    <t xml:space="preserve">Jet A1: registered airlines and supply contracts</t>
  </si>
  <si>
    <t xml:space="preserve">user: registered airlines</t>
  </si>
  <si>
    <t xml:space="preserve">UGA-081</t>
  </si>
  <si>
    <t xml:space="preserve">Other gas oils</t>
  </si>
  <si>
    <t xml:space="preserve">UGA-082</t>
  </si>
  <si>
    <t xml:space="preserve">Lubricants (motor vehicle, not aircraft)</t>
  </si>
  <si>
    <t xml:space="preserve">user: motor vehicles (not aircraft)</t>
  </si>
  <si>
    <t xml:space="preserve">UGA-083</t>
  </si>
  <si>
    <t xml:space="preserve">Plastics / plastic granules</t>
  </si>
  <si>
    <t xml:space="preserve">UGA-granules</t>
  </si>
  <si>
    <t xml:space="preserve">higher_of</t>
  </si>
  <si>
    <t xml:space="preserve">2.5% or USD 70 / tonne</t>
  </si>
  <si>
    <t xml:space="preserve">UGA-084</t>
  </si>
  <si>
    <t xml:space="preserve">tonne</t>
  </si>
  <si>
    <t xml:space="preserve">Converted to per kg</t>
  </si>
  <si>
    <t xml:space="preserve">UGA-085</t>
  </si>
  <si>
    <t xml:space="preserve">Plastic bags / polyethylene sacks</t>
  </si>
  <si>
    <t xml:space="preserve">UGX 10,000 / kg</t>
  </si>
  <si>
    <t xml:space="preserve">Sanitary-pad and food/juice packaging exempt</t>
  </si>
  <si>
    <t xml:space="preserve">UGA-086</t>
  </si>
  <si>
    <t xml:space="preserve">Annual circulation: not in excise schedule</t>
  </si>
  <si>
    <t xml:space="preserve">UGA-087</t>
  </si>
  <si>
    <t xml:space="preserve">Motorcycles, first registration</t>
  </si>
  <si>
    <t xml:space="preserve">vehicle</t>
  </si>
  <si>
    <t xml:space="preserve">UGX 200,000</t>
  </si>
  <si>
    <t xml:space="preserve">UGA-088</t>
  </si>
  <si>
    <t xml:space="preserve">Cigarettes: soft cap, locally manufactured</t>
  </si>
  <si>
    <t xml:space="preserve">1,000 sticks</t>
  </si>
  <si>
    <t xml:space="preserve">UGX 65,000 / 1,000 sticks</t>
  </si>
  <si>
    <t xml:space="preserve">pack type: soft cap</t>
  </si>
  <si>
    <t xml:space="preserve">Pack price UGX 4,300 (market estimate), expressed per 1,000 sticks</t>
  </si>
  <si>
    <t xml:space="preserve">UGA-089</t>
  </si>
  <si>
    <t xml:space="preserve">Cigarettes: soft cap, imported</t>
  </si>
  <si>
    <t xml:space="preserve">UGX 150,000 / 1,000 sticks</t>
  </si>
  <si>
    <t xml:space="preserve">Pack price UGX 6,000 (market estimate), expressed per 1,000 sticks</t>
  </si>
  <si>
    <t xml:space="preserve">UGA-090</t>
  </si>
  <si>
    <t xml:space="preserve">Cigarettes: hinge lid, locally manufactured</t>
  </si>
  <si>
    <t xml:space="preserve">UGX 90,000 / 1,000 sticks</t>
  </si>
  <si>
    <t xml:space="preserve">pack type: hinge lid</t>
  </si>
  <si>
    <t xml:space="preserve">UGA-091</t>
  </si>
  <si>
    <t xml:space="preserve">Cigarettes: hinge lid, imported</t>
  </si>
  <si>
    <t xml:space="preserve">UGX 200,000 / 1,000 sticks</t>
  </si>
  <si>
    <t xml:space="preserve">UGA-092</t>
  </si>
  <si>
    <t xml:space="preserve">Cigars, cheroots, smoking and homogenized tobacco</t>
  </si>
  <si>
    <t xml:space="preserve">200%</t>
  </si>
  <si>
    <t xml:space="preserve">UGA-093</t>
  </si>
  <si>
    <t xml:space="preserve">E-cigarettes: not identified</t>
  </si>
  <si>
    <t xml:space="preserve">UGA-094</t>
  </si>
  <si>
    <t xml:space="preserve">Malt beer</t>
  </si>
  <si>
    <t xml:space="preserve">UGA-maltbeer</t>
  </si>
  <si>
    <t xml:space="preserve">value (ex-factory or CIF basis)</t>
  </si>
  <si>
    <t xml:space="preserve">60% or UGX 2,050 / liter</t>
  </si>
  <si>
    <t xml:space="preserve">UGA-095</t>
  </si>
  <si>
    <t xml:space="preserve">Beer UGX ~3,500 per 500 ml (estimate)</t>
  </si>
  <si>
    <t xml:space="preserve">UGA-096</t>
  </si>
  <si>
    <t xml:space="preserve">Beer, &gt;=75% local raw material</t>
  </si>
  <si>
    <t xml:space="preserve">UGA-beer75</t>
  </si>
  <si>
    <t xml:space="preserve">30% or UGX 900 / liter</t>
  </si>
  <si>
    <t xml:space="preserve">UGA-097</t>
  </si>
  <si>
    <t xml:space="preserve">UGA-098</t>
  </si>
  <si>
    <t xml:space="preserve">Beer, Ugandan-grown and malted barley</t>
  </si>
  <si>
    <t xml:space="preserve">UGA-beerbarley</t>
  </si>
  <si>
    <t xml:space="preserve">30% or UGX 950 / liter</t>
  </si>
  <si>
    <t xml:space="preserve">raw material: Ugandan-grown malted barley</t>
  </si>
  <si>
    <t xml:space="preserve">UGA-099</t>
  </si>
  <si>
    <t xml:space="preserve">UGA-100</t>
  </si>
  <si>
    <t xml:space="preserve">Opaque beer</t>
  </si>
  <si>
    <t xml:space="preserve">UGA-opaque</t>
  </si>
  <si>
    <t xml:space="preserve">12% or UGX 150 / liter</t>
  </si>
  <si>
    <t xml:space="preserve">UGA-101</t>
  </si>
  <si>
    <t xml:space="preserve">UGA-102</t>
  </si>
  <si>
    <t xml:space="preserve">Other locally produced alcoholic beverages</t>
  </si>
  <si>
    <t xml:space="preserve">UGA-otherlocal</t>
  </si>
  <si>
    <t xml:space="preserve">Strength not stated; not converted to LPA</t>
  </si>
  <si>
    <t xml:space="preserve">UGA-103</t>
  </si>
  <si>
    <t xml:space="preserve">UGA-104</t>
  </si>
  <si>
    <t xml:space="preserve">Other fermented beverages (cider, perry, mead), imported</t>
  </si>
  <si>
    <t xml:space="preserve">UGA-fermimp</t>
  </si>
  <si>
    <t xml:space="preserve">60% or UGX 950 / liter</t>
  </si>
  <si>
    <t xml:space="preserve">Mapping rule: HS 2206 -&gt; A3 (not shown in WP Level 2)</t>
  </si>
  <si>
    <t xml:space="preserve">UGA-105</t>
  </si>
  <si>
    <t xml:space="preserve">UGA-106</t>
  </si>
  <si>
    <t xml:space="preserve">Other fermented beverages (cider, perry, mead), local</t>
  </si>
  <si>
    <t xml:space="preserve">UGA-fermloc</t>
  </si>
  <si>
    <t xml:space="preserve">30% or UGX 550 / liter</t>
  </si>
  <si>
    <t xml:space="preserve">UGA-107</t>
  </si>
  <si>
    <t xml:space="preserve">UGA-108</t>
  </si>
  <si>
    <t xml:space="preserve">Wine, local raw materials</t>
  </si>
  <si>
    <t xml:space="preserve">UGA-wineloc</t>
  </si>
  <si>
    <t xml:space="preserve">20% or UGX 2,000 / liter</t>
  </si>
  <si>
    <t xml:space="preserve">UGA-109</t>
  </si>
  <si>
    <t xml:space="preserve">UGA-110</t>
  </si>
  <si>
    <t xml:space="preserve">Other wine</t>
  </si>
  <si>
    <t xml:space="preserve">UGA-wineoth</t>
  </si>
  <si>
    <t xml:space="preserve">80% or UGX 8,000 / liter</t>
  </si>
  <si>
    <t xml:space="preserve">UGA-111</t>
  </si>
  <si>
    <t xml:space="preserve">UGA-112</t>
  </si>
  <si>
    <t xml:space="preserve">Un-denatured spirits, local raw materials</t>
  </si>
  <si>
    <t xml:space="preserve">UGA-spirloc</t>
  </si>
  <si>
    <t xml:space="preserve">60% or UGX 1,500 / liter</t>
  </si>
  <si>
    <t xml:space="preserve">UGA-113</t>
  </si>
  <si>
    <t xml:space="preserve">UGA-114</t>
  </si>
  <si>
    <t xml:space="preserve">Un-denatured spirits, imported raw materials</t>
  </si>
  <si>
    <t xml:space="preserve">UGA-spirimp</t>
  </si>
  <si>
    <t xml:space="preserve">100% or UGX 2,500 / liter</t>
  </si>
  <si>
    <t xml:space="preserve">UGA-115</t>
  </si>
  <si>
    <t xml:space="preserve">UGA-116</t>
  </si>
  <si>
    <t xml:space="preserve">Ready-to-drink spirits</t>
  </si>
  <si>
    <t xml:space="preserve">UGA-rtd</t>
  </si>
  <si>
    <t xml:space="preserve">80% or UGX 1,700 / liter</t>
  </si>
  <si>
    <t xml:space="preserve">RTD strength not stated; not converted to LPA</t>
  </si>
  <si>
    <t xml:space="preserve">UGA-117</t>
  </si>
  <si>
    <t xml:space="preserve">UGA-118</t>
  </si>
  <si>
    <t xml:space="preserve">Non-alcoholic beverages (excl. juice)</t>
  </si>
  <si>
    <t xml:space="preserve">UGA-nab</t>
  </si>
  <si>
    <t xml:space="preserve">12% or UGX 250 / liter</t>
  </si>
  <si>
    <t xml:space="preserve">UGA-119</t>
  </si>
  <si>
    <t xml:space="preserve">Soft drink UGX ~2,000 per 500 ml (estimate)</t>
  </si>
  <si>
    <t xml:space="preserve">UGA-120</t>
  </si>
  <si>
    <t xml:space="preserve">UGA-juice</t>
  </si>
  <si>
    <t xml:space="preserve">Concession for &gt;=30% Ugandan pulp (rate not stated)</t>
  </si>
  <si>
    <t xml:space="preserve">UGA-121</t>
  </si>
  <si>
    <t xml:space="preserve">UGA-122</t>
  </si>
  <si>
    <t xml:space="preserve">Powder for reconstitution into juice</t>
  </si>
  <si>
    <t xml:space="preserve">UGA-123</t>
  </si>
  <si>
    <t xml:space="preserve">Energy drinks (within non-alcoholic beverages)</t>
  </si>
  <si>
    <t xml:space="preserve">UGA-energy</t>
  </si>
  <si>
    <t xml:space="preserve">UGA-124</t>
  </si>
  <si>
    <t xml:space="preserve">UGA-125</t>
  </si>
  <si>
    <t xml:space="preserve">Mineral, bottled or processed water</t>
  </si>
  <si>
    <t xml:space="preserve">unspecified</t>
  </si>
  <si>
    <t xml:space="preserve">Fixed plus ad valorem (amounts not stated)</t>
  </si>
  <si>
    <t xml:space="preserve">Restructured in FA2024; rates not in WP</t>
  </si>
  <si>
    <t xml:space="preserve">UGA-126</t>
  </si>
  <si>
    <t xml:space="preserve">Gambling: not in excise schedule</t>
  </si>
  <si>
    <t xml:space="preserve">UGA-127</t>
  </si>
  <si>
    <t xml:space="preserve">Airtime (mobile, landline, payphone)</t>
  </si>
  <si>
    <t xml:space="preserve">fee</t>
  </si>
  <si>
    <t xml:space="preserve">UGA-128</t>
  </si>
  <si>
    <t xml:space="preserve">Incoming international calls</t>
  </si>
  <si>
    <t xml:space="preserve">minute</t>
  </si>
  <si>
    <t xml:space="preserve">USD 0.09 / minute</t>
  </si>
  <si>
    <t xml:space="preserve">excludes Kenya, Rwanda, South Sudan, Tanzania, Burundi</t>
  </si>
  <si>
    <t xml:space="preserve">UGA-129</t>
  </si>
  <si>
    <t xml:space="preserve">Internet data</t>
  </si>
  <si>
    <t xml:space="preserve">medical and education data exempt</t>
  </si>
  <si>
    <t xml:space="preserve">UGA-130</t>
  </si>
  <si>
    <t xml:space="preserve">Value-added services (SMS, MMS)</t>
  </si>
  <si>
    <t xml:space="preserve">excludes peer-to-peer SMS and mobile money</t>
  </si>
  <si>
    <t xml:space="preserve">UGA-131</t>
  </si>
  <si>
    <t xml:space="preserve">Mobile-money cash withdrawals</t>
  </si>
  <si>
    <t xml:space="preserve">value withdrawn</t>
  </si>
  <si>
    <t xml:space="preserve">0.5% of value</t>
  </si>
  <si>
    <t xml:space="preserve">UGA-132</t>
  </si>
  <si>
    <t xml:space="preserve">Payment services (agent banking, fintech)</t>
  </si>
  <si>
    <t xml:space="preserve">0.5%</t>
  </si>
  <si>
    <t xml:space="preserve">UGA-133</t>
  </si>
  <si>
    <t xml:space="preserve">Bank ledger, ATM and transaction fees</t>
  </si>
  <si>
    <t xml:space="preserve">15% of fee</t>
  </si>
  <si>
    <t xml:space="preserve">excludes loan-related charges</t>
  </si>
  <si>
    <t xml:space="preserve">UGA-134</t>
  </si>
  <si>
    <t xml:space="preserve">UGX 500 / 50 kg bag</t>
  </si>
  <si>
    <t xml:space="preserve">UGA-135</t>
  </si>
  <si>
    <t xml:space="preserve">Cooking oil</t>
  </si>
  <si>
    <t xml:space="preserve">UGA-136</t>
  </si>
  <si>
    <t xml:space="preserve">Sugar (cane or beet, solid)</t>
  </si>
  <si>
    <t xml:space="preserve">UGX 100 / kg</t>
  </si>
  <si>
    <t xml:space="preserve">UGA-137</t>
  </si>
  <si>
    <t xml:space="preserve">Sugar for industrial use</t>
  </si>
  <si>
    <t xml:space="preserve">user: industrial</t>
  </si>
  <si>
    <t xml:space="preserve">UGA-138</t>
  </si>
  <si>
    <t xml:space="preserve">Other industrial inputs: not excisable</t>
  </si>
  <si>
    <t xml:space="preserve">UGA-139</t>
  </si>
  <si>
    <t xml:space="preserve">Cosmetics and perfumes</t>
  </si>
  <si>
    <t xml:space="preserve">albinism skin treatments exempt</t>
  </si>
  <si>
    <t xml:space="preserve">UGA-140</t>
  </si>
  <si>
    <t xml:space="preserve">Other furniture</t>
  </si>
  <si>
    <t xml:space="preserve">local materials and hospital furniture: nil</t>
  </si>
  <si>
    <t xml:space="preserve">LBR-141</t>
  </si>
  <si>
    <t xml:space="preserve">LBR</t>
  </si>
  <si>
    <t xml:space="preserve">Road Fund fuel levy (outside Revenue Code)</t>
  </si>
  <si>
    <t xml:space="preserve">National Road Fund Act 2016</t>
  </si>
  <si>
    <t xml:space="preserve">2016-12-12</t>
  </si>
  <si>
    <t xml:space="preserve">LBR-fuel-E1</t>
  </si>
  <si>
    <t xml:space="preserve">gallon</t>
  </si>
  <si>
    <t xml:space="preserve">US$0.25 per gallon (2018/19 budget: US$0.30)</t>
  </si>
  <si>
    <t xml:space="preserve">Pump ceiling 18 Jun 2026: PMS US$4.94/gal; AGO US$6.25/gal</t>
  </si>
  <si>
    <t xml:space="preserve">PR-23</t>
  </si>
  <si>
    <t xml:space="preserve">Applies per gallon of fuel; product scope not confirmed</t>
  </si>
  <si>
    <t xml:space="preserve">LBR-142</t>
  </si>
  <si>
    <t xml:space="preserve">LPRC levy: social programs</t>
  </si>
  <si>
    <t xml:space="preserve">Executive directive via LPRC price structure</t>
  </si>
  <si>
    <t xml:space="preserve">2025-09</t>
  </si>
  <si>
    <t xml:space="preserve">US$0.02 per gallon</t>
  </si>
  <si>
    <t xml:space="preserve">Pump ceiling 18 Jun 2026</t>
  </si>
  <si>
    <t xml:space="preserve">LBR-143</t>
  </si>
  <si>
    <t xml:space="preserve">LPRC levy: county equipment</t>
  </si>
  <si>
    <t xml:space="preserve">US$0.09 per gallon</t>
  </si>
  <si>
    <t xml:space="preserve">LBR-144</t>
  </si>
  <si>
    <t xml:space="preserve">LBR-fuel-E2</t>
  </si>
  <si>
    <t xml:space="preserve">LBR-145</t>
  </si>
  <si>
    <t xml:space="preserve">LBR-146</t>
  </si>
  <si>
    <t xml:space="preserve">LBR-147</t>
  </si>
  <si>
    <t xml:space="preserve">Kerosene: not identified (fuel outside excise law; levy scope unconfirmed)</t>
  </si>
  <si>
    <t xml:space="preserve">LBR-148</t>
  </si>
  <si>
    <t xml:space="preserve">Aviation fuel: exempt from excise (s.1107(a))</t>
  </si>
  <si>
    <t xml:space="preserve">LBR-149</t>
  </si>
  <si>
    <t xml:space="preserve">Heavy fuel oil: not identified (levy scope unconfirmed)</t>
  </si>
  <si>
    <t xml:space="preserve">LBR-150</t>
  </si>
  <si>
    <t xml:space="preserve">Lubricants: not excisable (not in s.1106)</t>
  </si>
  <si>
    <t xml:space="preserve">LBR-151</t>
  </si>
  <si>
    <t xml:space="preserve">Plastics: not excisable (not in s.1106)</t>
  </si>
  <si>
    <t xml:space="preserve">LBR-152</t>
  </si>
  <si>
    <t xml:space="preserve">Vehicle registration charge: compact car (A1)</t>
  </si>
  <si>
    <t xml:space="preserve">Liberia Traffic Management price list (undated)</t>
  </si>
  <si>
    <t xml:space="preserve">Base US$75</t>
  </si>
  <si>
    <t xml:space="preserve">vehicle class: compact car (A1)</t>
  </si>
  <si>
    <t xml:space="preserve">Plus NFR charges US$3-12; annual renewal not confirmed</t>
  </si>
  <si>
    <t xml:space="preserve">LBR-153</t>
  </si>
  <si>
    <t xml:space="preserve">Vehicle registration charge: small/mid sedan (A2)</t>
  </si>
  <si>
    <t xml:space="preserve">Base US$100</t>
  </si>
  <si>
    <t xml:space="preserve">vehicle class: small/mid sedan (A2)</t>
  </si>
  <si>
    <t xml:space="preserve">LBR-154</t>
  </si>
  <si>
    <t xml:space="preserve">Vehicle registration charge: large SUV/pickup (A6)</t>
  </si>
  <si>
    <t xml:space="preserve">Base US$200</t>
  </si>
  <si>
    <t xml:space="preserve">vehicle class: large SUV/pickup (A6)</t>
  </si>
  <si>
    <t xml:space="preserve">LBR-155</t>
  </si>
  <si>
    <t xml:space="preserve">Vehicle registration charge: heavy truck &gt;8 t (H)</t>
  </si>
  <si>
    <t xml:space="preserve">Base US$500</t>
  </si>
  <si>
    <t xml:space="preserve">vehicle class: heavy truck &gt;8 t (H)</t>
  </si>
  <si>
    <t xml:space="preserve">LBR-156</t>
  </si>
  <si>
    <t xml:space="preserve">Vehicle registration charge: motorcycle &lt;250cc (M1)</t>
  </si>
  <si>
    <t xml:space="preserve">Base US$50</t>
  </si>
  <si>
    <t xml:space="preserve">vehicle class: motorcycle &lt;250cc (M1)</t>
  </si>
  <si>
    <t xml:space="preserve">Plus additional charge US$25</t>
  </si>
  <si>
    <t xml:space="preserve">LBR-157</t>
  </si>
  <si>
    <t xml:space="preserve">Luxury vehicles and vessels, new cars</t>
  </si>
  <si>
    <t xml:space="preserve">8703</t>
  </si>
  <si>
    <t xml:space="preserve">Revenue Code as amended (2020), Sch. 1</t>
  </si>
  <si>
    <t xml:space="preserve">2019-01-08</t>
  </si>
  <si>
    <t xml:space="preserve">CIF + duties (imports); ex-factory or normal selling price (local)</t>
  </si>
  <si>
    <t xml:space="preserve">CIF &gt;= US$60,000</t>
  </si>
  <si>
    <t xml:space="preserve">Partial coverage: luxury only</t>
  </si>
  <si>
    <t xml:space="preserve">LBR-158</t>
  </si>
  <si>
    <t xml:space="preserve">Luxury vehicles and vessels, used cars</t>
  </si>
  <si>
    <t xml:space="preserve">CIF &gt;= US$30,000</t>
  </si>
  <si>
    <t xml:space="preserve">LBR-159</t>
  </si>
  <si>
    <t xml:space="preserve">Cigarettes, of tobacco or tobacco substitutes</t>
  </si>
  <si>
    <t xml:space="preserve">2402</t>
  </si>
  <si>
    <t xml:space="preserve">Tax Amendment Act of December 2025, Sch. 1 ('Proposed' column)</t>
  </si>
  <si>
    <t xml:space="preserve">2026-04-01</t>
  </si>
  <si>
    <t xml:space="preserve">Most sold brand US$1.84 (LRD 280), 2022, WHO</t>
  </si>
  <si>
    <t xml:space="preserve">LBR-160</t>
  </si>
  <si>
    <t xml:space="preserve">LBR-161</t>
  </si>
  <si>
    <t xml:space="preserve">Others of heading 2402</t>
  </si>
  <si>
    <t xml:space="preserve">stick</t>
  </si>
  <si>
    <t xml:space="preserve">$0.25 / stick</t>
  </si>
  <si>
    <t xml:space="preserve">Converted to per pack of 20</t>
  </si>
  <si>
    <t xml:space="preserve">LBR-162</t>
  </si>
  <si>
    <t xml:space="preserve">Unmanufactured tobacco, refuse, leaf</t>
  </si>
  <si>
    <t xml:space="preserve">2401</t>
  </si>
  <si>
    <t xml:space="preserve">$25.00 / Kg</t>
  </si>
  <si>
    <t xml:space="preserve">LBR-163</t>
  </si>
  <si>
    <t xml:space="preserve">Other manufactured tobacco (incl. shisha)</t>
  </si>
  <si>
    <t xml:space="preserve">2403</t>
  </si>
  <si>
    <t xml:space="preserve">LBR-164</t>
  </si>
  <si>
    <t xml:space="preserve">Smoking pipes, holders (hookah utensils)</t>
  </si>
  <si>
    <t xml:space="preserve">9614</t>
  </si>
  <si>
    <t xml:space="preserve">CIF + duties / ex-factory</t>
  </si>
  <si>
    <t xml:space="preserve">50%</t>
  </si>
  <si>
    <t xml:space="preserve">PR-10</t>
  </si>
  <si>
    <t xml:space="preserve">LBR-165</t>
  </si>
  <si>
    <t xml:space="preserve">E-cigarettes presented with vaping liquid</t>
  </si>
  <si>
    <t xml:space="preserve">8543.40.10</t>
  </si>
  <si>
    <t xml:space="preserve">$0.10 / mL</t>
  </si>
  <si>
    <t xml:space="preserve">LBR-166</t>
  </si>
  <si>
    <t xml:space="preserve">Heated tobacco and other nicotine products</t>
  </si>
  <si>
    <t xml:space="preserve">2404</t>
  </si>
  <si>
    <t xml:space="preserve">$15.00 / Kg</t>
  </si>
  <si>
    <t xml:space="preserve">Per kg: no conversion to the T3 unit (per ml / per cartridge)</t>
  </si>
  <si>
    <t xml:space="preserve">LBR-167</t>
  </si>
  <si>
    <t xml:space="preserve">Beer made from malt (imported = local)</t>
  </si>
  <si>
    <t xml:space="preserve">WHO 2024: US$0.90 per 330 ml, local brand, pre-reform</t>
  </si>
  <si>
    <t xml:space="preserve">LBR-168</t>
  </si>
  <si>
    <t xml:space="preserve">Beer made from malt, local (no concession)</t>
  </si>
  <si>
    <t xml:space="preserve">Same rate as imported since April 2026</t>
  </si>
  <si>
    <t xml:space="preserve">LBR-169</t>
  </si>
  <si>
    <t xml:space="preserve">Other fermented beverages (cider, perry, mead, sake...)</t>
  </si>
  <si>
    <t xml:space="preserve">Mapping rule: HS 2206 -&gt; A3</t>
  </si>
  <si>
    <t xml:space="preserve">LBR-170</t>
  </si>
  <si>
    <t xml:space="preserve">Wine of fresh grapes</t>
  </si>
  <si>
    <t xml:space="preserve">2204</t>
  </si>
  <si>
    <t xml:space="preserve">LBR-171</t>
  </si>
  <si>
    <t xml:space="preserve">Vermouth and other flavored wine</t>
  </si>
  <si>
    <t xml:space="preserve">2205</t>
  </si>
  <si>
    <t xml:space="preserve">LBR-172</t>
  </si>
  <si>
    <t xml:space="preserve">Undenatured ethyl alcohol &lt;80%; spirits, liqueurs</t>
  </si>
  <si>
    <t xml:space="preserve">WHO 2024: US$3.08 per 750 ml, local brand, pre-reform</t>
  </si>
  <si>
    <t xml:space="preserve">LBR-173</t>
  </si>
  <si>
    <t xml:space="preserve">Sweetened or flavored waters and other non-alcoholic beverages</t>
  </si>
  <si>
    <t xml:space="preserve">2202</t>
  </si>
  <si>
    <t xml:space="preserve">WHO 2024: US$0.34 per 330 ml, pre-reform</t>
  </si>
  <si>
    <t xml:space="preserve">PR-11, PR-01</t>
  </si>
  <si>
    <t xml:space="preserve">Flat; no sugar link</t>
  </si>
  <si>
    <t xml:space="preserve">LBR-174</t>
  </si>
  <si>
    <t xml:space="preserve">Juices, unfermented</t>
  </si>
  <si>
    <t xml:space="preserve">2009</t>
  </si>
  <si>
    <t xml:space="preserve">LBR-175</t>
  </si>
  <si>
    <t xml:space="preserve">Energy drinks (within HS 2202)</t>
  </si>
  <si>
    <t xml:space="preserve">LBR-176</t>
  </si>
  <si>
    <t xml:space="preserve">Waters without added sugar, imported</t>
  </si>
  <si>
    <t xml:space="preserve">2201</t>
  </si>
  <si>
    <t xml:space="preserve">$0.15 / L</t>
  </si>
  <si>
    <t xml:space="preserve">s.1106(a) excludes HS 2201 from excisable goods</t>
  </si>
  <si>
    <t xml:space="preserve">LBR-177</t>
  </si>
  <si>
    <t xml:space="preserve">Waters without added sugar, local</t>
  </si>
  <si>
    <t xml:space="preserve">NIL</t>
  </si>
  <si>
    <t xml:space="preserve">LBR-178</t>
  </si>
  <si>
    <t xml:space="preserve">Gaming equipment incl. video game consoles, casino tables</t>
  </si>
  <si>
    <t xml:space="preserve">9504</t>
  </si>
  <si>
    <t xml:space="preserve">Partial: equipment only; no excise on stakes or gross gaming revenue</t>
  </si>
  <si>
    <t xml:space="preserve">LBR-179</t>
  </si>
  <si>
    <t xml:space="preserve">Telecom surtax on services tax: voice and airtime</t>
  </si>
  <si>
    <t xml:space="preserve">Tax Amendment Act of December 2025, s.1021(b)(2)</t>
  </si>
  <si>
    <t xml:space="preserve">fee (additional to 13% services tax)</t>
  </si>
  <si>
    <t xml:space="preserve">13% + 'an additional 5 percent surtax' (LRA notice: 15% total)</t>
  </si>
  <si>
    <t xml:space="preserve">LBR-180</t>
  </si>
  <si>
    <t xml:space="preserve">Telecom surtax on services tax: data and value-added services</t>
  </si>
  <si>
    <t xml:space="preserve">LBR-181</t>
  </si>
  <si>
    <t xml:space="preserve">Mobile money: not excisable; no levy found</t>
  </si>
  <si>
    <t xml:space="preserve">LBR-182</t>
  </si>
  <si>
    <t xml:space="preserve">Cement: not excisable</t>
  </si>
  <si>
    <t xml:space="preserve">LBR-183</t>
  </si>
  <si>
    <t xml:space="preserve">Edible oils: not excisable</t>
  </si>
  <si>
    <t xml:space="preserve">LBR-184</t>
  </si>
  <si>
    <t xml:space="preserve">Cane or beet sugar</t>
  </si>
  <si>
    <t xml:space="preserve">1701.99.10.00; 1701.99.90.00</t>
  </si>
  <si>
    <t xml:space="preserve">LBR-185</t>
  </si>
  <si>
    <t xml:space="preserve">LBR-186</t>
  </si>
  <si>
    <t xml:space="preserve">Cosmetics and cosmetic aids</t>
  </si>
  <si>
    <t xml:space="preserve">33</t>
  </si>
  <si>
    <t xml:space="preserve">LBR-187</t>
  </si>
  <si>
    <t xml:space="preserve">Jewelry, goldsmiths' and silversmiths' wares</t>
  </si>
  <si>
    <t xml:space="preserve">7113-7118</t>
  </si>
  <si>
    <t xml:space="preserve">Parameters used by the code-readable schedule</t>
  </si>
  <si>
    <t xml:space="preserve">Blue = input. Change an exchange rate here and every USD column in Std_Schedule_Code updates.</t>
  </si>
  <si>
    <t xml:space="preserve">ISO3</t>
  </si>
  <si>
    <t xml:space="preserve">Country</t>
  </si>
  <si>
    <t xml:space="preserve">Local currency</t>
  </si>
  <si>
    <t xml:space="preserve">FX status</t>
  </si>
  <si>
    <t xml:space="preserve">FX source</t>
  </si>
  <si>
    <t xml:space="preserve">Nominal GDP (USD bn)</t>
  </si>
  <si>
    <t xml:space="preserve">GDP source</t>
  </si>
  <si>
    <t xml:space="preserve">Diagnostic version</t>
  </si>
  <si>
    <t xml:space="preserve">Working rate (WP v0.8, PR-40). MoF uses NLe 22.665 (2024) and 23 (2025): USD values may be ~4% high</t>
  </si>
  <si>
    <t xml:space="preserve">Working 2026 figure (WP v0.8, PR-41); MoF 2025 prel. ~USD 7.2bn</t>
  </si>
  <si>
    <t xml:space="preserve">Excise Diagnostic working paper v0.8 (Sept 2026)</t>
  </si>
  <si>
    <t xml:space="preserve">Working mid-rate (WP v0.8, Table 13)</t>
  </si>
  <si>
    <t xml:space="preserve">WP v0.8 estimate (World Bank 2024: USD 53.65bn)</t>
  </si>
  <si>
    <t xml:space="preserve">Excise Diagnostic working paper v0.8, Annex A (not peer reviewed)</t>
  </si>
  <si>
    <t xml:space="preserve">LRD</t>
  </si>
  <si>
    <t xml:space="preserve">CBL mid-rate, 28 Sep 2026 (buying 170.5521, selling 172.6319). Excise rates are printed in US$</t>
  </si>
  <si>
    <t xml:space="preserve">World Bank WDI 2025 (GDP compiled in US$)</t>
  </si>
  <si>
    <t xml:space="preserve">Liberia Excise Diagnostic v0.3 (29 Sep 2026)</t>
  </si>
  <si>
    <t xml:space="preserve">Conversions</t>
  </si>
  <si>
    <t xml:space="preserve">Beer, representative ABV</t>
  </si>
  <si>
    <t xml:space="preserve">Opaque / traditional beer, ABV</t>
  </si>
  <si>
    <t xml:space="preserve">Wine, ABV</t>
  </si>
  <si>
    <t xml:space="preserve">Spirits, ABV</t>
  </si>
  <si>
    <t xml:space="preserve">Cigarettes: per 1,000 sticks to per pack of 20</t>
  </si>
  <si>
    <t xml:space="preserve">Liters per US gallon</t>
  </si>
  <si>
    <t xml:space="preserve">Data quality (DQ) scale</t>
  </si>
  <si>
    <t xml:space="preserve">DQ reflects the level of peer review (stage A5). Scores feed every DQ column by formula.</t>
  </si>
  <si>
    <t xml:space="preserve">Review status (code)</t>
  </si>
  <si>
    <t xml:space="preserve">DQ score</t>
  </si>
  <si>
    <t xml:space="preserve">Meaning</t>
  </si>
  <si>
    <t xml:space="preserve">Checked against the primary legal text or official data, with a quote on file.</t>
  </si>
  <si>
    <t xml:space="preserve">Primary text checked and matches; an interpretation point is still open (e.g. Liberia's 'Proposed' column read as in force).</t>
  </si>
  <si>
    <t xml:space="preserve">Error or omission found in peer review; corrected and now matches the source.</t>
  </si>
  <si>
    <t xml:space="preserve">Confirmed only in an official secondary source (budget speech, revenue authority notice, IMF report), or only part of the claim checked.</t>
  </si>
  <si>
    <t xml:space="preserve">Looked for in peer review but no accessible source confirmed it; or press / unofficial source only.</t>
  </si>
  <si>
    <t xml:space="preserve">Extracted from the legal texts but not yet peer reviewed (all Uganda lines in WP v0.8).</t>
  </si>
  <si>
    <t xml:space="preserve">Derived from published inputs with estimated volumes, prices or mixed years.</t>
  </si>
  <si>
    <t xml:space="preserve">Current rate not legible in the published law; last legible (superseded) rate shown.</t>
  </si>
  <si>
    <t xml:space="preserve">Rests on an unsourced assumption, or an indicative figure.</t>
  </si>
  <si>
    <t xml:space="preserve">No data; not estimated.</t>
  </si>
  <si>
    <t xml:space="preserve">Score</t>
  </si>
  <si>
    <t xml:space="preserve">Label</t>
  </si>
  <si>
    <t xml:space="preserve">Reading</t>
  </si>
  <si>
    <t xml:space="preserve">High</t>
  </si>
  <si>
    <t xml:space="preserve">Can be cited as law or official data.</t>
  </si>
  <si>
    <t xml:space="preserve">Good</t>
  </si>
  <si>
    <t xml:space="preserve">Usable; one caveat to state.</t>
  </si>
  <si>
    <t xml:space="preserve">Moderate</t>
  </si>
  <si>
    <t xml:space="preserve">Usable with a source caveat; confirm before citing as law.</t>
  </si>
  <si>
    <t xml:space="preserve">Low</t>
  </si>
  <si>
    <t xml:space="preserve">Indicative only; needs peer review or a better source.</t>
  </si>
  <si>
    <t xml:space="preserve">Very low</t>
  </si>
  <si>
    <t xml:space="preserve">Placeholder; do not use for policy conclusions.</t>
  </si>
  <si>
    <t xml:space="preserve">Rules for derived figures</t>
  </si>
  <si>
    <t xml:space="preserve">A derived metric takes the lowest DQ of its inputs. Implied revenue from estimated or prevalence-based volumes is capped at 2 ('estimate'); indicative figures are 1 ('assumption'). On the standardized schedule, a line's DQ is the lowest DQ among the national lines mapped to it.</t>
  </si>
  <si>
    <t xml:space="preserve">Sources and versions</t>
  </si>
  <si>
    <t xml:space="preserve">Document</t>
  </si>
  <si>
    <t xml:space="preserve">Version / date</t>
  </si>
  <si>
    <t xml:space="preserve">Legal cut-off</t>
  </si>
  <si>
    <t xml:space="preserve">Peer-review status</t>
  </si>
  <si>
    <t xml:space="preserve">Used for</t>
  </si>
  <si>
    <t xml:space="preserve">SLE, UGA</t>
  </si>
  <si>
    <t xml:space="preserve">Excise Diagnostic working paper (World Bank, draft for discussion)</t>
  </si>
  <si>
    <t xml:space="preserve">v0.8, September 2026</t>
  </si>
  <si>
    <t xml:space="preserve">SLE: 49 register entries (18 V, 11 PV, 16 C, 4 NV). UGA: not peer reviewed</t>
  </si>
  <si>
    <t xml:space="preserve">Metrics (Tables 7, 9, 13, 14); schedule (Tables 10a-c, 11, A1); statuses (Table D3)</t>
  </si>
  <si>
    <t xml:space="preserve">Sierra Leone: An Excise Diagnostic (example)</t>
  </si>
  <si>
    <t xml:space="preserve">Draft, July 2026</t>
  </si>
  <si>
    <t xml:space="preserve">Pre-peer-review; superseded by WP v0.8 where they differ (e.g. SSB coverage, wine anomaly)</t>
  </si>
  <si>
    <t xml:space="preserve">Not used for values</t>
  </si>
  <si>
    <t xml:space="preserve">Liberia Excise Diagnostic</t>
  </si>
  <si>
    <t xml:space="preserve">v0.3, 29 September 2026</t>
  </si>
  <si>
    <t xml:space="preserve">49 register entries (22 V, 11 PV, 14 C, 2 NV)</t>
  </si>
  <si>
    <t xml:space="preserve">Metrics (Level 1, Level 4); schedule (Tables 9.1, 10.1); statuses (Annex B)</t>
  </si>
  <si>
    <t xml:space="preserve">All</t>
  </si>
  <si>
    <t xml:space="preserve">Excise diagnostic process specification (MASTER)</t>
  </si>
  <si>
    <t xml:space="preserve">spec 1.0; standard schedule 1.0</t>
  </si>
  <si>
    <t xml:space="preserve">Standard lines, coverage codes, conversions, benchmarks (section 9)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</si>
</sst>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"/>
    <numFmt numFmtId="166" formatCode="0%"/>
    <numFmt numFmtId="167" formatCode="General"/>
    <numFmt numFmtId="168" formatCode="#,##0.00##"/>
    <numFmt numFmtId="169" formatCode="#,##0.000"/>
    <numFmt numFmtId="170" formatCode="#,##0.0000"/>
    <numFmt numFmtId="171" formatCode="0.0%"/>
    <numFmt numFmtId="172" formatCode="0"/>
    <numFmt numFmtId="173" formatCode="0.00"/>
    <numFmt numFmtId="174" formatCode="0.0000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i val="true"/>
      <sz val="9"/>
      <name val="Arial"/>
      <family val="0"/>
      <charset val="1"/>
    </font>
    <font>
      <sz val="10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EC"/>
        <bgColor rgb="FFF2F2F2"/>
      </patternFill>
    </fill>
    <fill>
      <patternFill patternType="solid">
        <fgColor rgb="FFF2F2F2"/>
        <bgColor rgb="FFFCE4E4"/>
      </patternFill>
    </fill>
    <fill>
      <patternFill patternType="solid">
        <fgColor rgb="FFFCE4E4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3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CE4E4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B1D580"/>
          <bgColor rgb="FF000000"/>
        </patternFill>
      </fill>
    </dxf>
    <dxf>
      <fill>
        <patternFill patternType="solid">
          <fgColor rgb="FFF8696B"/>
          <bgColor rgb="FF000000"/>
        </patternFill>
      </fill>
    </dxf>
    <dxf>
      <fill>
        <patternFill patternType="solid">
          <fgColor rgb="FFFBAA77"/>
          <bgColor rgb="FF000000"/>
        </patternFill>
      </fill>
    </dxf>
    <dxf>
      <fill>
        <patternFill patternType="solid">
          <fgColor rgb="FFFFEB8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2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6"/>
    <col collapsed="false" customWidth="true" hidden="false" outlineLevel="0" max="5" min="5" style="0" width="6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5" t="str">
        <f aca="false">Parameters!G5</f>
        <v>2026-04-27</v>
      </c>
      <c r="C5" s="5" t="str">
        <f aca="false">Parameters!G6</f>
        <v>2026-04-27</v>
      </c>
      <c r="D5" s="5" t="str">
        <f aca="false">Parameters!G7</f>
        <v>2026-09-29</v>
      </c>
      <c r="E5" s="4" t="s">
        <v>8</v>
      </c>
    </row>
    <row r="6" customFormat="false" ht="15" hidden="false" customHeight="false" outlineLevel="0" collapsed="false">
      <c r="A6" s="4" t="s">
        <v>9</v>
      </c>
      <c r="B6" s="5" t="n">
        <f aca="false">Std_Schedule!F41</f>
        <v>25</v>
      </c>
      <c r="C6" s="5" t="n">
        <f aca="false">Std_Schedule!L41</f>
        <v>26</v>
      </c>
      <c r="D6" s="5" t="n">
        <f aca="false">Std_Schedule!R41</f>
        <v>21</v>
      </c>
      <c r="E6" s="4" t="s">
        <v>10</v>
      </c>
    </row>
    <row r="7" customFormat="false" ht="15" hidden="false" customHeight="false" outlineLevel="0" collapsed="false">
      <c r="A7" s="4" t="s">
        <v>11</v>
      </c>
      <c r="B7" s="5" t="n">
        <f aca="false">COUNTIFS(Std_Schedule_Code!$B$5:$B$191,"SLE",Std_Schedule_Code!$J$5:$J$191,"&gt;0")</f>
        <v>69</v>
      </c>
      <c r="C7" s="5" t="n">
        <f aca="false">COUNTIFS(Std_Schedule_Code!$B$5:$B$191,"UGA",Std_Schedule_Code!$J$5:$J$191,"&gt;0")</f>
        <v>62</v>
      </c>
      <c r="D7" s="5" t="n">
        <f aca="false">COUNTIFS(Std_Schedule_Code!$B$5:$B$191,"LBR",Std_Schedule_Code!$J$5:$J$191,"&gt;0")</f>
        <v>38</v>
      </c>
      <c r="E7" s="4" t="s">
        <v>12</v>
      </c>
    </row>
    <row r="8" customFormat="false" ht="15" hidden="false" customHeight="false" outlineLevel="0" collapsed="false">
      <c r="A8" s="4" t="s">
        <v>13</v>
      </c>
      <c r="B8" s="6" t="n">
        <f aca="false">IFERROR(AVERAGEIFS(Std_Schedule_Code!$AO$5:$AO$191,Std_Schedule_Code!$B$5:$B$191,"SLE",Std_Schedule_Code!$J$5:$J$191,"&gt;0"),"")</f>
        <v>3.31884057971015</v>
      </c>
      <c r="C8" s="6" t="n">
        <f aca="false">IFERROR(AVERAGEIFS(Std_Schedule_Code!$AO$5:$AO$191,Std_Schedule_Code!$B$5:$B$191,"UGA",Std_Schedule_Code!$J$5:$J$191,"&gt;0"),"")</f>
        <v>2</v>
      </c>
      <c r="D8" s="6" t="n">
        <f aca="false">IFERROR(AVERAGEIFS(Std_Schedule_Code!$AO$5:$AO$191,Std_Schedule_Code!$B$5:$B$191,"LBR",Std_Schedule_Code!$J$5:$J$191,"&gt;0"),"")</f>
        <v>3.71052631578947</v>
      </c>
      <c r="E8" s="4" t="s">
        <v>14</v>
      </c>
    </row>
    <row r="9" customFormat="false" ht="15" hidden="false" customHeight="false" outlineLevel="0" collapsed="false">
      <c r="A9" s="4" t="s">
        <v>15</v>
      </c>
      <c r="B9" s="7" t="n">
        <f aca="false">IFERROR(COUNTIFS(Std_Schedule_Code!$B$5:$B$191,"SLE",Std_Schedule_Code!$J$5:$J$191,"&gt;0",Std_Schedule_Code!$AO$5:$AO$191,"&gt;=4")/COUNTIFS(Std_Schedule_Code!$B$5:$B$191,"SLE",Std_Schedule_Code!$J$5:$J$191,"&gt;0"),"")</f>
        <v>0.507246376811594</v>
      </c>
      <c r="C9" s="7" t="n">
        <f aca="false">IFERROR(COUNTIFS(Std_Schedule_Code!$B$5:$B$191,"UGA",Std_Schedule_Code!$J$5:$J$191,"&gt;0",Std_Schedule_Code!$AO$5:$AO$191,"&gt;=4")/COUNTIFS(Std_Schedule_Code!$B$5:$B$191,"UGA",Std_Schedule_Code!$J$5:$J$191,"&gt;0"),"")</f>
        <v>0</v>
      </c>
      <c r="D9" s="7" t="n">
        <f aca="false">IFERROR(COUNTIFS(Std_Schedule_Code!$B$5:$B$191,"LBR",Std_Schedule_Code!$J$5:$J$191,"&gt;0",Std_Schedule_Code!$AO$5:$AO$191,"&gt;=4")/COUNTIFS(Std_Schedule_Code!$B$5:$B$191,"LBR",Std_Schedule_Code!$J$5:$J$191,"&gt;0"),"")</f>
        <v>0.657894736842105</v>
      </c>
      <c r="E9" s="4" t="s">
        <v>16</v>
      </c>
    </row>
    <row r="10" customFormat="false" ht="15" hidden="false" customHeight="false" outlineLevel="0" collapsed="false">
      <c r="A10" s="4" t="s">
        <v>17</v>
      </c>
      <c r="B10" s="5" t="n">
        <f aca="false">COUNTIFS(Std_Schedule_Code!$B$5:$B$191,"SLE",Std_Schedule_Code!$O$5:$O$191,"last_legible")</f>
        <v>16</v>
      </c>
      <c r="C10" s="5" t="n">
        <f aca="false">COUNTIFS(Std_Schedule_Code!$B$5:$B$191,"UGA",Std_Schedule_Code!$O$5:$O$191,"last_legible")</f>
        <v>0</v>
      </c>
      <c r="D10" s="5" t="n">
        <f aca="false">COUNTIFS(Std_Schedule_Code!$B$5:$B$191,"LBR",Std_Schedule_Code!$O$5:$O$191,"last_legible")</f>
        <v>0</v>
      </c>
      <c r="E10" s="4" t="s">
        <v>18</v>
      </c>
    </row>
    <row r="11" customFormat="false" ht="15" hidden="false" customHeight="false" outlineLevel="0" collapsed="false">
      <c r="A11" s="4" t="s">
        <v>19</v>
      </c>
      <c r="B11" s="5" t="n">
        <f aca="false">COUNTIF(Std_Schedule!J6:J35,"&lt;=2")</f>
        <v>16</v>
      </c>
      <c r="C11" s="5" t="n">
        <f aca="false">COUNTIF(Std_Schedule!P6:P35,"&lt;=2")</f>
        <v>30</v>
      </c>
      <c r="D11" s="5" t="n">
        <f aca="false">COUNTIF(Std_Schedule!V6:V35,"&lt;=2")</f>
        <v>3</v>
      </c>
      <c r="E11" s="4" t="s">
        <v>20</v>
      </c>
    </row>
    <row r="12" customFormat="false" ht="15" hidden="false" customHeight="false" outlineLevel="0" collapsed="false">
      <c r="A12" s="4" t="s">
        <v>21</v>
      </c>
      <c r="B12" s="6" t="n">
        <f aca="false">IFERROR(AVERAGE(Country_Metrics!G5:G41),"")</f>
        <v>2.68571428571429</v>
      </c>
      <c r="C12" s="6" t="n">
        <f aca="false">IFERROR(AVERAGE(Country_Metrics!K5:K41),"")</f>
        <v>1.85714285714286</v>
      </c>
      <c r="D12" s="6" t="n">
        <f aca="false">IFERROR(AVERAGE(Country_Metrics!O5:O41),"")</f>
        <v>3.68571428571429</v>
      </c>
      <c r="E12" s="4" t="s">
        <v>22</v>
      </c>
    </row>
    <row r="14" customFormat="false" ht="15" hidden="false" customHeight="false" outlineLevel="0" collapsed="false">
      <c r="A14" s="8" t="s">
        <v>23</v>
      </c>
    </row>
    <row r="15" customFormat="false" ht="15" hidden="false" customHeight="true" outlineLevel="0" collapsed="false">
      <c r="A15" s="9" t="s">
        <v>24</v>
      </c>
      <c r="B15" s="4" t="s">
        <v>25</v>
      </c>
      <c r="C15" s="4"/>
      <c r="D15" s="4"/>
      <c r="E15" s="4"/>
    </row>
    <row r="16" customFormat="false" ht="15" hidden="false" customHeight="true" outlineLevel="0" collapsed="false">
      <c r="A16" s="9" t="s">
        <v>26</v>
      </c>
      <c r="B16" s="4" t="s">
        <v>27</v>
      </c>
      <c r="C16" s="4"/>
      <c r="D16" s="4"/>
      <c r="E16" s="4"/>
    </row>
    <row r="17" customFormat="false" ht="23.85" hidden="false" customHeight="true" outlineLevel="0" collapsed="false">
      <c r="A17" s="9" t="s">
        <v>28</v>
      </c>
      <c r="B17" s="4" t="s">
        <v>29</v>
      </c>
      <c r="C17" s="4"/>
      <c r="D17" s="4"/>
      <c r="E17" s="4"/>
    </row>
    <row r="18" customFormat="false" ht="15" hidden="false" customHeight="true" outlineLevel="0" collapsed="false">
      <c r="A18" s="9" t="s">
        <v>8</v>
      </c>
      <c r="B18" s="4" t="s">
        <v>30</v>
      </c>
      <c r="C18" s="4"/>
      <c r="D18" s="4"/>
      <c r="E18" s="4"/>
    </row>
    <row r="19" customFormat="false" ht="15" hidden="false" customHeight="true" outlineLevel="0" collapsed="false">
      <c r="A19" s="9" t="s">
        <v>31</v>
      </c>
      <c r="B19" s="4" t="s">
        <v>32</v>
      </c>
      <c r="C19" s="4"/>
      <c r="D19" s="4"/>
      <c r="E19" s="4"/>
    </row>
    <row r="20" customFormat="false" ht="15" hidden="false" customHeight="true" outlineLevel="0" collapsed="false">
      <c r="A20" s="9" t="s">
        <v>33</v>
      </c>
      <c r="B20" s="4" t="s">
        <v>34</v>
      </c>
      <c r="C20" s="4"/>
      <c r="D20" s="4"/>
      <c r="E20" s="4"/>
    </row>
    <row r="22" customFormat="false" ht="15" hidden="false" customHeight="false" outlineLevel="0" collapsed="false">
      <c r="A22" s="8" t="s">
        <v>35</v>
      </c>
    </row>
    <row r="23" customFormat="false" ht="27.75" hidden="false" customHeight="true" outlineLevel="0" collapsed="false">
      <c r="A23" s="4" t="s">
        <v>36</v>
      </c>
      <c r="B23" s="4"/>
      <c r="C23" s="4"/>
      <c r="D23" s="4"/>
      <c r="E23" s="4"/>
    </row>
    <row r="24" customFormat="false" ht="27.75" hidden="false" customHeight="true" outlineLevel="0" collapsed="false">
      <c r="A24" s="4" t="s">
        <v>37</v>
      </c>
      <c r="B24" s="4"/>
      <c r="C24" s="4"/>
      <c r="D24" s="4"/>
      <c r="E24" s="4"/>
    </row>
    <row r="25" customFormat="false" ht="27.75" hidden="false" customHeight="true" outlineLevel="0" collapsed="false">
      <c r="A25" s="4" t="s">
        <v>38</v>
      </c>
      <c r="B25" s="4"/>
      <c r="C25" s="4"/>
      <c r="D25" s="4"/>
      <c r="E25" s="4"/>
    </row>
    <row r="26" customFormat="false" ht="27.75" hidden="false" customHeight="true" outlineLevel="0" collapsed="false">
      <c r="A26" s="4" t="s">
        <v>39</v>
      </c>
      <c r="B26" s="4"/>
      <c r="C26" s="4"/>
      <c r="D26" s="4"/>
      <c r="E26" s="4"/>
    </row>
    <row r="27" customFormat="false" ht="27.75" hidden="false" customHeight="true" outlineLevel="0" collapsed="false">
      <c r="A27" s="4" t="s">
        <v>40</v>
      </c>
      <c r="B27" s="4"/>
      <c r="C27" s="4"/>
      <c r="D27" s="4"/>
      <c r="E27" s="4"/>
    </row>
    <row r="28" customFormat="false" ht="27.75" hidden="false" customHeight="true" outlineLevel="0" collapsed="false">
      <c r="A28" s="4" t="s">
        <v>41</v>
      </c>
      <c r="B28" s="4"/>
      <c r="C28" s="4"/>
      <c r="D28" s="4"/>
      <c r="E28" s="4"/>
    </row>
    <row r="29" customFormat="false" ht="27.75" hidden="false" customHeight="true" outlineLevel="0" collapsed="false">
      <c r="A29" s="4" t="s">
        <v>42</v>
      </c>
      <c r="B29" s="4"/>
      <c r="C29" s="4"/>
      <c r="D29" s="4"/>
      <c r="E29" s="4"/>
    </row>
  </sheetData>
  <mergeCells count="13">
    <mergeCell ref="B15:E15"/>
    <mergeCell ref="B16:E16"/>
    <mergeCell ref="B17:E17"/>
    <mergeCell ref="B18:E18"/>
    <mergeCell ref="B19:E19"/>
    <mergeCell ref="B20:E20"/>
    <mergeCell ref="A23:E23"/>
    <mergeCell ref="A24:E24"/>
    <mergeCell ref="A25:E25"/>
    <mergeCell ref="A26:E26"/>
    <mergeCell ref="A27:E27"/>
    <mergeCell ref="A28:E28"/>
    <mergeCell ref="A29:E29"/>
  </mergeCells>
  <conditionalFormatting sqref="B8:D8">
    <cfRule type="colorScale" priority="2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conditionalFormatting sqref="B12:D12">
    <cfRule type="colorScale" priority="3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6"/>
    <col collapsed="false" customWidth="true" hidden="false" outlineLevel="0" max="3" min="3" style="0" width="34"/>
    <col collapsed="false" customWidth="true" hidden="false" outlineLevel="0" max="4" min="4" style="0" width="12"/>
    <col collapsed="false" customWidth="true" hidden="false" outlineLevel="0" max="5" min="5" style="0" width="30"/>
    <col collapsed="false" customWidth="true" hidden="false" outlineLevel="0" max="6" min="6" style="0" width="14"/>
    <col collapsed="false" customWidth="true" hidden="false" outlineLevel="0" max="7" min="7" style="0" width="6"/>
    <col collapsed="false" customWidth="true" hidden="false" outlineLevel="0" max="8" min="8" style="0" width="16"/>
    <col collapsed="false" customWidth="true" hidden="false" outlineLevel="0" max="9" min="9" style="0" width="30"/>
    <col collapsed="false" customWidth="true" hidden="false" outlineLevel="0" max="10" min="10" style="0" width="14"/>
    <col collapsed="false" customWidth="true" hidden="false" outlineLevel="0" max="11" min="11" style="0" width="6"/>
    <col collapsed="false" customWidth="true" hidden="false" outlineLevel="0" max="12" min="12" style="0" width="16"/>
    <col collapsed="false" customWidth="true" hidden="false" outlineLevel="0" max="13" min="13" style="0" width="30"/>
    <col collapsed="false" customWidth="true" hidden="false" outlineLevel="0" max="14" min="14" style="0" width="14"/>
    <col collapsed="false" customWidth="true" hidden="false" outlineLevel="0" max="15" min="15" style="0" width="6"/>
    <col collapsed="false" customWidth="true" hidden="false" outlineLevel="0" max="16" min="16" style="0" width="16"/>
    <col collapsed="false" customWidth="true" hidden="false" outlineLevel="0" max="17" min="17" style="0" width="26"/>
    <col collapsed="false" customWidth="true" hidden="false" outlineLevel="0" max="18" min="18" style="0" width="30"/>
  </cols>
  <sheetData>
    <row r="1" customFormat="false" ht="17.35" hidden="false" customHeight="false" outlineLevel="0" collapsed="false">
      <c r="A1" s="1" t="s">
        <v>43</v>
      </c>
    </row>
    <row r="2" customFormat="false" ht="15" hidden="false" customHeight="false" outlineLevel="0" collapsed="false">
      <c r="A2" s="2" t="s">
        <v>44</v>
      </c>
    </row>
    <row r="4" customFormat="false" ht="23.85" hidden="false" customHeight="false" outlineLevel="0" collapsed="false">
      <c r="A4" s="3" t="s">
        <v>45</v>
      </c>
      <c r="B4" s="3" t="s">
        <v>46</v>
      </c>
      <c r="C4" s="3" t="s">
        <v>47</v>
      </c>
      <c r="D4" s="3" t="s">
        <v>48</v>
      </c>
      <c r="E4" s="3" t="s">
        <v>49</v>
      </c>
      <c r="F4" s="3" t="s">
        <v>50</v>
      </c>
      <c r="G4" s="3" t="s">
        <v>51</v>
      </c>
      <c r="H4" s="3" t="s">
        <v>52</v>
      </c>
      <c r="I4" s="3" t="s">
        <v>53</v>
      </c>
      <c r="J4" s="3" t="s">
        <v>54</v>
      </c>
      <c r="K4" s="3" t="s">
        <v>55</v>
      </c>
      <c r="L4" s="3" t="s">
        <v>56</v>
      </c>
      <c r="M4" s="3" t="s">
        <v>57</v>
      </c>
      <c r="N4" s="3" t="s">
        <v>58</v>
      </c>
      <c r="O4" s="3" t="s">
        <v>59</v>
      </c>
      <c r="P4" s="3" t="s">
        <v>60</v>
      </c>
      <c r="Q4" s="3" t="s">
        <v>61</v>
      </c>
      <c r="R4" s="3" t="s">
        <v>62</v>
      </c>
    </row>
    <row r="5" customFormat="false" ht="57.45" hidden="false" customHeight="false" outlineLevel="0" collapsed="false">
      <c r="A5" s="4" t="s">
        <v>63</v>
      </c>
      <c r="B5" s="9" t="s">
        <v>64</v>
      </c>
      <c r="C5" s="4" t="s">
        <v>65</v>
      </c>
      <c r="D5" s="4" t="s">
        <v>66</v>
      </c>
      <c r="E5" s="4" t="s">
        <v>67</v>
      </c>
      <c r="F5" s="4" t="s">
        <v>68</v>
      </c>
      <c r="G5" s="10" t="n">
        <f aca="false">IF(F5="","",IFERROR(INDEX(DQ_Scale!$B$5:$B$14,MATCH(F5,DQ_Scale!$A$5:$A$14,0)),""))</f>
        <v>3</v>
      </c>
      <c r="H5" s="4" t="s">
        <v>69</v>
      </c>
      <c r="I5" s="4" t="s">
        <v>70</v>
      </c>
      <c r="J5" s="4" t="s">
        <v>71</v>
      </c>
      <c r="K5" s="10" t="n">
        <f aca="false">IF(J5="","",IFERROR(INDEX(DQ_Scale!$B$5:$B$14,MATCH(J5,DQ_Scale!$A$5:$A$14,0)),""))</f>
        <v>2</v>
      </c>
      <c r="L5" s="4" t="s">
        <v>72</v>
      </c>
      <c r="M5" s="4" t="s">
        <v>73</v>
      </c>
      <c r="N5" s="4" t="s">
        <v>74</v>
      </c>
      <c r="O5" s="10" t="n">
        <f aca="false">IF(N5="","",IFERROR(INDEX(DQ_Scale!$B$5:$B$14,MATCH(N5,DQ_Scale!$A$5:$A$14,0)),""))</f>
        <v>4</v>
      </c>
      <c r="P5" s="4" t="s">
        <v>75</v>
      </c>
      <c r="Q5" s="4"/>
      <c r="R5" s="4"/>
    </row>
    <row r="6" customFormat="false" ht="15" hidden="false" customHeight="false" outlineLevel="0" collapsed="false">
      <c r="A6" s="4" t="s">
        <v>63</v>
      </c>
      <c r="B6" s="9" t="s">
        <v>76</v>
      </c>
      <c r="C6" s="4" t="s">
        <v>7</v>
      </c>
      <c r="D6" s="4" t="s">
        <v>77</v>
      </c>
      <c r="E6" s="4" t="s">
        <v>78</v>
      </c>
      <c r="F6" s="4" t="s">
        <v>79</v>
      </c>
      <c r="G6" s="10" t="n">
        <f aca="false">IF(F6="","",IFERROR(INDEX(DQ_Scale!$B$5:$B$14,MATCH(F6,DQ_Scale!$A$5:$A$14,0)),""))</f>
        <v>5</v>
      </c>
      <c r="H6" s="4" t="s">
        <v>80</v>
      </c>
      <c r="I6" s="4" t="s">
        <v>78</v>
      </c>
      <c r="J6" s="4" t="s">
        <v>79</v>
      </c>
      <c r="K6" s="10" t="n">
        <f aca="false">IF(J6="","",IFERROR(INDEX(DQ_Scale!$B$5:$B$14,MATCH(J6,DQ_Scale!$A$5:$A$14,0)),""))</f>
        <v>5</v>
      </c>
      <c r="L6" s="4" t="s">
        <v>80</v>
      </c>
      <c r="M6" s="4" t="s">
        <v>81</v>
      </c>
      <c r="N6" s="4" t="s">
        <v>79</v>
      </c>
      <c r="O6" s="10" t="n">
        <f aca="false">IF(N6="","",IFERROR(INDEX(DQ_Scale!$B$5:$B$14,MATCH(N6,DQ_Scale!$A$5:$A$14,0)),""))</f>
        <v>5</v>
      </c>
      <c r="P6" s="4" t="s">
        <v>82</v>
      </c>
      <c r="Q6" s="4"/>
      <c r="R6" s="4"/>
    </row>
    <row r="7" customFormat="false" ht="23.85" hidden="false" customHeight="false" outlineLevel="0" collapsed="false">
      <c r="A7" s="4" t="s">
        <v>63</v>
      </c>
      <c r="B7" s="9" t="s">
        <v>83</v>
      </c>
      <c r="C7" s="4" t="s">
        <v>84</v>
      </c>
      <c r="D7" s="4" t="s">
        <v>85</v>
      </c>
      <c r="E7" s="4" t="s">
        <v>86</v>
      </c>
      <c r="F7" s="4" t="s">
        <v>87</v>
      </c>
      <c r="G7" s="10" t="n">
        <f aca="false">IF(F7="","",IFERROR(INDEX(DQ_Scale!$B$5:$B$14,MATCH(F7,DQ_Scale!$A$5:$A$14,0)),""))</f>
        <v>1</v>
      </c>
      <c r="H7" s="4" t="s">
        <v>88</v>
      </c>
      <c r="I7" s="4" t="s">
        <v>89</v>
      </c>
      <c r="J7" s="4" t="s">
        <v>71</v>
      </c>
      <c r="K7" s="10" t="n">
        <f aca="false">IF(J7="","",IFERROR(INDEX(DQ_Scale!$B$5:$B$14,MATCH(J7,DQ_Scale!$A$5:$A$14,0)),""))</f>
        <v>2</v>
      </c>
      <c r="L7" s="4" t="s">
        <v>72</v>
      </c>
      <c r="M7" s="4" t="s">
        <v>90</v>
      </c>
      <c r="N7" s="4" t="s">
        <v>79</v>
      </c>
      <c r="O7" s="10" t="n">
        <f aca="false">IF(N7="","",IFERROR(INDEX(DQ_Scale!$B$5:$B$14,MATCH(N7,DQ_Scale!$A$5:$A$14,0)),""))</f>
        <v>5</v>
      </c>
      <c r="P7" s="4" t="s">
        <v>91</v>
      </c>
      <c r="Q7" s="4"/>
      <c r="R7" s="4"/>
    </row>
    <row r="8" customFormat="false" ht="15" hidden="false" customHeight="false" outlineLevel="0" collapsed="false">
      <c r="A8" s="4" t="s">
        <v>63</v>
      </c>
      <c r="B8" s="9" t="s">
        <v>92</v>
      </c>
      <c r="C8" s="4" t="s">
        <v>93</v>
      </c>
      <c r="D8" s="4" t="s">
        <v>94</v>
      </c>
      <c r="E8" s="4" t="s">
        <v>95</v>
      </c>
      <c r="F8" s="4" t="s">
        <v>68</v>
      </c>
      <c r="G8" s="10" t="n">
        <f aca="false">IF(F8="","",IFERROR(INDEX(DQ_Scale!$B$5:$B$14,MATCH(F8,DQ_Scale!$A$5:$A$14,0)),""))</f>
        <v>3</v>
      </c>
      <c r="H8" s="4" t="s">
        <v>96</v>
      </c>
      <c r="I8" s="4" t="s">
        <v>97</v>
      </c>
      <c r="J8" s="4" t="s">
        <v>71</v>
      </c>
      <c r="K8" s="10" t="n">
        <f aca="false">IF(J8="","",IFERROR(INDEX(DQ_Scale!$B$5:$B$14,MATCH(J8,DQ_Scale!$A$5:$A$14,0)),""))</f>
        <v>2</v>
      </c>
      <c r="L8" s="4" t="s">
        <v>72</v>
      </c>
      <c r="M8" s="4" t="s">
        <v>98</v>
      </c>
      <c r="N8" s="4" t="s">
        <v>79</v>
      </c>
      <c r="O8" s="10" t="n">
        <f aca="false">IF(N8="","",IFERROR(INDEX(DQ_Scale!$B$5:$B$14,MATCH(N8,DQ_Scale!$A$5:$A$14,0)),""))</f>
        <v>5</v>
      </c>
      <c r="P8" s="4" t="s">
        <v>96</v>
      </c>
      <c r="Q8" s="4"/>
      <c r="R8" s="4"/>
    </row>
    <row r="9" customFormat="false" ht="23.85" hidden="false" customHeight="false" outlineLevel="0" collapsed="false">
      <c r="A9" s="4" t="s">
        <v>63</v>
      </c>
      <c r="B9" s="9" t="s">
        <v>99</v>
      </c>
      <c r="C9" s="4" t="s">
        <v>100</v>
      </c>
      <c r="D9" s="4" t="s">
        <v>66</v>
      </c>
      <c r="E9" s="4" t="s">
        <v>101</v>
      </c>
      <c r="F9" s="4" t="s">
        <v>79</v>
      </c>
      <c r="G9" s="10" t="n">
        <f aca="false">IF(F9="","",IFERROR(INDEX(DQ_Scale!$B$5:$B$14,MATCH(F9,DQ_Scale!$A$5:$A$14,0)),""))</f>
        <v>5</v>
      </c>
      <c r="H9" s="4" t="s">
        <v>102</v>
      </c>
      <c r="I9" s="4" t="s">
        <v>103</v>
      </c>
      <c r="J9" s="4" t="s">
        <v>71</v>
      </c>
      <c r="K9" s="10" t="n">
        <f aca="false">IF(J9="","",IFERROR(INDEX(DQ_Scale!$B$5:$B$14,MATCH(J9,DQ_Scale!$A$5:$A$14,0)),""))</f>
        <v>2</v>
      </c>
      <c r="L9" s="4"/>
      <c r="M9" s="4" t="s">
        <v>104</v>
      </c>
      <c r="N9" s="4" t="s">
        <v>79</v>
      </c>
      <c r="O9" s="10" t="n">
        <f aca="false">IF(N9="","",IFERROR(INDEX(DQ_Scale!$B$5:$B$14,MATCH(N9,DQ_Scale!$A$5:$A$14,0)),""))</f>
        <v>5</v>
      </c>
      <c r="P9" s="4" t="s">
        <v>105</v>
      </c>
      <c r="Q9" s="4"/>
      <c r="R9" s="4"/>
    </row>
    <row r="10" customFormat="false" ht="23.85" hidden="false" customHeight="false" outlineLevel="0" collapsed="false">
      <c r="A10" s="4" t="s">
        <v>63</v>
      </c>
      <c r="B10" s="9" t="s">
        <v>106</v>
      </c>
      <c r="C10" s="4" t="s">
        <v>107</v>
      </c>
      <c r="D10" s="4" t="s">
        <v>108</v>
      </c>
      <c r="E10" s="4" t="s">
        <v>109</v>
      </c>
      <c r="F10" s="4"/>
      <c r="G10" s="10" t="str">
        <f aca="false">IF(F10="","",IFERROR(INDEX(DQ_Scale!$B$5:$B$14,MATCH(F10,DQ_Scale!$A$5:$A$14,0)),""))</f>
        <v/>
      </c>
      <c r="H10" s="4" t="s">
        <v>110</v>
      </c>
      <c r="I10" s="4" t="s">
        <v>111</v>
      </c>
      <c r="J10" s="4"/>
      <c r="K10" s="10" t="str">
        <f aca="false">IF(J10="","",IFERROR(INDEX(DQ_Scale!$B$5:$B$14,MATCH(J10,DQ_Scale!$A$5:$A$14,0)),""))</f>
        <v/>
      </c>
      <c r="L10" s="4" t="s">
        <v>112</v>
      </c>
      <c r="M10" s="4" t="s">
        <v>113</v>
      </c>
      <c r="N10" s="4"/>
      <c r="O10" s="10" t="str">
        <f aca="false">IF(N10="","",IFERROR(INDEX(DQ_Scale!$B$5:$B$14,MATCH(N10,DQ_Scale!$A$5:$A$14,0)),""))</f>
        <v/>
      </c>
      <c r="P10" s="4" t="s">
        <v>114</v>
      </c>
      <c r="Q10" s="4"/>
      <c r="R10" s="4"/>
    </row>
    <row r="11" customFormat="false" ht="23.85" hidden="false" customHeight="false" outlineLevel="0" collapsed="false">
      <c r="A11" s="4" t="s">
        <v>115</v>
      </c>
      <c r="B11" s="9" t="s">
        <v>116</v>
      </c>
      <c r="C11" s="4" t="s">
        <v>117</v>
      </c>
      <c r="D11" s="4" t="s">
        <v>118</v>
      </c>
      <c r="E11" s="4" t="s">
        <v>119</v>
      </c>
      <c r="F11" s="4" t="s">
        <v>120</v>
      </c>
      <c r="G11" s="10" t="n">
        <f aca="false">IF(F11="","",IFERROR(INDEX(DQ_Scale!$B$5:$B$14,MATCH(F11,DQ_Scale!$A$5:$A$14,0)),""))</f>
        <v>4</v>
      </c>
      <c r="H11" s="4" t="s">
        <v>121</v>
      </c>
      <c r="I11" s="4" t="s">
        <v>122</v>
      </c>
      <c r="J11" s="4" t="s">
        <v>123</v>
      </c>
      <c r="K11" s="10" t="n">
        <f aca="false">IF(J11="","",IFERROR(INDEX(DQ_Scale!$B$5:$B$14,MATCH(J11,DQ_Scale!$A$5:$A$14,0)),""))</f>
        <v>1</v>
      </c>
      <c r="L11" s="4"/>
      <c r="M11" s="4" t="s">
        <v>124</v>
      </c>
      <c r="N11" s="4" t="s">
        <v>79</v>
      </c>
      <c r="O11" s="10" t="n">
        <f aca="false">IF(N11="","",IFERROR(INDEX(DQ_Scale!$B$5:$B$14,MATCH(N11,DQ_Scale!$A$5:$A$14,0)),""))</f>
        <v>5</v>
      </c>
      <c r="P11" s="4" t="s">
        <v>125</v>
      </c>
      <c r="Q11" s="4" t="s">
        <v>126</v>
      </c>
      <c r="R11" s="4"/>
    </row>
    <row r="12" customFormat="false" ht="35.05" hidden="false" customHeight="false" outlineLevel="0" collapsed="false">
      <c r="A12" s="4" t="s">
        <v>115</v>
      </c>
      <c r="B12" s="9" t="s">
        <v>127</v>
      </c>
      <c r="C12" s="4" t="s">
        <v>128</v>
      </c>
      <c r="D12" s="4" t="s">
        <v>118</v>
      </c>
      <c r="E12" s="4" t="s">
        <v>129</v>
      </c>
      <c r="F12" s="4" t="s">
        <v>123</v>
      </c>
      <c r="G12" s="10" t="n">
        <f aca="false">IF(F12="","",IFERROR(INDEX(DQ_Scale!$B$5:$B$14,MATCH(F12,DQ_Scale!$A$5:$A$14,0)),""))</f>
        <v>1</v>
      </c>
      <c r="H12" s="4"/>
      <c r="I12" s="4" t="s">
        <v>130</v>
      </c>
      <c r="J12" s="4" t="s">
        <v>123</v>
      </c>
      <c r="K12" s="10" t="n">
        <f aca="false">IF(J12="","",IFERROR(INDEX(DQ_Scale!$B$5:$B$14,MATCH(J12,DQ_Scale!$A$5:$A$14,0)),""))</f>
        <v>1</v>
      </c>
      <c r="L12" s="4"/>
      <c r="M12" s="4" t="s">
        <v>131</v>
      </c>
      <c r="N12" s="4" t="s">
        <v>79</v>
      </c>
      <c r="O12" s="10" t="n">
        <f aca="false">IF(N12="","",IFERROR(INDEX(DQ_Scale!$B$5:$B$14,MATCH(N12,DQ_Scale!$A$5:$A$14,0)),""))</f>
        <v>5</v>
      </c>
      <c r="P12" s="4" t="s">
        <v>132</v>
      </c>
      <c r="Q12" s="4"/>
      <c r="R12" s="4"/>
    </row>
    <row r="13" customFormat="false" ht="35.05" hidden="false" customHeight="false" outlineLevel="0" collapsed="false">
      <c r="A13" s="4" t="s">
        <v>115</v>
      </c>
      <c r="B13" s="9" t="s">
        <v>133</v>
      </c>
      <c r="C13" s="4" t="s">
        <v>134</v>
      </c>
      <c r="D13" s="4" t="s">
        <v>118</v>
      </c>
      <c r="E13" s="4" t="s">
        <v>135</v>
      </c>
      <c r="F13" s="4" t="s">
        <v>120</v>
      </c>
      <c r="G13" s="10" t="n">
        <f aca="false">IF(F13="","",IFERROR(INDEX(DQ_Scale!$B$5:$B$14,MATCH(F13,DQ_Scale!$A$5:$A$14,0)),""))</f>
        <v>4</v>
      </c>
      <c r="H13" s="4" t="s">
        <v>121</v>
      </c>
      <c r="I13" s="4" t="s">
        <v>130</v>
      </c>
      <c r="J13" s="4" t="s">
        <v>123</v>
      </c>
      <c r="K13" s="10" t="n">
        <f aca="false">IF(J13="","",IFERROR(INDEX(DQ_Scale!$B$5:$B$14,MATCH(J13,DQ_Scale!$A$5:$A$14,0)),""))</f>
        <v>1</v>
      </c>
      <c r="L13" s="4"/>
      <c r="M13" s="4" t="s">
        <v>136</v>
      </c>
      <c r="N13" s="4" t="s">
        <v>68</v>
      </c>
      <c r="O13" s="10" t="n">
        <f aca="false">IF(N13="","",IFERROR(INDEX(DQ_Scale!$B$5:$B$14,MATCH(N13,DQ_Scale!$A$5:$A$14,0)),""))</f>
        <v>3</v>
      </c>
      <c r="P13" s="4" t="s">
        <v>137</v>
      </c>
      <c r="Q13" s="4"/>
      <c r="R13" s="4"/>
    </row>
    <row r="14" customFormat="false" ht="23.85" hidden="false" customHeight="false" outlineLevel="0" collapsed="false">
      <c r="A14" s="4" t="s">
        <v>115</v>
      </c>
      <c r="B14" s="9" t="s">
        <v>138</v>
      </c>
      <c r="C14" s="4" t="s">
        <v>139</v>
      </c>
      <c r="D14" s="4" t="s">
        <v>118</v>
      </c>
      <c r="E14" s="4" t="s">
        <v>140</v>
      </c>
      <c r="F14" s="4" t="s">
        <v>141</v>
      </c>
      <c r="G14" s="10" t="n">
        <f aca="false">IF(F14="","",IFERROR(INDEX(DQ_Scale!$B$5:$B$14,MATCH(F14,DQ_Scale!$A$5:$A$14,0)),""))</f>
        <v>2</v>
      </c>
      <c r="H14" s="4" t="s">
        <v>142</v>
      </c>
      <c r="I14" s="4" t="s">
        <v>143</v>
      </c>
      <c r="J14" s="4" t="s">
        <v>141</v>
      </c>
      <c r="K14" s="10" t="n">
        <f aca="false">IF(J14="","",IFERROR(INDEX(DQ_Scale!$B$5:$B$14,MATCH(J14,DQ_Scale!$A$5:$A$14,0)),""))</f>
        <v>2</v>
      </c>
      <c r="L14" s="4" t="s">
        <v>142</v>
      </c>
      <c r="M14" s="4" t="s">
        <v>144</v>
      </c>
      <c r="N14" s="4" t="s">
        <v>141</v>
      </c>
      <c r="O14" s="10" t="n">
        <f aca="false">IF(N14="","",IFERROR(INDEX(DQ_Scale!$B$5:$B$14,MATCH(N14,DQ_Scale!$A$5:$A$14,0)),""))</f>
        <v>2</v>
      </c>
      <c r="P14" s="4" t="s">
        <v>145</v>
      </c>
      <c r="Q14" s="4" t="s">
        <v>146</v>
      </c>
      <c r="R14" s="4"/>
    </row>
    <row r="15" customFormat="false" ht="15" hidden="false" customHeight="false" outlineLevel="0" collapsed="false">
      <c r="A15" s="4" t="s">
        <v>115</v>
      </c>
      <c r="B15" s="9" t="s">
        <v>147</v>
      </c>
      <c r="C15" s="4" t="s">
        <v>148</v>
      </c>
      <c r="D15" s="4" t="s">
        <v>118</v>
      </c>
      <c r="E15" s="4" t="s">
        <v>149</v>
      </c>
      <c r="F15" s="4" t="s">
        <v>141</v>
      </c>
      <c r="G15" s="10" t="n">
        <f aca="false">IF(F15="","",IFERROR(INDEX(DQ_Scale!$B$5:$B$14,MATCH(F15,DQ_Scale!$A$5:$A$14,0)),""))</f>
        <v>2</v>
      </c>
      <c r="H15" s="4" t="s">
        <v>150</v>
      </c>
      <c r="I15" s="4" t="s">
        <v>151</v>
      </c>
      <c r="J15" s="4" t="s">
        <v>141</v>
      </c>
      <c r="K15" s="10" t="n">
        <f aca="false">IF(J15="","",IFERROR(INDEX(DQ_Scale!$B$5:$B$14,MATCH(J15,DQ_Scale!$A$5:$A$14,0)),""))</f>
        <v>2</v>
      </c>
      <c r="L15" s="4" t="s">
        <v>142</v>
      </c>
      <c r="M15" s="4" t="s">
        <v>152</v>
      </c>
      <c r="N15" s="4" t="s">
        <v>141</v>
      </c>
      <c r="O15" s="10" t="n">
        <f aca="false">IF(N15="","",IFERROR(INDEX(DQ_Scale!$B$5:$B$14,MATCH(N15,DQ_Scale!$A$5:$A$14,0)),""))</f>
        <v>2</v>
      </c>
      <c r="P15" s="4" t="s">
        <v>153</v>
      </c>
      <c r="Q15" s="4" t="s">
        <v>154</v>
      </c>
      <c r="R15" s="4"/>
    </row>
    <row r="16" customFormat="false" ht="23.85" hidden="false" customHeight="false" outlineLevel="0" collapsed="false">
      <c r="A16" s="4" t="s">
        <v>115</v>
      </c>
      <c r="B16" s="9" t="s">
        <v>155</v>
      </c>
      <c r="C16" s="4" t="s">
        <v>156</v>
      </c>
      <c r="D16" s="4" t="s">
        <v>157</v>
      </c>
      <c r="E16" s="4" t="s">
        <v>158</v>
      </c>
      <c r="F16" s="4" t="s">
        <v>123</v>
      </c>
      <c r="G16" s="10" t="n">
        <f aca="false">IF(F16="","",IFERROR(INDEX(DQ_Scale!$B$5:$B$14,MATCH(F16,DQ_Scale!$A$5:$A$14,0)),""))</f>
        <v>1</v>
      </c>
      <c r="H16" s="4"/>
      <c r="I16" s="4" t="s">
        <v>130</v>
      </c>
      <c r="J16" s="4" t="s">
        <v>123</v>
      </c>
      <c r="K16" s="10" t="n">
        <f aca="false">IF(J16="","",IFERROR(INDEX(DQ_Scale!$B$5:$B$14,MATCH(J16,DQ_Scale!$A$5:$A$14,0)),""))</f>
        <v>1</v>
      </c>
      <c r="L16" s="4"/>
      <c r="M16" s="4" t="s">
        <v>159</v>
      </c>
      <c r="N16" s="4" t="s">
        <v>79</v>
      </c>
      <c r="O16" s="10" t="n">
        <f aca="false">IF(N16="","",IFERROR(INDEX(DQ_Scale!$B$5:$B$14,MATCH(N16,DQ_Scale!$A$5:$A$14,0)),""))</f>
        <v>5</v>
      </c>
      <c r="P16" s="4" t="s">
        <v>160</v>
      </c>
      <c r="Q16" s="4"/>
      <c r="R16" s="4"/>
    </row>
    <row r="17" customFormat="false" ht="23.85" hidden="false" customHeight="false" outlineLevel="0" collapsed="false">
      <c r="A17" s="4" t="s">
        <v>115</v>
      </c>
      <c r="B17" s="9" t="s">
        <v>161</v>
      </c>
      <c r="C17" s="4" t="s">
        <v>162</v>
      </c>
      <c r="D17" s="4" t="s">
        <v>118</v>
      </c>
      <c r="E17" s="4" t="s">
        <v>163</v>
      </c>
      <c r="F17" s="4" t="s">
        <v>87</v>
      </c>
      <c r="G17" s="10" t="n">
        <f aca="false">IF(F17="","",IFERROR(INDEX(DQ_Scale!$B$5:$B$14,MATCH(F17,DQ_Scale!$A$5:$A$14,0)),""))</f>
        <v>1</v>
      </c>
      <c r="H17" s="4" t="s">
        <v>142</v>
      </c>
      <c r="I17" s="4" t="s">
        <v>164</v>
      </c>
      <c r="J17" s="4" t="s">
        <v>87</v>
      </c>
      <c r="K17" s="10" t="n">
        <f aca="false">IF(J17="","",IFERROR(INDEX(DQ_Scale!$B$5:$B$14,MATCH(J17,DQ_Scale!$A$5:$A$14,0)),""))</f>
        <v>1</v>
      </c>
      <c r="L17" s="4" t="s">
        <v>142</v>
      </c>
      <c r="M17" s="4" t="s">
        <v>165</v>
      </c>
      <c r="N17" s="4" t="s">
        <v>141</v>
      </c>
      <c r="O17" s="10" t="n">
        <f aca="false">IF(N17="","",IFERROR(INDEX(DQ_Scale!$B$5:$B$14,MATCH(N17,DQ_Scale!$A$5:$A$14,0)),""))</f>
        <v>2</v>
      </c>
      <c r="P17" s="4" t="s">
        <v>166</v>
      </c>
      <c r="Q17" s="4" t="s">
        <v>167</v>
      </c>
      <c r="R17" s="4"/>
    </row>
    <row r="18" customFormat="false" ht="35.05" hidden="false" customHeight="false" outlineLevel="0" collapsed="false">
      <c r="A18" s="4" t="s">
        <v>115</v>
      </c>
      <c r="B18" s="9" t="s">
        <v>168</v>
      </c>
      <c r="C18" s="4" t="s">
        <v>169</v>
      </c>
      <c r="D18" s="4" t="s">
        <v>118</v>
      </c>
      <c r="E18" s="4" t="s">
        <v>170</v>
      </c>
      <c r="F18" s="4" t="s">
        <v>123</v>
      </c>
      <c r="G18" s="10" t="n">
        <f aca="false">IF(F18="","",IFERROR(INDEX(DQ_Scale!$B$5:$B$14,MATCH(F18,DQ_Scale!$A$5:$A$14,0)),""))</f>
        <v>1</v>
      </c>
      <c r="H18" s="4"/>
      <c r="I18" s="4" t="s">
        <v>163</v>
      </c>
      <c r="J18" s="4" t="s">
        <v>87</v>
      </c>
      <c r="K18" s="10" t="n">
        <f aca="false">IF(J18="","",IFERROR(INDEX(DQ_Scale!$B$5:$B$14,MATCH(J18,DQ_Scale!$A$5:$A$14,0)),""))</f>
        <v>1</v>
      </c>
      <c r="L18" s="4" t="s">
        <v>142</v>
      </c>
      <c r="M18" s="4" t="s">
        <v>171</v>
      </c>
      <c r="N18" s="4" t="s">
        <v>79</v>
      </c>
      <c r="O18" s="10" t="n">
        <f aca="false">IF(N18="","",IFERROR(INDEX(DQ_Scale!$B$5:$B$14,MATCH(N18,DQ_Scale!$A$5:$A$14,0)),""))</f>
        <v>5</v>
      </c>
      <c r="P18" s="4" t="s">
        <v>172</v>
      </c>
      <c r="Q18" s="4"/>
      <c r="R18" s="4"/>
    </row>
    <row r="19" customFormat="false" ht="23.85" hidden="false" customHeight="false" outlineLevel="0" collapsed="false">
      <c r="A19" s="4" t="s">
        <v>115</v>
      </c>
      <c r="B19" s="9" t="s">
        <v>173</v>
      </c>
      <c r="C19" s="4" t="s">
        <v>174</v>
      </c>
      <c r="D19" s="4" t="s">
        <v>118</v>
      </c>
      <c r="E19" s="4" t="s">
        <v>175</v>
      </c>
      <c r="F19" s="4" t="s">
        <v>120</v>
      </c>
      <c r="G19" s="10" t="n">
        <f aca="false">IF(F19="","",IFERROR(INDEX(DQ_Scale!$B$5:$B$14,MATCH(F19,DQ_Scale!$A$5:$A$14,0)),""))</f>
        <v>4</v>
      </c>
      <c r="H19" s="4" t="s">
        <v>121</v>
      </c>
      <c r="I19" s="4" t="s">
        <v>176</v>
      </c>
      <c r="J19" s="4" t="s">
        <v>87</v>
      </c>
      <c r="K19" s="10" t="n">
        <f aca="false">IF(J19="","",IFERROR(INDEX(DQ_Scale!$B$5:$B$14,MATCH(J19,DQ_Scale!$A$5:$A$14,0)),""))</f>
        <v>1</v>
      </c>
      <c r="L19" s="4" t="s">
        <v>177</v>
      </c>
      <c r="M19" s="4" t="s">
        <v>178</v>
      </c>
      <c r="N19" s="4" t="s">
        <v>79</v>
      </c>
      <c r="O19" s="10" t="n">
        <f aca="false">IF(N19="","",IFERROR(INDEX(DQ_Scale!$B$5:$B$14,MATCH(N19,DQ_Scale!$A$5:$A$14,0)),""))</f>
        <v>5</v>
      </c>
      <c r="P19" s="4" t="s">
        <v>172</v>
      </c>
      <c r="Q19" s="4"/>
      <c r="R19" s="4"/>
    </row>
    <row r="20" customFormat="false" ht="23.85" hidden="false" customHeight="false" outlineLevel="0" collapsed="false">
      <c r="A20" s="4" t="s">
        <v>179</v>
      </c>
      <c r="B20" s="9" t="s">
        <v>180</v>
      </c>
      <c r="C20" s="4" t="s">
        <v>181</v>
      </c>
      <c r="D20" s="4" t="s">
        <v>182</v>
      </c>
      <c r="E20" s="4" t="s">
        <v>183</v>
      </c>
      <c r="F20" s="4" t="s">
        <v>68</v>
      </c>
      <c r="G20" s="10" t="n">
        <f aca="false">IF(F20="","",IFERROR(INDEX(DQ_Scale!$B$5:$B$14,MATCH(F20,DQ_Scale!$A$5:$A$14,0)),""))</f>
        <v>3</v>
      </c>
      <c r="H20" s="4" t="s">
        <v>184</v>
      </c>
      <c r="I20" s="4" t="s">
        <v>185</v>
      </c>
      <c r="J20" s="4" t="s">
        <v>71</v>
      </c>
      <c r="K20" s="10" t="n">
        <f aca="false">IF(J20="","",IFERROR(INDEX(DQ_Scale!$B$5:$B$14,MATCH(J20,DQ_Scale!$A$5:$A$14,0)),""))</f>
        <v>2</v>
      </c>
      <c r="L20" s="4"/>
      <c r="M20" s="4" t="s">
        <v>186</v>
      </c>
      <c r="N20" s="4" t="s">
        <v>68</v>
      </c>
      <c r="O20" s="10" t="n">
        <f aca="false">IF(N20="","",IFERROR(INDEX(DQ_Scale!$B$5:$B$14,MATCH(N20,DQ_Scale!$A$5:$A$14,0)),""))</f>
        <v>3</v>
      </c>
      <c r="P20" s="4" t="s">
        <v>187</v>
      </c>
      <c r="Q20" s="4" t="s">
        <v>188</v>
      </c>
      <c r="R20" s="4"/>
    </row>
    <row r="21" customFormat="false" ht="15" hidden="false" customHeight="false" outlineLevel="0" collapsed="false">
      <c r="A21" s="4" t="s">
        <v>179</v>
      </c>
      <c r="B21" s="9" t="s">
        <v>189</v>
      </c>
      <c r="C21" s="4" t="s">
        <v>190</v>
      </c>
      <c r="D21" s="4" t="s">
        <v>191</v>
      </c>
      <c r="E21" s="4" t="s">
        <v>192</v>
      </c>
      <c r="F21" s="4" t="s">
        <v>68</v>
      </c>
      <c r="G21" s="10" t="n">
        <f aca="false">IF(F21="","",IFERROR(INDEX(DQ_Scale!$B$5:$B$14,MATCH(F21,DQ_Scale!$A$5:$A$14,0)),""))</f>
        <v>3</v>
      </c>
      <c r="H21" s="4" t="s">
        <v>193</v>
      </c>
      <c r="I21" s="4" t="s">
        <v>194</v>
      </c>
      <c r="J21" s="4" t="s">
        <v>71</v>
      </c>
      <c r="K21" s="10" t="n">
        <f aca="false">IF(J21="","",IFERROR(INDEX(DQ_Scale!$B$5:$B$14,MATCH(J21,DQ_Scale!$A$5:$A$14,0)),""))</f>
        <v>2</v>
      </c>
      <c r="L21" s="4"/>
      <c r="M21" s="4" t="s">
        <v>195</v>
      </c>
      <c r="N21" s="4" t="s">
        <v>68</v>
      </c>
      <c r="O21" s="10" t="n">
        <f aca="false">IF(N21="","",IFERROR(INDEX(DQ_Scale!$B$5:$B$14,MATCH(N21,DQ_Scale!$A$5:$A$14,0)),""))</f>
        <v>3</v>
      </c>
      <c r="P21" s="4" t="s">
        <v>196</v>
      </c>
      <c r="Q21" s="4" t="s">
        <v>197</v>
      </c>
      <c r="R21" s="4"/>
    </row>
    <row r="22" customFormat="false" ht="15" hidden="false" customHeight="false" outlineLevel="0" collapsed="false">
      <c r="A22" s="4" t="s">
        <v>179</v>
      </c>
      <c r="B22" s="9" t="s">
        <v>198</v>
      </c>
      <c r="C22" s="4" t="s">
        <v>199</v>
      </c>
      <c r="D22" s="4" t="s">
        <v>200</v>
      </c>
      <c r="E22" s="4" t="s">
        <v>201</v>
      </c>
      <c r="F22" s="4" t="s">
        <v>202</v>
      </c>
      <c r="G22" s="10" t="n">
        <f aca="false">IF(F22="","",IFERROR(INDEX(DQ_Scale!$B$5:$B$14,MATCH(F22,DQ_Scale!$A$5:$A$14,0)),""))</f>
        <v>2</v>
      </c>
      <c r="H22" s="4" t="s">
        <v>203</v>
      </c>
      <c r="I22" s="4" t="s">
        <v>204</v>
      </c>
      <c r="J22" s="4" t="s">
        <v>71</v>
      </c>
      <c r="K22" s="10" t="n">
        <f aca="false">IF(J22="","",IFERROR(INDEX(DQ_Scale!$B$5:$B$14,MATCH(J22,DQ_Scale!$A$5:$A$14,0)),""))</f>
        <v>2</v>
      </c>
      <c r="L22" s="4"/>
      <c r="M22" s="4" t="s">
        <v>205</v>
      </c>
      <c r="N22" s="4" t="s">
        <v>68</v>
      </c>
      <c r="O22" s="10" t="n">
        <f aca="false">IF(N22="","",IFERROR(INDEX(DQ_Scale!$B$5:$B$14,MATCH(N22,DQ_Scale!$A$5:$A$14,0)),""))</f>
        <v>3</v>
      </c>
      <c r="P22" s="4" t="s">
        <v>206</v>
      </c>
      <c r="Q22" s="4"/>
      <c r="R22" s="4"/>
    </row>
    <row r="23" customFormat="false" ht="23.85" hidden="false" customHeight="false" outlineLevel="0" collapsed="false">
      <c r="A23" s="4" t="s">
        <v>179</v>
      </c>
      <c r="B23" s="9" t="s">
        <v>207</v>
      </c>
      <c r="C23" s="4" t="s">
        <v>208</v>
      </c>
      <c r="D23" s="4" t="s">
        <v>209</v>
      </c>
      <c r="E23" s="4" t="s">
        <v>210</v>
      </c>
      <c r="F23" s="4" t="s">
        <v>68</v>
      </c>
      <c r="G23" s="10" t="n">
        <f aca="false">IF(F23="","",IFERROR(INDEX(DQ_Scale!$B$5:$B$14,MATCH(F23,DQ_Scale!$A$5:$A$14,0)),""))</f>
        <v>3</v>
      </c>
      <c r="H23" s="4" t="s">
        <v>211</v>
      </c>
      <c r="I23" s="4" t="s">
        <v>212</v>
      </c>
      <c r="J23" s="4" t="s">
        <v>71</v>
      </c>
      <c r="K23" s="10" t="n">
        <f aca="false">IF(J23="","",IFERROR(INDEX(DQ_Scale!$B$5:$B$14,MATCH(J23,DQ_Scale!$A$5:$A$14,0)),""))</f>
        <v>2</v>
      </c>
      <c r="L23" s="4"/>
      <c r="M23" s="4" t="s">
        <v>213</v>
      </c>
      <c r="N23" s="4" t="s">
        <v>74</v>
      </c>
      <c r="O23" s="10" t="n">
        <f aca="false">IF(N23="","",IFERROR(INDEX(DQ_Scale!$B$5:$B$14,MATCH(N23,DQ_Scale!$A$5:$A$14,0)),""))</f>
        <v>4</v>
      </c>
      <c r="P23" s="4" t="s">
        <v>214</v>
      </c>
      <c r="Q23" s="4"/>
      <c r="R23" s="4"/>
    </row>
    <row r="24" customFormat="false" ht="23.85" hidden="false" customHeight="false" outlineLevel="0" collapsed="false">
      <c r="A24" s="4" t="s">
        <v>179</v>
      </c>
      <c r="B24" s="9" t="s">
        <v>215</v>
      </c>
      <c r="C24" s="4" t="s">
        <v>216</v>
      </c>
      <c r="D24" s="4" t="s">
        <v>191</v>
      </c>
      <c r="E24" s="4" t="s">
        <v>217</v>
      </c>
      <c r="F24" s="4" t="s">
        <v>141</v>
      </c>
      <c r="G24" s="10" t="n">
        <f aca="false">IF(F24="","",IFERROR(INDEX(DQ_Scale!$B$5:$B$14,MATCH(F24,DQ_Scale!$A$5:$A$14,0)),""))</f>
        <v>2</v>
      </c>
      <c r="H24" s="4" t="s">
        <v>142</v>
      </c>
      <c r="I24" s="4" t="s">
        <v>218</v>
      </c>
      <c r="J24" s="4" t="s">
        <v>141</v>
      </c>
      <c r="K24" s="10" t="n">
        <f aca="false">IF(J24="","",IFERROR(INDEX(DQ_Scale!$B$5:$B$14,MATCH(J24,DQ_Scale!$A$5:$A$14,0)),""))</f>
        <v>2</v>
      </c>
      <c r="L24" s="4" t="s">
        <v>142</v>
      </c>
      <c r="M24" s="4" t="s">
        <v>219</v>
      </c>
      <c r="N24" s="4" t="s">
        <v>141</v>
      </c>
      <c r="O24" s="10" t="n">
        <f aca="false">IF(N24="","",IFERROR(INDEX(DQ_Scale!$B$5:$B$14,MATCH(N24,DQ_Scale!$A$5:$A$14,0)),""))</f>
        <v>2</v>
      </c>
      <c r="P24" s="4" t="s">
        <v>220</v>
      </c>
      <c r="Q24" s="4" t="s">
        <v>221</v>
      </c>
      <c r="R24" s="4"/>
    </row>
    <row r="25" customFormat="false" ht="23.85" hidden="false" customHeight="false" outlineLevel="0" collapsed="false">
      <c r="A25" s="4" t="s">
        <v>179</v>
      </c>
      <c r="B25" s="9" t="s">
        <v>222</v>
      </c>
      <c r="C25" s="4" t="s">
        <v>223</v>
      </c>
      <c r="D25" s="4" t="s">
        <v>224</v>
      </c>
      <c r="E25" s="4" t="s">
        <v>225</v>
      </c>
      <c r="F25" s="4" t="s">
        <v>79</v>
      </c>
      <c r="G25" s="10" t="n">
        <f aca="false">IF(F25="","",IFERROR(INDEX(DQ_Scale!$B$5:$B$14,MATCH(F25,DQ_Scale!$A$5:$A$14,0)),""))</f>
        <v>5</v>
      </c>
      <c r="H25" s="4" t="s">
        <v>226</v>
      </c>
      <c r="I25" s="4" t="s">
        <v>227</v>
      </c>
      <c r="J25" s="4" t="s">
        <v>71</v>
      </c>
      <c r="K25" s="10" t="n">
        <f aca="false">IF(J25="","",IFERROR(INDEX(DQ_Scale!$B$5:$B$14,MATCH(J25,DQ_Scale!$A$5:$A$14,0)),""))</f>
        <v>2</v>
      </c>
      <c r="L25" s="4"/>
      <c r="M25" s="4" t="s">
        <v>228</v>
      </c>
      <c r="N25" s="4" t="s">
        <v>74</v>
      </c>
      <c r="O25" s="10" t="n">
        <f aca="false">IF(N25="","",IFERROR(INDEX(DQ_Scale!$B$5:$B$14,MATCH(N25,DQ_Scale!$A$5:$A$14,0)),""))</f>
        <v>4</v>
      </c>
      <c r="P25" s="4" t="s">
        <v>229</v>
      </c>
      <c r="Q25" s="4" t="s">
        <v>230</v>
      </c>
      <c r="R25" s="4"/>
    </row>
    <row r="26" customFormat="false" ht="23.85" hidden="false" customHeight="false" outlineLevel="0" collapsed="false">
      <c r="A26" s="4" t="s">
        <v>179</v>
      </c>
      <c r="B26" s="9" t="s">
        <v>231</v>
      </c>
      <c r="C26" s="4" t="s">
        <v>232</v>
      </c>
      <c r="D26" s="4" t="s">
        <v>224</v>
      </c>
      <c r="E26" s="4" t="s">
        <v>233</v>
      </c>
      <c r="F26" s="4" t="s">
        <v>234</v>
      </c>
      <c r="G26" s="10" t="n">
        <f aca="false">IF(F26="","",IFERROR(INDEX(DQ_Scale!$B$5:$B$14,MATCH(F26,DQ_Scale!$A$5:$A$14,0)),""))</f>
        <v>1</v>
      </c>
      <c r="H26" s="4" t="s">
        <v>235</v>
      </c>
      <c r="I26" s="4" t="s">
        <v>236</v>
      </c>
      <c r="J26" s="4" t="s">
        <v>71</v>
      </c>
      <c r="K26" s="10" t="n">
        <f aca="false">IF(J26="","",IFERROR(INDEX(DQ_Scale!$B$5:$B$14,MATCH(J26,DQ_Scale!$A$5:$A$14,0)),""))</f>
        <v>2</v>
      </c>
      <c r="L26" s="4"/>
      <c r="M26" s="4" t="s">
        <v>237</v>
      </c>
      <c r="N26" s="4" t="s">
        <v>74</v>
      </c>
      <c r="O26" s="10" t="n">
        <f aca="false">IF(N26="","",IFERROR(INDEX(DQ_Scale!$B$5:$B$14,MATCH(N26,DQ_Scale!$A$5:$A$14,0)),""))</f>
        <v>4</v>
      </c>
      <c r="P26" s="4" t="s">
        <v>229</v>
      </c>
      <c r="Q26" s="4" t="s">
        <v>238</v>
      </c>
      <c r="R26" s="4"/>
    </row>
    <row r="27" customFormat="false" ht="23.85" hidden="false" customHeight="false" outlineLevel="0" collapsed="false">
      <c r="A27" s="4" t="s">
        <v>179</v>
      </c>
      <c r="B27" s="9" t="s">
        <v>239</v>
      </c>
      <c r="C27" s="4" t="s">
        <v>240</v>
      </c>
      <c r="D27" s="4" t="s">
        <v>182</v>
      </c>
      <c r="E27" s="4" t="s">
        <v>241</v>
      </c>
      <c r="F27" s="4" t="s">
        <v>234</v>
      </c>
      <c r="G27" s="10" t="n">
        <f aca="false">IF(F27="","",IFERROR(INDEX(DQ_Scale!$B$5:$B$14,MATCH(F27,DQ_Scale!$A$5:$A$14,0)),""))</f>
        <v>1</v>
      </c>
      <c r="H27" s="4" t="s">
        <v>242</v>
      </c>
      <c r="I27" s="4" t="s">
        <v>243</v>
      </c>
      <c r="J27" s="4" t="s">
        <v>71</v>
      </c>
      <c r="K27" s="10" t="n">
        <f aca="false">IF(J27="","",IFERROR(INDEX(DQ_Scale!$B$5:$B$14,MATCH(J27,DQ_Scale!$A$5:$A$14,0)),""))</f>
        <v>2</v>
      </c>
      <c r="L27" s="4"/>
      <c r="M27" s="4" t="s">
        <v>244</v>
      </c>
      <c r="N27" s="4" t="s">
        <v>74</v>
      </c>
      <c r="O27" s="10" t="n">
        <f aca="false">IF(N27="","",IFERROR(INDEX(DQ_Scale!$B$5:$B$14,MATCH(N27,DQ_Scale!$A$5:$A$14,0)),""))</f>
        <v>4</v>
      </c>
      <c r="P27" s="4" t="s">
        <v>245</v>
      </c>
      <c r="Q27" s="4" t="s">
        <v>246</v>
      </c>
      <c r="R27" s="4"/>
    </row>
    <row r="28" customFormat="false" ht="23.85" hidden="false" customHeight="false" outlineLevel="0" collapsed="false">
      <c r="A28" s="4" t="s">
        <v>179</v>
      </c>
      <c r="B28" s="9" t="s">
        <v>247</v>
      </c>
      <c r="C28" s="4" t="s">
        <v>248</v>
      </c>
      <c r="D28" s="4" t="s">
        <v>191</v>
      </c>
      <c r="E28" s="4" t="s">
        <v>249</v>
      </c>
      <c r="F28" s="4" t="s">
        <v>123</v>
      </c>
      <c r="G28" s="10" t="n">
        <f aca="false">IF(F28="","",IFERROR(INDEX(DQ_Scale!$B$5:$B$14,MATCH(F28,DQ_Scale!$A$5:$A$14,0)),""))</f>
        <v>1</v>
      </c>
      <c r="H28" s="4"/>
      <c r="I28" s="4" t="s">
        <v>250</v>
      </c>
      <c r="J28" s="4" t="s">
        <v>141</v>
      </c>
      <c r="K28" s="10" t="n">
        <f aca="false">IF(J28="","",IFERROR(INDEX(DQ_Scale!$B$5:$B$14,MATCH(J28,DQ_Scale!$A$5:$A$14,0)),""))</f>
        <v>2</v>
      </c>
      <c r="L28" s="4" t="s">
        <v>142</v>
      </c>
      <c r="M28" s="4" t="s">
        <v>251</v>
      </c>
      <c r="N28" s="4" t="s">
        <v>141</v>
      </c>
      <c r="O28" s="10" t="n">
        <f aca="false">IF(N28="","",IFERROR(INDEX(DQ_Scale!$B$5:$B$14,MATCH(N28,DQ_Scale!$A$5:$A$14,0)),""))</f>
        <v>2</v>
      </c>
      <c r="P28" s="4" t="s">
        <v>252</v>
      </c>
      <c r="Q28" s="4"/>
      <c r="R28" s="4"/>
    </row>
    <row r="29" customFormat="false" ht="23.85" hidden="false" customHeight="false" outlineLevel="0" collapsed="false">
      <c r="A29" s="4" t="s">
        <v>253</v>
      </c>
      <c r="B29" s="9" t="s">
        <v>254</v>
      </c>
      <c r="C29" s="4" t="s">
        <v>255</v>
      </c>
      <c r="D29" s="4" t="s">
        <v>256</v>
      </c>
      <c r="E29" s="4" t="s">
        <v>257</v>
      </c>
      <c r="F29" s="4" t="s">
        <v>141</v>
      </c>
      <c r="G29" s="10" t="n">
        <f aca="false">IF(F29="","",IFERROR(INDEX(DQ_Scale!$B$5:$B$14,MATCH(F29,DQ_Scale!$A$5:$A$14,0)),""))</f>
        <v>2</v>
      </c>
      <c r="H29" s="4" t="s">
        <v>177</v>
      </c>
      <c r="I29" s="4" t="s">
        <v>258</v>
      </c>
      <c r="J29" s="4" t="s">
        <v>141</v>
      </c>
      <c r="K29" s="10" t="n">
        <f aca="false">IF(J29="","",IFERROR(INDEX(DQ_Scale!$B$5:$B$14,MATCH(J29,DQ_Scale!$A$5:$A$14,0)),""))</f>
        <v>2</v>
      </c>
      <c r="L29" s="4" t="s">
        <v>177</v>
      </c>
      <c r="M29" s="4" t="s">
        <v>259</v>
      </c>
      <c r="N29" s="4" t="s">
        <v>141</v>
      </c>
      <c r="O29" s="10" t="n">
        <f aca="false">IF(N29="","",IFERROR(INDEX(DQ_Scale!$B$5:$B$14,MATCH(N29,DQ_Scale!$A$5:$A$14,0)),""))</f>
        <v>2</v>
      </c>
      <c r="P29" s="4" t="s">
        <v>260</v>
      </c>
      <c r="Q29" s="4"/>
      <c r="R29" s="4" t="s">
        <v>261</v>
      </c>
    </row>
    <row r="30" customFormat="false" ht="23.85" hidden="false" customHeight="false" outlineLevel="0" collapsed="false">
      <c r="A30" s="4" t="s">
        <v>253</v>
      </c>
      <c r="B30" s="9" t="s">
        <v>262</v>
      </c>
      <c r="C30" s="4" t="s">
        <v>9</v>
      </c>
      <c r="D30" s="4" t="s">
        <v>263</v>
      </c>
      <c r="E30" s="11" t="n">
        <f aca="false">Std_Schedule!F41</f>
        <v>25</v>
      </c>
      <c r="F30" s="4" t="s">
        <v>68</v>
      </c>
      <c r="G30" s="10" t="n">
        <f aca="false">IF(F30="","",IFERROR(INDEX(DQ_Scale!$B$5:$B$14,MATCH(F30,DQ_Scale!$A$5:$A$14,0)),""))</f>
        <v>3</v>
      </c>
      <c r="H30" s="4" t="s">
        <v>26</v>
      </c>
      <c r="I30" s="11" t="n">
        <f aca="false">Std_Schedule!L41</f>
        <v>26</v>
      </c>
      <c r="J30" s="4" t="s">
        <v>71</v>
      </c>
      <c r="K30" s="10" t="n">
        <f aca="false">IF(J30="","",IFERROR(INDEX(DQ_Scale!$B$5:$B$14,MATCH(J30,DQ_Scale!$A$5:$A$14,0)),""))</f>
        <v>2</v>
      </c>
      <c r="L30" s="4" t="s">
        <v>26</v>
      </c>
      <c r="M30" s="11" t="n">
        <f aca="false">Std_Schedule!R41</f>
        <v>21</v>
      </c>
      <c r="N30" s="4" t="s">
        <v>74</v>
      </c>
      <c r="O30" s="10" t="n">
        <f aca="false">IF(N30="","",IFERROR(INDEX(DQ_Scale!$B$5:$B$14,MATCH(N30,DQ_Scale!$A$5:$A$14,0)),""))</f>
        <v>4</v>
      </c>
      <c r="P30" s="4" t="s">
        <v>26</v>
      </c>
      <c r="Q30" s="4"/>
      <c r="R30" s="4" t="s">
        <v>264</v>
      </c>
    </row>
    <row r="31" customFormat="false" ht="35.05" hidden="false" customHeight="false" outlineLevel="0" collapsed="false">
      <c r="A31" s="4" t="s">
        <v>253</v>
      </c>
      <c r="B31" s="9" t="s">
        <v>265</v>
      </c>
      <c r="C31" s="4" t="s">
        <v>266</v>
      </c>
      <c r="D31" s="4" t="s">
        <v>267</v>
      </c>
      <c r="E31" s="4" t="s">
        <v>268</v>
      </c>
      <c r="F31" s="4" t="s">
        <v>68</v>
      </c>
      <c r="G31" s="10" t="n">
        <f aca="false">IF(F31="","",IFERROR(INDEX(DQ_Scale!$B$5:$B$14,MATCH(F31,DQ_Scale!$A$5:$A$14,0)),""))</f>
        <v>3</v>
      </c>
      <c r="H31" s="4" t="s">
        <v>177</v>
      </c>
      <c r="I31" s="4" t="s">
        <v>268</v>
      </c>
      <c r="J31" s="4" t="s">
        <v>71</v>
      </c>
      <c r="K31" s="10" t="n">
        <f aca="false">IF(J31="","",IFERROR(INDEX(DQ_Scale!$B$5:$B$14,MATCH(J31,DQ_Scale!$A$5:$A$14,0)),""))</f>
        <v>2</v>
      </c>
      <c r="L31" s="4" t="s">
        <v>177</v>
      </c>
      <c r="M31" s="4" t="s">
        <v>269</v>
      </c>
      <c r="N31" s="4" t="s">
        <v>79</v>
      </c>
      <c r="O31" s="10" t="n">
        <f aca="false">IF(N31="","",IFERROR(INDEX(DQ_Scale!$B$5:$B$14,MATCH(N31,DQ_Scale!$A$5:$A$14,0)),""))</f>
        <v>5</v>
      </c>
      <c r="P31" s="4" t="s">
        <v>270</v>
      </c>
      <c r="Q31" s="4"/>
      <c r="R31" s="4"/>
    </row>
    <row r="32" customFormat="false" ht="23.85" hidden="false" customHeight="false" outlineLevel="0" collapsed="false">
      <c r="A32" s="4" t="s">
        <v>253</v>
      </c>
      <c r="B32" s="9" t="s">
        <v>271</v>
      </c>
      <c r="C32" s="4" t="s">
        <v>272</v>
      </c>
      <c r="D32" s="4" t="s">
        <v>66</v>
      </c>
      <c r="E32" s="4" t="s">
        <v>273</v>
      </c>
      <c r="F32" s="4" t="s">
        <v>79</v>
      </c>
      <c r="G32" s="10" t="n">
        <f aca="false">IF(F32="","",IFERROR(INDEX(DQ_Scale!$B$5:$B$14,MATCH(F32,DQ_Scale!$A$5:$A$14,0)),""))</f>
        <v>5</v>
      </c>
      <c r="H32" s="4" t="s">
        <v>274</v>
      </c>
      <c r="I32" s="4" t="s">
        <v>275</v>
      </c>
      <c r="J32" s="4" t="s">
        <v>71</v>
      </c>
      <c r="K32" s="10" t="n">
        <f aca="false">IF(J32="","",IFERROR(INDEX(DQ_Scale!$B$5:$B$14,MATCH(J32,DQ_Scale!$A$5:$A$14,0)),""))</f>
        <v>2</v>
      </c>
      <c r="L32" s="4"/>
      <c r="M32" s="4" t="s">
        <v>276</v>
      </c>
      <c r="N32" s="4" t="s">
        <v>74</v>
      </c>
      <c r="O32" s="10" t="n">
        <f aca="false">IF(N32="","",IFERROR(INDEX(DQ_Scale!$B$5:$B$14,MATCH(N32,DQ_Scale!$A$5:$A$14,0)),""))</f>
        <v>4</v>
      </c>
      <c r="P32" s="4" t="s">
        <v>277</v>
      </c>
      <c r="Q32" s="4"/>
      <c r="R32" s="4"/>
    </row>
    <row r="33" customFormat="false" ht="35.05" hidden="false" customHeight="false" outlineLevel="0" collapsed="false">
      <c r="A33" s="4" t="s">
        <v>253</v>
      </c>
      <c r="B33" s="9" t="s">
        <v>278</v>
      </c>
      <c r="C33" s="4" t="s">
        <v>279</v>
      </c>
      <c r="D33" s="4" t="s">
        <v>66</v>
      </c>
      <c r="E33" s="4" t="s">
        <v>280</v>
      </c>
      <c r="F33" s="4" t="s">
        <v>68</v>
      </c>
      <c r="G33" s="10" t="n">
        <f aca="false">IF(F33="","",IFERROR(INDEX(DQ_Scale!$B$5:$B$14,MATCH(F33,DQ_Scale!$A$5:$A$14,0)),""))</f>
        <v>3</v>
      </c>
      <c r="H33" s="4" t="s">
        <v>281</v>
      </c>
      <c r="I33" s="4" t="s">
        <v>282</v>
      </c>
      <c r="J33" s="4" t="s">
        <v>71</v>
      </c>
      <c r="K33" s="10" t="n">
        <f aca="false">IF(J33="","",IFERROR(INDEX(DQ_Scale!$B$5:$B$14,MATCH(J33,DQ_Scale!$A$5:$A$14,0)),""))</f>
        <v>2</v>
      </c>
      <c r="L33" s="4"/>
      <c r="M33" s="4" t="s">
        <v>283</v>
      </c>
      <c r="N33" s="4" t="s">
        <v>68</v>
      </c>
      <c r="O33" s="10" t="n">
        <f aca="false">IF(N33="","",IFERROR(INDEX(DQ_Scale!$B$5:$B$14,MATCH(N33,DQ_Scale!$A$5:$A$14,0)),""))</f>
        <v>3</v>
      </c>
      <c r="P33" s="4" t="s">
        <v>284</v>
      </c>
      <c r="Q33" s="4"/>
      <c r="R33" s="4"/>
    </row>
    <row r="34" customFormat="false" ht="57.45" hidden="false" customHeight="false" outlineLevel="0" collapsed="false">
      <c r="A34" s="4" t="s">
        <v>285</v>
      </c>
      <c r="B34" s="9" t="s">
        <v>286</v>
      </c>
      <c r="C34" s="4" t="s">
        <v>287</v>
      </c>
      <c r="D34" s="4" t="s">
        <v>66</v>
      </c>
      <c r="E34" s="4" t="s">
        <v>288</v>
      </c>
      <c r="F34" s="4" t="s">
        <v>68</v>
      </c>
      <c r="G34" s="10" t="n">
        <f aca="false">IF(F34="","",IFERROR(INDEX(DQ_Scale!$B$5:$B$14,MATCH(F34,DQ_Scale!$A$5:$A$14,0)),""))</f>
        <v>3</v>
      </c>
      <c r="H34" s="4" t="s">
        <v>289</v>
      </c>
      <c r="I34" s="4" t="s">
        <v>290</v>
      </c>
      <c r="J34" s="4" t="s">
        <v>71</v>
      </c>
      <c r="K34" s="10" t="n">
        <f aca="false">IF(J34="","",IFERROR(INDEX(DQ_Scale!$B$5:$B$14,MATCH(J34,DQ_Scale!$A$5:$A$14,0)),""))</f>
        <v>2</v>
      </c>
      <c r="L34" s="4" t="s">
        <v>289</v>
      </c>
      <c r="M34" s="4" t="s">
        <v>291</v>
      </c>
      <c r="N34" s="4" t="s">
        <v>74</v>
      </c>
      <c r="O34" s="10" t="n">
        <f aca="false">IF(N34="","",IFERROR(INDEX(DQ_Scale!$B$5:$B$14,MATCH(N34,DQ_Scale!$A$5:$A$14,0)),""))</f>
        <v>4</v>
      </c>
      <c r="P34" s="4" t="s">
        <v>292</v>
      </c>
      <c r="Q34" s="4"/>
      <c r="R34" s="4"/>
    </row>
    <row r="35" customFormat="false" ht="57.45" hidden="false" customHeight="false" outlineLevel="0" collapsed="false">
      <c r="A35" s="4" t="s">
        <v>285</v>
      </c>
      <c r="B35" s="9" t="s">
        <v>293</v>
      </c>
      <c r="C35" s="4" t="s">
        <v>294</v>
      </c>
      <c r="D35" s="4" t="s">
        <v>66</v>
      </c>
      <c r="E35" s="4" t="s">
        <v>295</v>
      </c>
      <c r="F35" s="4" t="s">
        <v>68</v>
      </c>
      <c r="G35" s="10" t="n">
        <f aca="false">IF(F35="","",IFERROR(INDEX(DQ_Scale!$B$5:$B$14,MATCH(F35,DQ_Scale!$A$5:$A$14,0)),""))</f>
        <v>3</v>
      </c>
      <c r="H35" s="4" t="s">
        <v>296</v>
      </c>
      <c r="I35" s="4" t="s">
        <v>297</v>
      </c>
      <c r="J35" s="4" t="s">
        <v>71</v>
      </c>
      <c r="K35" s="10" t="n">
        <f aca="false">IF(J35="","",IFERROR(INDEX(DQ_Scale!$B$5:$B$14,MATCH(J35,DQ_Scale!$A$5:$A$14,0)),""))</f>
        <v>2</v>
      </c>
      <c r="L35" s="4" t="s">
        <v>296</v>
      </c>
      <c r="M35" s="4" t="s">
        <v>298</v>
      </c>
      <c r="N35" s="4" t="s">
        <v>74</v>
      </c>
      <c r="O35" s="10" t="n">
        <f aca="false">IF(N35="","",IFERROR(INDEX(DQ_Scale!$B$5:$B$14,MATCH(N35,DQ_Scale!$A$5:$A$14,0)),""))</f>
        <v>4</v>
      </c>
      <c r="P35" s="4" t="s">
        <v>299</v>
      </c>
      <c r="Q35" s="4"/>
      <c r="R35" s="4"/>
    </row>
    <row r="36" customFormat="false" ht="46.25" hidden="false" customHeight="false" outlineLevel="0" collapsed="false">
      <c r="A36" s="4" t="s">
        <v>285</v>
      </c>
      <c r="B36" s="9" t="s">
        <v>300</v>
      </c>
      <c r="C36" s="4" t="s">
        <v>301</v>
      </c>
      <c r="D36" s="4" t="s">
        <v>66</v>
      </c>
      <c r="E36" s="4" t="s">
        <v>302</v>
      </c>
      <c r="F36" s="4" t="s">
        <v>68</v>
      </c>
      <c r="G36" s="10" t="n">
        <f aca="false">IF(F36="","",IFERROR(INDEX(DQ_Scale!$B$5:$B$14,MATCH(F36,DQ_Scale!$A$5:$A$14,0)),""))</f>
        <v>3</v>
      </c>
      <c r="H36" s="4" t="s">
        <v>303</v>
      </c>
      <c r="I36" s="4" t="s">
        <v>304</v>
      </c>
      <c r="J36" s="4" t="s">
        <v>71</v>
      </c>
      <c r="K36" s="10" t="n">
        <f aca="false">IF(J36="","",IFERROR(INDEX(DQ_Scale!$B$5:$B$14,MATCH(J36,DQ_Scale!$A$5:$A$14,0)),""))</f>
        <v>2</v>
      </c>
      <c r="L36" s="4" t="s">
        <v>303</v>
      </c>
      <c r="M36" s="4" t="s">
        <v>305</v>
      </c>
      <c r="N36" s="4" t="s">
        <v>68</v>
      </c>
      <c r="O36" s="10" t="n">
        <f aca="false">IF(N36="","",IFERROR(INDEX(DQ_Scale!$B$5:$B$14,MATCH(N36,DQ_Scale!$A$5:$A$14,0)),""))</f>
        <v>3</v>
      </c>
      <c r="P36" s="4" t="s">
        <v>306</v>
      </c>
      <c r="Q36" s="4"/>
      <c r="R36" s="4"/>
    </row>
    <row r="37" customFormat="false" ht="68.65" hidden="false" customHeight="false" outlineLevel="0" collapsed="false">
      <c r="A37" s="4" t="s">
        <v>285</v>
      </c>
      <c r="B37" s="9" t="s">
        <v>307</v>
      </c>
      <c r="C37" s="4" t="s">
        <v>308</v>
      </c>
      <c r="D37" s="4" t="s">
        <v>66</v>
      </c>
      <c r="E37" s="4" t="s">
        <v>309</v>
      </c>
      <c r="F37" s="4" t="s">
        <v>68</v>
      </c>
      <c r="G37" s="10" t="n">
        <f aca="false">IF(F37="","",IFERROR(INDEX(DQ_Scale!$B$5:$B$14,MATCH(F37,DQ_Scale!$A$5:$A$14,0)),""))</f>
        <v>3</v>
      </c>
      <c r="H37" s="4" t="s">
        <v>310</v>
      </c>
      <c r="I37" s="4" t="s">
        <v>311</v>
      </c>
      <c r="J37" s="4" t="s">
        <v>71</v>
      </c>
      <c r="K37" s="10" t="n">
        <f aca="false">IF(J37="","",IFERROR(INDEX(DQ_Scale!$B$5:$B$14,MATCH(J37,DQ_Scale!$A$5:$A$14,0)),""))</f>
        <v>2</v>
      </c>
      <c r="L37" s="4" t="s">
        <v>310</v>
      </c>
      <c r="M37" s="4" t="s">
        <v>312</v>
      </c>
      <c r="N37" s="4" t="s">
        <v>68</v>
      </c>
      <c r="O37" s="10" t="n">
        <f aca="false">IF(N37="","",IFERROR(INDEX(DQ_Scale!$B$5:$B$14,MATCH(N37,DQ_Scale!$A$5:$A$14,0)),""))</f>
        <v>3</v>
      </c>
      <c r="P37" s="4" t="s">
        <v>313</v>
      </c>
      <c r="Q37" s="4"/>
      <c r="R37" s="4"/>
    </row>
    <row r="38" customFormat="false" ht="57.45" hidden="false" customHeight="false" outlineLevel="0" collapsed="false">
      <c r="A38" s="4" t="s">
        <v>285</v>
      </c>
      <c r="B38" s="9" t="s">
        <v>314</v>
      </c>
      <c r="C38" s="4" t="s">
        <v>315</v>
      </c>
      <c r="D38" s="4" t="s">
        <v>66</v>
      </c>
      <c r="E38" s="4" t="s">
        <v>316</v>
      </c>
      <c r="F38" s="4" t="s">
        <v>68</v>
      </c>
      <c r="G38" s="10" t="n">
        <f aca="false">IF(F38="","",IFERROR(INDEX(DQ_Scale!$B$5:$B$14,MATCH(F38,DQ_Scale!$A$5:$A$14,0)),""))</f>
        <v>3</v>
      </c>
      <c r="H38" s="4" t="s">
        <v>317</v>
      </c>
      <c r="I38" s="4" t="s">
        <v>318</v>
      </c>
      <c r="J38" s="4" t="s">
        <v>71</v>
      </c>
      <c r="K38" s="10" t="n">
        <f aca="false">IF(J38="","",IFERROR(INDEX(DQ_Scale!$B$5:$B$14,MATCH(J38,DQ_Scale!$A$5:$A$14,0)),""))</f>
        <v>2</v>
      </c>
      <c r="L38" s="4" t="s">
        <v>317</v>
      </c>
      <c r="M38" s="4" t="s">
        <v>319</v>
      </c>
      <c r="N38" s="4" t="s">
        <v>79</v>
      </c>
      <c r="O38" s="10" t="n">
        <f aca="false">IF(N38="","",IFERROR(INDEX(DQ_Scale!$B$5:$B$14,MATCH(N38,DQ_Scale!$A$5:$A$14,0)),""))</f>
        <v>5</v>
      </c>
      <c r="P38" s="4" t="s">
        <v>320</v>
      </c>
      <c r="Q38" s="4"/>
      <c r="R38" s="4"/>
    </row>
    <row r="39" customFormat="false" ht="68.65" hidden="false" customHeight="false" outlineLevel="0" collapsed="false">
      <c r="A39" s="4" t="s">
        <v>285</v>
      </c>
      <c r="B39" s="9" t="s">
        <v>321</v>
      </c>
      <c r="C39" s="4" t="s">
        <v>322</v>
      </c>
      <c r="D39" s="4" t="s">
        <v>66</v>
      </c>
      <c r="E39" s="4" t="s">
        <v>323</v>
      </c>
      <c r="F39" s="4" t="s">
        <v>120</v>
      </c>
      <c r="G39" s="10" t="n">
        <f aca="false">IF(F39="","",IFERROR(INDEX(DQ_Scale!$B$5:$B$14,MATCH(F39,DQ_Scale!$A$5:$A$14,0)),""))</f>
        <v>4</v>
      </c>
      <c r="H39" s="4" t="s">
        <v>324</v>
      </c>
      <c r="I39" s="4" t="s">
        <v>325</v>
      </c>
      <c r="J39" s="4" t="s">
        <v>71</v>
      </c>
      <c r="K39" s="10" t="n">
        <f aca="false">IF(J39="","",IFERROR(INDEX(DQ_Scale!$B$5:$B$14,MATCH(J39,DQ_Scale!$A$5:$A$14,0)),""))</f>
        <v>2</v>
      </c>
      <c r="L39" s="4" t="s">
        <v>324</v>
      </c>
      <c r="M39" s="4" t="s">
        <v>326</v>
      </c>
      <c r="N39" s="4" t="s">
        <v>74</v>
      </c>
      <c r="O39" s="10" t="n">
        <f aca="false">IF(N39="","",IFERROR(INDEX(DQ_Scale!$B$5:$B$14,MATCH(N39,DQ_Scale!$A$5:$A$14,0)),""))</f>
        <v>4</v>
      </c>
      <c r="P39" s="4" t="s">
        <v>327</v>
      </c>
      <c r="Q39" s="4"/>
      <c r="R39" s="4"/>
    </row>
    <row r="40" customFormat="false" ht="23.85" hidden="false" customHeight="false" outlineLevel="0" collapsed="false">
      <c r="A40" s="4" t="s">
        <v>285</v>
      </c>
      <c r="B40" s="9" t="s">
        <v>328</v>
      </c>
      <c r="C40" s="4" t="s">
        <v>329</v>
      </c>
      <c r="D40" s="4" t="s">
        <v>66</v>
      </c>
      <c r="E40" s="4" t="s">
        <v>330</v>
      </c>
      <c r="F40" s="4" t="s">
        <v>123</v>
      </c>
      <c r="G40" s="10" t="n">
        <f aca="false">IF(F40="","",IFERROR(INDEX(DQ_Scale!$B$5:$B$14,MATCH(F40,DQ_Scale!$A$5:$A$14,0)),""))</f>
        <v>1</v>
      </c>
      <c r="H40" s="4"/>
      <c r="I40" s="4" t="s">
        <v>331</v>
      </c>
      <c r="J40" s="4" t="s">
        <v>123</v>
      </c>
      <c r="K40" s="10" t="n">
        <f aca="false">IF(J40="","",IFERROR(INDEX(DQ_Scale!$B$5:$B$14,MATCH(J40,DQ_Scale!$A$5:$A$14,0)),""))</f>
        <v>1</v>
      </c>
      <c r="L40" s="4"/>
      <c r="M40" s="4" t="s">
        <v>330</v>
      </c>
      <c r="N40" s="4" t="s">
        <v>123</v>
      </c>
      <c r="O40" s="10" t="n">
        <f aca="false">IF(N40="","",IFERROR(INDEX(DQ_Scale!$B$5:$B$14,MATCH(N40,DQ_Scale!$A$5:$A$14,0)),""))</f>
        <v>1</v>
      </c>
      <c r="P40" s="4"/>
      <c r="Q40" s="4"/>
      <c r="R40" s="4"/>
    </row>
    <row r="41" customFormat="false" ht="57.45" hidden="false" customHeight="false" outlineLevel="0" collapsed="false">
      <c r="A41" s="4" t="s">
        <v>332</v>
      </c>
      <c r="B41" s="9" t="s">
        <v>333</v>
      </c>
      <c r="C41" s="4" t="s">
        <v>334</v>
      </c>
      <c r="D41" s="4" t="s">
        <v>66</v>
      </c>
      <c r="E41" s="4" t="s">
        <v>335</v>
      </c>
      <c r="F41" s="4"/>
      <c r="G41" s="10" t="str">
        <f aca="false">IF(F41="","",IFERROR(INDEX(DQ_Scale!$B$5:$B$14,MATCH(F41,DQ_Scale!$A$5:$A$14,0)),""))</f>
        <v/>
      </c>
      <c r="H41" s="4" t="s">
        <v>336</v>
      </c>
      <c r="I41" s="4" t="s">
        <v>337</v>
      </c>
      <c r="J41" s="4"/>
      <c r="K41" s="10" t="str">
        <f aca="false">IF(J41="","",IFERROR(INDEX(DQ_Scale!$B$5:$B$14,MATCH(J41,DQ_Scale!$A$5:$A$14,0)),""))</f>
        <v/>
      </c>
      <c r="L41" s="4" t="s">
        <v>112</v>
      </c>
      <c r="M41" s="4" t="s">
        <v>338</v>
      </c>
      <c r="N41" s="4"/>
      <c r="O41" s="10" t="str">
        <f aca="false">IF(N41="","",IFERROR(INDEX(DQ_Scale!$B$5:$B$14,MATCH(N41,DQ_Scale!$A$5:$A$14,0)),""))</f>
        <v/>
      </c>
      <c r="P41" s="4" t="s">
        <v>114</v>
      </c>
      <c r="Q41" s="4"/>
      <c r="R41" s="4"/>
    </row>
  </sheetData>
  <conditionalFormatting sqref="G5:G41">
    <cfRule type="colorScale" priority="2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conditionalFormatting sqref="K5:K41">
    <cfRule type="colorScale" priority="3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conditionalFormatting sqref="O5:O41">
    <cfRule type="colorScale" priority="4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dataValidations count="1">
    <dataValidation allowBlank="true" errorStyle="stop" operator="between" showDropDown="false" showErrorMessage="false" showInputMessage="false" sqref="F5:F41 J5:J41 N5:N41" type="list">
      <formula1>"verified,verified_open_point,corrected,partly_verified,not_verified,not_reviewed,estimate,last_legible,assumption,data_gap"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5" topLeftCell="F6" activePane="bottomRight" state="frozen"/>
      <selection pane="topLeft" activeCell="A1" activeCellId="0" sqref="A1"/>
      <selection pane="topRight" activeCell="F1" activeCellId="0" sqref="F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6"/>
    <col collapsed="false" customWidth="true" hidden="false" outlineLevel="0" max="3" min="3" style="0" width="6"/>
    <col collapsed="false" customWidth="true" hidden="false" outlineLevel="0" max="4" min="4" style="0" width="26"/>
    <col collapsed="false" customWidth="true" hidden="false" outlineLevel="0" max="5" min="5" style="0" width="13"/>
    <col collapsed="false" customWidth="true" hidden="false" outlineLevel="0" max="6" min="6" style="0" width="6"/>
    <col collapsed="false" customWidth="true" hidden="false" outlineLevel="0" max="7" min="7" style="0" width="40"/>
    <col collapsed="false" customWidth="true" hidden="false" outlineLevel="0" max="8" min="8" style="0" width="13"/>
    <col collapsed="false" customWidth="true" hidden="false" outlineLevel="0" max="9" min="9" style="0" width="11"/>
    <col collapsed="false" customWidth="true" hidden="false" outlineLevel="0" max="10" min="10" style="0" width="6"/>
    <col collapsed="false" customWidth="true" hidden="false" outlineLevel="0" max="11" min="11" style="0" width="14"/>
    <col collapsed="false" customWidth="true" hidden="false" outlineLevel="0" max="12" min="12" style="0" width="6"/>
    <col collapsed="false" customWidth="true" hidden="false" outlineLevel="0" max="13" min="13" style="0" width="40"/>
    <col collapsed="false" customWidth="true" hidden="false" outlineLevel="0" max="14" min="14" style="0" width="13"/>
    <col collapsed="false" customWidth="true" hidden="false" outlineLevel="0" max="15" min="15" style="0" width="11"/>
    <col collapsed="false" customWidth="true" hidden="false" outlineLevel="0" max="16" min="16" style="0" width="6"/>
    <col collapsed="false" customWidth="true" hidden="false" outlineLevel="0" max="17" min="17" style="0" width="14"/>
    <col collapsed="false" customWidth="true" hidden="false" outlineLevel="0" max="18" min="18" style="0" width="6"/>
    <col collapsed="false" customWidth="true" hidden="false" outlineLevel="0" max="19" min="19" style="0" width="40"/>
    <col collapsed="false" customWidth="true" hidden="false" outlineLevel="0" max="20" min="20" style="0" width="13"/>
    <col collapsed="false" customWidth="true" hidden="false" outlineLevel="0" max="21" min="21" style="0" width="11"/>
    <col collapsed="false" customWidth="true" hidden="false" outlineLevel="0" max="22" min="22" style="0" width="6"/>
    <col collapsed="false" customWidth="true" hidden="false" outlineLevel="0" max="23" min="23" style="0" width="14"/>
    <col collapsed="false" customWidth="true" hidden="false" outlineLevel="0" max="24" min="24" style="0" width="40"/>
  </cols>
  <sheetData>
    <row r="1" customFormat="false" ht="17.35" hidden="false" customHeight="false" outlineLevel="0" collapsed="false">
      <c r="A1" s="1" t="s">
        <v>339</v>
      </c>
    </row>
    <row r="2" customFormat="false" ht="15" hidden="false" customHeight="false" outlineLevel="0" collapsed="false">
      <c r="A2" s="2" t="s">
        <v>340</v>
      </c>
    </row>
    <row r="4" customFormat="false" ht="15" hidden="false" customHeight="false" outlineLevel="0" collapsed="false">
      <c r="F4" s="12" t="s">
        <v>341</v>
      </c>
      <c r="G4" s="12"/>
      <c r="H4" s="12"/>
      <c r="I4" s="12"/>
      <c r="J4" s="12"/>
      <c r="K4" s="12"/>
      <c r="L4" s="12" t="s">
        <v>342</v>
      </c>
      <c r="M4" s="12"/>
      <c r="N4" s="12"/>
      <c r="O4" s="12"/>
      <c r="P4" s="12"/>
      <c r="Q4" s="12"/>
      <c r="R4" s="12" t="s">
        <v>343</v>
      </c>
      <c r="S4" s="12"/>
      <c r="T4" s="12"/>
      <c r="U4" s="12"/>
      <c r="V4" s="12"/>
      <c r="W4" s="12"/>
    </row>
    <row r="5" customFormat="false" ht="23.85" hidden="false" customHeight="false" outlineLevel="0" collapsed="false">
      <c r="A5" s="3" t="s">
        <v>344</v>
      </c>
      <c r="B5" s="3" t="s">
        <v>345</v>
      </c>
      <c r="C5" s="3" t="s">
        <v>346</v>
      </c>
      <c r="D5" s="3" t="s">
        <v>347</v>
      </c>
      <c r="E5" s="3" t="s">
        <v>348</v>
      </c>
      <c r="F5" s="3" t="s">
        <v>349</v>
      </c>
      <c r="G5" s="3" t="s">
        <v>350</v>
      </c>
      <c r="H5" s="3" t="s">
        <v>351</v>
      </c>
      <c r="I5" s="3" t="s">
        <v>352</v>
      </c>
      <c r="J5" s="3" t="s">
        <v>51</v>
      </c>
      <c r="K5" s="3" t="s">
        <v>353</v>
      </c>
      <c r="L5" s="3" t="s">
        <v>354</v>
      </c>
      <c r="M5" s="3" t="s">
        <v>355</v>
      </c>
      <c r="N5" s="3" t="s">
        <v>356</v>
      </c>
      <c r="O5" s="3" t="s">
        <v>357</v>
      </c>
      <c r="P5" s="3" t="s">
        <v>55</v>
      </c>
      <c r="Q5" s="3" t="s">
        <v>358</v>
      </c>
      <c r="R5" s="3" t="s">
        <v>359</v>
      </c>
      <c r="S5" s="3" t="s">
        <v>360</v>
      </c>
      <c r="T5" s="3" t="s">
        <v>361</v>
      </c>
      <c r="U5" s="3" t="s">
        <v>362</v>
      </c>
      <c r="V5" s="3" t="s">
        <v>59</v>
      </c>
      <c r="W5" s="3" t="s">
        <v>363</v>
      </c>
      <c r="X5" s="3" t="s">
        <v>364</v>
      </c>
    </row>
    <row r="6" customFormat="false" ht="35.05" hidden="false" customHeight="false" outlineLevel="0" collapsed="false">
      <c r="A6" s="4" t="s">
        <v>365</v>
      </c>
      <c r="B6" s="4" t="s">
        <v>366</v>
      </c>
      <c r="C6" s="9" t="s">
        <v>367</v>
      </c>
      <c r="D6" s="4" t="s">
        <v>368</v>
      </c>
      <c r="E6" s="4" t="s">
        <v>369</v>
      </c>
      <c r="F6" s="13" t="n">
        <v>1</v>
      </c>
      <c r="G6" s="4" t="s">
        <v>370</v>
      </c>
      <c r="H6" s="4" t="s">
        <v>183</v>
      </c>
      <c r="I6" s="4" t="s">
        <v>192</v>
      </c>
      <c r="J6" s="14" t="n">
        <f aca="false">IF(COUNTIFS(Std_Schedule_Code!$B$5:$B$191,"SLE",Std_Schedule_Code!$G$5:$G$191,$C6)=0,"",_xlfn.MINIFS(Std_Schedule_Code!$AO$5:$AO$191,Std_Schedule_Code!$B$5:$B$191,"SLE",Std_Schedule_Code!$G$5:$G$191,$C6))</f>
        <v>3</v>
      </c>
      <c r="K6" s="4" t="s">
        <v>371</v>
      </c>
      <c r="L6" s="13" t="n">
        <v>1</v>
      </c>
      <c r="M6" s="4" t="s">
        <v>372</v>
      </c>
      <c r="N6" s="4" t="s">
        <v>185</v>
      </c>
      <c r="O6" s="4" t="s">
        <v>194</v>
      </c>
      <c r="P6" s="14" t="n">
        <f aca="false">IF(COUNTIFS(Std_Schedule_Code!$B$5:$B$191,"UGA",Std_Schedule_Code!$G$5:$G$191,$C6)=0,"",_xlfn.MINIFS(Std_Schedule_Code!$AO$5:$AO$191,Std_Schedule_Code!$B$5:$B$191,"UGA",Std_Schedule_Code!$G$5:$G$191,$C6))</f>
        <v>2</v>
      </c>
      <c r="Q6" s="4"/>
      <c r="R6" s="13" t="n">
        <v>2</v>
      </c>
      <c r="S6" s="4" t="s">
        <v>373</v>
      </c>
      <c r="T6" s="4" t="s">
        <v>374</v>
      </c>
      <c r="U6" s="4" t="s">
        <v>375</v>
      </c>
      <c r="V6" s="14" t="n">
        <f aca="false">IF(COUNTIFS(Std_Schedule_Code!$B$5:$B$191,"LBR",Std_Schedule_Code!$G$5:$G$191,$C6)=0,"",_xlfn.MINIFS(Std_Schedule_Code!$AO$5:$AO$191,Std_Schedule_Code!$B$5:$B$191,"LBR",Std_Schedule_Code!$G$5:$G$191,$C6))</f>
        <v>3</v>
      </c>
      <c r="W6" s="4" t="s">
        <v>376</v>
      </c>
      <c r="X6" s="4" t="s">
        <v>377</v>
      </c>
    </row>
    <row r="7" customFormat="false" ht="35.05" hidden="false" customHeight="false" outlineLevel="0" collapsed="false">
      <c r="A7" s="4" t="s">
        <v>365</v>
      </c>
      <c r="B7" s="4" t="s">
        <v>366</v>
      </c>
      <c r="C7" s="9" t="s">
        <v>378</v>
      </c>
      <c r="D7" s="4" t="s">
        <v>379</v>
      </c>
      <c r="E7" s="4" t="s">
        <v>369</v>
      </c>
      <c r="F7" s="13" t="n">
        <v>1</v>
      </c>
      <c r="G7" s="4" t="s">
        <v>380</v>
      </c>
      <c r="H7" s="4" t="s">
        <v>183</v>
      </c>
      <c r="I7" s="4" t="s">
        <v>381</v>
      </c>
      <c r="J7" s="14" t="n">
        <f aca="false">IF(COUNTIFS(Std_Schedule_Code!$B$5:$B$191,"SLE",Std_Schedule_Code!$G$5:$G$191,$C7)=0,"",_xlfn.MINIFS(Std_Schedule_Code!$AO$5:$AO$191,Std_Schedule_Code!$B$5:$B$191,"SLE",Std_Schedule_Code!$G$5:$G$191,$C7))</f>
        <v>3</v>
      </c>
      <c r="K7" s="4" t="s">
        <v>371</v>
      </c>
      <c r="L7" s="13" t="n">
        <v>1</v>
      </c>
      <c r="M7" s="4" t="s">
        <v>382</v>
      </c>
      <c r="N7" s="4" t="s">
        <v>383</v>
      </c>
      <c r="O7" s="4" t="s">
        <v>384</v>
      </c>
      <c r="P7" s="14" t="n">
        <f aca="false">IF(COUNTIFS(Std_Schedule_Code!$B$5:$B$191,"UGA",Std_Schedule_Code!$G$5:$G$191,$C7)=0,"",_xlfn.MINIFS(Std_Schedule_Code!$AO$5:$AO$191,Std_Schedule_Code!$B$5:$B$191,"UGA",Std_Schedule_Code!$G$5:$G$191,$C7))</f>
        <v>2</v>
      </c>
      <c r="Q7" s="4" t="s">
        <v>385</v>
      </c>
      <c r="R7" s="13" t="n">
        <v>2</v>
      </c>
      <c r="S7" s="4" t="s">
        <v>373</v>
      </c>
      <c r="T7" s="4" t="s">
        <v>374</v>
      </c>
      <c r="U7" s="4" t="s">
        <v>386</v>
      </c>
      <c r="V7" s="14" t="n">
        <f aca="false">IF(COUNTIFS(Std_Schedule_Code!$B$5:$B$191,"LBR",Std_Schedule_Code!$G$5:$G$191,$C7)=0,"",_xlfn.MINIFS(Std_Schedule_Code!$AO$5:$AO$191,Std_Schedule_Code!$B$5:$B$191,"LBR",Std_Schedule_Code!$G$5:$G$191,$C7))</f>
        <v>3</v>
      </c>
      <c r="W7" s="4" t="s">
        <v>376</v>
      </c>
      <c r="X7" s="4"/>
    </row>
    <row r="8" customFormat="false" ht="23.85" hidden="false" customHeight="false" outlineLevel="0" collapsed="false">
      <c r="A8" s="4" t="s">
        <v>365</v>
      </c>
      <c r="B8" s="4" t="s">
        <v>366</v>
      </c>
      <c r="C8" s="9" t="s">
        <v>387</v>
      </c>
      <c r="D8" s="4" t="s">
        <v>388</v>
      </c>
      <c r="E8" s="4" t="s">
        <v>369</v>
      </c>
      <c r="F8" s="13" t="n">
        <v>1</v>
      </c>
      <c r="G8" s="4" t="s">
        <v>389</v>
      </c>
      <c r="H8" s="4" t="s">
        <v>390</v>
      </c>
      <c r="I8" s="4" t="s">
        <v>391</v>
      </c>
      <c r="J8" s="14" t="n">
        <f aca="false">IF(COUNTIFS(Std_Schedule_Code!$B$5:$B$191,"SLE",Std_Schedule_Code!$G$5:$G$191,$C8)=0,"",_xlfn.MINIFS(Std_Schedule_Code!$AO$5:$AO$191,Std_Schedule_Code!$B$5:$B$191,"SLE",Std_Schedule_Code!$G$5:$G$191,$C8))</f>
        <v>2</v>
      </c>
      <c r="K8" s="4" t="s">
        <v>392</v>
      </c>
      <c r="L8" s="13" t="n">
        <v>1</v>
      </c>
      <c r="M8" s="4" t="s">
        <v>393</v>
      </c>
      <c r="N8" s="4" t="s">
        <v>394</v>
      </c>
      <c r="O8" s="4" t="s">
        <v>395</v>
      </c>
      <c r="P8" s="14" t="n">
        <f aca="false">IF(COUNTIFS(Std_Schedule_Code!$B$5:$B$191,"UGA",Std_Schedule_Code!$G$5:$G$191,$C8)=0,"",_xlfn.MINIFS(Std_Schedule_Code!$AO$5:$AO$191,Std_Schedule_Code!$B$5:$B$191,"UGA",Std_Schedule_Code!$G$5:$G$191,$C8))</f>
        <v>2</v>
      </c>
      <c r="Q8" s="4"/>
      <c r="R8" s="15" t="n">
        <v>0</v>
      </c>
      <c r="S8" s="16" t="s">
        <v>396</v>
      </c>
      <c r="T8" s="16" t="s">
        <v>397</v>
      </c>
      <c r="U8" s="16" t="s">
        <v>397</v>
      </c>
      <c r="V8" s="17" t="n">
        <f aca="false">IF(COUNTIFS(Std_Schedule_Code!$B$5:$B$191,"LBR",Std_Schedule_Code!$G$5:$G$191,$C8)=0,"",_xlfn.MINIFS(Std_Schedule_Code!$AO$5:$AO$191,Std_Schedule_Code!$B$5:$B$191,"LBR",Std_Schedule_Code!$G$5:$G$191,$C8))</f>
        <v>2</v>
      </c>
      <c r="W8" s="16" t="s">
        <v>398</v>
      </c>
      <c r="X8" s="4"/>
    </row>
    <row r="9" customFormat="false" ht="23.85" hidden="false" customHeight="false" outlineLevel="0" collapsed="false">
      <c r="A9" s="4" t="s">
        <v>365</v>
      </c>
      <c r="B9" s="4" t="s">
        <v>366</v>
      </c>
      <c r="C9" s="9" t="s">
        <v>399</v>
      </c>
      <c r="D9" s="4" t="s">
        <v>400</v>
      </c>
      <c r="E9" s="4" t="s">
        <v>369</v>
      </c>
      <c r="F9" s="15" t="n">
        <v>0</v>
      </c>
      <c r="G9" s="16" t="s">
        <v>401</v>
      </c>
      <c r="H9" s="16" t="s">
        <v>397</v>
      </c>
      <c r="I9" s="16" t="s">
        <v>397</v>
      </c>
      <c r="J9" s="17" t="n">
        <f aca="false">IF(COUNTIFS(Std_Schedule_Code!$B$5:$B$191,"SLE",Std_Schedule_Code!$G$5:$G$191,$C9)=0,"",_xlfn.MINIFS(Std_Schedule_Code!$AO$5:$AO$191,Std_Schedule_Code!$B$5:$B$191,"SLE",Std_Schedule_Code!$G$5:$G$191,$C9))</f>
        <v>2</v>
      </c>
      <c r="K9" s="16"/>
      <c r="L9" s="13" t="n">
        <v>1</v>
      </c>
      <c r="M9" s="4" t="s">
        <v>402</v>
      </c>
      <c r="N9" s="4" t="s">
        <v>403</v>
      </c>
      <c r="O9" s="4" t="s">
        <v>249</v>
      </c>
      <c r="P9" s="14" t="n">
        <f aca="false">IF(COUNTIFS(Std_Schedule_Code!$B$5:$B$191,"UGA",Std_Schedule_Code!$G$5:$G$191,$C9)=0,"",_xlfn.MINIFS(Std_Schedule_Code!$AO$5:$AO$191,Std_Schedule_Code!$B$5:$B$191,"UGA",Std_Schedule_Code!$G$5:$G$191,$C9))</f>
        <v>2</v>
      </c>
      <c r="Q9" s="4"/>
      <c r="R9" s="15" t="n">
        <v>0</v>
      </c>
      <c r="S9" s="16" t="s">
        <v>404</v>
      </c>
      <c r="T9" s="16" t="s">
        <v>397</v>
      </c>
      <c r="U9" s="16" t="s">
        <v>397</v>
      </c>
      <c r="V9" s="17" t="n">
        <f aca="false">IF(COUNTIFS(Std_Schedule_Code!$B$5:$B$191,"LBR",Std_Schedule_Code!$G$5:$G$191,$C9)=0,"",_xlfn.MINIFS(Std_Schedule_Code!$AO$5:$AO$191,Std_Schedule_Code!$B$5:$B$191,"LBR",Std_Schedule_Code!$G$5:$G$191,$C9))</f>
        <v>4</v>
      </c>
      <c r="W9" s="16" t="s">
        <v>405</v>
      </c>
      <c r="X9" s="4"/>
    </row>
    <row r="10" customFormat="false" ht="23.85" hidden="false" customHeight="false" outlineLevel="0" collapsed="false">
      <c r="A10" s="4" t="s">
        <v>365</v>
      </c>
      <c r="B10" s="4" t="s">
        <v>366</v>
      </c>
      <c r="C10" s="9" t="s">
        <v>406</v>
      </c>
      <c r="D10" s="4" t="s">
        <v>407</v>
      </c>
      <c r="E10" s="4" t="s">
        <v>369</v>
      </c>
      <c r="F10" s="13" t="n">
        <v>1</v>
      </c>
      <c r="G10" s="4" t="s">
        <v>408</v>
      </c>
      <c r="H10" s="4" t="s">
        <v>409</v>
      </c>
      <c r="I10" s="4" t="s">
        <v>249</v>
      </c>
      <c r="J10" s="14" t="n">
        <f aca="false">IF(COUNTIFS(Std_Schedule_Code!$B$5:$B$191,"SLE",Std_Schedule_Code!$G$5:$G$191,$C10)=0,"",_xlfn.MINIFS(Std_Schedule_Code!$AO$5:$AO$191,Std_Schedule_Code!$B$5:$B$191,"SLE",Std_Schedule_Code!$G$5:$G$191,$C10))</f>
        <v>2</v>
      </c>
      <c r="K10" s="4" t="s">
        <v>392</v>
      </c>
      <c r="L10" s="13" t="n">
        <v>1</v>
      </c>
      <c r="M10" s="4" t="s">
        <v>410</v>
      </c>
      <c r="N10" s="4" t="s">
        <v>403</v>
      </c>
      <c r="O10" s="4" t="s">
        <v>249</v>
      </c>
      <c r="P10" s="14" t="n">
        <f aca="false">IF(COUNTIFS(Std_Schedule_Code!$B$5:$B$191,"UGA",Std_Schedule_Code!$G$5:$G$191,$C10)=0,"",_xlfn.MINIFS(Std_Schedule_Code!$AO$5:$AO$191,Std_Schedule_Code!$B$5:$B$191,"UGA",Std_Schedule_Code!$G$5:$G$191,$C10))</f>
        <v>2</v>
      </c>
      <c r="Q10" s="4" t="s">
        <v>411</v>
      </c>
      <c r="R10" s="15" t="n">
        <v>0</v>
      </c>
      <c r="S10" s="16" t="s">
        <v>412</v>
      </c>
      <c r="T10" s="16" t="s">
        <v>397</v>
      </c>
      <c r="U10" s="16" t="s">
        <v>397</v>
      </c>
      <c r="V10" s="17" t="n">
        <f aca="false">IF(COUNTIFS(Std_Schedule_Code!$B$5:$B$191,"LBR",Std_Schedule_Code!$G$5:$G$191,$C10)=0,"",_xlfn.MINIFS(Std_Schedule_Code!$AO$5:$AO$191,Std_Schedule_Code!$B$5:$B$191,"LBR",Std_Schedule_Code!$G$5:$G$191,$C10))</f>
        <v>2</v>
      </c>
      <c r="W10" s="16" t="s">
        <v>398</v>
      </c>
      <c r="X10" s="4"/>
    </row>
    <row r="11" customFormat="false" ht="23.85" hidden="false" customHeight="false" outlineLevel="0" collapsed="false">
      <c r="A11" s="4" t="s">
        <v>365</v>
      </c>
      <c r="B11" s="4" t="s">
        <v>366</v>
      </c>
      <c r="C11" s="9" t="s">
        <v>413</v>
      </c>
      <c r="D11" s="4" t="s">
        <v>414</v>
      </c>
      <c r="E11" s="4" t="s">
        <v>369</v>
      </c>
      <c r="F11" s="13" t="n">
        <v>1</v>
      </c>
      <c r="G11" s="4" t="s">
        <v>415</v>
      </c>
      <c r="H11" s="4" t="s">
        <v>416</v>
      </c>
      <c r="I11" s="4" t="s">
        <v>249</v>
      </c>
      <c r="J11" s="14" t="n">
        <f aca="false">IF(COUNTIFS(Std_Schedule_Code!$B$5:$B$191,"SLE",Std_Schedule_Code!$G$5:$G$191,$C11)=0,"",_xlfn.MINIFS(Std_Schedule_Code!$AO$5:$AO$191,Std_Schedule_Code!$B$5:$B$191,"SLE",Std_Schedule_Code!$G$5:$G$191,$C11))</f>
        <v>2</v>
      </c>
      <c r="K11" s="4" t="s">
        <v>392</v>
      </c>
      <c r="L11" s="13" t="n">
        <v>1</v>
      </c>
      <c r="M11" s="4" t="s">
        <v>417</v>
      </c>
      <c r="N11" s="4" t="s">
        <v>397</v>
      </c>
      <c r="O11" s="4" t="s">
        <v>418</v>
      </c>
      <c r="P11" s="14" t="n">
        <f aca="false">IF(COUNTIFS(Std_Schedule_Code!$B$5:$B$191,"UGA",Std_Schedule_Code!$G$5:$G$191,$C11)=0,"",_xlfn.MINIFS(Std_Schedule_Code!$AO$5:$AO$191,Std_Schedule_Code!$B$5:$B$191,"UGA",Std_Schedule_Code!$G$5:$G$191,$C11))</f>
        <v>2</v>
      </c>
      <c r="Q11" s="4"/>
      <c r="R11" s="15" t="n">
        <v>0</v>
      </c>
      <c r="S11" s="16" t="s">
        <v>419</v>
      </c>
      <c r="T11" s="16" t="s">
        <v>397</v>
      </c>
      <c r="U11" s="16" t="s">
        <v>397</v>
      </c>
      <c r="V11" s="17" t="n">
        <f aca="false">IF(COUNTIFS(Std_Schedule_Code!$B$5:$B$191,"LBR",Std_Schedule_Code!$G$5:$G$191,$C11)=0,"",_xlfn.MINIFS(Std_Schedule_Code!$AO$5:$AO$191,Std_Schedule_Code!$B$5:$B$191,"LBR",Std_Schedule_Code!$G$5:$G$191,$C11))</f>
        <v>4</v>
      </c>
      <c r="W11" s="16" t="s">
        <v>405</v>
      </c>
      <c r="X11" s="4"/>
    </row>
    <row r="12" customFormat="false" ht="23.85" hidden="false" customHeight="false" outlineLevel="0" collapsed="false">
      <c r="A12" s="4" t="s">
        <v>420</v>
      </c>
      <c r="B12" s="4" t="s">
        <v>366</v>
      </c>
      <c r="C12" s="9" t="s">
        <v>421</v>
      </c>
      <c r="D12" s="4" t="s">
        <v>422</v>
      </c>
      <c r="E12" s="4" t="s">
        <v>423</v>
      </c>
      <c r="F12" s="13" t="n">
        <v>1</v>
      </c>
      <c r="G12" s="4" t="s">
        <v>424</v>
      </c>
      <c r="H12" s="4" t="s">
        <v>425</v>
      </c>
      <c r="I12" s="4" t="s">
        <v>249</v>
      </c>
      <c r="J12" s="14" t="n">
        <f aca="false">IF(COUNTIFS(Std_Schedule_Code!$B$5:$B$191,"SLE",Std_Schedule_Code!$G$5:$G$191,$C12)=0,"",_xlfn.MINIFS(Std_Schedule_Code!$AO$5:$AO$191,Std_Schedule_Code!$B$5:$B$191,"SLE",Std_Schedule_Code!$G$5:$G$191,$C12))</f>
        <v>5</v>
      </c>
      <c r="K12" s="4" t="s">
        <v>426</v>
      </c>
      <c r="L12" s="13" t="n">
        <v>1</v>
      </c>
      <c r="M12" s="4" t="s">
        <v>427</v>
      </c>
      <c r="N12" s="4" t="s">
        <v>428</v>
      </c>
      <c r="O12" s="4" t="s">
        <v>249</v>
      </c>
      <c r="P12" s="14" t="n">
        <f aca="false">IF(COUNTIFS(Std_Schedule_Code!$B$5:$B$191,"UGA",Std_Schedule_Code!$G$5:$G$191,$C12)=0,"",_xlfn.MINIFS(Std_Schedule_Code!$AO$5:$AO$191,Std_Schedule_Code!$B$5:$B$191,"UGA",Std_Schedule_Code!$G$5:$G$191,$C12))</f>
        <v>2</v>
      </c>
      <c r="Q12" s="4"/>
      <c r="R12" s="15" t="n">
        <v>0</v>
      </c>
      <c r="S12" s="16" t="s">
        <v>419</v>
      </c>
      <c r="T12" s="16" t="s">
        <v>397</v>
      </c>
      <c r="U12" s="16" t="s">
        <v>397</v>
      </c>
      <c r="V12" s="17" t="n">
        <f aca="false">IF(COUNTIFS(Std_Schedule_Code!$B$5:$B$191,"LBR",Std_Schedule_Code!$G$5:$G$191,$C12)=0,"",_xlfn.MINIFS(Std_Schedule_Code!$AO$5:$AO$191,Std_Schedule_Code!$B$5:$B$191,"LBR",Std_Schedule_Code!$G$5:$G$191,$C12))</f>
        <v>4</v>
      </c>
      <c r="W12" s="16" t="s">
        <v>405</v>
      </c>
      <c r="X12" s="4"/>
    </row>
    <row r="13" customFormat="false" ht="23.85" hidden="false" customHeight="false" outlineLevel="0" collapsed="false">
      <c r="A13" s="4" t="s">
        <v>429</v>
      </c>
      <c r="B13" s="4" t="s">
        <v>366</v>
      </c>
      <c r="C13" s="9" t="s">
        <v>430</v>
      </c>
      <c r="D13" s="4" t="s">
        <v>431</v>
      </c>
      <c r="E13" s="4" t="s">
        <v>432</v>
      </c>
      <c r="F13" s="13" t="n">
        <v>2</v>
      </c>
      <c r="G13" s="4" t="s">
        <v>433</v>
      </c>
      <c r="H13" s="4" t="s">
        <v>434</v>
      </c>
      <c r="I13" s="4" t="s">
        <v>249</v>
      </c>
      <c r="J13" s="14" t="n">
        <f aca="false">IF(COUNTIFS(Std_Schedule_Code!$B$5:$B$191,"SLE",Std_Schedule_Code!$G$5:$G$191,$C13)=0,"",_xlfn.MINIFS(Std_Schedule_Code!$AO$5:$AO$191,Std_Schedule_Code!$B$5:$B$191,"SLE",Std_Schedule_Code!$G$5:$G$191,$C13))</f>
        <v>2</v>
      </c>
      <c r="K13" s="4" t="s">
        <v>435</v>
      </c>
      <c r="L13" s="15" t="n">
        <v>0</v>
      </c>
      <c r="M13" s="16" t="s">
        <v>436</v>
      </c>
      <c r="N13" s="16" t="s">
        <v>397</v>
      </c>
      <c r="O13" s="16" t="s">
        <v>397</v>
      </c>
      <c r="P13" s="17" t="n">
        <f aca="false">IF(COUNTIFS(Std_Schedule_Code!$B$5:$B$191,"UGA",Std_Schedule_Code!$G$5:$G$191,$C13)=0,"",_xlfn.MINIFS(Std_Schedule_Code!$AO$5:$AO$191,Std_Schedule_Code!$B$5:$B$191,"UGA",Std_Schedule_Code!$G$5:$G$191,$C13))</f>
        <v>2</v>
      </c>
      <c r="Q13" s="16"/>
      <c r="R13" s="13" t="n">
        <v>2</v>
      </c>
      <c r="S13" s="4" t="s">
        <v>437</v>
      </c>
      <c r="T13" s="4" t="s">
        <v>438</v>
      </c>
      <c r="U13" s="4" t="s">
        <v>397</v>
      </c>
      <c r="V13" s="14" t="n">
        <f aca="false">IF(COUNTIFS(Std_Schedule_Code!$B$5:$B$191,"LBR",Std_Schedule_Code!$G$5:$G$191,$C13)=0,"",_xlfn.MINIFS(Std_Schedule_Code!$AO$5:$AO$191,Std_Schedule_Code!$B$5:$B$191,"LBR",Std_Schedule_Code!$G$5:$G$191,$C13))</f>
        <v>2</v>
      </c>
      <c r="W13" s="4" t="s">
        <v>439</v>
      </c>
      <c r="X13" s="4"/>
    </row>
    <row r="14" customFormat="false" ht="23.85" hidden="false" customHeight="false" outlineLevel="0" collapsed="false">
      <c r="A14" s="4" t="s">
        <v>429</v>
      </c>
      <c r="B14" s="4" t="s">
        <v>366</v>
      </c>
      <c r="C14" s="9" t="s">
        <v>440</v>
      </c>
      <c r="D14" s="4" t="s">
        <v>441</v>
      </c>
      <c r="E14" s="4" t="s">
        <v>442</v>
      </c>
      <c r="F14" s="15" t="n">
        <v>0</v>
      </c>
      <c r="G14" s="16" t="s">
        <v>436</v>
      </c>
      <c r="H14" s="16" t="s">
        <v>397</v>
      </c>
      <c r="I14" s="16" t="s">
        <v>397</v>
      </c>
      <c r="J14" s="17" t="n">
        <f aca="false">IF(COUNTIFS(Std_Schedule_Code!$B$5:$B$191,"SLE",Std_Schedule_Code!$G$5:$G$191,$C14)=0,"",_xlfn.MINIFS(Std_Schedule_Code!$AO$5:$AO$191,Std_Schedule_Code!$B$5:$B$191,"SLE",Std_Schedule_Code!$G$5:$G$191,$C14))</f>
        <v>2</v>
      </c>
      <c r="K14" s="16"/>
      <c r="L14" s="13" t="n">
        <v>1</v>
      </c>
      <c r="M14" s="4" t="s">
        <v>443</v>
      </c>
      <c r="N14" s="4" t="s">
        <v>444</v>
      </c>
      <c r="O14" s="4" t="s">
        <v>249</v>
      </c>
      <c r="P14" s="14" t="n">
        <f aca="false">IF(COUNTIFS(Std_Schedule_Code!$B$5:$B$191,"UGA",Std_Schedule_Code!$G$5:$G$191,$C14)=0,"",_xlfn.MINIFS(Std_Schedule_Code!$AO$5:$AO$191,Std_Schedule_Code!$B$5:$B$191,"UGA",Std_Schedule_Code!$G$5:$G$191,$C14))</f>
        <v>2</v>
      </c>
      <c r="Q14" s="4"/>
      <c r="R14" s="13" t="n">
        <v>1</v>
      </c>
      <c r="S14" s="4" t="s">
        <v>445</v>
      </c>
      <c r="T14" s="4" t="s">
        <v>446</v>
      </c>
      <c r="U14" s="4" t="s">
        <v>447</v>
      </c>
      <c r="V14" s="14" t="n">
        <f aca="false">IF(COUNTIFS(Std_Schedule_Code!$B$5:$B$191,"LBR",Std_Schedule_Code!$G$5:$G$191,$C14)=0,"",_xlfn.MINIFS(Std_Schedule_Code!$AO$5:$AO$191,Std_Schedule_Code!$B$5:$B$191,"LBR",Std_Schedule_Code!$G$5:$G$191,$C14))</f>
        <v>5</v>
      </c>
      <c r="W14" s="4" t="s">
        <v>448</v>
      </c>
      <c r="X14" s="4"/>
    </row>
    <row r="15" customFormat="false" ht="23.85" hidden="false" customHeight="false" outlineLevel="0" collapsed="false">
      <c r="A15" s="4" t="s">
        <v>449</v>
      </c>
      <c r="B15" s="4" t="s">
        <v>450</v>
      </c>
      <c r="C15" s="9" t="s">
        <v>451</v>
      </c>
      <c r="D15" s="4" t="s">
        <v>452</v>
      </c>
      <c r="E15" s="4" t="s">
        <v>453</v>
      </c>
      <c r="F15" s="13" t="n">
        <v>1</v>
      </c>
      <c r="G15" s="4" t="s">
        <v>454</v>
      </c>
      <c r="H15" s="4" t="s">
        <v>210</v>
      </c>
      <c r="I15" s="4" t="s">
        <v>217</v>
      </c>
      <c r="J15" s="14" t="n">
        <f aca="false">IF(COUNTIFS(Std_Schedule_Code!$B$5:$B$191,"SLE",Std_Schedule_Code!$G$5:$G$191,$C15)=0,"",_xlfn.MINIFS(Std_Schedule_Code!$AO$5:$AO$191,Std_Schedule_Code!$B$5:$B$191,"SLE",Std_Schedule_Code!$G$5:$G$191,$C15))</f>
        <v>3</v>
      </c>
      <c r="K15" s="4" t="s">
        <v>455</v>
      </c>
      <c r="L15" s="13" t="n">
        <v>1</v>
      </c>
      <c r="M15" s="4" t="s">
        <v>456</v>
      </c>
      <c r="N15" s="4" t="s">
        <v>457</v>
      </c>
      <c r="O15" s="4" t="s">
        <v>218</v>
      </c>
      <c r="P15" s="14" t="n">
        <f aca="false">IF(COUNTIFS(Std_Schedule_Code!$B$5:$B$191,"UGA",Std_Schedule_Code!$G$5:$G$191,$C15)=0,"",_xlfn.MINIFS(Std_Schedule_Code!$AO$5:$AO$191,Std_Schedule_Code!$B$5:$B$191,"UGA",Std_Schedule_Code!$G$5:$G$191,$C15))</f>
        <v>2</v>
      </c>
      <c r="Q15" s="4"/>
      <c r="R15" s="13" t="n">
        <v>1</v>
      </c>
      <c r="S15" s="4" t="s">
        <v>458</v>
      </c>
      <c r="T15" s="4" t="s">
        <v>213</v>
      </c>
      <c r="U15" s="4" t="s">
        <v>219</v>
      </c>
      <c r="V15" s="14" t="n">
        <f aca="false">IF(COUNTIFS(Std_Schedule_Code!$B$5:$B$191,"LBR",Std_Schedule_Code!$G$5:$G$191,$C15)=0,"",_xlfn.MINIFS(Std_Schedule_Code!$AO$5:$AO$191,Std_Schedule_Code!$B$5:$B$191,"LBR",Std_Schedule_Code!$G$5:$G$191,$C15))</f>
        <v>4</v>
      </c>
      <c r="W15" s="4" t="s">
        <v>459</v>
      </c>
      <c r="X15" s="4" t="s">
        <v>460</v>
      </c>
    </row>
    <row r="16" customFormat="false" ht="35.05" hidden="false" customHeight="false" outlineLevel="0" collapsed="false">
      <c r="A16" s="4" t="s">
        <v>449</v>
      </c>
      <c r="B16" s="4" t="s">
        <v>450</v>
      </c>
      <c r="C16" s="9" t="s">
        <v>461</v>
      </c>
      <c r="D16" s="4" t="s">
        <v>462</v>
      </c>
      <c r="E16" s="4" t="s">
        <v>463</v>
      </c>
      <c r="F16" s="13" t="n">
        <v>1</v>
      </c>
      <c r="G16" s="4" t="s">
        <v>464</v>
      </c>
      <c r="H16" s="4" t="s">
        <v>465</v>
      </c>
      <c r="I16" s="4" t="s">
        <v>249</v>
      </c>
      <c r="J16" s="14" t="n">
        <f aca="false">IF(COUNTIFS(Std_Schedule_Code!$B$5:$B$191,"SLE",Std_Schedule_Code!$G$5:$G$191,$C16)=0,"",_xlfn.MINIFS(Std_Schedule_Code!$AO$5:$AO$191,Std_Schedule_Code!$B$5:$B$191,"SLE",Std_Schedule_Code!$G$5:$G$191,$C16))</f>
        <v>2</v>
      </c>
      <c r="K16" s="4" t="s">
        <v>466</v>
      </c>
      <c r="L16" s="13" t="n">
        <v>1</v>
      </c>
      <c r="M16" s="4" t="s">
        <v>467</v>
      </c>
      <c r="N16" s="4" t="s">
        <v>397</v>
      </c>
      <c r="O16" s="4" t="s">
        <v>249</v>
      </c>
      <c r="P16" s="14" t="n">
        <f aca="false">IF(COUNTIFS(Std_Schedule_Code!$B$5:$B$191,"UGA",Std_Schedule_Code!$G$5:$G$191,$C16)=0,"",_xlfn.MINIFS(Std_Schedule_Code!$AO$5:$AO$191,Std_Schedule_Code!$B$5:$B$191,"UGA",Std_Schedule_Code!$G$5:$G$191,$C16))</f>
        <v>2</v>
      </c>
      <c r="Q16" s="4"/>
      <c r="R16" s="13" t="n">
        <v>1</v>
      </c>
      <c r="S16" s="4" t="s">
        <v>468</v>
      </c>
      <c r="T16" s="4" t="s">
        <v>469</v>
      </c>
      <c r="U16" s="4" t="s">
        <v>447</v>
      </c>
      <c r="V16" s="14" t="n">
        <f aca="false">IF(COUNTIFS(Std_Schedule_Code!$B$5:$B$191,"LBR",Std_Schedule_Code!$G$5:$G$191,$C16)=0,"",_xlfn.MINIFS(Std_Schedule_Code!$AO$5:$AO$191,Std_Schedule_Code!$B$5:$B$191,"LBR",Std_Schedule_Code!$G$5:$G$191,$C16))</f>
        <v>4</v>
      </c>
      <c r="W16" s="4" t="s">
        <v>459</v>
      </c>
      <c r="X16" s="4"/>
    </row>
    <row r="17" customFormat="false" ht="23.85" hidden="false" customHeight="false" outlineLevel="0" collapsed="false">
      <c r="A17" s="4" t="s">
        <v>449</v>
      </c>
      <c r="B17" s="4" t="s">
        <v>450</v>
      </c>
      <c r="C17" s="9" t="s">
        <v>470</v>
      </c>
      <c r="D17" s="4" t="s">
        <v>471</v>
      </c>
      <c r="E17" s="4" t="s">
        <v>472</v>
      </c>
      <c r="F17" s="13" t="n">
        <v>1</v>
      </c>
      <c r="G17" s="4" t="s">
        <v>473</v>
      </c>
      <c r="H17" s="4" t="s">
        <v>474</v>
      </c>
      <c r="I17" s="4" t="s">
        <v>249</v>
      </c>
      <c r="J17" s="14" t="n">
        <f aca="false">IF(COUNTIFS(Std_Schedule_Code!$B$5:$B$191,"SLE",Std_Schedule_Code!$G$5:$G$191,$C17)=0,"",_xlfn.MINIFS(Std_Schedule_Code!$AO$5:$AO$191,Std_Schedule_Code!$B$5:$B$191,"SLE",Std_Schedule_Code!$G$5:$G$191,$C17))</f>
        <v>2</v>
      </c>
      <c r="K17" s="4" t="s">
        <v>475</v>
      </c>
      <c r="L17" s="15" t="n">
        <v>0</v>
      </c>
      <c r="M17" s="16" t="s">
        <v>401</v>
      </c>
      <c r="N17" s="16" t="s">
        <v>397</v>
      </c>
      <c r="O17" s="16" t="s">
        <v>397</v>
      </c>
      <c r="P17" s="17" t="n">
        <f aca="false">IF(COUNTIFS(Std_Schedule_Code!$B$5:$B$191,"UGA",Std_Schedule_Code!$G$5:$G$191,$C17)=0,"",_xlfn.MINIFS(Std_Schedule_Code!$AO$5:$AO$191,Std_Schedule_Code!$B$5:$B$191,"UGA",Std_Schedule_Code!$G$5:$G$191,$C17))</f>
        <v>2</v>
      </c>
      <c r="Q17" s="16"/>
      <c r="R17" s="13" t="n">
        <v>1</v>
      </c>
      <c r="S17" s="4" t="s">
        <v>476</v>
      </c>
      <c r="T17" s="4" t="s">
        <v>477</v>
      </c>
      <c r="U17" s="4" t="s">
        <v>447</v>
      </c>
      <c r="V17" s="14" t="n">
        <f aca="false">IF(COUNTIFS(Std_Schedule_Code!$B$5:$B$191,"LBR",Std_Schedule_Code!$G$5:$G$191,$C17)=0,"",_xlfn.MINIFS(Std_Schedule_Code!$AO$5:$AO$191,Std_Schedule_Code!$B$5:$B$191,"LBR",Std_Schedule_Code!$G$5:$G$191,$C17))</f>
        <v>4</v>
      </c>
      <c r="W17" s="4" t="s">
        <v>459</v>
      </c>
      <c r="X17" s="4"/>
    </row>
    <row r="18" customFormat="false" ht="23.85" hidden="false" customHeight="false" outlineLevel="0" collapsed="false">
      <c r="A18" s="4" t="s">
        <v>449</v>
      </c>
      <c r="B18" s="4" t="s">
        <v>450</v>
      </c>
      <c r="C18" s="9" t="s">
        <v>478</v>
      </c>
      <c r="D18" s="4" t="s">
        <v>479</v>
      </c>
      <c r="E18" s="4" t="s">
        <v>480</v>
      </c>
      <c r="F18" s="13" t="n">
        <v>1</v>
      </c>
      <c r="G18" s="4" t="s">
        <v>481</v>
      </c>
      <c r="H18" s="4" t="s">
        <v>482</v>
      </c>
      <c r="I18" s="4" t="s">
        <v>483</v>
      </c>
      <c r="J18" s="14" t="n">
        <f aca="false">IF(COUNTIFS(Std_Schedule_Code!$B$5:$B$191,"SLE",Std_Schedule_Code!$G$5:$G$191,$C18)=0,"",_xlfn.MINIFS(Std_Schedule_Code!$AO$5:$AO$191,Std_Schedule_Code!$B$5:$B$191,"SLE",Std_Schedule_Code!$G$5:$G$191,$C18))</f>
        <v>5</v>
      </c>
      <c r="K18" s="4" t="s">
        <v>484</v>
      </c>
      <c r="L18" s="13" t="n">
        <v>1</v>
      </c>
      <c r="M18" s="4" t="s">
        <v>485</v>
      </c>
      <c r="N18" s="4" t="s">
        <v>486</v>
      </c>
      <c r="O18" s="4" t="s">
        <v>487</v>
      </c>
      <c r="P18" s="14" t="n">
        <f aca="false">IF(COUNTIFS(Std_Schedule_Code!$B$5:$B$191,"UGA",Std_Schedule_Code!$G$5:$G$191,$C18)=0,"",_xlfn.MINIFS(Std_Schedule_Code!$AO$5:$AO$191,Std_Schedule_Code!$B$5:$B$191,"UGA",Std_Schedule_Code!$G$5:$G$191,$C18))</f>
        <v>2</v>
      </c>
      <c r="Q18" s="4"/>
      <c r="R18" s="13" t="n">
        <v>1</v>
      </c>
      <c r="S18" s="4" t="s">
        <v>488</v>
      </c>
      <c r="T18" s="4" t="s">
        <v>228</v>
      </c>
      <c r="U18" s="4" t="s">
        <v>489</v>
      </c>
      <c r="V18" s="14" t="n">
        <f aca="false">IF(COUNTIFS(Std_Schedule_Code!$B$5:$B$191,"LBR",Std_Schedule_Code!$G$5:$G$191,$C18)=0,"",_xlfn.MINIFS(Std_Schedule_Code!$AO$5:$AO$191,Std_Schedule_Code!$B$5:$B$191,"LBR",Std_Schedule_Code!$G$5:$G$191,$C18))</f>
        <v>4</v>
      </c>
      <c r="W18" s="4" t="s">
        <v>490</v>
      </c>
      <c r="X18" s="4"/>
    </row>
    <row r="19" customFormat="false" ht="23.85" hidden="false" customHeight="false" outlineLevel="0" collapsed="false">
      <c r="A19" s="4" t="s">
        <v>449</v>
      </c>
      <c r="B19" s="4" t="s">
        <v>450</v>
      </c>
      <c r="C19" s="9" t="s">
        <v>491</v>
      </c>
      <c r="D19" s="4" t="s">
        <v>492</v>
      </c>
      <c r="E19" s="4" t="s">
        <v>480</v>
      </c>
      <c r="F19" s="13" t="n">
        <v>1</v>
      </c>
      <c r="G19" s="4" t="s">
        <v>493</v>
      </c>
      <c r="H19" s="4" t="s">
        <v>494</v>
      </c>
      <c r="I19" s="4" t="s">
        <v>495</v>
      </c>
      <c r="J19" s="14" t="n">
        <f aca="false">IF(COUNTIFS(Std_Schedule_Code!$B$5:$B$191,"SLE",Std_Schedule_Code!$G$5:$G$191,$C19)=0,"",_xlfn.MINIFS(Std_Schedule_Code!$AO$5:$AO$191,Std_Schedule_Code!$B$5:$B$191,"SLE",Std_Schedule_Code!$G$5:$G$191,$C19))</f>
        <v>5</v>
      </c>
      <c r="K19" s="4" t="s">
        <v>496</v>
      </c>
      <c r="L19" s="13" t="n">
        <v>1</v>
      </c>
      <c r="M19" s="4" t="s">
        <v>497</v>
      </c>
      <c r="N19" s="4" t="s">
        <v>498</v>
      </c>
      <c r="O19" s="4" t="s">
        <v>499</v>
      </c>
      <c r="P19" s="14" t="n">
        <f aca="false">IF(COUNTIFS(Std_Schedule_Code!$B$5:$B$191,"UGA",Std_Schedule_Code!$G$5:$G$191,$C19)=0,"",_xlfn.MINIFS(Std_Schedule_Code!$AO$5:$AO$191,Std_Schedule_Code!$B$5:$B$191,"UGA",Std_Schedule_Code!$G$5:$G$191,$C19))</f>
        <v>2</v>
      </c>
      <c r="Q19" s="4"/>
      <c r="R19" s="13" t="n">
        <v>1</v>
      </c>
      <c r="S19" s="4" t="s">
        <v>488</v>
      </c>
      <c r="T19" s="4" t="s">
        <v>228</v>
      </c>
      <c r="U19" s="4" t="s">
        <v>500</v>
      </c>
      <c r="V19" s="14" t="n">
        <f aca="false">IF(COUNTIFS(Std_Schedule_Code!$B$5:$B$191,"LBR",Std_Schedule_Code!$G$5:$G$191,$C19)=0,"",_xlfn.MINIFS(Std_Schedule_Code!$AO$5:$AO$191,Std_Schedule_Code!$B$5:$B$191,"LBR",Std_Schedule_Code!$G$5:$G$191,$C19))</f>
        <v>4</v>
      </c>
      <c r="W19" s="4" t="s">
        <v>69</v>
      </c>
      <c r="X19" s="4"/>
    </row>
    <row r="20" customFormat="false" ht="35.05" hidden="false" customHeight="false" outlineLevel="0" collapsed="false">
      <c r="A20" s="4" t="s">
        <v>449</v>
      </c>
      <c r="B20" s="4" t="s">
        <v>450</v>
      </c>
      <c r="C20" s="9" t="s">
        <v>501</v>
      </c>
      <c r="D20" s="4" t="s">
        <v>502</v>
      </c>
      <c r="E20" s="4" t="s">
        <v>480</v>
      </c>
      <c r="F20" s="15" t="n">
        <v>0</v>
      </c>
      <c r="G20" s="16" t="s">
        <v>503</v>
      </c>
      <c r="H20" s="16" t="s">
        <v>397</v>
      </c>
      <c r="I20" s="16" t="s">
        <v>397</v>
      </c>
      <c r="J20" s="17" t="n">
        <f aca="false">IF(COUNTIFS(Std_Schedule_Code!$B$5:$B$191,"SLE",Std_Schedule_Code!$G$5:$G$191,$C20)=0,"",_xlfn.MINIFS(Std_Schedule_Code!$AO$5:$AO$191,Std_Schedule_Code!$B$5:$B$191,"SLE",Std_Schedule_Code!$G$5:$G$191,$C20))</f>
        <v>1</v>
      </c>
      <c r="K20" s="16"/>
      <c r="L20" s="13" t="n">
        <v>1</v>
      </c>
      <c r="M20" s="4" t="s">
        <v>504</v>
      </c>
      <c r="N20" s="4" t="s">
        <v>505</v>
      </c>
      <c r="O20" s="4" t="s">
        <v>506</v>
      </c>
      <c r="P20" s="14" t="n">
        <f aca="false">IF(COUNTIFS(Std_Schedule_Code!$B$5:$B$191,"UGA",Std_Schedule_Code!$G$5:$G$191,$C20)=0,"",_xlfn.MINIFS(Std_Schedule_Code!$AO$5:$AO$191,Std_Schedule_Code!$B$5:$B$191,"UGA",Std_Schedule_Code!$G$5:$G$191,$C20))</f>
        <v>2</v>
      </c>
      <c r="Q20" s="4"/>
      <c r="R20" s="13" t="n">
        <v>1</v>
      </c>
      <c r="S20" s="4" t="s">
        <v>488</v>
      </c>
      <c r="T20" s="4" t="s">
        <v>507</v>
      </c>
      <c r="U20" s="4" t="s">
        <v>447</v>
      </c>
      <c r="V20" s="14" t="n">
        <f aca="false">IF(COUNTIFS(Std_Schedule_Code!$B$5:$B$191,"LBR",Std_Schedule_Code!$G$5:$G$191,$C20)=0,"",_xlfn.MINIFS(Std_Schedule_Code!$AO$5:$AO$191,Std_Schedule_Code!$B$5:$B$191,"LBR",Std_Schedule_Code!$G$5:$G$191,$C20))</f>
        <v>4</v>
      </c>
      <c r="W20" s="4" t="s">
        <v>69</v>
      </c>
      <c r="X20" s="4" t="s">
        <v>508</v>
      </c>
    </row>
    <row r="21" customFormat="false" ht="23.85" hidden="false" customHeight="false" outlineLevel="0" collapsed="false">
      <c r="A21" s="4" t="s">
        <v>449</v>
      </c>
      <c r="B21" s="4" t="s">
        <v>450</v>
      </c>
      <c r="C21" s="9" t="s">
        <v>509</v>
      </c>
      <c r="D21" s="4" t="s">
        <v>510</v>
      </c>
      <c r="E21" s="4" t="s">
        <v>480</v>
      </c>
      <c r="F21" s="13" t="n">
        <v>1</v>
      </c>
      <c r="G21" s="4" t="s">
        <v>511</v>
      </c>
      <c r="H21" s="4" t="s">
        <v>512</v>
      </c>
      <c r="I21" s="4" t="s">
        <v>249</v>
      </c>
      <c r="J21" s="14" t="n">
        <f aca="false">IF(COUNTIFS(Std_Schedule_Code!$B$5:$B$191,"SLE",Std_Schedule_Code!$G$5:$G$191,$C21)=0,"",_xlfn.MINIFS(Std_Schedule_Code!$AO$5:$AO$191,Std_Schedule_Code!$B$5:$B$191,"SLE",Std_Schedule_Code!$G$5:$G$191,$C21))</f>
        <v>5</v>
      </c>
      <c r="K21" s="4" t="s">
        <v>398</v>
      </c>
      <c r="L21" s="13" t="n">
        <v>1</v>
      </c>
      <c r="M21" s="4" t="s">
        <v>513</v>
      </c>
      <c r="N21" s="4" t="s">
        <v>514</v>
      </c>
      <c r="O21" s="4" t="s">
        <v>249</v>
      </c>
      <c r="P21" s="14" t="n">
        <f aca="false">IF(COUNTIFS(Std_Schedule_Code!$B$5:$B$191,"UGA",Std_Schedule_Code!$G$5:$G$191,$C21)=0,"",_xlfn.MINIFS(Std_Schedule_Code!$AO$5:$AO$191,Std_Schedule_Code!$B$5:$B$191,"UGA",Std_Schedule_Code!$G$5:$G$191,$C21))</f>
        <v>2</v>
      </c>
      <c r="Q21" s="4"/>
      <c r="R21" s="13" t="n">
        <v>1</v>
      </c>
      <c r="S21" s="4" t="s">
        <v>488</v>
      </c>
      <c r="T21" s="4" t="s">
        <v>515</v>
      </c>
      <c r="U21" s="4" t="s">
        <v>447</v>
      </c>
      <c r="V21" s="14" t="n">
        <f aca="false">IF(COUNTIFS(Std_Schedule_Code!$B$5:$B$191,"LBR",Std_Schedule_Code!$G$5:$G$191,$C21)=0,"",_xlfn.MINIFS(Std_Schedule_Code!$AO$5:$AO$191,Std_Schedule_Code!$B$5:$B$191,"LBR",Std_Schedule_Code!$G$5:$G$191,$C21))</f>
        <v>4</v>
      </c>
      <c r="W21" s="4" t="s">
        <v>69</v>
      </c>
      <c r="X21" s="4"/>
    </row>
    <row r="22" customFormat="false" ht="23.85" hidden="false" customHeight="false" outlineLevel="0" collapsed="false">
      <c r="A22" s="4" t="s">
        <v>449</v>
      </c>
      <c r="B22" s="4" t="s">
        <v>450</v>
      </c>
      <c r="C22" s="9" t="s">
        <v>516</v>
      </c>
      <c r="D22" s="4" t="s">
        <v>517</v>
      </c>
      <c r="E22" s="4" t="s">
        <v>480</v>
      </c>
      <c r="F22" s="13" t="n">
        <v>1</v>
      </c>
      <c r="G22" s="4" t="s">
        <v>518</v>
      </c>
      <c r="H22" s="4" t="s">
        <v>519</v>
      </c>
      <c r="I22" s="4" t="s">
        <v>249</v>
      </c>
      <c r="J22" s="14" t="n">
        <f aca="false">IF(COUNTIFS(Std_Schedule_Code!$B$5:$B$191,"SLE",Std_Schedule_Code!$G$5:$G$191,$C22)=0,"",_xlfn.MINIFS(Std_Schedule_Code!$AO$5:$AO$191,Std_Schedule_Code!$B$5:$B$191,"SLE",Std_Schedule_Code!$G$5:$G$191,$C22))</f>
        <v>1</v>
      </c>
      <c r="K22" s="4" t="s">
        <v>235</v>
      </c>
      <c r="L22" s="13" t="n">
        <v>1</v>
      </c>
      <c r="M22" s="4" t="s">
        <v>520</v>
      </c>
      <c r="N22" s="4" t="s">
        <v>236</v>
      </c>
      <c r="O22" s="4" t="s">
        <v>249</v>
      </c>
      <c r="P22" s="14" t="n">
        <f aca="false">IF(COUNTIFS(Std_Schedule_Code!$B$5:$B$191,"UGA",Std_Schedule_Code!$G$5:$G$191,$C22)=0,"",_xlfn.MINIFS(Std_Schedule_Code!$AO$5:$AO$191,Std_Schedule_Code!$B$5:$B$191,"UGA",Std_Schedule_Code!$G$5:$G$191,$C22))</f>
        <v>2</v>
      </c>
      <c r="Q22" s="4"/>
      <c r="R22" s="13" t="n">
        <v>1</v>
      </c>
      <c r="S22" s="4" t="s">
        <v>521</v>
      </c>
      <c r="T22" s="4" t="s">
        <v>237</v>
      </c>
      <c r="U22" s="4" t="s">
        <v>522</v>
      </c>
      <c r="V22" s="14" t="n">
        <f aca="false">IF(COUNTIFS(Std_Schedule_Code!$B$5:$B$191,"LBR",Std_Schedule_Code!$G$5:$G$191,$C22)=0,"",_xlfn.MINIFS(Std_Schedule_Code!$AO$5:$AO$191,Std_Schedule_Code!$B$5:$B$191,"LBR",Std_Schedule_Code!$G$5:$G$191,$C22))</f>
        <v>4</v>
      </c>
      <c r="W22" s="4" t="s">
        <v>523</v>
      </c>
      <c r="X22" s="4" t="s">
        <v>524</v>
      </c>
    </row>
    <row r="23" customFormat="false" ht="23.85" hidden="false" customHeight="false" outlineLevel="0" collapsed="false">
      <c r="A23" s="4" t="s">
        <v>449</v>
      </c>
      <c r="B23" s="4" t="s">
        <v>450</v>
      </c>
      <c r="C23" s="9" t="s">
        <v>525</v>
      </c>
      <c r="D23" s="4" t="s">
        <v>526</v>
      </c>
      <c r="E23" s="4" t="s">
        <v>369</v>
      </c>
      <c r="F23" s="13" t="n">
        <v>1</v>
      </c>
      <c r="G23" s="4" t="s">
        <v>527</v>
      </c>
      <c r="H23" s="4" t="s">
        <v>528</v>
      </c>
      <c r="I23" s="4" t="s">
        <v>249</v>
      </c>
      <c r="J23" s="14" t="n">
        <f aca="false">IF(COUNTIFS(Std_Schedule_Code!$B$5:$B$191,"SLE",Std_Schedule_Code!$G$5:$G$191,$C23)=0,"",_xlfn.MINIFS(Std_Schedule_Code!$AO$5:$AO$191,Std_Schedule_Code!$B$5:$B$191,"SLE",Std_Schedule_Code!$G$5:$G$191,$C23))</f>
        <v>1</v>
      </c>
      <c r="K23" s="4" t="s">
        <v>242</v>
      </c>
      <c r="L23" s="13" t="n">
        <v>1</v>
      </c>
      <c r="M23" s="4" t="s">
        <v>529</v>
      </c>
      <c r="N23" s="4" t="s">
        <v>243</v>
      </c>
      <c r="O23" s="4" t="s">
        <v>250</v>
      </c>
      <c r="P23" s="14" t="n">
        <f aca="false">IF(COUNTIFS(Std_Schedule_Code!$B$5:$B$191,"UGA",Std_Schedule_Code!$G$5:$G$191,$C23)=0,"",_xlfn.MINIFS(Std_Schedule_Code!$AO$5:$AO$191,Std_Schedule_Code!$B$5:$B$191,"UGA",Std_Schedule_Code!$G$5:$G$191,$C23))</f>
        <v>2</v>
      </c>
      <c r="Q23" s="4"/>
      <c r="R23" s="13" t="n">
        <v>1</v>
      </c>
      <c r="S23" s="4" t="s">
        <v>530</v>
      </c>
      <c r="T23" s="4" t="s">
        <v>531</v>
      </c>
      <c r="U23" s="4" t="s">
        <v>532</v>
      </c>
      <c r="V23" s="14" t="n">
        <f aca="false">IF(COUNTIFS(Std_Schedule_Code!$B$5:$B$191,"LBR",Std_Schedule_Code!$G$5:$G$191,$C23)=0,"",_xlfn.MINIFS(Std_Schedule_Code!$AO$5:$AO$191,Std_Schedule_Code!$B$5:$B$191,"LBR",Std_Schedule_Code!$G$5:$G$191,$C23))</f>
        <v>4</v>
      </c>
      <c r="W23" s="4" t="s">
        <v>533</v>
      </c>
      <c r="X23" s="4" t="s">
        <v>534</v>
      </c>
    </row>
    <row r="24" customFormat="false" ht="23.85" hidden="false" customHeight="false" outlineLevel="0" collapsed="false">
      <c r="A24" s="4" t="s">
        <v>449</v>
      </c>
      <c r="B24" s="4" t="s">
        <v>450</v>
      </c>
      <c r="C24" s="9" t="s">
        <v>535</v>
      </c>
      <c r="D24" s="4" t="s">
        <v>536</v>
      </c>
      <c r="E24" s="4" t="s">
        <v>369</v>
      </c>
      <c r="F24" s="13" t="n">
        <v>1</v>
      </c>
      <c r="G24" s="4" t="s">
        <v>537</v>
      </c>
      <c r="H24" s="4" t="s">
        <v>538</v>
      </c>
      <c r="I24" s="4" t="s">
        <v>249</v>
      </c>
      <c r="J24" s="14" t="n">
        <f aca="false">IF(COUNTIFS(Std_Schedule_Code!$B$5:$B$191,"SLE",Std_Schedule_Code!$G$5:$G$191,$C24)=0,"",_xlfn.MINIFS(Std_Schedule_Code!$AO$5:$AO$191,Std_Schedule_Code!$B$5:$B$191,"SLE",Std_Schedule_Code!$G$5:$G$191,$C24))</f>
        <v>1</v>
      </c>
      <c r="K24" s="4" t="s">
        <v>539</v>
      </c>
      <c r="L24" s="13" t="n">
        <v>1</v>
      </c>
      <c r="M24" s="4" t="s">
        <v>540</v>
      </c>
      <c r="N24" s="4" t="s">
        <v>243</v>
      </c>
      <c r="O24" s="4" t="s">
        <v>250</v>
      </c>
      <c r="P24" s="14" t="n">
        <f aca="false">IF(COUNTIFS(Std_Schedule_Code!$B$5:$B$191,"UGA",Std_Schedule_Code!$G$5:$G$191,$C24)=0,"",_xlfn.MINIFS(Std_Schedule_Code!$AO$5:$AO$191,Std_Schedule_Code!$B$5:$B$191,"UGA",Std_Schedule_Code!$G$5:$G$191,$C24))</f>
        <v>2</v>
      </c>
      <c r="Q24" s="4"/>
      <c r="R24" s="13" t="n">
        <v>1</v>
      </c>
      <c r="S24" s="4" t="s">
        <v>530</v>
      </c>
      <c r="T24" s="4" t="s">
        <v>531</v>
      </c>
      <c r="U24" s="4" t="s">
        <v>447</v>
      </c>
      <c r="V24" s="14" t="n">
        <f aca="false">IF(COUNTIFS(Std_Schedule_Code!$B$5:$B$191,"LBR",Std_Schedule_Code!$G$5:$G$191,$C24)=0,"",_xlfn.MINIFS(Std_Schedule_Code!$AO$5:$AO$191,Std_Schedule_Code!$B$5:$B$191,"LBR",Std_Schedule_Code!$G$5:$G$191,$C24))</f>
        <v>4</v>
      </c>
      <c r="W24" s="4" t="s">
        <v>533</v>
      </c>
      <c r="X24" s="4"/>
    </row>
    <row r="25" customFormat="false" ht="23.85" hidden="false" customHeight="false" outlineLevel="0" collapsed="false">
      <c r="A25" s="4" t="s">
        <v>449</v>
      </c>
      <c r="B25" s="4" t="s">
        <v>450</v>
      </c>
      <c r="C25" s="9" t="s">
        <v>541</v>
      </c>
      <c r="D25" s="4" t="s">
        <v>542</v>
      </c>
      <c r="E25" s="4" t="s">
        <v>369</v>
      </c>
      <c r="F25" s="13" t="n">
        <v>1</v>
      </c>
      <c r="G25" s="4" t="s">
        <v>543</v>
      </c>
      <c r="H25" s="4" t="s">
        <v>528</v>
      </c>
      <c r="I25" s="4" t="s">
        <v>249</v>
      </c>
      <c r="J25" s="14" t="n">
        <f aca="false">IF(COUNTIFS(Std_Schedule_Code!$B$5:$B$191,"SLE",Std_Schedule_Code!$G$5:$G$191,$C25)=0,"",_xlfn.MINIFS(Std_Schedule_Code!$AO$5:$AO$191,Std_Schedule_Code!$B$5:$B$191,"SLE",Std_Schedule_Code!$G$5:$G$191,$C25))</f>
        <v>1</v>
      </c>
      <c r="K25" s="4" t="s">
        <v>544</v>
      </c>
      <c r="L25" s="13" t="n">
        <v>1</v>
      </c>
      <c r="M25" s="4" t="s">
        <v>545</v>
      </c>
      <c r="N25" s="4" t="s">
        <v>243</v>
      </c>
      <c r="O25" s="4" t="s">
        <v>250</v>
      </c>
      <c r="P25" s="14" t="n">
        <f aca="false">IF(COUNTIFS(Std_Schedule_Code!$B$5:$B$191,"UGA",Std_Schedule_Code!$G$5:$G$191,$C25)=0,"",_xlfn.MINIFS(Std_Schedule_Code!$AO$5:$AO$191,Std_Schedule_Code!$B$5:$B$191,"UGA",Std_Schedule_Code!$G$5:$G$191,$C25))</f>
        <v>2</v>
      </c>
      <c r="Q25" s="4"/>
      <c r="R25" s="13" t="n">
        <v>1</v>
      </c>
      <c r="S25" s="4" t="s">
        <v>530</v>
      </c>
      <c r="T25" s="4" t="s">
        <v>531</v>
      </c>
      <c r="U25" s="4" t="s">
        <v>447</v>
      </c>
      <c r="V25" s="14" t="n">
        <f aca="false">IF(COUNTIFS(Std_Schedule_Code!$B$5:$B$191,"LBR",Std_Schedule_Code!$G$5:$G$191,$C25)=0,"",_xlfn.MINIFS(Std_Schedule_Code!$AO$5:$AO$191,Std_Schedule_Code!$B$5:$B$191,"LBR",Std_Schedule_Code!$G$5:$G$191,$C25))</f>
        <v>4</v>
      </c>
      <c r="W25" s="4" t="s">
        <v>245</v>
      </c>
      <c r="X25" s="4"/>
    </row>
    <row r="26" customFormat="false" ht="23.85" hidden="false" customHeight="false" outlineLevel="0" collapsed="false">
      <c r="A26" s="4" t="s">
        <v>449</v>
      </c>
      <c r="B26" s="4" t="s">
        <v>450</v>
      </c>
      <c r="C26" s="9" t="s">
        <v>546</v>
      </c>
      <c r="D26" s="4" t="s">
        <v>547</v>
      </c>
      <c r="E26" s="4" t="s">
        <v>369</v>
      </c>
      <c r="F26" s="13" t="n">
        <v>1</v>
      </c>
      <c r="G26" s="4" t="s">
        <v>548</v>
      </c>
      <c r="H26" s="4" t="s">
        <v>549</v>
      </c>
      <c r="I26" s="4" t="s">
        <v>249</v>
      </c>
      <c r="J26" s="14" t="n">
        <f aca="false">IF(COUNTIFS(Std_Schedule_Code!$B$5:$B$191,"SLE",Std_Schedule_Code!$G$5:$G$191,$C26)=0,"",_xlfn.MINIFS(Std_Schedule_Code!$AO$5:$AO$191,Std_Schedule_Code!$B$5:$B$191,"SLE",Std_Schedule_Code!$G$5:$G$191,$C26))</f>
        <v>1</v>
      </c>
      <c r="K26" s="4" t="s">
        <v>544</v>
      </c>
      <c r="L26" s="13" t="n">
        <v>1</v>
      </c>
      <c r="M26" s="4" t="s">
        <v>550</v>
      </c>
      <c r="N26" s="4" t="s">
        <v>397</v>
      </c>
      <c r="O26" s="4" t="s">
        <v>397</v>
      </c>
      <c r="P26" s="14" t="n">
        <f aca="false">IF(COUNTIFS(Std_Schedule_Code!$B$5:$B$191,"UGA",Std_Schedule_Code!$G$5:$G$191,$C26)=0,"",_xlfn.MINIFS(Std_Schedule_Code!$AO$5:$AO$191,Std_Schedule_Code!$B$5:$B$191,"UGA",Std_Schedule_Code!$G$5:$G$191,$C26))</f>
        <v>2</v>
      </c>
      <c r="Q26" s="4"/>
      <c r="R26" s="13" t="n">
        <v>1</v>
      </c>
      <c r="S26" s="4" t="s">
        <v>551</v>
      </c>
      <c r="T26" s="4" t="s">
        <v>552</v>
      </c>
      <c r="U26" s="4" t="s">
        <v>447</v>
      </c>
      <c r="V26" s="14" t="n">
        <f aca="false">IF(COUNTIFS(Std_Schedule_Code!$B$5:$B$191,"LBR",Std_Schedule_Code!$G$5:$G$191,$C26)=0,"",_xlfn.MINIFS(Std_Schedule_Code!$AO$5:$AO$191,Std_Schedule_Code!$B$5:$B$191,"LBR",Std_Schedule_Code!$G$5:$G$191,$C26))</f>
        <v>4</v>
      </c>
      <c r="W26" s="4" t="s">
        <v>553</v>
      </c>
      <c r="X26" s="4"/>
    </row>
    <row r="27" customFormat="false" ht="23.85" hidden="false" customHeight="false" outlineLevel="0" collapsed="false">
      <c r="A27" s="4" t="s">
        <v>449</v>
      </c>
      <c r="B27" s="4" t="s">
        <v>450</v>
      </c>
      <c r="C27" s="9" t="s">
        <v>554</v>
      </c>
      <c r="D27" s="4" t="s">
        <v>555</v>
      </c>
      <c r="E27" s="4" t="s">
        <v>556</v>
      </c>
      <c r="F27" s="13" t="n">
        <v>1</v>
      </c>
      <c r="G27" s="4" t="s">
        <v>557</v>
      </c>
      <c r="H27" s="4" t="s">
        <v>397</v>
      </c>
      <c r="I27" s="4" t="s">
        <v>397</v>
      </c>
      <c r="J27" s="14" t="n">
        <f aca="false">IF(COUNTIFS(Std_Schedule_Code!$B$5:$B$191,"SLE",Std_Schedule_Code!$G$5:$G$191,$C27)=0,"",_xlfn.MINIFS(Std_Schedule_Code!$AO$5:$AO$191,Std_Schedule_Code!$B$5:$B$191,"SLE",Std_Schedule_Code!$G$5:$G$191,$C27))</f>
        <v>5</v>
      </c>
      <c r="K27" s="4" t="s">
        <v>558</v>
      </c>
      <c r="L27" s="15" t="n">
        <v>0</v>
      </c>
      <c r="M27" s="16" t="s">
        <v>436</v>
      </c>
      <c r="N27" s="16" t="s">
        <v>397</v>
      </c>
      <c r="O27" s="16" t="s">
        <v>397</v>
      </c>
      <c r="P27" s="17" t="n">
        <f aca="false">IF(COUNTIFS(Std_Schedule_Code!$B$5:$B$191,"UGA",Std_Schedule_Code!$G$5:$G$191,$C27)=0,"",_xlfn.MINIFS(Std_Schedule_Code!$AO$5:$AO$191,Std_Schedule_Code!$B$5:$B$191,"UGA",Std_Schedule_Code!$G$5:$G$191,$C27))</f>
        <v>2</v>
      </c>
      <c r="Q27" s="16"/>
      <c r="R27" s="13" t="n">
        <v>1</v>
      </c>
      <c r="S27" s="4" t="s">
        <v>559</v>
      </c>
      <c r="T27" s="4" t="s">
        <v>397</v>
      </c>
      <c r="U27" s="4" t="s">
        <v>397</v>
      </c>
      <c r="V27" s="14" t="n">
        <f aca="false">IF(COUNTIFS(Std_Schedule_Code!$B$5:$B$191,"LBR",Std_Schedule_Code!$G$5:$G$191,$C27)=0,"",_xlfn.MINIFS(Std_Schedule_Code!$AO$5:$AO$191,Std_Schedule_Code!$B$5:$B$191,"LBR",Std_Schedule_Code!$G$5:$G$191,$C27))</f>
        <v>5</v>
      </c>
      <c r="W27" s="4" t="s">
        <v>560</v>
      </c>
      <c r="X27" s="4" t="s">
        <v>561</v>
      </c>
    </row>
    <row r="28" customFormat="false" ht="35.05" hidden="false" customHeight="false" outlineLevel="0" collapsed="false">
      <c r="A28" s="4" t="s">
        <v>420</v>
      </c>
      <c r="B28" s="4" t="s">
        <v>562</v>
      </c>
      <c r="C28" s="9" t="s">
        <v>563</v>
      </c>
      <c r="D28" s="4" t="s">
        <v>564</v>
      </c>
      <c r="E28" s="4" t="s">
        <v>565</v>
      </c>
      <c r="F28" s="13" t="n">
        <v>2</v>
      </c>
      <c r="G28" s="4" t="s">
        <v>566</v>
      </c>
      <c r="H28" s="4" t="s">
        <v>567</v>
      </c>
      <c r="I28" s="4" t="s">
        <v>397</v>
      </c>
      <c r="J28" s="14" t="n">
        <f aca="false">IF(COUNTIFS(Std_Schedule_Code!$B$5:$B$191,"SLE",Std_Schedule_Code!$G$5:$G$191,$C28)=0,"",_xlfn.MINIFS(Std_Schedule_Code!$AO$5:$AO$191,Std_Schedule_Code!$B$5:$B$191,"SLE",Std_Schedule_Code!$G$5:$G$191,$C28))</f>
        <v>4</v>
      </c>
      <c r="K28" s="4" t="s">
        <v>568</v>
      </c>
      <c r="L28" s="13" t="n">
        <v>1</v>
      </c>
      <c r="M28" s="4" t="s">
        <v>569</v>
      </c>
      <c r="N28" s="4" t="s">
        <v>397</v>
      </c>
      <c r="O28" s="4" t="s">
        <v>570</v>
      </c>
      <c r="P28" s="14" t="n">
        <f aca="false">IF(COUNTIFS(Std_Schedule_Code!$B$5:$B$191,"UGA",Std_Schedule_Code!$G$5:$G$191,$C28)=0,"",_xlfn.MINIFS(Std_Schedule_Code!$AO$5:$AO$191,Std_Schedule_Code!$B$5:$B$191,"UGA",Std_Schedule_Code!$G$5:$G$191,$C28))</f>
        <v>2</v>
      </c>
      <c r="Q28" s="4"/>
      <c r="R28" s="13" t="n">
        <v>2</v>
      </c>
      <c r="S28" s="4" t="s">
        <v>571</v>
      </c>
      <c r="T28" s="4" t="s">
        <v>572</v>
      </c>
      <c r="U28" s="4" t="s">
        <v>397</v>
      </c>
      <c r="V28" s="14" t="n">
        <f aca="false">IF(COUNTIFS(Std_Schedule_Code!$B$5:$B$191,"LBR",Std_Schedule_Code!$G$5:$G$191,$C28)=0,"",_xlfn.MINIFS(Std_Schedule_Code!$AO$5:$AO$191,Std_Schedule_Code!$B$5:$B$191,"LBR",Std_Schedule_Code!$G$5:$G$191,$C28))</f>
        <v>3</v>
      </c>
      <c r="W28" s="4" t="s">
        <v>573</v>
      </c>
      <c r="X28" s="4" t="s">
        <v>574</v>
      </c>
    </row>
    <row r="29" customFormat="false" ht="23.85" hidden="false" customHeight="false" outlineLevel="0" collapsed="false">
      <c r="A29" s="4" t="s">
        <v>420</v>
      </c>
      <c r="B29" s="4" t="s">
        <v>562</v>
      </c>
      <c r="C29" s="9" t="s">
        <v>575</v>
      </c>
      <c r="D29" s="4" t="s">
        <v>576</v>
      </c>
      <c r="E29" s="4" t="s">
        <v>577</v>
      </c>
      <c r="F29" s="13" t="n">
        <v>2</v>
      </c>
      <c r="G29" s="4" t="s">
        <v>578</v>
      </c>
      <c r="H29" s="4" t="s">
        <v>397</v>
      </c>
      <c r="I29" s="4" t="s">
        <v>579</v>
      </c>
      <c r="J29" s="14" t="n">
        <f aca="false">IF(COUNTIFS(Std_Schedule_Code!$B$5:$B$191,"SLE",Std_Schedule_Code!$G$5:$G$191,$C29)=0,"",_xlfn.MINIFS(Std_Schedule_Code!$AO$5:$AO$191,Std_Schedule_Code!$B$5:$B$191,"SLE",Std_Schedule_Code!$G$5:$G$191,$C29))</f>
        <v>5</v>
      </c>
      <c r="K29" s="4" t="s">
        <v>580</v>
      </c>
      <c r="L29" s="13" t="n">
        <v>1</v>
      </c>
      <c r="M29" s="4" t="s">
        <v>581</v>
      </c>
      <c r="N29" s="4" t="s">
        <v>397</v>
      </c>
      <c r="O29" s="4" t="s">
        <v>570</v>
      </c>
      <c r="P29" s="14" t="n">
        <f aca="false">IF(COUNTIFS(Std_Schedule_Code!$B$5:$B$191,"UGA",Std_Schedule_Code!$G$5:$G$191,$C29)=0,"",_xlfn.MINIFS(Std_Schedule_Code!$AO$5:$AO$191,Std_Schedule_Code!$B$5:$B$191,"UGA",Std_Schedule_Code!$G$5:$G$191,$C29))</f>
        <v>2</v>
      </c>
      <c r="Q29" s="4"/>
      <c r="R29" s="13" t="n">
        <v>2</v>
      </c>
      <c r="S29" s="4" t="s">
        <v>571</v>
      </c>
      <c r="T29" s="4" t="s">
        <v>572</v>
      </c>
      <c r="U29" s="4" t="s">
        <v>397</v>
      </c>
      <c r="V29" s="14" t="n">
        <f aca="false">IF(COUNTIFS(Std_Schedule_Code!$B$5:$B$191,"LBR",Std_Schedule_Code!$G$5:$G$191,$C29)=0,"",_xlfn.MINIFS(Std_Schedule_Code!$AO$5:$AO$191,Std_Schedule_Code!$B$5:$B$191,"LBR",Std_Schedule_Code!$G$5:$G$191,$C29))</f>
        <v>3</v>
      </c>
      <c r="W29" s="4" t="s">
        <v>582</v>
      </c>
      <c r="X29" s="4"/>
    </row>
    <row r="30" customFormat="false" ht="23.85" hidden="false" customHeight="false" outlineLevel="0" collapsed="false">
      <c r="A30" s="4" t="s">
        <v>420</v>
      </c>
      <c r="B30" s="4" t="s">
        <v>583</v>
      </c>
      <c r="C30" s="9" t="s">
        <v>584</v>
      </c>
      <c r="D30" s="4" t="s">
        <v>585</v>
      </c>
      <c r="E30" s="4" t="s">
        <v>586</v>
      </c>
      <c r="F30" s="13" t="n">
        <v>2</v>
      </c>
      <c r="G30" s="4" t="s">
        <v>587</v>
      </c>
      <c r="H30" s="4" t="s">
        <v>397</v>
      </c>
      <c r="I30" s="4" t="s">
        <v>397</v>
      </c>
      <c r="J30" s="14" t="n">
        <f aca="false">IF(COUNTIFS(Std_Schedule_Code!$B$5:$B$191,"SLE",Std_Schedule_Code!$G$5:$G$191,$C30)=0,"",_xlfn.MINIFS(Std_Schedule_Code!$AO$5:$AO$191,Std_Schedule_Code!$B$5:$B$191,"SLE",Std_Schedule_Code!$G$5:$G$191,$C30))</f>
        <v>5</v>
      </c>
      <c r="K30" s="4" t="s">
        <v>580</v>
      </c>
      <c r="L30" s="13" t="n">
        <v>1</v>
      </c>
      <c r="M30" s="4" t="s">
        <v>588</v>
      </c>
      <c r="N30" s="4" t="s">
        <v>397</v>
      </c>
      <c r="O30" s="4" t="s">
        <v>397</v>
      </c>
      <c r="P30" s="14" t="n">
        <f aca="false">IF(COUNTIFS(Std_Schedule_Code!$B$5:$B$191,"UGA",Std_Schedule_Code!$G$5:$G$191,$C30)=0,"",_xlfn.MINIFS(Std_Schedule_Code!$AO$5:$AO$191,Std_Schedule_Code!$B$5:$B$191,"UGA",Std_Schedule_Code!$G$5:$G$191,$C30))</f>
        <v>2</v>
      </c>
      <c r="Q30" s="4"/>
      <c r="R30" s="15" t="n">
        <v>0</v>
      </c>
      <c r="S30" s="16" t="s">
        <v>589</v>
      </c>
      <c r="T30" s="16" t="s">
        <v>397</v>
      </c>
      <c r="U30" s="16" t="s">
        <v>397</v>
      </c>
      <c r="V30" s="17" t="n">
        <f aca="false">IF(COUNTIFS(Std_Schedule_Code!$B$5:$B$191,"LBR",Std_Schedule_Code!$G$5:$G$191,$C30)=0,"",_xlfn.MINIFS(Std_Schedule_Code!$AO$5:$AO$191,Std_Schedule_Code!$B$5:$B$191,"LBR",Std_Schedule_Code!$G$5:$G$191,$C30))</f>
        <v>4</v>
      </c>
      <c r="W30" s="16" t="s">
        <v>405</v>
      </c>
      <c r="X30" s="4"/>
    </row>
    <row r="31" customFormat="false" ht="15" hidden="false" customHeight="false" outlineLevel="0" collapsed="false">
      <c r="A31" s="4" t="s">
        <v>420</v>
      </c>
      <c r="B31" s="4" t="s">
        <v>590</v>
      </c>
      <c r="C31" s="9" t="s">
        <v>180</v>
      </c>
      <c r="D31" s="4" t="s">
        <v>591</v>
      </c>
      <c r="E31" s="4" t="s">
        <v>592</v>
      </c>
      <c r="F31" s="13" t="n">
        <v>1</v>
      </c>
      <c r="G31" s="4" t="s">
        <v>593</v>
      </c>
      <c r="H31" s="4" t="s">
        <v>531</v>
      </c>
      <c r="I31" s="4" t="s">
        <v>249</v>
      </c>
      <c r="J31" s="14" t="n">
        <f aca="false">IF(COUNTIFS(Std_Schedule_Code!$B$5:$B$191,"SLE",Std_Schedule_Code!$G$5:$G$191,$C31)=0,"",_xlfn.MINIFS(Std_Schedule_Code!$AO$5:$AO$191,Std_Schedule_Code!$B$5:$B$191,"SLE",Std_Schedule_Code!$G$5:$G$191,$C31))</f>
        <v>3</v>
      </c>
      <c r="K31" s="4" t="s">
        <v>594</v>
      </c>
      <c r="L31" s="13" t="n">
        <v>1</v>
      </c>
      <c r="M31" s="4" t="s">
        <v>595</v>
      </c>
      <c r="N31" s="4" t="s">
        <v>596</v>
      </c>
      <c r="O31" s="4" t="s">
        <v>249</v>
      </c>
      <c r="P31" s="14" t="n">
        <f aca="false">IF(COUNTIFS(Std_Schedule_Code!$B$5:$B$191,"UGA",Std_Schedule_Code!$G$5:$G$191,$C31)=0,"",_xlfn.MINIFS(Std_Schedule_Code!$AO$5:$AO$191,Std_Schedule_Code!$B$5:$B$191,"UGA",Std_Schedule_Code!$G$5:$G$191,$C31))</f>
        <v>2</v>
      </c>
      <c r="Q31" s="4"/>
      <c r="R31" s="15" t="n">
        <v>0</v>
      </c>
      <c r="S31" s="16" t="s">
        <v>419</v>
      </c>
      <c r="T31" s="16" t="s">
        <v>397</v>
      </c>
      <c r="U31" s="16" t="s">
        <v>397</v>
      </c>
      <c r="V31" s="17" t="n">
        <f aca="false">IF(COUNTIFS(Std_Schedule_Code!$B$5:$B$191,"LBR",Std_Schedule_Code!$G$5:$G$191,$C31)=0,"",_xlfn.MINIFS(Std_Schedule_Code!$AO$5:$AO$191,Std_Schedule_Code!$B$5:$B$191,"LBR",Std_Schedule_Code!$G$5:$G$191,$C31))</f>
        <v>4</v>
      </c>
      <c r="W31" s="16" t="s">
        <v>405</v>
      </c>
      <c r="X31" s="4"/>
    </row>
    <row r="32" customFormat="false" ht="23.85" hidden="false" customHeight="false" outlineLevel="0" collapsed="false">
      <c r="A32" s="4" t="s">
        <v>420</v>
      </c>
      <c r="B32" s="4" t="s">
        <v>590</v>
      </c>
      <c r="C32" s="9" t="s">
        <v>189</v>
      </c>
      <c r="D32" s="4" t="s">
        <v>597</v>
      </c>
      <c r="E32" s="4" t="s">
        <v>598</v>
      </c>
      <c r="F32" s="13" t="n">
        <v>1</v>
      </c>
      <c r="G32" s="4" t="s">
        <v>599</v>
      </c>
      <c r="H32" s="4" t="s">
        <v>397</v>
      </c>
      <c r="I32" s="4" t="s">
        <v>397</v>
      </c>
      <c r="J32" s="14" t="n">
        <f aca="false">IF(COUNTIFS(Std_Schedule_Code!$B$5:$B$191,"SLE",Std_Schedule_Code!$G$5:$G$191,$C32)=0,"",_xlfn.MINIFS(Std_Schedule_Code!$AO$5:$AO$191,Std_Schedule_Code!$B$5:$B$191,"SLE",Std_Schedule_Code!$G$5:$G$191,$C32))</f>
        <v>5</v>
      </c>
      <c r="K32" s="4" t="s">
        <v>600</v>
      </c>
      <c r="L32" s="13" t="n">
        <v>1</v>
      </c>
      <c r="M32" s="4" t="s">
        <v>601</v>
      </c>
      <c r="N32" s="4" t="s">
        <v>602</v>
      </c>
      <c r="O32" s="4" t="s">
        <v>397</v>
      </c>
      <c r="P32" s="14" t="n">
        <f aca="false">IF(COUNTIFS(Std_Schedule_Code!$B$5:$B$191,"UGA",Std_Schedule_Code!$G$5:$G$191,$C32)=0,"",_xlfn.MINIFS(Std_Schedule_Code!$AO$5:$AO$191,Std_Schedule_Code!$B$5:$B$191,"UGA",Std_Schedule_Code!$G$5:$G$191,$C32))</f>
        <v>2</v>
      </c>
      <c r="Q32" s="4"/>
      <c r="R32" s="15" t="n">
        <v>0</v>
      </c>
      <c r="S32" s="16" t="s">
        <v>419</v>
      </c>
      <c r="T32" s="16" t="s">
        <v>397</v>
      </c>
      <c r="U32" s="16" t="s">
        <v>397</v>
      </c>
      <c r="V32" s="17" t="n">
        <f aca="false">IF(COUNTIFS(Std_Schedule_Code!$B$5:$B$191,"LBR",Std_Schedule_Code!$G$5:$G$191,$C32)=0,"",_xlfn.MINIFS(Std_Schedule_Code!$AO$5:$AO$191,Std_Schedule_Code!$B$5:$B$191,"LBR",Std_Schedule_Code!$G$5:$G$191,$C32))</f>
        <v>4</v>
      </c>
      <c r="W32" s="16" t="s">
        <v>405</v>
      </c>
      <c r="X32" s="4"/>
    </row>
    <row r="33" customFormat="false" ht="23.85" hidden="false" customHeight="false" outlineLevel="0" collapsed="false">
      <c r="A33" s="4" t="s">
        <v>420</v>
      </c>
      <c r="B33" s="4" t="s">
        <v>590</v>
      </c>
      <c r="C33" s="9" t="s">
        <v>198</v>
      </c>
      <c r="D33" s="4" t="s">
        <v>603</v>
      </c>
      <c r="E33" s="4" t="s">
        <v>423</v>
      </c>
      <c r="F33" s="15" t="n">
        <v>0</v>
      </c>
      <c r="G33" s="16" t="s">
        <v>604</v>
      </c>
      <c r="H33" s="16" t="s">
        <v>397</v>
      </c>
      <c r="I33" s="16" t="s">
        <v>397</v>
      </c>
      <c r="J33" s="17" t="n">
        <f aca="false">IF(COUNTIFS(Std_Schedule_Code!$B$5:$B$191,"SLE",Std_Schedule_Code!$G$5:$G$191,$C33)=0,"",_xlfn.MINIFS(Std_Schedule_Code!$AO$5:$AO$191,Std_Schedule_Code!$B$5:$B$191,"SLE",Std_Schedule_Code!$G$5:$G$191,$C33))</f>
        <v>2</v>
      </c>
      <c r="K33" s="16"/>
      <c r="L33" s="13" t="n">
        <v>1</v>
      </c>
      <c r="M33" s="4" t="s">
        <v>605</v>
      </c>
      <c r="N33" s="4" t="s">
        <v>606</v>
      </c>
      <c r="O33" s="4" t="s">
        <v>397</v>
      </c>
      <c r="P33" s="14" t="n">
        <f aca="false">IF(COUNTIFS(Std_Schedule_Code!$B$5:$B$191,"UGA",Std_Schedule_Code!$G$5:$G$191,$C33)=0,"",_xlfn.MINIFS(Std_Schedule_Code!$AO$5:$AO$191,Std_Schedule_Code!$B$5:$B$191,"UGA",Std_Schedule_Code!$G$5:$G$191,$C33))</f>
        <v>2</v>
      </c>
      <c r="Q33" s="4"/>
      <c r="R33" s="13" t="n">
        <v>1</v>
      </c>
      <c r="S33" s="4" t="s">
        <v>607</v>
      </c>
      <c r="T33" s="4" t="s">
        <v>397</v>
      </c>
      <c r="U33" s="4" t="s">
        <v>447</v>
      </c>
      <c r="V33" s="14" t="n">
        <f aca="false">IF(COUNTIFS(Std_Schedule_Code!$B$5:$B$191,"LBR",Std_Schedule_Code!$G$5:$G$191,$C33)=0,"",_xlfn.MINIFS(Std_Schedule_Code!$AO$5:$AO$191,Std_Schedule_Code!$B$5:$B$191,"LBR",Std_Schedule_Code!$G$5:$G$191,$C33))</f>
        <v>5</v>
      </c>
      <c r="W33" s="4" t="s">
        <v>426</v>
      </c>
      <c r="X33" s="4"/>
    </row>
    <row r="34" customFormat="false" ht="23.85" hidden="false" customHeight="false" outlineLevel="0" collapsed="false">
      <c r="A34" s="4" t="s">
        <v>420</v>
      </c>
      <c r="B34" s="4" t="s">
        <v>590</v>
      </c>
      <c r="C34" s="9" t="s">
        <v>207</v>
      </c>
      <c r="D34" s="4" t="s">
        <v>608</v>
      </c>
      <c r="E34" s="4" t="s">
        <v>191</v>
      </c>
      <c r="F34" s="13" t="n">
        <v>1</v>
      </c>
      <c r="G34" s="4" t="s">
        <v>609</v>
      </c>
      <c r="H34" s="4" t="s">
        <v>397</v>
      </c>
      <c r="I34" s="4" t="s">
        <v>397</v>
      </c>
      <c r="J34" s="14" t="n">
        <f aca="false">IF(COUNTIFS(Std_Schedule_Code!$B$5:$B$191,"SLE",Std_Schedule_Code!$G$5:$G$191,$C34)=0,"",_xlfn.MINIFS(Std_Schedule_Code!$AO$5:$AO$191,Std_Schedule_Code!$B$5:$B$191,"SLE",Std_Schedule_Code!$G$5:$G$191,$C34))</f>
        <v>5</v>
      </c>
      <c r="K34" s="4" t="s">
        <v>600</v>
      </c>
      <c r="L34" s="15" t="n">
        <v>0</v>
      </c>
      <c r="M34" s="16" t="s">
        <v>604</v>
      </c>
      <c r="N34" s="16" t="s">
        <v>397</v>
      </c>
      <c r="O34" s="16" t="s">
        <v>397</v>
      </c>
      <c r="P34" s="17" t="n">
        <f aca="false">IF(COUNTIFS(Std_Schedule_Code!$B$5:$B$191,"UGA",Std_Schedule_Code!$G$5:$G$191,$C34)=0,"",_xlfn.MINIFS(Std_Schedule_Code!$AO$5:$AO$191,Std_Schedule_Code!$B$5:$B$191,"UGA",Std_Schedule_Code!$G$5:$G$191,$C34))</f>
        <v>2</v>
      </c>
      <c r="Q34" s="16"/>
      <c r="R34" s="15" t="n">
        <v>0</v>
      </c>
      <c r="S34" s="16" t="s">
        <v>419</v>
      </c>
      <c r="T34" s="16" t="s">
        <v>397</v>
      </c>
      <c r="U34" s="16" t="s">
        <v>397</v>
      </c>
      <c r="V34" s="17" t="n">
        <f aca="false">IF(COUNTIFS(Std_Schedule_Code!$B$5:$B$191,"LBR",Std_Schedule_Code!$G$5:$G$191,$C34)=0,"",_xlfn.MINIFS(Std_Schedule_Code!$AO$5:$AO$191,Std_Schedule_Code!$B$5:$B$191,"LBR",Std_Schedule_Code!$G$5:$G$191,$C34))</f>
        <v>4</v>
      </c>
      <c r="W34" s="16" t="s">
        <v>405</v>
      </c>
      <c r="X34" s="4"/>
    </row>
    <row r="35" customFormat="false" ht="23.85" hidden="false" customHeight="false" outlineLevel="0" collapsed="false">
      <c r="A35" s="4" t="s">
        <v>420</v>
      </c>
      <c r="B35" s="4" t="s">
        <v>610</v>
      </c>
      <c r="C35" s="9" t="s">
        <v>611</v>
      </c>
      <c r="D35" s="4" t="s">
        <v>612</v>
      </c>
      <c r="E35" s="4" t="s">
        <v>191</v>
      </c>
      <c r="F35" s="15" t="n">
        <v>0</v>
      </c>
      <c r="G35" s="16" t="s">
        <v>604</v>
      </c>
      <c r="H35" s="16" t="s">
        <v>397</v>
      </c>
      <c r="I35" s="16" t="s">
        <v>397</v>
      </c>
      <c r="J35" s="17" t="n">
        <f aca="false">IF(COUNTIFS(Std_Schedule_Code!$B$5:$B$191,"SLE",Std_Schedule_Code!$G$5:$G$191,$C35)=0,"",_xlfn.MINIFS(Std_Schedule_Code!$AO$5:$AO$191,Std_Schedule_Code!$B$5:$B$191,"SLE",Std_Schedule_Code!$G$5:$G$191,$C35))</f>
        <v>2</v>
      </c>
      <c r="K35" s="16"/>
      <c r="L35" s="13" t="n">
        <v>1</v>
      </c>
      <c r="M35" s="4" t="s">
        <v>613</v>
      </c>
      <c r="N35" s="4" t="s">
        <v>397</v>
      </c>
      <c r="O35" s="4" t="s">
        <v>397</v>
      </c>
      <c r="P35" s="14" t="n">
        <f aca="false">IF(COUNTIFS(Std_Schedule_Code!$B$5:$B$191,"UGA",Std_Schedule_Code!$G$5:$G$191,$C35)=0,"",_xlfn.MINIFS(Std_Schedule_Code!$AO$5:$AO$191,Std_Schedule_Code!$B$5:$B$191,"UGA",Std_Schedule_Code!$G$5:$G$191,$C35))</f>
        <v>2</v>
      </c>
      <c r="Q35" s="4"/>
      <c r="R35" s="13" t="n">
        <v>1</v>
      </c>
      <c r="S35" s="4" t="s">
        <v>614</v>
      </c>
      <c r="T35" s="4" t="s">
        <v>397</v>
      </c>
      <c r="U35" s="4" t="s">
        <v>447</v>
      </c>
      <c r="V35" s="14" t="n">
        <f aca="false">IF(COUNTIFS(Std_Schedule_Code!$B$5:$B$191,"LBR",Std_Schedule_Code!$G$5:$G$191,$C35)=0,"",_xlfn.MINIFS(Std_Schedule_Code!$AO$5:$AO$191,Std_Schedule_Code!$B$5:$B$191,"LBR",Std_Schedule_Code!$G$5:$G$191,$C35))</f>
        <v>5</v>
      </c>
      <c r="W35" s="4" t="s">
        <v>426</v>
      </c>
      <c r="X35" s="4"/>
    </row>
    <row r="37" customFormat="false" ht="15" hidden="false" customHeight="false" outlineLevel="0" collapsed="false">
      <c r="D37" s="8" t="s">
        <v>615</v>
      </c>
    </row>
    <row r="38" customFormat="false" ht="15" hidden="false" customHeight="false" outlineLevel="0" collapsed="false">
      <c r="D38" s="4" t="s">
        <v>616</v>
      </c>
      <c r="F38" s="18" t="n">
        <f aca="false">COUNTIF(F6:F35,1)</f>
        <v>21</v>
      </c>
      <c r="L38" s="18" t="n">
        <f aca="false">COUNTIF(L6:L35,1)</f>
        <v>26</v>
      </c>
      <c r="R38" s="18" t="n">
        <f aca="false">COUNTIF(R6:R35,1)</f>
        <v>16</v>
      </c>
    </row>
    <row r="39" customFormat="false" ht="15" hidden="false" customHeight="false" outlineLevel="0" collapsed="false">
      <c r="D39" s="4" t="s">
        <v>617</v>
      </c>
      <c r="F39" s="18" t="n">
        <f aca="false">COUNTIF(F6:F35,2)</f>
        <v>4</v>
      </c>
      <c r="L39" s="18" t="n">
        <f aca="false">COUNTIF(L6:L35,2)</f>
        <v>0</v>
      </c>
      <c r="R39" s="18" t="n">
        <f aca="false">COUNTIF(R6:R35,2)</f>
        <v>5</v>
      </c>
    </row>
    <row r="40" customFormat="false" ht="15" hidden="false" customHeight="false" outlineLevel="0" collapsed="false">
      <c r="D40" s="4" t="s">
        <v>618</v>
      </c>
      <c r="F40" s="18" t="n">
        <f aca="false">COUNTIF(F6:F35,0)</f>
        <v>5</v>
      </c>
      <c r="L40" s="18" t="n">
        <f aca="false">COUNTIF(L6:L35,0)</f>
        <v>4</v>
      </c>
      <c r="R40" s="18" t="n">
        <f aca="false">COUNTIF(R6:R35,0)</f>
        <v>9</v>
      </c>
    </row>
    <row r="41" customFormat="false" ht="15" hidden="false" customHeight="false" outlineLevel="0" collapsed="false">
      <c r="D41" s="4" t="s">
        <v>619</v>
      </c>
      <c r="F41" s="18" t="n">
        <f aca="false">F38+F39</f>
        <v>25</v>
      </c>
      <c r="L41" s="18" t="n">
        <f aca="false">L38+L39</f>
        <v>26</v>
      </c>
      <c r="R41" s="18" t="n">
        <f aca="false">R38+R39</f>
        <v>21</v>
      </c>
    </row>
    <row r="43" customFormat="false" ht="15" hidden="false" customHeight="true" outlineLevel="0" collapsed="false">
      <c r="D43" s="19" t="s">
        <v>620</v>
      </c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</row>
  </sheetData>
  <mergeCells count="4">
    <mergeCell ref="F4:K4"/>
    <mergeCell ref="L4:Q4"/>
    <mergeCell ref="R4:W4"/>
    <mergeCell ref="D43:O43"/>
  </mergeCells>
  <conditionalFormatting sqref="J6:J35">
    <cfRule type="colorScale" priority="2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conditionalFormatting sqref="P6:P35">
    <cfRule type="colorScale" priority="3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conditionalFormatting sqref="V6:V35">
    <cfRule type="colorScale" priority="4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19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0" ySplit="4" topLeftCell="K5" activePane="bottomRight" state="frozen"/>
      <selection pane="topLeft" activeCell="A1" activeCellId="0" sqref="A1"/>
      <selection pane="topRight" activeCell="K1" activeCellId="0" sqref="K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5" min="4" style="0" width="11"/>
    <col collapsed="false" customWidth="true" hidden="false" outlineLevel="0" max="6" min="6" style="0" width="18"/>
    <col collapsed="false" customWidth="true" hidden="false" outlineLevel="0" max="7" min="7" style="0" width="8"/>
    <col collapsed="false" customWidth="true" hidden="false" outlineLevel="0" max="8" min="8" style="0" width="26"/>
    <col collapsed="false" customWidth="true" hidden="false" outlineLevel="0" max="9" min="9" style="0" width="14"/>
    <col collapsed="false" customWidth="true" hidden="false" outlineLevel="0" max="10" min="10" style="0" width="9"/>
    <col collapsed="false" customWidth="true" hidden="false" outlineLevel="0" max="11" min="11" style="0" width="40"/>
    <col collapsed="false" customWidth="true" hidden="false" outlineLevel="0" max="12" min="12" style="0" width="12"/>
    <col collapsed="false" customWidth="true" hidden="false" outlineLevel="0" max="13" min="13" style="0" width="36"/>
    <col collapsed="false" customWidth="true" hidden="false" outlineLevel="0" max="15" min="14" style="0" width="12"/>
    <col collapsed="false" customWidth="true" hidden="false" outlineLevel="0" max="16" min="16" style="0" width="14"/>
    <col collapsed="false" customWidth="true" hidden="false" outlineLevel="0" max="18" min="17" style="0" width="12"/>
    <col collapsed="false" customWidth="true" hidden="false" outlineLevel="0" max="19" min="19" style="0" width="10"/>
    <col collapsed="false" customWidth="true" hidden="false" outlineLevel="0" max="20" min="20" style="0" width="9"/>
    <col collapsed="false" customWidth="true" hidden="false" outlineLevel="0" max="21" min="21" style="0" width="16"/>
    <col collapsed="false" customWidth="true" hidden="false" outlineLevel="0" max="22" min="22" style="0" width="26"/>
    <col collapsed="false" customWidth="true" hidden="false" outlineLevel="0" max="23" min="23" style="0" width="30"/>
    <col collapsed="false" customWidth="true" hidden="false" outlineLevel="0" max="24" min="24" style="0" width="9"/>
    <col collapsed="false" customWidth="true" hidden="false" outlineLevel="0" max="28" min="25" style="0" width="8"/>
    <col collapsed="false" customWidth="true" hidden="false" outlineLevel="0" max="30" min="29" style="0" width="9"/>
    <col collapsed="false" customWidth="true" hidden="false" outlineLevel="0" max="31" min="31" style="0" width="26"/>
    <col collapsed="false" customWidth="true" hidden="false" outlineLevel="0" max="32" min="32" style="0" width="10"/>
    <col collapsed="false" customWidth="true" hidden="false" outlineLevel="0" max="33" min="33" style="0" width="11"/>
    <col collapsed="false" customWidth="true" hidden="false" outlineLevel="0" max="34" min="34" style="0" width="10"/>
    <col collapsed="false" customWidth="true" hidden="false" outlineLevel="0" max="36" min="35" style="0" width="11"/>
    <col collapsed="false" customWidth="true" hidden="false" outlineLevel="0" max="37" min="37" style="0" width="30"/>
    <col collapsed="false" customWidth="true" hidden="false" outlineLevel="0" max="38" min="38" style="0" width="10"/>
    <col collapsed="false" customWidth="true" hidden="false" outlineLevel="0" max="39" min="39" style="0" width="16"/>
    <col collapsed="false" customWidth="true" hidden="false" outlineLevel="0" max="40" min="40" style="0" width="14"/>
    <col collapsed="false" customWidth="true" hidden="false" outlineLevel="0" max="41" min="41" style="0" width="8"/>
    <col collapsed="false" customWidth="true" hidden="false" outlineLevel="0" max="42" min="42" style="0" width="40"/>
  </cols>
  <sheetData>
    <row r="1" customFormat="false" ht="17.35" hidden="false" customHeight="false" outlineLevel="0" collapsed="false">
      <c r="A1" s="1" t="s">
        <v>621</v>
      </c>
    </row>
    <row r="2" customFormat="false" ht="15" hidden="false" customHeight="false" outlineLevel="0" collapsed="false">
      <c r="A2" s="2" t="s">
        <v>622</v>
      </c>
    </row>
    <row r="4" customFormat="false" ht="46.25" hidden="false" customHeight="false" outlineLevel="0" collapsed="false">
      <c r="A4" s="3" t="s">
        <v>623</v>
      </c>
      <c r="B4" s="3" t="s">
        <v>624</v>
      </c>
      <c r="C4" s="3" t="s">
        <v>625</v>
      </c>
      <c r="D4" s="3" t="s">
        <v>626</v>
      </c>
      <c r="E4" s="3" t="s">
        <v>627</v>
      </c>
      <c r="F4" s="3" t="s">
        <v>628</v>
      </c>
      <c r="G4" s="3" t="s">
        <v>629</v>
      </c>
      <c r="H4" s="3" t="s">
        <v>630</v>
      </c>
      <c r="I4" s="3" t="s">
        <v>631</v>
      </c>
      <c r="J4" s="3" t="s">
        <v>632</v>
      </c>
      <c r="K4" s="3" t="s">
        <v>633</v>
      </c>
      <c r="L4" s="3" t="s">
        <v>634</v>
      </c>
      <c r="M4" s="3" t="s">
        <v>635</v>
      </c>
      <c r="N4" s="3" t="s">
        <v>636</v>
      </c>
      <c r="O4" s="3" t="s">
        <v>637</v>
      </c>
      <c r="P4" s="3" t="s">
        <v>638</v>
      </c>
      <c r="Q4" s="3" t="s">
        <v>639</v>
      </c>
      <c r="R4" s="3" t="s">
        <v>640</v>
      </c>
      <c r="S4" s="3" t="s">
        <v>641</v>
      </c>
      <c r="T4" s="3" t="s">
        <v>642</v>
      </c>
      <c r="U4" s="3" t="s">
        <v>643</v>
      </c>
      <c r="V4" s="3" t="s">
        <v>644</v>
      </c>
      <c r="W4" s="3" t="s">
        <v>645</v>
      </c>
      <c r="X4" s="3" t="s">
        <v>646</v>
      </c>
      <c r="Y4" s="3" t="s">
        <v>647</v>
      </c>
      <c r="Z4" s="3" t="s">
        <v>648</v>
      </c>
      <c r="AA4" s="3" t="s">
        <v>649</v>
      </c>
      <c r="AB4" s="3" t="s">
        <v>650</v>
      </c>
      <c r="AC4" s="3" t="s">
        <v>651</v>
      </c>
      <c r="AD4" s="3" t="s">
        <v>652</v>
      </c>
      <c r="AE4" s="3" t="s">
        <v>653</v>
      </c>
      <c r="AF4" s="3" t="s">
        <v>654</v>
      </c>
      <c r="AG4" s="3" t="s">
        <v>655</v>
      </c>
      <c r="AH4" s="3" t="s">
        <v>656</v>
      </c>
      <c r="AI4" s="3" t="s">
        <v>657</v>
      </c>
      <c r="AJ4" s="3" t="s">
        <v>658</v>
      </c>
      <c r="AK4" s="3" t="s">
        <v>659</v>
      </c>
      <c r="AL4" s="3" t="s">
        <v>660</v>
      </c>
      <c r="AM4" s="3" t="s">
        <v>661</v>
      </c>
      <c r="AN4" s="3" t="s">
        <v>662</v>
      </c>
      <c r="AO4" s="3" t="s">
        <v>663</v>
      </c>
      <c r="AP4" s="3" t="s">
        <v>664</v>
      </c>
    </row>
    <row r="5" customFormat="false" ht="23.85" hidden="false" customHeight="false" outlineLevel="0" collapsed="false">
      <c r="A5" s="4" t="s">
        <v>665</v>
      </c>
      <c r="B5" s="4" t="s">
        <v>666</v>
      </c>
      <c r="C5" s="4" t="s">
        <v>3</v>
      </c>
      <c r="D5" s="4" t="s">
        <v>78</v>
      </c>
      <c r="E5" s="4" t="s">
        <v>365</v>
      </c>
      <c r="F5" s="4" t="s">
        <v>366</v>
      </c>
      <c r="G5" s="4" t="s">
        <v>367</v>
      </c>
      <c r="H5" s="4" t="s">
        <v>368</v>
      </c>
      <c r="I5" s="4" t="s">
        <v>369</v>
      </c>
      <c r="J5" s="4" t="n">
        <v>1</v>
      </c>
      <c r="K5" s="4" t="s">
        <v>368</v>
      </c>
      <c r="L5" s="4"/>
      <c r="M5" s="4" t="s">
        <v>667</v>
      </c>
      <c r="N5" s="4" t="s">
        <v>668</v>
      </c>
      <c r="O5" s="4" t="s">
        <v>669</v>
      </c>
      <c r="P5" s="4"/>
      <c r="Q5" s="4" t="s">
        <v>670</v>
      </c>
      <c r="R5" s="4" t="s">
        <v>671</v>
      </c>
      <c r="S5" s="20" t="n">
        <v>5</v>
      </c>
      <c r="T5" s="4" t="s">
        <v>672</v>
      </c>
      <c r="U5" s="4" t="s">
        <v>673</v>
      </c>
      <c r="V5" s="4"/>
      <c r="W5" s="4" t="s">
        <v>674</v>
      </c>
      <c r="X5" s="4" t="s">
        <v>675</v>
      </c>
      <c r="Y5" s="4"/>
      <c r="Z5" s="4"/>
      <c r="AA5" s="4"/>
      <c r="AB5" s="4"/>
      <c r="AC5" s="4"/>
      <c r="AD5" s="4"/>
      <c r="AE5" s="4"/>
      <c r="AF5" s="21" t="n">
        <f aca="false">IF(T5="USD",1,IF(T5="pct","",INDEX(Parameters!$D$5:$D$7,MATCH(B5,Parameters!$A$5:$A$7,0))))</f>
        <v>22</v>
      </c>
      <c r="AG5" s="22" t="n">
        <f aca="false">IF(AND(R5="specific",ISNUMBER(S5)),S5/AF5,"")</f>
        <v>0.227272727272727</v>
      </c>
      <c r="AH5" s="23" t="n">
        <v>1</v>
      </c>
      <c r="AI5" s="22" t="n">
        <f aca="false">IF(NOT(ISNUMBER(AH5)),"",IF(R5="specific",IF(ISNUMBER(AG5),AG5*AH5,""),IF(AND(R5="ad_valorem",ISNUMBER(AJ5)),S5*AJ5/INDEX(Parameters!$D$5:$D$7,MATCH(B5,Parameters!$A$5:$A$7,0))*AH5,"")))</f>
        <v>0.227272727272727</v>
      </c>
      <c r="AJ5" s="23" t="n">
        <v>32</v>
      </c>
      <c r="AK5" s="4" t="s">
        <v>676</v>
      </c>
      <c r="AL5" s="24" t="n">
        <f aca="false">IF(NOT(ISNUMBER(AJ5)),"",IF(R5="specific",S5/AJ5,IF(R5="ad_valorem",S5,"")))</f>
        <v>0.15625</v>
      </c>
      <c r="AM5" s="4" t="s">
        <v>68</v>
      </c>
      <c r="AN5" s="4" t="s">
        <v>371</v>
      </c>
      <c r="AO5" s="25" t="n">
        <f aca="false">IF(AM5="","",IFERROR(INDEX(DQ_Scale!$B$5:$B$14,MATCH(AM5,DQ_Scale!$A$5:$A$14,0)),""))</f>
        <v>3</v>
      </c>
      <c r="AP5" s="4"/>
    </row>
    <row r="6" customFormat="false" ht="23.85" hidden="false" customHeight="false" outlineLevel="0" collapsed="false">
      <c r="A6" s="4" t="s">
        <v>677</v>
      </c>
      <c r="B6" s="4" t="s">
        <v>666</v>
      </c>
      <c r="C6" s="4" t="s">
        <v>3</v>
      </c>
      <c r="D6" s="4" t="s">
        <v>78</v>
      </c>
      <c r="E6" s="4" t="s">
        <v>365</v>
      </c>
      <c r="F6" s="4" t="s">
        <v>366</v>
      </c>
      <c r="G6" s="4" t="s">
        <v>378</v>
      </c>
      <c r="H6" s="4" t="s">
        <v>379</v>
      </c>
      <c r="I6" s="4" t="s">
        <v>369</v>
      </c>
      <c r="J6" s="4" t="n">
        <v>1</v>
      </c>
      <c r="K6" s="4" t="s">
        <v>678</v>
      </c>
      <c r="L6" s="4"/>
      <c r="M6" s="4" t="s">
        <v>667</v>
      </c>
      <c r="N6" s="4" t="s">
        <v>668</v>
      </c>
      <c r="O6" s="4" t="s">
        <v>669</v>
      </c>
      <c r="P6" s="4"/>
      <c r="Q6" s="4" t="s">
        <v>670</v>
      </c>
      <c r="R6" s="4" t="s">
        <v>671</v>
      </c>
      <c r="S6" s="20" t="n">
        <v>5</v>
      </c>
      <c r="T6" s="4" t="s">
        <v>672</v>
      </c>
      <c r="U6" s="4" t="s">
        <v>673</v>
      </c>
      <c r="V6" s="4"/>
      <c r="W6" s="4" t="s">
        <v>674</v>
      </c>
      <c r="X6" s="4" t="s">
        <v>675</v>
      </c>
      <c r="Y6" s="4"/>
      <c r="Z6" s="4"/>
      <c r="AA6" s="4"/>
      <c r="AB6" s="4"/>
      <c r="AC6" s="4"/>
      <c r="AD6" s="4"/>
      <c r="AE6" s="4"/>
      <c r="AF6" s="21" t="n">
        <f aca="false">IF(T6="USD",1,IF(T6="pct","",INDEX(Parameters!$D$5:$D$7,MATCH(B6,Parameters!$A$5:$A$7,0))))</f>
        <v>22</v>
      </c>
      <c r="AG6" s="22" t="n">
        <f aca="false">IF(AND(R6="specific",ISNUMBER(S6)),S6/AF6,"")</f>
        <v>0.227272727272727</v>
      </c>
      <c r="AH6" s="23" t="n">
        <v>1</v>
      </c>
      <c r="AI6" s="22" t="n">
        <f aca="false">IF(NOT(ISNUMBER(AH6)),"",IF(R6="specific",IF(ISNUMBER(AG6),AG6*AH6,""),IF(AND(R6="ad_valorem",ISNUMBER(AJ6)),S6*AJ6/INDEX(Parameters!$D$5:$D$7,MATCH(B6,Parameters!$A$5:$A$7,0))*AH6,"")))</f>
        <v>0.227272727272727</v>
      </c>
      <c r="AJ6" s="23" t="n">
        <v>27.4</v>
      </c>
      <c r="AK6" s="4" t="s">
        <v>679</v>
      </c>
      <c r="AL6" s="24" t="n">
        <f aca="false">IF(NOT(ISNUMBER(AJ6)),"",IF(R6="specific",S6/AJ6,IF(R6="ad_valorem",S6,"")))</f>
        <v>0.182481751824818</v>
      </c>
      <c r="AM6" s="4" t="s">
        <v>68</v>
      </c>
      <c r="AN6" s="4" t="s">
        <v>371</v>
      </c>
      <c r="AO6" s="25" t="n">
        <f aca="false">IF(AM6="","",IFERROR(INDEX(DQ_Scale!$B$5:$B$14,MATCH(AM6,DQ_Scale!$A$5:$A$14,0)),""))</f>
        <v>3</v>
      </c>
      <c r="AP6" s="4" t="s">
        <v>680</v>
      </c>
    </row>
    <row r="7" customFormat="false" ht="15" hidden="false" customHeight="false" outlineLevel="0" collapsed="false">
      <c r="A7" s="4" t="s">
        <v>681</v>
      </c>
      <c r="B7" s="4" t="s">
        <v>666</v>
      </c>
      <c r="C7" s="4" t="s">
        <v>3</v>
      </c>
      <c r="D7" s="4" t="s">
        <v>78</v>
      </c>
      <c r="E7" s="4" t="s">
        <v>365</v>
      </c>
      <c r="F7" s="4" t="s">
        <v>366</v>
      </c>
      <c r="G7" s="4" t="s">
        <v>387</v>
      </c>
      <c r="H7" s="4" t="s">
        <v>388</v>
      </c>
      <c r="I7" s="4" t="s">
        <v>369</v>
      </c>
      <c r="J7" s="4" t="n">
        <v>1</v>
      </c>
      <c r="K7" s="4" t="s">
        <v>388</v>
      </c>
      <c r="L7" s="4"/>
      <c r="M7" s="4" t="s">
        <v>667</v>
      </c>
      <c r="N7" s="4" t="s">
        <v>668</v>
      </c>
      <c r="O7" s="4" t="s">
        <v>669</v>
      </c>
      <c r="P7" s="4"/>
      <c r="Q7" s="4" t="s">
        <v>670</v>
      </c>
      <c r="R7" s="4" t="s">
        <v>671</v>
      </c>
      <c r="S7" s="20" t="n">
        <v>2</v>
      </c>
      <c r="T7" s="4" t="s">
        <v>672</v>
      </c>
      <c r="U7" s="4" t="s">
        <v>673</v>
      </c>
      <c r="V7" s="4"/>
      <c r="W7" s="4" t="s">
        <v>682</v>
      </c>
      <c r="X7" s="4" t="s">
        <v>675</v>
      </c>
      <c r="Y7" s="4"/>
      <c r="Z7" s="4"/>
      <c r="AA7" s="4"/>
      <c r="AB7" s="4"/>
      <c r="AC7" s="4"/>
      <c r="AD7" s="4"/>
      <c r="AE7" s="4"/>
      <c r="AF7" s="21" t="n">
        <f aca="false">IF(T7="USD",1,IF(T7="pct","",INDEX(Parameters!$D$5:$D$7,MATCH(B7,Parameters!$A$5:$A$7,0))))</f>
        <v>22</v>
      </c>
      <c r="AG7" s="22" t="n">
        <f aca="false">IF(AND(R7="specific",ISNUMBER(S7)),S7/AF7,"")</f>
        <v>0.0909090909090909</v>
      </c>
      <c r="AH7" s="23" t="n">
        <v>1</v>
      </c>
      <c r="AI7" s="22" t="n">
        <f aca="false">IF(NOT(ISNUMBER(AH7)),"",IF(R7="specific",IF(ISNUMBER(AG7),AG7*AH7,""),IF(AND(R7="ad_valorem",ISNUMBER(AJ7)),S7*AJ7/INDEX(Parameters!$D$5:$D$7,MATCH(B7,Parameters!$A$5:$A$7,0))*AH7,"")))</f>
        <v>0.0909090909090909</v>
      </c>
      <c r="AJ7" s="23" t="n">
        <v>26</v>
      </c>
      <c r="AK7" s="4" t="s">
        <v>683</v>
      </c>
      <c r="AL7" s="24" t="n">
        <f aca="false">IF(NOT(ISNUMBER(AJ7)),"",IF(R7="specific",S7/AJ7,IF(R7="ad_valorem",S7,"")))</f>
        <v>0.0769230769230769</v>
      </c>
      <c r="AM7" s="4" t="s">
        <v>202</v>
      </c>
      <c r="AN7" s="4" t="s">
        <v>392</v>
      </c>
      <c r="AO7" s="25" t="n">
        <f aca="false">IF(AM7="","",IFERROR(INDEX(DQ_Scale!$B$5:$B$14,MATCH(AM7,DQ_Scale!$A$5:$A$14,0)),""))</f>
        <v>2</v>
      </c>
      <c r="AP7" s="4"/>
    </row>
    <row r="8" customFormat="false" ht="15" hidden="false" customHeight="false" outlineLevel="0" collapsed="false">
      <c r="A8" s="16" t="s">
        <v>684</v>
      </c>
      <c r="B8" s="16" t="s">
        <v>666</v>
      </c>
      <c r="C8" s="16" t="s">
        <v>3</v>
      </c>
      <c r="D8" s="16" t="s">
        <v>78</v>
      </c>
      <c r="E8" s="16" t="s">
        <v>365</v>
      </c>
      <c r="F8" s="16" t="s">
        <v>366</v>
      </c>
      <c r="G8" s="16" t="s">
        <v>399</v>
      </c>
      <c r="H8" s="16" t="s">
        <v>400</v>
      </c>
      <c r="I8" s="16" t="s">
        <v>369</v>
      </c>
      <c r="J8" s="16" t="n">
        <v>0</v>
      </c>
      <c r="K8" s="16" t="s">
        <v>685</v>
      </c>
      <c r="L8" s="16"/>
      <c r="M8" s="16"/>
      <c r="N8" s="16"/>
      <c r="O8" s="16" t="s">
        <v>686</v>
      </c>
      <c r="P8" s="16"/>
      <c r="Q8" s="16"/>
      <c r="R8" s="16" t="s">
        <v>687</v>
      </c>
      <c r="S8" s="2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27" t="n">
        <f aca="false">IF(T8="USD",1,IF(T8="pct","",INDEX(Parameters!$D$5:$D$7,MATCH(B8,Parameters!$A$5:$A$7,0))))</f>
        <v>22</v>
      </c>
      <c r="AG8" s="28" t="str">
        <f aca="false">IF(AND(R8="specific",ISNUMBER(S8)),S8/AF8,"")</f>
        <v/>
      </c>
      <c r="AH8" s="16"/>
      <c r="AI8" s="28" t="str">
        <f aca="false">IF(NOT(ISNUMBER(AH8)),"",IF(R8="specific",IF(ISNUMBER(AG8),AG8*AH8,""),IF(AND(R8="ad_valorem",ISNUMBER(AJ8)),S8*AJ8/INDEX(Parameters!$D$5:$D$7,MATCH(B8,Parameters!$A$5:$A$7,0))*AH8,"")))</f>
        <v/>
      </c>
      <c r="AJ8" s="16"/>
      <c r="AK8" s="16"/>
      <c r="AL8" s="29" t="str">
        <f aca="false">IF(NOT(ISNUMBER(AJ8)),"",IF(R8="specific",S8/AJ8,IF(R8="ad_valorem",S8,"")))</f>
        <v/>
      </c>
      <c r="AM8" s="16" t="s">
        <v>71</v>
      </c>
      <c r="AN8" s="16"/>
      <c r="AO8" s="30" t="n">
        <f aca="false">IF(AM8="","",IFERROR(INDEX(DQ_Scale!$B$5:$B$14,MATCH(AM8,DQ_Scale!$A$5:$A$14,0)),""))</f>
        <v>2</v>
      </c>
      <c r="AP8" s="16" t="s">
        <v>688</v>
      </c>
    </row>
    <row r="9" customFormat="false" ht="15" hidden="false" customHeight="false" outlineLevel="0" collapsed="false">
      <c r="A9" s="4" t="s">
        <v>689</v>
      </c>
      <c r="B9" s="4" t="s">
        <v>666</v>
      </c>
      <c r="C9" s="4" t="s">
        <v>3</v>
      </c>
      <c r="D9" s="4" t="s">
        <v>78</v>
      </c>
      <c r="E9" s="4" t="s">
        <v>365</v>
      </c>
      <c r="F9" s="4" t="s">
        <v>366</v>
      </c>
      <c r="G9" s="4" t="s">
        <v>406</v>
      </c>
      <c r="H9" s="4" t="s">
        <v>407</v>
      </c>
      <c r="I9" s="4" t="s">
        <v>369</v>
      </c>
      <c r="J9" s="4" t="n">
        <v>1</v>
      </c>
      <c r="K9" s="4" t="s">
        <v>690</v>
      </c>
      <c r="L9" s="4"/>
      <c r="M9" s="4" t="s">
        <v>667</v>
      </c>
      <c r="N9" s="4" t="s">
        <v>668</v>
      </c>
      <c r="O9" s="4" t="s">
        <v>669</v>
      </c>
      <c r="P9" s="4"/>
      <c r="Q9" s="4" t="s">
        <v>670</v>
      </c>
      <c r="R9" s="4" t="s">
        <v>671</v>
      </c>
      <c r="S9" s="20" t="n">
        <v>7.4</v>
      </c>
      <c r="T9" s="4" t="s">
        <v>672</v>
      </c>
      <c r="U9" s="4" t="s">
        <v>673</v>
      </c>
      <c r="V9" s="4"/>
      <c r="W9" s="4" t="s">
        <v>691</v>
      </c>
      <c r="X9" s="4" t="s">
        <v>675</v>
      </c>
      <c r="Y9" s="4"/>
      <c r="Z9" s="4"/>
      <c r="AA9" s="4"/>
      <c r="AB9" s="4"/>
      <c r="AC9" s="4"/>
      <c r="AD9" s="4"/>
      <c r="AE9" s="4"/>
      <c r="AF9" s="21" t="n">
        <f aca="false">IF(T9="USD",1,IF(T9="pct","",INDEX(Parameters!$D$5:$D$7,MATCH(B9,Parameters!$A$5:$A$7,0))))</f>
        <v>22</v>
      </c>
      <c r="AG9" s="22" t="n">
        <f aca="false">IF(AND(R9="specific",ISNUMBER(S9)),S9/AF9,"")</f>
        <v>0.336363636363636</v>
      </c>
      <c r="AH9" s="23" t="n">
        <v>1</v>
      </c>
      <c r="AI9" s="22" t="n">
        <f aca="false">IF(NOT(ISNUMBER(AH9)),"",IF(R9="specific",IF(ISNUMBER(AG9),AG9*AH9,""),IF(AND(R9="ad_valorem",ISNUMBER(AJ9)),S9*AJ9/INDEX(Parameters!$D$5:$D$7,MATCH(B9,Parameters!$A$5:$A$7,0))*AH9,"")))</f>
        <v>0.336363636363636</v>
      </c>
      <c r="AJ9" s="4"/>
      <c r="AK9" s="4"/>
      <c r="AL9" s="24" t="str">
        <f aca="false">IF(NOT(ISNUMBER(AJ9)),"",IF(R9="specific",S9/AJ9,IF(R9="ad_valorem",S9,"")))</f>
        <v/>
      </c>
      <c r="AM9" s="4" t="s">
        <v>202</v>
      </c>
      <c r="AN9" s="4" t="s">
        <v>392</v>
      </c>
      <c r="AO9" s="25" t="n">
        <f aca="false">IF(AM9="","",IFERROR(INDEX(DQ_Scale!$B$5:$B$14,MATCH(AM9,DQ_Scale!$A$5:$A$14,0)),""))</f>
        <v>2</v>
      </c>
      <c r="AP9" s="4" t="s">
        <v>692</v>
      </c>
    </row>
    <row r="10" customFormat="false" ht="15" hidden="false" customHeight="false" outlineLevel="0" collapsed="false">
      <c r="A10" s="4" t="s">
        <v>693</v>
      </c>
      <c r="B10" s="4" t="s">
        <v>666</v>
      </c>
      <c r="C10" s="4" t="s">
        <v>3</v>
      </c>
      <c r="D10" s="4" t="s">
        <v>78</v>
      </c>
      <c r="E10" s="4" t="s">
        <v>365</v>
      </c>
      <c r="F10" s="4" t="s">
        <v>366</v>
      </c>
      <c r="G10" s="4" t="s">
        <v>413</v>
      </c>
      <c r="H10" s="4" t="s">
        <v>414</v>
      </c>
      <c r="I10" s="4" t="s">
        <v>369</v>
      </c>
      <c r="J10" s="4" t="n">
        <v>1</v>
      </c>
      <c r="K10" s="4" t="s">
        <v>694</v>
      </c>
      <c r="L10" s="4"/>
      <c r="M10" s="4" t="s">
        <v>667</v>
      </c>
      <c r="N10" s="4" t="s">
        <v>668</v>
      </c>
      <c r="O10" s="4" t="s">
        <v>669</v>
      </c>
      <c r="P10" s="4"/>
      <c r="Q10" s="4" t="s">
        <v>670</v>
      </c>
      <c r="R10" s="4" t="s">
        <v>671</v>
      </c>
      <c r="S10" s="20" t="n">
        <v>4</v>
      </c>
      <c r="T10" s="4" t="s">
        <v>672</v>
      </c>
      <c r="U10" s="4" t="s">
        <v>673</v>
      </c>
      <c r="V10" s="4"/>
      <c r="W10" s="4" t="s">
        <v>695</v>
      </c>
      <c r="X10" s="4" t="s">
        <v>675</v>
      </c>
      <c r="Y10" s="4"/>
      <c r="Z10" s="4"/>
      <c r="AA10" s="4"/>
      <c r="AB10" s="4"/>
      <c r="AC10" s="4"/>
      <c r="AD10" s="4"/>
      <c r="AE10" s="4"/>
      <c r="AF10" s="21" t="n">
        <f aca="false">IF(T10="USD",1,IF(T10="pct","",INDEX(Parameters!$D$5:$D$7,MATCH(B10,Parameters!$A$5:$A$7,0))))</f>
        <v>22</v>
      </c>
      <c r="AG10" s="22" t="n">
        <f aca="false">IF(AND(R10="specific",ISNUMBER(S10)),S10/AF10,"")</f>
        <v>0.181818181818182</v>
      </c>
      <c r="AH10" s="23" t="n">
        <v>1</v>
      </c>
      <c r="AI10" s="22" t="n">
        <f aca="false">IF(NOT(ISNUMBER(AH10)),"",IF(R10="specific",IF(ISNUMBER(AG10),AG10*AH10,""),IF(AND(R10="ad_valorem",ISNUMBER(AJ10)),S10*AJ10/INDEX(Parameters!$D$5:$D$7,MATCH(B10,Parameters!$A$5:$A$7,0))*AH10,"")))</f>
        <v>0.181818181818182</v>
      </c>
      <c r="AJ10" s="4"/>
      <c r="AK10" s="4"/>
      <c r="AL10" s="24" t="str">
        <f aca="false">IF(NOT(ISNUMBER(AJ10)),"",IF(R10="specific",S10/AJ10,IF(R10="ad_valorem",S10,"")))</f>
        <v/>
      </c>
      <c r="AM10" s="4" t="s">
        <v>202</v>
      </c>
      <c r="AN10" s="4" t="s">
        <v>392</v>
      </c>
      <c r="AO10" s="25" t="n">
        <f aca="false">IF(AM10="","",IFERROR(INDEX(DQ_Scale!$B$5:$B$14,MATCH(AM10,DQ_Scale!$A$5:$A$14,0)),""))</f>
        <v>2</v>
      </c>
      <c r="AP10" s="4"/>
    </row>
    <row r="11" customFormat="false" ht="23.85" hidden="false" customHeight="false" outlineLevel="0" collapsed="false">
      <c r="A11" s="4" t="s">
        <v>696</v>
      </c>
      <c r="B11" s="4" t="s">
        <v>666</v>
      </c>
      <c r="C11" s="4" t="s">
        <v>3</v>
      </c>
      <c r="D11" s="4" t="s">
        <v>78</v>
      </c>
      <c r="E11" s="4" t="s">
        <v>420</v>
      </c>
      <c r="F11" s="4" t="s">
        <v>366</v>
      </c>
      <c r="G11" s="4" t="s">
        <v>421</v>
      </c>
      <c r="H11" s="4" t="s">
        <v>422</v>
      </c>
      <c r="I11" s="4" t="s">
        <v>423</v>
      </c>
      <c r="J11" s="4" t="n">
        <v>1</v>
      </c>
      <c r="K11" s="4" t="s">
        <v>697</v>
      </c>
      <c r="L11" s="4" t="s">
        <v>698</v>
      </c>
      <c r="M11" s="4" t="s">
        <v>699</v>
      </c>
      <c r="N11" s="4" t="s">
        <v>700</v>
      </c>
      <c r="O11" s="4" t="s">
        <v>669</v>
      </c>
      <c r="P11" s="4"/>
      <c r="Q11" s="4" t="s">
        <v>670</v>
      </c>
      <c r="R11" s="4" t="s">
        <v>671</v>
      </c>
      <c r="S11" s="20" t="n">
        <v>16</v>
      </c>
      <c r="T11" s="4" t="s">
        <v>672</v>
      </c>
      <c r="U11" s="4" t="s">
        <v>701</v>
      </c>
      <c r="V11" s="4"/>
      <c r="W11" s="4" t="s">
        <v>702</v>
      </c>
      <c r="X11" s="4" t="s">
        <v>675</v>
      </c>
      <c r="Y11" s="4"/>
      <c r="Z11" s="4"/>
      <c r="AA11" s="4"/>
      <c r="AB11" s="4"/>
      <c r="AC11" s="4"/>
      <c r="AD11" s="4"/>
      <c r="AE11" s="4"/>
      <c r="AF11" s="21" t="n">
        <f aca="false">IF(T11="USD",1,IF(T11="pct","",INDEX(Parameters!$D$5:$D$7,MATCH(B11,Parameters!$A$5:$A$7,0))))</f>
        <v>22</v>
      </c>
      <c r="AG11" s="22" t="n">
        <f aca="false">IF(AND(R11="specific",ISNUMBER(S11)),S11/AF11,"")</f>
        <v>0.727272727272727</v>
      </c>
      <c r="AH11" s="23" t="n">
        <v>1</v>
      </c>
      <c r="AI11" s="22" t="n">
        <f aca="false">IF(NOT(ISNUMBER(AH11)),"",IF(R11="specific",IF(ISNUMBER(AG11),AG11*AH11,""),IF(AND(R11="ad_valorem",ISNUMBER(AJ11)),S11*AJ11/INDEX(Parameters!$D$5:$D$7,MATCH(B11,Parameters!$A$5:$A$7,0))*AH11,"")))</f>
        <v>0.727272727272727</v>
      </c>
      <c r="AJ11" s="4"/>
      <c r="AK11" s="4"/>
      <c r="AL11" s="24" t="str">
        <f aca="false">IF(NOT(ISNUMBER(AJ11)),"",IF(R11="specific",S11/AJ11,IF(R11="ad_valorem",S11,"")))</f>
        <v/>
      </c>
      <c r="AM11" s="4" t="s">
        <v>79</v>
      </c>
      <c r="AN11" s="4" t="s">
        <v>703</v>
      </c>
      <c r="AO11" s="25" t="n">
        <f aca="false">IF(AM11="","",IFERROR(INDEX(DQ_Scale!$B$5:$B$14,MATCH(AM11,DQ_Scale!$A$5:$A$14,0)),""))</f>
        <v>5</v>
      </c>
      <c r="AP11" s="4"/>
    </row>
    <row r="12" customFormat="false" ht="23.85" hidden="false" customHeight="false" outlineLevel="0" collapsed="false">
      <c r="A12" s="4" t="s">
        <v>704</v>
      </c>
      <c r="B12" s="4" t="s">
        <v>666</v>
      </c>
      <c r="C12" s="4" t="s">
        <v>3</v>
      </c>
      <c r="D12" s="4" t="s">
        <v>78</v>
      </c>
      <c r="E12" s="4" t="s">
        <v>429</v>
      </c>
      <c r="F12" s="4" t="s">
        <v>366</v>
      </c>
      <c r="G12" s="4" t="s">
        <v>430</v>
      </c>
      <c r="H12" s="4" t="s">
        <v>431</v>
      </c>
      <c r="I12" s="4" t="s">
        <v>432</v>
      </c>
      <c r="J12" s="4" t="n">
        <v>2</v>
      </c>
      <c r="K12" s="4" t="s">
        <v>705</v>
      </c>
      <c r="L12" s="4"/>
      <c r="M12" s="4" t="s">
        <v>706</v>
      </c>
      <c r="N12" s="4" t="s">
        <v>668</v>
      </c>
      <c r="O12" s="4" t="s">
        <v>669</v>
      </c>
      <c r="P12" s="4"/>
      <c r="Q12" s="4" t="s">
        <v>670</v>
      </c>
      <c r="R12" s="4" t="s">
        <v>671</v>
      </c>
      <c r="S12" s="20" t="n">
        <v>500</v>
      </c>
      <c r="T12" s="4" t="s">
        <v>672</v>
      </c>
      <c r="U12" s="4" t="s">
        <v>707</v>
      </c>
      <c r="V12" s="4"/>
      <c r="W12" s="4" t="s">
        <v>708</v>
      </c>
      <c r="X12" s="4" t="s">
        <v>675</v>
      </c>
      <c r="Y12" s="4"/>
      <c r="Z12" s="4"/>
      <c r="AA12" s="4"/>
      <c r="AB12" s="4"/>
      <c r="AC12" s="4"/>
      <c r="AD12" s="4"/>
      <c r="AE12" s="4" t="s">
        <v>709</v>
      </c>
      <c r="AF12" s="21" t="n">
        <f aca="false">IF(T12="USD",1,IF(T12="pct","",INDEX(Parameters!$D$5:$D$7,MATCH(B12,Parameters!$A$5:$A$7,0))))</f>
        <v>22</v>
      </c>
      <c r="AG12" s="22" t="n">
        <f aca="false">IF(AND(R12="specific",ISNUMBER(S12)),S12/AF12,"")</f>
        <v>22.7272727272727</v>
      </c>
      <c r="AH12" s="23" t="n">
        <v>1</v>
      </c>
      <c r="AI12" s="22" t="n">
        <f aca="false">IF(NOT(ISNUMBER(AH12)),"",IF(R12="specific",IF(ISNUMBER(AG12),AG12*AH12,""),IF(AND(R12="ad_valorem",ISNUMBER(AJ12)),S12*AJ12/INDEX(Parameters!$D$5:$D$7,MATCH(B12,Parameters!$A$5:$A$7,0))*AH12,"")))</f>
        <v>22.7272727272727</v>
      </c>
      <c r="AJ12" s="4"/>
      <c r="AK12" s="4"/>
      <c r="AL12" s="24" t="str">
        <f aca="false">IF(NOT(ISNUMBER(AJ12)),"",IF(R12="specific",S12/AJ12,IF(R12="ad_valorem",S12,"")))</f>
        <v/>
      </c>
      <c r="AM12" s="4" t="s">
        <v>68</v>
      </c>
      <c r="AN12" s="4" t="s">
        <v>405</v>
      </c>
      <c r="AO12" s="25" t="n">
        <f aca="false">IF(AM12="","",IFERROR(INDEX(DQ_Scale!$B$5:$B$14,MATCH(AM12,DQ_Scale!$A$5:$A$14,0)),""))</f>
        <v>3</v>
      </c>
      <c r="AP12" s="4"/>
    </row>
    <row r="13" customFormat="false" ht="15" hidden="false" customHeight="false" outlineLevel="0" collapsed="false">
      <c r="A13" s="4" t="s">
        <v>710</v>
      </c>
      <c r="B13" s="4" t="s">
        <v>666</v>
      </c>
      <c r="C13" s="4" t="s">
        <v>3</v>
      </c>
      <c r="D13" s="4" t="s">
        <v>78</v>
      </c>
      <c r="E13" s="4" t="s">
        <v>429</v>
      </c>
      <c r="F13" s="4" t="s">
        <v>366</v>
      </c>
      <c r="G13" s="4" t="s">
        <v>430</v>
      </c>
      <c r="H13" s="4" t="s">
        <v>431</v>
      </c>
      <c r="I13" s="4" t="s">
        <v>432</v>
      </c>
      <c r="J13" s="4" t="n">
        <v>2</v>
      </c>
      <c r="K13" s="4" t="s">
        <v>711</v>
      </c>
      <c r="L13" s="4"/>
      <c r="M13" s="4" t="s">
        <v>706</v>
      </c>
      <c r="N13" s="4" t="s">
        <v>668</v>
      </c>
      <c r="O13" s="4" t="s">
        <v>669</v>
      </c>
      <c r="P13" s="4"/>
      <c r="Q13" s="4" t="s">
        <v>670</v>
      </c>
      <c r="R13" s="4" t="s">
        <v>671</v>
      </c>
      <c r="S13" s="20" t="n">
        <v>200</v>
      </c>
      <c r="T13" s="4" t="s">
        <v>672</v>
      </c>
      <c r="U13" s="4" t="s">
        <v>707</v>
      </c>
      <c r="V13" s="4"/>
      <c r="W13" s="4" t="s">
        <v>712</v>
      </c>
      <c r="X13" s="4" t="s">
        <v>675</v>
      </c>
      <c r="Y13" s="4"/>
      <c r="Z13" s="4"/>
      <c r="AA13" s="4"/>
      <c r="AB13" s="4"/>
      <c r="AC13" s="4"/>
      <c r="AD13" s="4"/>
      <c r="AE13" s="4" t="s">
        <v>713</v>
      </c>
      <c r="AF13" s="21" t="n">
        <f aca="false">IF(T13="USD",1,IF(T13="pct","",INDEX(Parameters!$D$5:$D$7,MATCH(B13,Parameters!$A$5:$A$7,0))))</f>
        <v>22</v>
      </c>
      <c r="AG13" s="22" t="n">
        <f aca="false">IF(AND(R13="specific",ISNUMBER(S13)),S13/AF13,"")</f>
        <v>9.09090909090909</v>
      </c>
      <c r="AH13" s="23" t="n">
        <v>1</v>
      </c>
      <c r="AI13" s="22" t="n">
        <f aca="false">IF(NOT(ISNUMBER(AH13)),"",IF(R13="specific",IF(ISNUMBER(AG13),AG13*AH13,""),IF(AND(R13="ad_valorem",ISNUMBER(AJ13)),S13*AJ13/INDEX(Parameters!$D$5:$D$7,MATCH(B13,Parameters!$A$5:$A$7,0))*AH13,"")))</f>
        <v>9.09090909090909</v>
      </c>
      <c r="AJ13" s="4"/>
      <c r="AK13" s="4"/>
      <c r="AL13" s="24" t="str">
        <f aca="false">IF(NOT(ISNUMBER(AJ13)),"",IF(R13="specific",S13/AJ13,IF(R13="ad_valorem",S13,"")))</f>
        <v/>
      </c>
      <c r="AM13" s="4" t="s">
        <v>202</v>
      </c>
      <c r="AN13" s="4" t="s">
        <v>105</v>
      </c>
      <c r="AO13" s="25" t="n">
        <f aca="false">IF(AM13="","",IFERROR(INDEX(DQ_Scale!$B$5:$B$14,MATCH(AM13,DQ_Scale!$A$5:$A$14,0)),""))</f>
        <v>2</v>
      </c>
      <c r="AP13" s="4"/>
    </row>
    <row r="14" customFormat="false" ht="15" hidden="false" customHeight="false" outlineLevel="0" collapsed="false">
      <c r="A14" s="4" t="s">
        <v>714</v>
      </c>
      <c r="B14" s="4" t="s">
        <v>666</v>
      </c>
      <c r="C14" s="4" t="s">
        <v>3</v>
      </c>
      <c r="D14" s="4" t="s">
        <v>78</v>
      </c>
      <c r="E14" s="4" t="s">
        <v>429</v>
      </c>
      <c r="F14" s="4" t="s">
        <v>366</v>
      </c>
      <c r="G14" s="4" t="s">
        <v>430</v>
      </c>
      <c r="H14" s="4" t="s">
        <v>431</v>
      </c>
      <c r="I14" s="4" t="s">
        <v>432</v>
      </c>
      <c r="J14" s="4" t="n">
        <v>2</v>
      </c>
      <c r="K14" s="4" t="s">
        <v>715</v>
      </c>
      <c r="L14" s="4"/>
      <c r="M14" s="4" t="s">
        <v>706</v>
      </c>
      <c r="N14" s="4" t="s">
        <v>668</v>
      </c>
      <c r="O14" s="4" t="s">
        <v>669</v>
      </c>
      <c r="P14" s="4"/>
      <c r="Q14" s="4" t="s">
        <v>670</v>
      </c>
      <c r="R14" s="4" t="s">
        <v>671</v>
      </c>
      <c r="S14" s="20" t="n">
        <v>500</v>
      </c>
      <c r="T14" s="4" t="s">
        <v>716</v>
      </c>
      <c r="U14" s="4" t="s">
        <v>707</v>
      </c>
      <c r="V14" s="4"/>
      <c r="W14" s="4" t="s">
        <v>717</v>
      </c>
      <c r="X14" s="4" t="s">
        <v>675</v>
      </c>
      <c r="Y14" s="4"/>
      <c r="Z14" s="4"/>
      <c r="AA14" s="4"/>
      <c r="AB14" s="4"/>
      <c r="AC14" s="4"/>
      <c r="AD14" s="4"/>
      <c r="AE14" s="4" t="s">
        <v>718</v>
      </c>
      <c r="AF14" s="21" t="n">
        <f aca="false">IF(T14="USD",1,IF(T14="pct","",INDEX(Parameters!$D$5:$D$7,MATCH(B14,Parameters!$A$5:$A$7,0))))</f>
        <v>1</v>
      </c>
      <c r="AG14" s="22" t="n">
        <f aca="false">IF(AND(R14="specific",ISNUMBER(S14)),S14/AF14,"")</f>
        <v>500</v>
      </c>
      <c r="AH14" s="23" t="n">
        <v>1</v>
      </c>
      <c r="AI14" s="22" t="n">
        <f aca="false">IF(NOT(ISNUMBER(AH14)),"",IF(R14="specific",IF(ISNUMBER(AG14),AG14*AH14,""),IF(AND(R14="ad_valorem",ISNUMBER(AJ14)),S14*AJ14/INDEX(Parameters!$D$5:$D$7,MATCH(B14,Parameters!$A$5:$A$7,0))*AH14,"")))</f>
        <v>500</v>
      </c>
      <c r="AJ14" s="4"/>
      <c r="AK14" s="4"/>
      <c r="AL14" s="24" t="str">
        <f aca="false">IF(NOT(ISNUMBER(AJ14)),"",IF(R14="specific",S14/AJ14,IF(R14="ad_valorem",S14,"")))</f>
        <v/>
      </c>
      <c r="AM14" s="4" t="s">
        <v>202</v>
      </c>
      <c r="AN14" s="4" t="s">
        <v>105</v>
      </c>
      <c r="AO14" s="25" t="n">
        <f aca="false">IF(AM14="","",IFERROR(INDEX(DQ_Scale!$B$5:$B$14,MATCH(AM14,DQ_Scale!$A$5:$A$14,0)),""))</f>
        <v>2</v>
      </c>
      <c r="AP14" s="4"/>
    </row>
    <row r="15" customFormat="false" ht="15" hidden="false" customHeight="false" outlineLevel="0" collapsed="false">
      <c r="A15" s="4" t="s">
        <v>719</v>
      </c>
      <c r="B15" s="4" t="s">
        <v>666</v>
      </c>
      <c r="C15" s="4" t="s">
        <v>3</v>
      </c>
      <c r="D15" s="4" t="s">
        <v>78</v>
      </c>
      <c r="E15" s="4" t="s">
        <v>429</v>
      </c>
      <c r="F15" s="4" t="s">
        <v>366</v>
      </c>
      <c r="G15" s="4" t="s">
        <v>430</v>
      </c>
      <c r="H15" s="4" t="s">
        <v>431</v>
      </c>
      <c r="I15" s="4" t="s">
        <v>432</v>
      </c>
      <c r="J15" s="4" t="n">
        <v>2</v>
      </c>
      <c r="K15" s="4" t="s">
        <v>720</v>
      </c>
      <c r="L15" s="4"/>
      <c r="M15" s="4" t="s">
        <v>706</v>
      </c>
      <c r="N15" s="4" t="s">
        <v>668</v>
      </c>
      <c r="O15" s="4" t="s">
        <v>669</v>
      </c>
      <c r="P15" s="4"/>
      <c r="Q15" s="4" t="s">
        <v>670</v>
      </c>
      <c r="R15" s="4" t="s">
        <v>671</v>
      </c>
      <c r="S15" s="20" t="n">
        <v>1000</v>
      </c>
      <c r="T15" s="4" t="s">
        <v>716</v>
      </c>
      <c r="U15" s="4" t="s">
        <v>707</v>
      </c>
      <c r="V15" s="4"/>
      <c r="W15" s="4" t="s">
        <v>721</v>
      </c>
      <c r="X15" s="4" t="s">
        <v>675</v>
      </c>
      <c r="Y15" s="4"/>
      <c r="Z15" s="4"/>
      <c r="AA15" s="4"/>
      <c r="AB15" s="4"/>
      <c r="AC15" s="4"/>
      <c r="AD15" s="4"/>
      <c r="AE15" s="4" t="s">
        <v>722</v>
      </c>
      <c r="AF15" s="21" t="n">
        <f aca="false">IF(T15="USD",1,IF(T15="pct","",INDEX(Parameters!$D$5:$D$7,MATCH(B15,Parameters!$A$5:$A$7,0))))</f>
        <v>1</v>
      </c>
      <c r="AG15" s="22" t="n">
        <f aca="false">IF(AND(R15="specific",ISNUMBER(S15)),S15/AF15,"")</f>
        <v>1000</v>
      </c>
      <c r="AH15" s="23" t="n">
        <v>1</v>
      </c>
      <c r="AI15" s="22" t="n">
        <f aca="false">IF(NOT(ISNUMBER(AH15)),"",IF(R15="specific",IF(ISNUMBER(AG15),AG15*AH15,""),IF(AND(R15="ad_valorem",ISNUMBER(AJ15)),S15*AJ15/INDEX(Parameters!$D$5:$D$7,MATCH(B15,Parameters!$A$5:$A$7,0))*AH15,"")))</f>
        <v>1000</v>
      </c>
      <c r="AJ15" s="4"/>
      <c r="AK15" s="4"/>
      <c r="AL15" s="24" t="str">
        <f aca="false">IF(NOT(ISNUMBER(AJ15)),"",IF(R15="specific",S15/AJ15,IF(R15="ad_valorem",S15,"")))</f>
        <v/>
      </c>
      <c r="AM15" s="4" t="s">
        <v>202</v>
      </c>
      <c r="AN15" s="4" t="s">
        <v>105</v>
      </c>
      <c r="AO15" s="25" t="n">
        <f aca="false">IF(AM15="","",IFERROR(INDEX(DQ_Scale!$B$5:$B$14,MATCH(AM15,DQ_Scale!$A$5:$A$14,0)),""))</f>
        <v>2</v>
      </c>
      <c r="AP15" s="4"/>
    </row>
    <row r="16" customFormat="false" ht="23.85" hidden="false" customHeight="false" outlineLevel="0" collapsed="false">
      <c r="A16" s="16" t="s">
        <v>723</v>
      </c>
      <c r="B16" s="16" t="s">
        <v>666</v>
      </c>
      <c r="C16" s="16" t="s">
        <v>3</v>
      </c>
      <c r="D16" s="16" t="s">
        <v>78</v>
      </c>
      <c r="E16" s="16" t="s">
        <v>429</v>
      </c>
      <c r="F16" s="16" t="s">
        <v>366</v>
      </c>
      <c r="G16" s="16" t="s">
        <v>440</v>
      </c>
      <c r="H16" s="16" t="s">
        <v>441</v>
      </c>
      <c r="I16" s="16" t="s">
        <v>442</v>
      </c>
      <c r="J16" s="16" t="n">
        <v>0</v>
      </c>
      <c r="K16" s="16" t="s">
        <v>724</v>
      </c>
      <c r="L16" s="16"/>
      <c r="M16" s="16"/>
      <c r="N16" s="16"/>
      <c r="O16" s="16" t="s">
        <v>686</v>
      </c>
      <c r="P16" s="16"/>
      <c r="Q16" s="16"/>
      <c r="R16" s="16" t="s">
        <v>687</v>
      </c>
      <c r="S16" s="2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27" t="n">
        <f aca="false">IF(T16="USD",1,IF(T16="pct","",INDEX(Parameters!$D$5:$D$7,MATCH(B16,Parameters!$A$5:$A$7,0))))</f>
        <v>22</v>
      </c>
      <c r="AG16" s="28" t="str">
        <f aca="false">IF(AND(R16="specific",ISNUMBER(S16)),S16/AF16,"")</f>
        <v/>
      </c>
      <c r="AH16" s="16"/>
      <c r="AI16" s="28" t="str">
        <f aca="false">IF(NOT(ISNUMBER(AH16)),"",IF(R16="specific",IF(ISNUMBER(AG16),AG16*AH16,""),IF(AND(R16="ad_valorem",ISNUMBER(AJ16)),S16*AJ16/INDEX(Parameters!$D$5:$D$7,MATCH(B16,Parameters!$A$5:$A$7,0))*AH16,"")))</f>
        <v/>
      </c>
      <c r="AJ16" s="16"/>
      <c r="AK16" s="16"/>
      <c r="AL16" s="29" t="str">
        <f aca="false">IF(NOT(ISNUMBER(AJ16)),"",IF(R16="specific",S16/AJ16,IF(R16="ad_valorem",S16,"")))</f>
        <v/>
      </c>
      <c r="AM16" s="16" t="s">
        <v>71</v>
      </c>
      <c r="AN16" s="16"/>
      <c r="AO16" s="30" t="n">
        <f aca="false">IF(AM16="","",IFERROR(INDEX(DQ_Scale!$B$5:$B$14,MATCH(AM16,DQ_Scale!$A$5:$A$14,0)),""))</f>
        <v>2</v>
      </c>
      <c r="AP16" s="16"/>
    </row>
    <row r="17" customFormat="false" ht="15" hidden="false" customHeight="false" outlineLevel="0" collapsed="false">
      <c r="A17" s="4" t="s">
        <v>725</v>
      </c>
      <c r="B17" s="4" t="s">
        <v>666</v>
      </c>
      <c r="C17" s="4" t="s">
        <v>3</v>
      </c>
      <c r="D17" s="4" t="s">
        <v>78</v>
      </c>
      <c r="E17" s="4" t="s">
        <v>449</v>
      </c>
      <c r="F17" s="4" t="s">
        <v>450</v>
      </c>
      <c r="G17" s="4" t="s">
        <v>451</v>
      </c>
      <c r="H17" s="4" t="s">
        <v>452</v>
      </c>
      <c r="I17" s="4" t="s">
        <v>453</v>
      </c>
      <c r="J17" s="4" t="n">
        <v>1</v>
      </c>
      <c r="K17" s="4" t="s">
        <v>452</v>
      </c>
      <c r="L17" s="4" t="s">
        <v>726</v>
      </c>
      <c r="M17" s="4" t="s">
        <v>667</v>
      </c>
      <c r="N17" s="4" t="s">
        <v>668</v>
      </c>
      <c r="O17" s="4" t="s">
        <v>669</v>
      </c>
      <c r="P17" s="4"/>
      <c r="Q17" s="4" t="s">
        <v>670</v>
      </c>
      <c r="R17" s="4" t="s">
        <v>671</v>
      </c>
      <c r="S17" s="20" t="n">
        <v>3</v>
      </c>
      <c r="T17" s="4" t="s">
        <v>672</v>
      </c>
      <c r="U17" s="4" t="s">
        <v>727</v>
      </c>
      <c r="V17" s="4"/>
      <c r="W17" s="4" t="s">
        <v>728</v>
      </c>
      <c r="X17" s="4" t="s">
        <v>675</v>
      </c>
      <c r="Y17" s="4"/>
      <c r="Z17" s="4"/>
      <c r="AA17" s="4"/>
      <c r="AB17" s="4"/>
      <c r="AC17" s="4"/>
      <c r="AD17" s="4"/>
      <c r="AE17" s="4"/>
      <c r="AF17" s="21" t="n">
        <f aca="false">IF(T17="USD",1,IF(T17="pct","",INDEX(Parameters!$D$5:$D$7,MATCH(B17,Parameters!$A$5:$A$7,0))))</f>
        <v>22</v>
      </c>
      <c r="AG17" s="22" t="n">
        <f aca="false">IF(AND(R17="specific",ISNUMBER(S17)),S17/AF17,"")</f>
        <v>0.136363636363636</v>
      </c>
      <c r="AH17" s="23" t="n">
        <v>1</v>
      </c>
      <c r="AI17" s="22" t="n">
        <f aca="false">IF(NOT(ISNUMBER(AH17)),"",IF(R17="specific",IF(ISNUMBER(AG17),AG17*AH17,""),IF(AND(R17="ad_valorem",ISNUMBER(AJ17)),S17*AJ17/INDEX(Parameters!$D$5:$D$7,MATCH(B17,Parameters!$A$5:$A$7,0))*AH17,"")))</f>
        <v>0.136363636363636</v>
      </c>
      <c r="AJ17" s="23" t="n">
        <v>22</v>
      </c>
      <c r="AK17" s="4" t="s">
        <v>729</v>
      </c>
      <c r="AL17" s="24" t="n">
        <f aca="false">IF(NOT(ISNUMBER(AJ17)),"",IF(R17="specific",S17/AJ17,IF(R17="ad_valorem",S17,"")))</f>
        <v>0.136363636363636</v>
      </c>
      <c r="AM17" s="4" t="s">
        <v>68</v>
      </c>
      <c r="AN17" s="4" t="s">
        <v>211</v>
      </c>
      <c r="AO17" s="25" t="n">
        <f aca="false">IF(AM17="","",IFERROR(INDEX(DQ_Scale!$B$5:$B$14,MATCH(AM17,DQ_Scale!$A$5:$A$14,0)),""))</f>
        <v>3</v>
      </c>
      <c r="AP17" s="4"/>
    </row>
    <row r="18" customFormat="false" ht="15" hidden="false" customHeight="false" outlineLevel="0" collapsed="false">
      <c r="A18" s="4" t="s">
        <v>730</v>
      </c>
      <c r="B18" s="4" t="s">
        <v>666</v>
      </c>
      <c r="C18" s="4" t="s">
        <v>3</v>
      </c>
      <c r="D18" s="4" t="s">
        <v>78</v>
      </c>
      <c r="E18" s="4" t="s">
        <v>449</v>
      </c>
      <c r="F18" s="4" t="s">
        <v>450</v>
      </c>
      <c r="G18" s="4" t="s">
        <v>461</v>
      </c>
      <c r="H18" s="4" t="s">
        <v>462</v>
      </c>
      <c r="I18" s="4" t="s">
        <v>463</v>
      </c>
      <c r="J18" s="4" t="n">
        <v>1</v>
      </c>
      <c r="K18" s="4" t="s">
        <v>731</v>
      </c>
      <c r="L18" s="4" t="s">
        <v>726</v>
      </c>
      <c r="M18" s="4" t="s">
        <v>667</v>
      </c>
      <c r="N18" s="4" t="s">
        <v>668</v>
      </c>
      <c r="O18" s="4" t="s">
        <v>669</v>
      </c>
      <c r="P18" s="4"/>
      <c r="Q18" s="4" t="s">
        <v>670</v>
      </c>
      <c r="R18" s="4" t="s">
        <v>671</v>
      </c>
      <c r="S18" s="20" t="n">
        <v>38</v>
      </c>
      <c r="T18" s="4" t="s">
        <v>672</v>
      </c>
      <c r="U18" s="4" t="s">
        <v>732</v>
      </c>
      <c r="V18" s="4"/>
      <c r="W18" s="4" t="s">
        <v>733</v>
      </c>
      <c r="X18" s="4" t="s">
        <v>675</v>
      </c>
      <c r="Y18" s="4"/>
      <c r="Z18" s="4"/>
      <c r="AA18" s="4"/>
      <c r="AB18" s="4"/>
      <c r="AC18" s="4"/>
      <c r="AD18" s="4"/>
      <c r="AE18" s="4"/>
      <c r="AF18" s="21" t="n">
        <f aca="false">IF(T18="USD",1,IF(T18="pct","",INDEX(Parameters!$D$5:$D$7,MATCH(B18,Parameters!$A$5:$A$7,0))))</f>
        <v>22</v>
      </c>
      <c r="AG18" s="22" t="n">
        <f aca="false">IF(AND(R18="specific",ISNUMBER(S18)),S18/AF18,"")</f>
        <v>1.72727272727273</v>
      </c>
      <c r="AH18" s="23" t="n">
        <v>1</v>
      </c>
      <c r="AI18" s="22" t="n">
        <f aca="false">IF(NOT(ISNUMBER(AH18)),"",IF(R18="specific",IF(ISNUMBER(AG18),AG18*AH18,""),IF(AND(R18="ad_valorem",ISNUMBER(AJ18)),S18*AJ18/INDEX(Parameters!$D$5:$D$7,MATCH(B18,Parameters!$A$5:$A$7,0))*AH18,"")))</f>
        <v>1.72727272727273</v>
      </c>
      <c r="AJ18" s="4"/>
      <c r="AK18" s="4"/>
      <c r="AL18" s="24" t="str">
        <f aca="false">IF(NOT(ISNUMBER(AJ18)),"",IF(R18="specific",S18/AJ18,IF(R18="ad_valorem",S18,"")))</f>
        <v/>
      </c>
      <c r="AM18" s="4" t="s">
        <v>202</v>
      </c>
      <c r="AN18" s="4" t="s">
        <v>466</v>
      </c>
      <c r="AO18" s="25" t="n">
        <f aca="false">IF(AM18="","",IFERROR(INDEX(DQ_Scale!$B$5:$B$14,MATCH(AM18,DQ_Scale!$A$5:$A$14,0)),""))</f>
        <v>2</v>
      </c>
      <c r="AP18" s="4"/>
    </row>
    <row r="19" customFormat="false" ht="15" hidden="false" customHeight="false" outlineLevel="0" collapsed="false">
      <c r="A19" s="4" t="s">
        <v>734</v>
      </c>
      <c r="B19" s="4" t="s">
        <v>666</v>
      </c>
      <c r="C19" s="4" t="s">
        <v>3</v>
      </c>
      <c r="D19" s="4" t="s">
        <v>78</v>
      </c>
      <c r="E19" s="4" t="s">
        <v>449</v>
      </c>
      <c r="F19" s="4" t="s">
        <v>450</v>
      </c>
      <c r="G19" s="4" t="s">
        <v>461</v>
      </c>
      <c r="H19" s="4" t="s">
        <v>462</v>
      </c>
      <c r="I19" s="4" t="s">
        <v>463</v>
      </c>
      <c r="J19" s="4" t="n">
        <v>1</v>
      </c>
      <c r="K19" s="4" t="s">
        <v>735</v>
      </c>
      <c r="L19" s="4" t="s">
        <v>736</v>
      </c>
      <c r="M19" s="4" t="s">
        <v>667</v>
      </c>
      <c r="N19" s="4" t="s">
        <v>668</v>
      </c>
      <c r="O19" s="4" t="s">
        <v>669</v>
      </c>
      <c r="P19" s="4"/>
      <c r="Q19" s="4" t="s">
        <v>670</v>
      </c>
      <c r="R19" s="4" t="s">
        <v>671</v>
      </c>
      <c r="S19" s="20" t="n">
        <v>98</v>
      </c>
      <c r="T19" s="4" t="s">
        <v>672</v>
      </c>
      <c r="U19" s="4" t="s">
        <v>701</v>
      </c>
      <c r="V19" s="4"/>
      <c r="W19" s="4" t="s">
        <v>737</v>
      </c>
      <c r="X19" s="4" t="s">
        <v>675</v>
      </c>
      <c r="Y19" s="4"/>
      <c r="Z19" s="4"/>
      <c r="AA19" s="4"/>
      <c r="AB19" s="4"/>
      <c r="AC19" s="4"/>
      <c r="AD19" s="4"/>
      <c r="AE19" s="4"/>
      <c r="AF19" s="21" t="n">
        <f aca="false">IF(T19="USD",1,IF(T19="pct","",INDEX(Parameters!$D$5:$D$7,MATCH(B19,Parameters!$A$5:$A$7,0))))</f>
        <v>22</v>
      </c>
      <c r="AG19" s="22" t="n">
        <f aca="false">IF(AND(R19="specific",ISNUMBER(S19)),S19/AF19,"")</f>
        <v>4.45454545454545</v>
      </c>
      <c r="AH19" s="23" t="n">
        <v>1</v>
      </c>
      <c r="AI19" s="22" t="n">
        <f aca="false">IF(NOT(ISNUMBER(AH19)),"",IF(R19="specific",IF(ISNUMBER(AG19),AG19*AH19,""),IF(AND(R19="ad_valorem",ISNUMBER(AJ19)),S19*AJ19/INDEX(Parameters!$D$5:$D$7,MATCH(B19,Parameters!$A$5:$A$7,0))*AH19,"")))</f>
        <v>4.45454545454545</v>
      </c>
      <c r="AJ19" s="4"/>
      <c r="AK19" s="4"/>
      <c r="AL19" s="24" t="str">
        <f aca="false">IF(NOT(ISNUMBER(AJ19)),"",IF(R19="specific",S19/AJ19,IF(R19="ad_valorem",S19,"")))</f>
        <v/>
      </c>
      <c r="AM19" s="4" t="s">
        <v>202</v>
      </c>
      <c r="AN19" s="4" t="s">
        <v>466</v>
      </c>
      <c r="AO19" s="25" t="n">
        <f aca="false">IF(AM19="","",IFERROR(INDEX(DQ_Scale!$B$5:$B$14,MATCH(AM19,DQ_Scale!$A$5:$A$14,0)),""))</f>
        <v>2</v>
      </c>
      <c r="AP19" s="4"/>
    </row>
    <row r="20" customFormat="false" ht="15" hidden="false" customHeight="false" outlineLevel="0" collapsed="false">
      <c r="A20" s="4" t="s">
        <v>738</v>
      </c>
      <c r="B20" s="4" t="s">
        <v>666</v>
      </c>
      <c r="C20" s="4" t="s">
        <v>3</v>
      </c>
      <c r="D20" s="4" t="s">
        <v>78</v>
      </c>
      <c r="E20" s="4" t="s">
        <v>449</v>
      </c>
      <c r="F20" s="4" t="s">
        <v>450</v>
      </c>
      <c r="G20" s="4" t="s">
        <v>461</v>
      </c>
      <c r="H20" s="4" t="s">
        <v>462</v>
      </c>
      <c r="I20" s="4" t="s">
        <v>463</v>
      </c>
      <c r="J20" s="4" t="n">
        <v>1</v>
      </c>
      <c r="K20" s="4" t="s">
        <v>739</v>
      </c>
      <c r="L20" s="4" t="s">
        <v>740</v>
      </c>
      <c r="M20" s="4" t="s">
        <v>667</v>
      </c>
      <c r="N20" s="4" t="s">
        <v>668</v>
      </c>
      <c r="O20" s="4" t="s">
        <v>669</v>
      </c>
      <c r="P20" s="4"/>
      <c r="Q20" s="4" t="s">
        <v>670</v>
      </c>
      <c r="R20" s="4" t="s">
        <v>671</v>
      </c>
      <c r="S20" s="20" t="n">
        <v>98</v>
      </c>
      <c r="T20" s="4" t="s">
        <v>672</v>
      </c>
      <c r="U20" s="4" t="s">
        <v>701</v>
      </c>
      <c r="V20" s="4"/>
      <c r="W20" s="4" t="s">
        <v>737</v>
      </c>
      <c r="X20" s="4" t="s">
        <v>675</v>
      </c>
      <c r="Y20" s="4"/>
      <c r="Z20" s="4"/>
      <c r="AA20" s="4"/>
      <c r="AB20" s="4"/>
      <c r="AC20" s="4"/>
      <c r="AD20" s="4"/>
      <c r="AE20" s="4"/>
      <c r="AF20" s="21" t="n">
        <f aca="false">IF(T20="USD",1,IF(T20="pct","",INDEX(Parameters!$D$5:$D$7,MATCH(B20,Parameters!$A$5:$A$7,0))))</f>
        <v>22</v>
      </c>
      <c r="AG20" s="22" t="n">
        <f aca="false">IF(AND(R20="specific",ISNUMBER(S20)),S20/AF20,"")</f>
        <v>4.45454545454545</v>
      </c>
      <c r="AH20" s="23" t="n">
        <v>1</v>
      </c>
      <c r="AI20" s="22" t="n">
        <f aca="false">IF(NOT(ISNUMBER(AH20)),"",IF(R20="specific",IF(ISNUMBER(AG20),AG20*AH20,""),IF(AND(R20="ad_valorem",ISNUMBER(AJ20)),S20*AJ20/INDEX(Parameters!$D$5:$D$7,MATCH(B20,Parameters!$A$5:$A$7,0))*AH20,"")))</f>
        <v>4.45454545454545</v>
      </c>
      <c r="AJ20" s="4"/>
      <c r="AK20" s="4"/>
      <c r="AL20" s="24" t="str">
        <f aca="false">IF(NOT(ISNUMBER(AJ20)),"",IF(R20="specific",S20/AJ20,IF(R20="ad_valorem",S20,"")))</f>
        <v/>
      </c>
      <c r="AM20" s="4" t="s">
        <v>202</v>
      </c>
      <c r="AN20" s="4" t="s">
        <v>466</v>
      </c>
      <c r="AO20" s="25" t="n">
        <f aca="false">IF(AM20="","",IFERROR(INDEX(DQ_Scale!$B$5:$B$14,MATCH(AM20,DQ_Scale!$A$5:$A$14,0)),""))</f>
        <v>2</v>
      </c>
      <c r="AP20" s="4"/>
    </row>
    <row r="21" customFormat="false" ht="15" hidden="false" customHeight="false" outlineLevel="0" collapsed="false">
      <c r="A21" s="4" t="s">
        <v>741</v>
      </c>
      <c r="B21" s="4" t="s">
        <v>666</v>
      </c>
      <c r="C21" s="4" t="s">
        <v>3</v>
      </c>
      <c r="D21" s="4" t="s">
        <v>78</v>
      </c>
      <c r="E21" s="4" t="s">
        <v>449</v>
      </c>
      <c r="F21" s="4" t="s">
        <v>450</v>
      </c>
      <c r="G21" s="4" t="s">
        <v>461</v>
      </c>
      <c r="H21" s="4" t="s">
        <v>462</v>
      </c>
      <c r="I21" s="4" t="s">
        <v>463</v>
      </c>
      <c r="J21" s="4" t="n">
        <v>1</v>
      </c>
      <c r="K21" s="4" t="s">
        <v>742</v>
      </c>
      <c r="L21" s="4" t="s">
        <v>740</v>
      </c>
      <c r="M21" s="4" t="s">
        <v>667</v>
      </c>
      <c r="N21" s="4" t="s">
        <v>668</v>
      </c>
      <c r="O21" s="4" t="s">
        <v>669</v>
      </c>
      <c r="P21" s="4" t="s">
        <v>743</v>
      </c>
      <c r="Q21" s="4" t="s">
        <v>744</v>
      </c>
      <c r="R21" s="4" t="s">
        <v>671</v>
      </c>
      <c r="S21" s="20" t="n">
        <v>98</v>
      </c>
      <c r="T21" s="4" t="s">
        <v>672</v>
      </c>
      <c r="U21" s="4" t="s">
        <v>701</v>
      </c>
      <c r="V21" s="4"/>
      <c r="W21" s="4" t="s">
        <v>745</v>
      </c>
      <c r="X21" s="4" t="s">
        <v>675</v>
      </c>
      <c r="Y21" s="4"/>
      <c r="Z21" s="4"/>
      <c r="AA21" s="4"/>
      <c r="AB21" s="4"/>
      <c r="AC21" s="4"/>
      <c r="AD21" s="4"/>
      <c r="AE21" s="4"/>
      <c r="AF21" s="21" t="n">
        <f aca="false">IF(T21="USD",1,IF(T21="pct","",INDEX(Parameters!$D$5:$D$7,MATCH(B21,Parameters!$A$5:$A$7,0))))</f>
        <v>22</v>
      </c>
      <c r="AG21" s="22" t="n">
        <f aca="false">IF(AND(R21="specific",ISNUMBER(S21)),S21/AF21,"")</f>
        <v>4.45454545454545</v>
      </c>
      <c r="AH21" s="23" t="n">
        <v>1</v>
      </c>
      <c r="AI21" s="22" t="n">
        <f aca="false">IF(NOT(ISNUMBER(AH21)),"",IF(R21="specific",IF(ISNUMBER(AG21),AG21*AH21,""),IF(AND(R21="ad_valorem",ISNUMBER(AJ21)),S21*AJ21/INDEX(Parameters!$D$5:$D$7,MATCH(B21,Parameters!$A$5:$A$7,0))*AH21,"")))</f>
        <v>4.45454545454545</v>
      </c>
      <c r="AJ21" s="4"/>
      <c r="AK21" s="4"/>
      <c r="AL21" s="24" t="str">
        <f aca="false">IF(NOT(ISNUMBER(AJ21)),"",IF(R21="specific",S21/AJ21,IF(R21="ad_valorem",S21,"")))</f>
        <v/>
      </c>
      <c r="AM21" s="4" t="s">
        <v>202</v>
      </c>
      <c r="AN21" s="4" t="s">
        <v>466</v>
      </c>
      <c r="AO21" s="25" t="n">
        <f aca="false">IF(AM21="","",IFERROR(INDEX(DQ_Scale!$B$5:$B$14,MATCH(AM21,DQ_Scale!$A$5:$A$14,0)),""))</f>
        <v>2</v>
      </c>
      <c r="AP21" s="4"/>
    </row>
    <row r="22" customFormat="false" ht="15" hidden="false" customHeight="false" outlineLevel="0" collapsed="false">
      <c r="A22" s="4" t="s">
        <v>746</v>
      </c>
      <c r="B22" s="4" t="s">
        <v>666</v>
      </c>
      <c r="C22" s="4" t="s">
        <v>3</v>
      </c>
      <c r="D22" s="4" t="s">
        <v>78</v>
      </c>
      <c r="E22" s="4" t="s">
        <v>449</v>
      </c>
      <c r="F22" s="4" t="s">
        <v>450</v>
      </c>
      <c r="G22" s="4" t="s">
        <v>461</v>
      </c>
      <c r="H22" s="4" t="s">
        <v>462</v>
      </c>
      <c r="I22" s="4" t="s">
        <v>463</v>
      </c>
      <c r="J22" s="4" t="n">
        <v>1</v>
      </c>
      <c r="K22" s="4" t="s">
        <v>747</v>
      </c>
      <c r="L22" s="4" t="s">
        <v>740</v>
      </c>
      <c r="M22" s="4" t="s">
        <v>667</v>
      </c>
      <c r="N22" s="4" t="s">
        <v>668</v>
      </c>
      <c r="O22" s="4" t="s">
        <v>669</v>
      </c>
      <c r="P22" s="4" t="s">
        <v>743</v>
      </c>
      <c r="Q22" s="4" t="s">
        <v>744</v>
      </c>
      <c r="R22" s="4" t="s">
        <v>671</v>
      </c>
      <c r="S22" s="20" t="n">
        <v>225</v>
      </c>
      <c r="T22" s="4" t="s">
        <v>672</v>
      </c>
      <c r="U22" s="4" t="s">
        <v>673</v>
      </c>
      <c r="V22" s="4"/>
      <c r="W22" s="4" t="s">
        <v>745</v>
      </c>
      <c r="X22" s="4" t="s">
        <v>675</v>
      </c>
      <c r="Y22" s="4"/>
      <c r="Z22" s="4"/>
      <c r="AA22" s="4"/>
      <c r="AB22" s="4"/>
      <c r="AC22" s="4"/>
      <c r="AD22" s="4"/>
      <c r="AE22" s="4"/>
      <c r="AF22" s="21" t="n">
        <f aca="false">IF(T22="USD",1,IF(T22="pct","",INDEX(Parameters!$D$5:$D$7,MATCH(B22,Parameters!$A$5:$A$7,0))))</f>
        <v>22</v>
      </c>
      <c r="AG22" s="22" t="n">
        <f aca="false">IF(AND(R22="specific",ISNUMBER(S22)),S22/AF22,"")</f>
        <v>10.2272727272727</v>
      </c>
      <c r="AH22" s="4"/>
      <c r="AI22" s="22" t="str">
        <f aca="false">IF(NOT(ISNUMBER(AH22)),"",IF(R22="specific",IF(ISNUMBER(AG22),AG22*AH22,""),IF(AND(R22="ad_valorem",ISNUMBER(AJ22)),S22*AJ22/INDEX(Parameters!$D$5:$D$7,MATCH(B22,Parameters!$A$5:$A$7,0))*AH22,"")))</f>
        <v/>
      </c>
      <c r="AJ22" s="4"/>
      <c r="AK22" s="4"/>
      <c r="AL22" s="24" t="str">
        <f aca="false">IF(NOT(ISNUMBER(AJ22)),"",IF(R22="specific",S22/AJ22,IF(R22="ad_valorem",S22,"")))</f>
        <v/>
      </c>
      <c r="AM22" s="4" t="s">
        <v>202</v>
      </c>
      <c r="AN22" s="4" t="s">
        <v>466</v>
      </c>
      <c r="AO22" s="25" t="n">
        <f aca="false">IF(AM22="","",IFERROR(INDEX(DQ_Scale!$B$5:$B$14,MATCH(AM22,DQ_Scale!$A$5:$A$14,0)),""))</f>
        <v>2</v>
      </c>
      <c r="AP22" s="4"/>
    </row>
    <row r="23" customFormat="false" ht="23.85" hidden="false" customHeight="false" outlineLevel="0" collapsed="false">
      <c r="A23" s="4" t="s">
        <v>748</v>
      </c>
      <c r="B23" s="4" t="s">
        <v>666</v>
      </c>
      <c r="C23" s="4" t="s">
        <v>3</v>
      </c>
      <c r="D23" s="4" t="s">
        <v>78</v>
      </c>
      <c r="E23" s="4" t="s">
        <v>449</v>
      </c>
      <c r="F23" s="4" t="s">
        <v>450</v>
      </c>
      <c r="G23" s="4" t="s">
        <v>470</v>
      </c>
      <c r="H23" s="4" t="s">
        <v>471</v>
      </c>
      <c r="I23" s="4" t="s">
        <v>472</v>
      </c>
      <c r="J23" s="4" t="n">
        <v>1</v>
      </c>
      <c r="K23" s="4" t="s">
        <v>749</v>
      </c>
      <c r="L23" s="4" t="s">
        <v>750</v>
      </c>
      <c r="M23" s="4" t="s">
        <v>667</v>
      </c>
      <c r="N23" s="4" t="s">
        <v>668</v>
      </c>
      <c r="O23" s="4" t="s">
        <v>669</v>
      </c>
      <c r="P23" s="4"/>
      <c r="Q23" s="4" t="s">
        <v>670</v>
      </c>
      <c r="R23" s="4" t="s">
        <v>671</v>
      </c>
      <c r="S23" s="20" t="n">
        <v>0.75</v>
      </c>
      <c r="T23" s="4" t="s">
        <v>672</v>
      </c>
      <c r="U23" s="4" t="s">
        <v>751</v>
      </c>
      <c r="V23" s="4"/>
      <c r="W23" s="4" t="s">
        <v>752</v>
      </c>
      <c r="X23" s="4" t="s">
        <v>675</v>
      </c>
      <c r="Y23" s="4"/>
      <c r="Z23" s="4"/>
      <c r="AA23" s="4"/>
      <c r="AB23" s="4"/>
      <c r="AC23" s="4"/>
      <c r="AD23" s="4"/>
      <c r="AE23" s="4"/>
      <c r="AF23" s="21" t="n">
        <f aca="false">IF(T23="USD",1,IF(T23="pct","",INDEX(Parameters!$D$5:$D$7,MATCH(B23,Parameters!$A$5:$A$7,0))))</f>
        <v>22</v>
      </c>
      <c r="AG23" s="22" t="n">
        <f aca="false">IF(AND(R23="specific",ISNUMBER(S23)),S23/AF23,"")</f>
        <v>0.0340909090909091</v>
      </c>
      <c r="AH23" s="23" t="n">
        <v>1</v>
      </c>
      <c r="AI23" s="22" t="n">
        <f aca="false">IF(NOT(ISNUMBER(AH23)),"",IF(R23="specific",IF(ISNUMBER(AG23),AG23*AH23,""),IF(AND(R23="ad_valorem",ISNUMBER(AJ23)),S23*AJ23/INDEX(Parameters!$D$5:$D$7,MATCH(B23,Parameters!$A$5:$A$7,0))*AH23,"")))</f>
        <v>0.0340909090909091</v>
      </c>
      <c r="AJ23" s="4"/>
      <c r="AK23" s="4"/>
      <c r="AL23" s="24" t="str">
        <f aca="false">IF(NOT(ISNUMBER(AJ23)),"",IF(R23="specific",S23/AJ23,IF(R23="ad_valorem",S23,"")))</f>
        <v/>
      </c>
      <c r="AM23" s="4" t="s">
        <v>202</v>
      </c>
      <c r="AN23" s="4" t="s">
        <v>466</v>
      </c>
      <c r="AO23" s="25" t="n">
        <f aca="false">IF(AM23="","",IFERROR(INDEX(DQ_Scale!$B$5:$B$14,MATCH(AM23,DQ_Scale!$A$5:$A$14,0)),""))</f>
        <v>2</v>
      </c>
      <c r="AP23" s="4"/>
    </row>
    <row r="24" customFormat="false" ht="23.85" hidden="false" customHeight="false" outlineLevel="0" collapsed="false">
      <c r="A24" s="4" t="s">
        <v>753</v>
      </c>
      <c r="B24" s="4" t="s">
        <v>666</v>
      </c>
      <c r="C24" s="4" t="s">
        <v>3</v>
      </c>
      <c r="D24" s="4" t="s">
        <v>78</v>
      </c>
      <c r="E24" s="4" t="s">
        <v>449</v>
      </c>
      <c r="F24" s="4" t="s">
        <v>450</v>
      </c>
      <c r="G24" s="4" t="s">
        <v>470</v>
      </c>
      <c r="H24" s="4" t="s">
        <v>471</v>
      </c>
      <c r="I24" s="4" t="s">
        <v>472</v>
      </c>
      <c r="J24" s="4" t="n">
        <v>1</v>
      </c>
      <c r="K24" s="4" t="s">
        <v>754</v>
      </c>
      <c r="L24" s="4" t="s">
        <v>750</v>
      </c>
      <c r="M24" s="4" t="s">
        <v>667</v>
      </c>
      <c r="N24" s="4" t="s">
        <v>668</v>
      </c>
      <c r="O24" s="4" t="s">
        <v>669</v>
      </c>
      <c r="P24" s="4"/>
      <c r="Q24" s="4" t="s">
        <v>670</v>
      </c>
      <c r="R24" s="4" t="s">
        <v>671</v>
      </c>
      <c r="S24" s="20" t="n">
        <v>1.2</v>
      </c>
      <c r="T24" s="4" t="s">
        <v>672</v>
      </c>
      <c r="U24" s="4" t="s">
        <v>755</v>
      </c>
      <c r="V24" s="4"/>
      <c r="W24" s="4" t="s">
        <v>756</v>
      </c>
      <c r="X24" s="4" t="s">
        <v>675</v>
      </c>
      <c r="Y24" s="4"/>
      <c r="Z24" s="4"/>
      <c r="AA24" s="4"/>
      <c r="AB24" s="4"/>
      <c r="AC24" s="4"/>
      <c r="AD24" s="4"/>
      <c r="AE24" s="4"/>
      <c r="AF24" s="21" t="n">
        <f aca="false">IF(T24="USD",1,IF(T24="pct","",INDEX(Parameters!$D$5:$D$7,MATCH(B24,Parameters!$A$5:$A$7,0))))</f>
        <v>22</v>
      </c>
      <c r="AG24" s="22" t="n">
        <f aca="false">IF(AND(R24="specific",ISNUMBER(S24)),S24/AF24,"")</f>
        <v>0.0545454545454545</v>
      </c>
      <c r="AH24" s="23" t="n">
        <v>1</v>
      </c>
      <c r="AI24" s="22" t="n">
        <f aca="false">IF(NOT(ISNUMBER(AH24)),"",IF(R24="specific",IF(ISNUMBER(AG24),AG24*AH24,""),IF(AND(R24="ad_valorem",ISNUMBER(AJ24)),S24*AJ24/INDEX(Parameters!$D$5:$D$7,MATCH(B24,Parameters!$A$5:$A$7,0))*AH24,"")))</f>
        <v>0.0545454545454545</v>
      </c>
      <c r="AJ24" s="4"/>
      <c r="AK24" s="4"/>
      <c r="AL24" s="24" t="str">
        <f aca="false">IF(NOT(ISNUMBER(AJ24)),"",IF(R24="specific",S24/AJ24,IF(R24="ad_valorem",S24,"")))</f>
        <v/>
      </c>
      <c r="AM24" s="4" t="s">
        <v>202</v>
      </c>
      <c r="AN24" s="4" t="s">
        <v>466</v>
      </c>
      <c r="AO24" s="25" t="n">
        <f aca="false">IF(AM24="","",IFERROR(INDEX(DQ_Scale!$B$5:$B$14,MATCH(AM24,DQ_Scale!$A$5:$A$14,0)),""))</f>
        <v>2</v>
      </c>
      <c r="AP24" s="4"/>
    </row>
    <row r="25" customFormat="false" ht="23.85" hidden="false" customHeight="false" outlineLevel="0" collapsed="false">
      <c r="A25" s="4" t="s">
        <v>757</v>
      </c>
      <c r="B25" s="4" t="s">
        <v>666</v>
      </c>
      <c r="C25" s="4" t="s">
        <v>3</v>
      </c>
      <c r="D25" s="4" t="s">
        <v>78</v>
      </c>
      <c r="E25" s="4" t="s">
        <v>449</v>
      </c>
      <c r="F25" s="4" t="s">
        <v>450</v>
      </c>
      <c r="G25" s="4" t="s">
        <v>478</v>
      </c>
      <c r="H25" s="4" t="s">
        <v>479</v>
      </c>
      <c r="I25" s="4" t="s">
        <v>480</v>
      </c>
      <c r="J25" s="4" t="n">
        <v>1</v>
      </c>
      <c r="K25" s="4" t="s">
        <v>758</v>
      </c>
      <c r="L25" s="4" t="s">
        <v>759</v>
      </c>
      <c r="M25" s="4" t="s">
        <v>760</v>
      </c>
      <c r="N25" s="4" t="s">
        <v>700</v>
      </c>
      <c r="O25" s="4" t="s">
        <v>669</v>
      </c>
      <c r="P25" s="4"/>
      <c r="Q25" s="4" t="s">
        <v>670</v>
      </c>
      <c r="R25" s="4" t="s">
        <v>671</v>
      </c>
      <c r="S25" s="20" t="n">
        <v>10</v>
      </c>
      <c r="T25" s="4" t="s">
        <v>672</v>
      </c>
      <c r="U25" s="4" t="s">
        <v>673</v>
      </c>
      <c r="V25" s="4"/>
      <c r="W25" s="4" t="s">
        <v>761</v>
      </c>
      <c r="X25" s="4" t="s">
        <v>762</v>
      </c>
      <c r="Y25" s="4"/>
      <c r="Z25" s="4" t="n">
        <v>10</v>
      </c>
      <c r="AA25" s="4"/>
      <c r="AB25" s="4"/>
      <c r="AC25" s="4"/>
      <c r="AD25" s="4"/>
      <c r="AE25" s="4"/>
      <c r="AF25" s="21" t="n">
        <f aca="false">IF(T25="USD",1,IF(T25="pct","",INDEX(Parameters!$D$5:$D$7,MATCH(B25,Parameters!$A$5:$A$7,0))))</f>
        <v>22</v>
      </c>
      <c r="AG25" s="22" t="n">
        <f aca="false">IF(AND(R25="specific",ISNUMBER(S25)),S25/AF25,"")</f>
        <v>0.454545454545455</v>
      </c>
      <c r="AH25" s="23" t="n">
        <v>20</v>
      </c>
      <c r="AI25" s="22" t="n">
        <f aca="false">IF(NOT(ISNUMBER(AH25)),"",IF(R25="specific",IF(ISNUMBER(AG25),AG25*AH25,""),IF(AND(R25="ad_valorem",ISNUMBER(AJ25)),S25*AJ25/INDEX(Parameters!$D$5:$D$7,MATCH(B25,Parameters!$A$5:$A$7,0))*AH25,"")))</f>
        <v>9.09090909090909</v>
      </c>
      <c r="AJ25" s="23" t="n">
        <v>50</v>
      </c>
      <c r="AK25" s="4" t="s">
        <v>763</v>
      </c>
      <c r="AL25" s="24" t="n">
        <f aca="false">IF(NOT(ISNUMBER(AJ25)),"",IF(R25="specific",S25/AJ25,IF(R25="ad_valorem",S25,"")))</f>
        <v>0.2</v>
      </c>
      <c r="AM25" s="4" t="s">
        <v>79</v>
      </c>
      <c r="AN25" s="4" t="s">
        <v>484</v>
      </c>
      <c r="AO25" s="25" t="n">
        <f aca="false">IF(AM25="","",IFERROR(INDEX(DQ_Scale!$B$5:$B$14,MATCH(AM25,DQ_Scale!$A$5:$A$14,0)),""))</f>
        <v>5</v>
      </c>
      <c r="AP25" s="4" t="s">
        <v>764</v>
      </c>
    </row>
    <row r="26" customFormat="false" ht="23.85" hidden="false" customHeight="false" outlineLevel="0" collapsed="false">
      <c r="A26" s="4" t="s">
        <v>765</v>
      </c>
      <c r="B26" s="4" t="s">
        <v>666</v>
      </c>
      <c r="C26" s="4" t="s">
        <v>3</v>
      </c>
      <c r="D26" s="4" t="s">
        <v>78</v>
      </c>
      <c r="E26" s="4" t="s">
        <v>449</v>
      </c>
      <c r="F26" s="4" t="s">
        <v>450</v>
      </c>
      <c r="G26" s="4" t="s">
        <v>478</v>
      </c>
      <c r="H26" s="4" t="s">
        <v>479</v>
      </c>
      <c r="I26" s="4" t="s">
        <v>480</v>
      </c>
      <c r="J26" s="4" t="n">
        <v>1</v>
      </c>
      <c r="K26" s="4" t="s">
        <v>766</v>
      </c>
      <c r="L26" s="4" t="s">
        <v>759</v>
      </c>
      <c r="M26" s="4" t="s">
        <v>760</v>
      </c>
      <c r="N26" s="4" t="s">
        <v>700</v>
      </c>
      <c r="O26" s="4" t="s">
        <v>669</v>
      </c>
      <c r="P26" s="4"/>
      <c r="Q26" s="4" t="s">
        <v>670</v>
      </c>
      <c r="R26" s="4" t="s">
        <v>671</v>
      </c>
      <c r="S26" s="20" t="n">
        <v>15</v>
      </c>
      <c r="T26" s="4" t="s">
        <v>672</v>
      </c>
      <c r="U26" s="4" t="s">
        <v>673</v>
      </c>
      <c r="V26" s="4"/>
      <c r="W26" s="4" t="s">
        <v>767</v>
      </c>
      <c r="X26" s="4" t="s">
        <v>768</v>
      </c>
      <c r="Y26" s="4"/>
      <c r="Z26" s="4" t="n">
        <v>10</v>
      </c>
      <c r="AA26" s="4"/>
      <c r="AB26" s="4"/>
      <c r="AC26" s="4"/>
      <c r="AD26" s="4"/>
      <c r="AE26" s="4"/>
      <c r="AF26" s="21" t="n">
        <f aca="false">IF(T26="USD",1,IF(T26="pct","",INDEX(Parameters!$D$5:$D$7,MATCH(B26,Parameters!$A$5:$A$7,0))))</f>
        <v>22</v>
      </c>
      <c r="AG26" s="22" t="n">
        <f aca="false">IF(AND(R26="specific",ISNUMBER(S26)),S26/AF26,"")</f>
        <v>0.681818181818182</v>
      </c>
      <c r="AH26" s="23" t="n">
        <v>20</v>
      </c>
      <c r="AI26" s="22" t="n">
        <f aca="false">IF(NOT(ISNUMBER(AH26)),"",IF(R26="specific",IF(ISNUMBER(AG26),AG26*AH26,""),IF(AND(R26="ad_valorem",ISNUMBER(AJ26)),S26*AJ26/INDEX(Parameters!$D$5:$D$7,MATCH(B26,Parameters!$A$5:$A$7,0))*AH26,"")))</f>
        <v>13.6363636363636</v>
      </c>
      <c r="AJ26" s="23" t="n">
        <v>50</v>
      </c>
      <c r="AK26" s="4" t="s">
        <v>763</v>
      </c>
      <c r="AL26" s="24" t="n">
        <f aca="false">IF(NOT(ISNUMBER(AJ26)),"",IF(R26="specific",S26/AJ26,IF(R26="ad_valorem",S26,"")))</f>
        <v>0.3</v>
      </c>
      <c r="AM26" s="4" t="s">
        <v>79</v>
      </c>
      <c r="AN26" s="4" t="s">
        <v>484</v>
      </c>
      <c r="AO26" s="25" t="n">
        <f aca="false">IF(AM26="","",IFERROR(INDEX(DQ_Scale!$B$5:$B$14,MATCH(AM26,DQ_Scale!$A$5:$A$14,0)),""))</f>
        <v>5</v>
      </c>
      <c r="AP26" s="4"/>
    </row>
    <row r="27" customFormat="false" ht="23.85" hidden="false" customHeight="false" outlineLevel="0" collapsed="false">
      <c r="A27" s="4" t="s">
        <v>769</v>
      </c>
      <c r="B27" s="4" t="s">
        <v>666</v>
      </c>
      <c r="C27" s="4" t="s">
        <v>3</v>
      </c>
      <c r="D27" s="4" t="s">
        <v>78</v>
      </c>
      <c r="E27" s="4" t="s">
        <v>449</v>
      </c>
      <c r="F27" s="4" t="s">
        <v>450</v>
      </c>
      <c r="G27" s="4" t="s">
        <v>491</v>
      </c>
      <c r="H27" s="4" t="s">
        <v>492</v>
      </c>
      <c r="I27" s="4" t="s">
        <v>480</v>
      </c>
      <c r="J27" s="4" t="n">
        <v>1</v>
      </c>
      <c r="K27" s="4" t="s">
        <v>770</v>
      </c>
      <c r="L27" s="4" t="s">
        <v>771</v>
      </c>
      <c r="M27" s="4" t="s">
        <v>772</v>
      </c>
      <c r="N27" s="4" t="s">
        <v>773</v>
      </c>
      <c r="O27" s="4" t="s">
        <v>669</v>
      </c>
      <c r="P27" s="4"/>
      <c r="Q27" s="4" t="s">
        <v>670</v>
      </c>
      <c r="R27" s="4" t="s">
        <v>774</v>
      </c>
      <c r="S27" s="31" t="n">
        <v>0.05</v>
      </c>
      <c r="T27" s="4" t="s">
        <v>775</v>
      </c>
      <c r="U27" s="4" t="s">
        <v>776</v>
      </c>
      <c r="V27" s="4" t="s">
        <v>777</v>
      </c>
      <c r="W27" s="4" t="s">
        <v>607</v>
      </c>
      <c r="X27" s="4" t="s">
        <v>675</v>
      </c>
      <c r="Y27" s="4"/>
      <c r="Z27" s="4" t="n">
        <v>10</v>
      </c>
      <c r="AA27" s="4"/>
      <c r="AB27" s="4"/>
      <c r="AC27" s="4" t="n">
        <v>80</v>
      </c>
      <c r="AD27" s="4" t="n">
        <v>100</v>
      </c>
      <c r="AE27" s="4"/>
      <c r="AF27" s="21" t="str">
        <f aca="false">IF(T27="USD",1,IF(T27="pct","",INDEX(Parameters!$D$5:$D$7,MATCH(B27,Parameters!$A$5:$A$7,0))))</f>
        <v/>
      </c>
      <c r="AG27" s="22" t="str">
        <f aca="false">IF(AND(R27="specific",ISNUMBER(S27)),S27/AF27,"")</f>
        <v/>
      </c>
      <c r="AH27" s="23" t="n">
        <v>20</v>
      </c>
      <c r="AI27" s="22" t="n">
        <f aca="false">IF(NOT(ISNUMBER(AH27)),"",IF(R27="specific",IF(ISNUMBER(AG27),AG27*AH27,""),IF(AND(R27="ad_valorem",ISNUMBER(AJ27)),S27*AJ27/INDEX(Parameters!$D$5:$D$7,MATCH(B27,Parameters!$A$5:$A$7,0))*AH27,"")))</f>
        <v>2.27272727272727</v>
      </c>
      <c r="AJ27" s="23" t="n">
        <v>50</v>
      </c>
      <c r="AK27" s="4" t="s">
        <v>778</v>
      </c>
      <c r="AL27" s="24" t="n">
        <f aca="false">IF(NOT(ISNUMBER(AJ27)),"",IF(R27="specific",S27/AJ27,IF(R27="ad_valorem",S27,"")))</f>
        <v>0.05</v>
      </c>
      <c r="AM27" s="4" t="s">
        <v>79</v>
      </c>
      <c r="AN27" s="4" t="s">
        <v>779</v>
      </c>
      <c r="AO27" s="25" t="n">
        <f aca="false">IF(AM27="","",IFERROR(INDEX(DQ_Scale!$B$5:$B$14,MATCH(AM27,DQ_Scale!$A$5:$A$14,0)),""))</f>
        <v>5</v>
      </c>
      <c r="AP27" s="4"/>
    </row>
    <row r="28" customFormat="false" ht="23.85" hidden="false" customHeight="false" outlineLevel="0" collapsed="false">
      <c r="A28" s="4" t="s">
        <v>780</v>
      </c>
      <c r="B28" s="4" t="s">
        <v>666</v>
      </c>
      <c r="C28" s="4" t="s">
        <v>3</v>
      </c>
      <c r="D28" s="4" t="s">
        <v>78</v>
      </c>
      <c r="E28" s="4" t="s">
        <v>449</v>
      </c>
      <c r="F28" s="4" t="s">
        <v>450</v>
      </c>
      <c r="G28" s="4" t="s">
        <v>491</v>
      </c>
      <c r="H28" s="4" t="s">
        <v>492</v>
      </c>
      <c r="I28" s="4" t="s">
        <v>480</v>
      </c>
      <c r="J28" s="4" t="n">
        <v>1</v>
      </c>
      <c r="K28" s="4" t="s">
        <v>770</v>
      </c>
      <c r="L28" s="4" t="s">
        <v>771</v>
      </c>
      <c r="M28" s="4" t="s">
        <v>772</v>
      </c>
      <c r="N28" s="4" t="s">
        <v>773</v>
      </c>
      <c r="O28" s="4" t="s">
        <v>669</v>
      </c>
      <c r="P28" s="4"/>
      <c r="Q28" s="4" t="s">
        <v>670</v>
      </c>
      <c r="R28" s="4" t="s">
        <v>774</v>
      </c>
      <c r="S28" s="31" t="n">
        <v>0.08</v>
      </c>
      <c r="T28" s="4" t="s">
        <v>775</v>
      </c>
      <c r="U28" s="4" t="s">
        <v>776</v>
      </c>
      <c r="V28" s="4" t="s">
        <v>777</v>
      </c>
      <c r="W28" s="4" t="s">
        <v>391</v>
      </c>
      <c r="X28" s="4" t="s">
        <v>675</v>
      </c>
      <c r="Y28" s="4" t="n">
        <v>10</v>
      </c>
      <c r="Z28" s="4" t="n">
        <v>20</v>
      </c>
      <c r="AA28" s="4"/>
      <c r="AB28" s="4"/>
      <c r="AC28" s="4" t="n">
        <v>80</v>
      </c>
      <c r="AD28" s="4" t="n">
        <v>100</v>
      </c>
      <c r="AE28" s="4"/>
      <c r="AF28" s="21" t="str">
        <f aca="false">IF(T28="USD",1,IF(T28="pct","",INDEX(Parameters!$D$5:$D$7,MATCH(B28,Parameters!$A$5:$A$7,0))))</f>
        <v/>
      </c>
      <c r="AG28" s="22" t="str">
        <f aca="false">IF(AND(R28="specific",ISNUMBER(S28)),S28/AF28,"")</f>
        <v/>
      </c>
      <c r="AH28" s="4"/>
      <c r="AI28" s="22" t="str">
        <f aca="false">IF(NOT(ISNUMBER(AH28)),"",IF(R28="specific",IF(ISNUMBER(AG28),AG28*AH28,""),IF(AND(R28="ad_valorem",ISNUMBER(AJ28)),S28*AJ28/INDEX(Parameters!$D$5:$D$7,MATCH(B28,Parameters!$A$5:$A$7,0))*AH28,"")))</f>
        <v/>
      </c>
      <c r="AJ28" s="4"/>
      <c r="AK28" s="4"/>
      <c r="AL28" s="24" t="str">
        <f aca="false">IF(NOT(ISNUMBER(AJ28)),"",IF(R28="specific",S28/AJ28,IF(R28="ad_valorem",S28,"")))</f>
        <v/>
      </c>
      <c r="AM28" s="4" t="s">
        <v>79</v>
      </c>
      <c r="AN28" s="4" t="s">
        <v>779</v>
      </c>
      <c r="AO28" s="25" t="n">
        <f aca="false">IF(AM28="","",IFERROR(INDEX(DQ_Scale!$B$5:$B$14,MATCH(AM28,DQ_Scale!$A$5:$A$14,0)),""))</f>
        <v>5</v>
      </c>
      <c r="AP28" s="4" t="s">
        <v>781</v>
      </c>
    </row>
    <row r="29" customFormat="false" ht="23.85" hidden="false" customHeight="false" outlineLevel="0" collapsed="false">
      <c r="A29" s="4" t="s">
        <v>782</v>
      </c>
      <c r="B29" s="4" t="s">
        <v>666</v>
      </c>
      <c r="C29" s="4" t="s">
        <v>3</v>
      </c>
      <c r="D29" s="4" t="s">
        <v>78</v>
      </c>
      <c r="E29" s="4" t="s">
        <v>449</v>
      </c>
      <c r="F29" s="4" t="s">
        <v>450</v>
      </c>
      <c r="G29" s="4" t="s">
        <v>491</v>
      </c>
      <c r="H29" s="4" t="s">
        <v>492</v>
      </c>
      <c r="I29" s="4" t="s">
        <v>480</v>
      </c>
      <c r="J29" s="4" t="n">
        <v>1</v>
      </c>
      <c r="K29" s="4" t="s">
        <v>770</v>
      </c>
      <c r="L29" s="4" t="s">
        <v>771</v>
      </c>
      <c r="M29" s="4" t="s">
        <v>772</v>
      </c>
      <c r="N29" s="4" t="s">
        <v>773</v>
      </c>
      <c r="O29" s="4" t="s">
        <v>669</v>
      </c>
      <c r="P29" s="4"/>
      <c r="Q29" s="4" t="s">
        <v>670</v>
      </c>
      <c r="R29" s="4" t="s">
        <v>774</v>
      </c>
      <c r="S29" s="31" t="n">
        <v>0.12</v>
      </c>
      <c r="T29" s="4" t="s">
        <v>775</v>
      </c>
      <c r="U29" s="4" t="s">
        <v>776</v>
      </c>
      <c r="V29" s="4" t="s">
        <v>777</v>
      </c>
      <c r="W29" s="4" t="s">
        <v>783</v>
      </c>
      <c r="X29" s="4" t="s">
        <v>675</v>
      </c>
      <c r="Y29" s="4" t="n">
        <v>20</v>
      </c>
      <c r="Z29" s="4"/>
      <c r="AA29" s="4"/>
      <c r="AB29" s="4"/>
      <c r="AC29" s="4" t="n">
        <v>80</v>
      </c>
      <c r="AD29" s="4" t="n">
        <v>100</v>
      </c>
      <c r="AE29" s="4"/>
      <c r="AF29" s="21" t="str">
        <f aca="false">IF(T29="USD",1,IF(T29="pct","",INDEX(Parameters!$D$5:$D$7,MATCH(B29,Parameters!$A$5:$A$7,0))))</f>
        <v/>
      </c>
      <c r="AG29" s="22" t="str">
        <f aca="false">IF(AND(R29="specific",ISNUMBER(S29)),S29/AF29,"")</f>
        <v/>
      </c>
      <c r="AH29" s="4"/>
      <c r="AI29" s="22" t="str">
        <f aca="false">IF(NOT(ISNUMBER(AH29)),"",IF(R29="specific",IF(ISNUMBER(AG29),AG29*AH29,""),IF(AND(R29="ad_valorem",ISNUMBER(AJ29)),S29*AJ29/INDEX(Parameters!$D$5:$D$7,MATCH(B29,Parameters!$A$5:$A$7,0))*AH29,"")))</f>
        <v/>
      </c>
      <c r="AJ29" s="4"/>
      <c r="AK29" s="4"/>
      <c r="AL29" s="24" t="str">
        <f aca="false">IF(NOT(ISNUMBER(AJ29)),"",IF(R29="specific",S29/AJ29,IF(R29="ad_valorem",S29,"")))</f>
        <v/>
      </c>
      <c r="AM29" s="4" t="s">
        <v>79</v>
      </c>
      <c r="AN29" s="4" t="s">
        <v>779</v>
      </c>
      <c r="AO29" s="25" t="n">
        <f aca="false">IF(AM29="","",IFERROR(INDEX(DQ_Scale!$B$5:$B$14,MATCH(AM29,DQ_Scale!$A$5:$A$14,0)),""))</f>
        <v>5</v>
      </c>
      <c r="AP29" s="4" t="s">
        <v>781</v>
      </c>
    </row>
    <row r="30" customFormat="false" ht="23.85" hidden="false" customHeight="false" outlineLevel="0" collapsed="false">
      <c r="A30" s="4" t="s">
        <v>784</v>
      </c>
      <c r="B30" s="4" t="s">
        <v>666</v>
      </c>
      <c r="C30" s="4" t="s">
        <v>3</v>
      </c>
      <c r="D30" s="4" t="s">
        <v>78</v>
      </c>
      <c r="E30" s="4" t="s">
        <v>449</v>
      </c>
      <c r="F30" s="4" t="s">
        <v>450</v>
      </c>
      <c r="G30" s="4" t="s">
        <v>491</v>
      </c>
      <c r="H30" s="4" t="s">
        <v>492</v>
      </c>
      <c r="I30" s="4" t="s">
        <v>480</v>
      </c>
      <c r="J30" s="4" t="n">
        <v>1</v>
      </c>
      <c r="K30" s="4" t="s">
        <v>785</v>
      </c>
      <c r="L30" s="4" t="s">
        <v>771</v>
      </c>
      <c r="M30" s="4" t="s">
        <v>772</v>
      </c>
      <c r="N30" s="4" t="s">
        <v>773</v>
      </c>
      <c r="O30" s="4" t="s">
        <v>669</v>
      </c>
      <c r="P30" s="4"/>
      <c r="Q30" s="4" t="s">
        <v>670</v>
      </c>
      <c r="R30" s="4" t="s">
        <v>774</v>
      </c>
      <c r="S30" s="31" t="n">
        <v>0.08</v>
      </c>
      <c r="T30" s="4" t="s">
        <v>775</v>
      </c>
      <c r="U30" s="4" t="s">
        <v>776</v>
      </c>
      <c r="V30" s="4" t="s">
        <v>777</v>
      </c>
      <c r="W30" s="4" t="s">
        <v>391</v>
      </c>
      <c r="X30" s="4" t="s">
        <v>675</v>
      </c>
      <c r="Y30" s="4"/>
      <c r="Z30" s="4" t="n">
        <v>10</v>
      </c>
      <c r="AA30" s="4"/>
      <c r="AB30" s="4"/>
      <c r="AC30" s="4" t="n">
        <v>70</v>
      </c>
      <c r="AD30" s="4" t="n">
        <v>80</v>
      </c>
      <c r="AE30" s="4"/>
      <c r="AF30" s="21" t="str">
        <f aca="false">IF(T30="USD",1,IF(T30="pct","",INDEX(Parameters!$D$5:$D$7,MATCH(B30,Parameters!$A$5:$A$7,0))))</f>
        <v/>
      </c>
      <c r="AG30" s="22" t="str">
        <f aca="false">IF(AND(R30="specific",ISNUMBER(S30)),S30/AF30,"")</f>
        <v/>
      </c>
      <c r="AH30" s="23" t="n">
        <v>20</v>
      </c>
      <c r="AI30" s="22" t="n">
        <f aca="false">IF(NOT(ISNUMBER(AH30)),"",IF(R30="specific",IF(ISNUMBER(AG30),AG30*AH30,""),IF(AND(R30="ad_valorem",ISNUMBER(AJ30)),S30*AJ30/INDEX(Parameters!$D$5:$D$7,MATCH(B30,Parameters!$A$5:$A$7,0))*AH30,"")))</f>
        <v>3.63636363636364</v>
      </c>
      <c r="AJ30" s="23" t="n">
        <v>50</v>
      </c>
      <c r="AK30" s="4" t="s">
        <v>778</v>
      </c>
      <c r="AL30" s="24" t="n">
        <f aca="false">IF(NOT(ISNUMBER(AJ30)),"",IF(R30="specific",S30/AJ30,IF(R30="ad_valorem",S30,"")))</f>
        <v>0.08</v>
      </c>
      <c r="AM30" s="4" t="s">
        <v>79</v>
      </c>
      <c r="AN30" s="4" t="s">
        <v>779</v>
      </c>
      <c r="AO30" s="25" t="n">
        <f aca="false">IF(AM30="","",IFERROR(INDEX(DQ_Scale!$B$5:$B$14,MATCH(AM30,DQ_Scale!$A$5:$A$14,0)),""))</f>
        <v>5</v>
      </c>
      <c r="AP30" s="4"/>
    </row>
    <row r="31" customFormat="false" ht="23.85" hidden="false" customHeight="false" outlineLevel="0" collapsed="false">
      <c r="A31" s="4" t="s">
        <v>786</v>
      </c>
      <c r="B31" s="4" t="s">
        <v>666</v>
      </c>
      <c r="C31" s="4" t="s">
        <v>3</v>
      </c>
      <c r="D31" s="4" t="s">
        <v>78</v>
      </c>
      <c r="E31" s="4" t="s">
        <v>449</v>
      </c>
      <c r="F31" s="4" t="s">
        <v>450</v>
      </c>
      <c r="G31" s="4" t="s">
        <v>491</v>
      </c>
      <c r="H31" s="4" t="s">
        <v>492</v>
      </c>
      <c r="I31" s="4" t="s">
        <v>480</v>
      </c>
      <c r="J31" s="4" t="n">
        <v>1</v>
      </c>
      <c r="K31" s="4" t="s">
        <v>785</v>
      </c>
      <c r="L31" s="4" t="s">
        <v>771</v>
      </c>
      <c r="M31" s="4" t="s">
        <v>772</v>
      </c>
      <c r="N31" s="4" t="s">
        <v>773</v>
      </c>
      <c r="O31" s="4" t="s">
        <v>669</v>
      </c>
      <c r="P31" s="4"/>
      <c r="Q31" s="4" t="s">
        <v>670</v>
      </c>
      <c r="R31" s="4" t="s">
        <v>774</v>
      </c>
      <c r="S31" s="31" t="n">
        <v>0.12</v>
      </c>
      <c r="T31" s="4" t="s">
        <v>775</v>
      </c>
      <c r="U31" s="4" t="s">
        <v>776</v>
      </c>
      <c r="V31" s="4" t="s">
        <v>777</v>
      </c>
      <c r="W31" s="4" t="s">
        <v>783</v>
      </c>
      <c r="X31" s="4" t="s">
        <v>675</v>
      </c>
      <c r="Y31" s="4" t="n">
        <v>10</v>
      </c>
      <c r="Z31" s="4" t="n">
        <v>20</v>
      </c>
      <c r="AA31" s="4"/>
      <c r="AB31" s="4"/>
      <c r="AC31" s="4" t="n">
        <v>70</v>
      </c>
      <c r="AD31" s="4" t="n">
        <v>80</v>
      </c>
      <c r="AE31" s="4"/>
      <c r="AF31" s="21" t="str">
        <f aca="false">IF(T31="USD",1,IF(T31="pct","",INDEX(Parameters!$D$5:$D$7,MATCH(B31,Parameters!$A$5:$A$7,0))))</f>
        <v/>
      </c>
      <c r="AG31" s="22" t="str">
        <f aca="false">IF(AND(R31="specific",ISNUMBER(S31)),S31/AF31,"")</f>
        <v/>
      </c>
      <c r="AH31" s="4"/>
      <c r="AI31" s="22" t="str">
        <f aca="false">IF(NOT(ISNUMBER(AH31)),"",IF(R31="specific",IF(ISNUMBER(AG31),AG31*AH31,""),IF(AND(R31="ad_valorem",ISNUMBER(AJ31)),S31*AJ31/INDEX(Parameters!$D$5:$D$7,MATCH(B31,Parameters!$A$5:$A$7,0))*AH31,"")))</f>
        <v/>
      </c>
      <c r="AJ31" s="4"/>
      <c r="AK31" s="4"/>
      <c r="AL31" s="24" t="str">
        <f aca="false">IF(NOT(ISNUMBER(AJ31)),"",IF(R31="specific",S31/AJ31,IF(R31="ad_valorem",S31,"")))</f>
        <v/>
      </c>
      <c r="AM31" s="4" t="s">
        <v>79</v>
      </c>
      <c r="AN31" s="4" t="s">
        <v>779</v>
      </c>
      <c r="AO31" s="25" t="n">
        <f aca="false">IF(AM31="","",IFERROR(INDEX(DQ_Scale!$B$5:$B$14,MATCH(AM31,DQ_Scale!$A$5:$A$14,0)),""))</f>
        <v>5</v>
      </c>
      <c r="AP31" s="4" t="s">
        <v>781</v>
      </c>
    </row>
    <row r="32" customFormat="false" ht="23.85" hidden="false" customHeight="false" outlineLevel="0" collapsed="false">
      <c r="A32" s="4" t="s">
        <v>787</v>
      </c>
      <c r="B32" s="4" t="s">
        <v>666</v>
      </c>
      <c r="C32" s="4" t="s">
        <v>3</v>
      </c>
      <c r="D32" s="4" t="s">
        <v>78</v>
      </c>
      <c r="E32" s="4" t="s">
        <v>449</v>
      </c>
      <c r="F32" s="4" t="s">
        <v>450</v>
      </c>
      <c r="G32" s="4" t="s">
        <v>491</v>
      </c>
      <c r="H32" s="4" t="s">
        <v>492</v>
      </c>
      <c r="I32" s="4" t="s">
        <v>480</v>
      </c>
      <c r="J32" s="4" t="n">
        <v>1</v>
      </c>
      <c r="K32" s="4" t="s">
        <v>785</v>
      </c>
      <c r="L32" s="4" t="s">
        <v>771</v>
      </c>
      <c r="M32" s="4" t="s">
        <v>772</v>
      </c>
      <c r="N32" s="4" t="s">
        <v>773</v>
      </c>
      <c r="O32" s="4" t="s">
        <v>669</v>
      </c>
      <c r="P32" s="4"/>
      <c r="Q32" s="4" t="s">
        <v>670</v>
      </c>
      <c r="R32" s="4" t="s">
        <v>774</v>
      </c>
      <c r="S32" s="31" t="n">
        <v>0.15</v>
      </c>
      <c r="T32" s="4" t="s">
        <v>775</v>
      </c>
      <c r="U32" s="4" t="s">
        <v>776</v>
      </c>
      <c r="V32" s="4" t="s">
        <v>777</v>
      </c>
      <c r="W32" s="4" t="s">
        <v>788</v>
      </c>
      <c r="X32" s="4" t="s">
        <v>675</v>
      </c>
      <c r="Y32" s="4" t="n">
        <v>20</v>
      </c>
      <c r="Z32" s="4"/>
      <c r="AA32" s="4"/>
      <c r="AB32" s="4"/>
      <c r="AC32" s="4" t="n">
        <v>70</v>
      </c>
      <c r="AD32" s="4" t="n">
        <v>80</v>
      </c>
      <c r="AE32" s="4"/>
      <c r="AF32" s="21" t="str">
        <f aca="false">IF(T32="USD",1,IF(T32="pct","",INDEX(Parameters!$D$5:$D$7,MATCH(B32,Parameters!$A$5:$A$7,0))))</f>
        <v/>
      </c>
      <c r="AG32" s="22" t="str">
        <f aca="false">IF(AND(R32="specific",ISNUMBER(S32)),S32/AF32,"")</f>
        <v/>
      </c>
      <c r="AH32" s="4"/>
      <c r="AI32" s="22" t="str">
        <f aca="false">IF(NOT(ISNUMBER(AH32)),"",IF(R32="specific",IF(ISNUMBER(AG32),AG32*AH32,""),IF(AND(R32="ad_valorem",ISNUMBER(AJ32)),S32*AJ32/INDEX(Parameters!$D$5:$D$7,MATCH(B32,Parameters!$A$5:$A$7,0))*AH32,"")))</f>
        <v/>
      </c>
      <c r="AJ32" s="4"/>
      <c r="AK32" s="4"/>
      <c r="AL32" s="24" t="str">
        <f aca="false">IF(NOT(ISNUMBER(AJ32)),"",IF(R32="specific",S32/AJ32,IF(R32="ad_valorem",S32,"")))</f>
        <v/>
      </c>
      <c r="AM32" s="4" t="s">
        <v>79</v>
      </c>
      <c r="AN32" s="4" t="s">
        <v>779</v>
      </c>
      <c r="AO32" s="25" t="n">
        <f aca="false">IF(AM32="","",IFERROR(INDEX(DQ_Scale!$B$5:$B$14,MATCH(AM32,DQ_Scale!$A$5:$A$14,0)),""))</f>
        <v>5</v>
      </c>
      <c r="AP32" s="4" t="s">
        <v>781</v>
      </c>
    </row>
    <row r="33" customFormat="false" ht="23.85" hidden="false" customHeight="false" outlineLevel="0" collapsed="false">
      <c r="A33" s="4" t="s">
        <v>789</v>
      </c>
      <c r="B33" s="4" t="s">
        <v>666</v>
      </c>
      <c r="C33" s="4" t="s">
        <v>3</v>
      </c>
      <c r="D33" s="4" t="s">
        <v>78</v>
      </c>
      <c r="E33" s="4" t="s">
        <v>449</v>
      </c>
      <c r="F33" s="4" t="s">
        <v>450</v>
      </c>
      <c r="G33" s="4" t="s">
        <v>491</v>
      </c>
      <c r="H33" s="4" t="s">
        <v>492</v>
      </c>
      <c r="I33" s="4" t="s">
        <v>480</v>
      </c>
      <c r="J33" s="4" t="n">
        <v>1</v>
      </c>
      <c r="K33" s="4" t="s">
        <v>790</v>
      </c>
      <c r="L33" s="4" t="s">
        <v>771</v>
      </c>
      <c r="M33" s="4" t="s">
        <v>772</v>
      </c>
      <c r="N33" s="4" t="s">
        <v>773</v>
      </c>
      <c r="O33" s="4" t="s">
        <v>669</v>
      </c>
      <c r="P33" s="4"/>
      <c r="Q33" s="4" t="s">
        <v>670</v>
      </c>
      <c r="R33" s="4" t="s">
        <v>774</v>
      </c>
      <c r="S33" s="31" t="n">
        <v>0.12</v>
      </c>
      <c r="T33" s="4" t="s">
        <v>775</v>
      </c>
      <c r="U33" s="4" t="s">
        <v>776</v>
      </c>
      <c r="V33" s="4" t="s">
        <v>777</v>
      </c>
      <c r="W33" s="4" t="s">
        <v>783</v>
      </c>
      <c r="X33" s="4" t="s">
        <v>675</v>
      </c>
      <c r="Y33" s="4"/>
      <c r="Z33" s="4" t="n">
        <v>10</v>
      </c>
      <c r="AA33" s="4"/>
      <c r="AB33" s="4"/>
      <c r="AC33" s="4" t="n">
        <v>60</v>
      </c>
      <c r="AD33" s="4" t="n">
        <v>70</v>
      </c>
      <c r="AE33" s="4"/>
      <c r="AF33" s="21" t="str">
        <f aca="false">IF(T33="USD",1,IF(T33="pct","",INDEX(Parameters!$D$5:$D$7,MATCH(B33,Parameters!$A$5:$A$7,0))))</f>
        <v/>
      </c>
      <c r="AG33" s="22" t="str">
        <f aca="false">IF(AND(R33="specific",ISNUMBER(S33)),S33/AF33,"")</f>
        <v/>
      </c>
      <c r="AH33" s="23" t="n">
        <v>20</v>
      </c>
      <c r="AI33" s="22" t="n">
        <f aca="false">IF(NOT(ISNUMBER(AH33)),"",IF(R33="specific",IF(ISNUMBER(AG33),AG33*AH33,""),IF(AND(R33="ad_valorem",ISNUMBER(AJ33)),S33*AJ33/INDEX(Parameters!$D$5:$D$7,MATCH(B33,Parameters!$A$5:$A$7,0))*AH33,"")))</f>
        <v>5.45454545454545</v>
      </c>
      <c r="AJ33" s="23" t="n">
        <v>50</v>
      </c>
      <c r="AK33" s="4" t="s">
        <v>778</v>
      </c>
      <c r="AL33" s="24" t="n">
        <f aca="false">IF(NOT(ISNUMBER(AJ33)),"",IF(R33="specific",S33/AJ33,IF(R33="ad_valorem",S33,"")))</f>
        <v>0.12</v>
      </c>
      <c r="AM33" s="4" t="s">
        <v>79</v>
      </c>
      <c r="AN33" s="4" t="s">
        <v>779</v>
      </c>
      <c r="AO33" s="25" t="n">
        <f aca="false">IF(AM33="","",IFERROR(INDEX(DQ_Scale!$B$5:$B$14,MATCH(AM33,DQ_Scale!$A$5:$A$14,0)),""))</f>
        <v>5</v>
      </c>
      <c r="AP33" s="4"/>
    </row>
    <row r="34" customFormat="false" ht="23.85" hidden="false" customHeight="false" outlineLevel="0" collapsed="false">
      <c r="A34" s="4" t="s">
        <v>791</v>
      </c>
      <c r="B34" s="4" t="s">
        <v>666</v>
      </c>
      <c r="C34" s="4" t="s">
        <v>3</v>
      </c>
      <c r="D34" s="4" t="s">
        <v>78</v>
      </c>
      <c r="E34" s="4" t="s">
        <v>449</v>
      </c>
      <c r="F34" s="4" t="s">
        <v>450</v>
      </c>
      <c r="G34" s="4" t="s">
        <v>491</v>
      </c>
      <c r="H34" s="4" t="s">
        <v>492</v>
      </c>
      <c r="I34" s="4" t="s">
        <v>480</v>
      </c>
      <c r="J34" s="4" t="n">
        <v>1</v>
      </c>
      <c r="K34" s="4" t="s">
        <v>790</v>
      </c>
      <c r="L34" s="4" t="s">
        <v>771</v>
      </c>
      <c r="M34" s="4" t="s">
        <v>772</v>
      </c>
      <c r="N34" s="4" t="s">
        <v>773</v>
      </c>
      <c r="O34" s="4" t="s">
        <v>669</v>
      </c>
      <c r="P34" s="4"/>
      <c r="Q34" s="4" t="s">
        <v>670</v>
      </c>
      <c r="R34" s="4" t="s">
        <v>774</v>
      </c>
      <c r="S34" s="31" t="n">
        <v>0.15</v>
      </c>
      <c r="T34" s="4" t="s">
        <v>775</v>
      </c>
      <c r="U34" s="4" t="s">
        <v>776</v>
      </c>
      <c r="V34" s="4" t="s">
        <v>777</v>
      </c>
      <c r="W34" s="4" t="s">
        <v>788</v>
      </c>
      <c r="X34" s="4" t="s">
        <v>675</v>
      </c>
      <c r="Y34" s="4" t="n">
        <v>10</v>
      </c>
      <c r="Z34" s="4" t="n">
        <v>20</v>
      </c>
      <c r="AA34" s="4"/>
      <c r="AB34" s="4"/>
      <c r="AC34" s="4" t="n">
        <v>60</v>
      </c>
      <c r="AD34" s="4" t="n">
        <v>70</v>
      </c>
      <c r="AE34" s="4"/>
      <c r="AF34" s="21" t="str">
        <f aca="false">IF(T34="USD",1,IF(T34="pct","",INDEX(Parameters!$D$5:$D$7,MATCH(B34,Parameters!$A$5:$A$7,0))))</f>
        <v/>
      </c>
      <c r="AG34" s="22" t="str">
        <f aca="false">IF(AND(R34="specific",ISNUMBER(S34)),S34/AF34,"")</f>
        <v/>
      </c>
      <c r="AH34" s="4"/>
      <c r="AI34" s="22" t="str">
        <f aca="false">IF(NOT(ISNUMBER(AH34)),"",IF(R34="specific",IF(ISNUMBER(AG34),AG34*AH34,""),IF(AND(R34="ad_valorem",ISNUMBER(AJ34)),S34*AJ34/INDEX(Parameters!$D$5:$D$7,MATCH(B34,Parameters!$A$5:$A$7,0))*AH34,"")))</f>
        <v/>
      </c>
      <c r="AJ34" s="4"/>
      <c r="AK34" s="4"/>
      <c r="AL34" s="24" t="str">
        <f aca="false">IF(NOT(ISNUMBER(AJ34)),"",IF(R34="specific",S34/AJ34,IF(R34="ad_valorem",S34,"")))</f>
        <v/>
      </c>
      <c r="AM34" s="4" t="s">
        <v>79</v>
      </c>
      <c r="AN34" s="4" t="s">
        <v>779</v>
      </c>
      <c r="AO34" s="25" t="n">
        <f aca="false">IF(AM34="","",IFERROR(INDEX(DQ_Scale!$B$5:$B$14,MATCH(AM34,DQ_Scale!$A$5:$A$14,0)),""))</f>
        <v>5</v>
      </c>
      <c r="AP34" s="4" t="s">
        <v>781</v>
      </c>
    </row>
    <row r="35" customFormat="false" ht="23.85" hidden="false" customHeight="false" outlineLevel="0" collapsed="false">
      <c r="A35" s="4" t="s">
        <v>792</v>
      </c>
      <c r="B35" s="4" t="s">
        <v>666</v>
      </c>
      <c r="C35" s="4" t="s">
        <v>3</v>
      </c>
      <c r="D35" s="4" t="s">
        <v>78</v>
      </c>
      <c r="E35" s="4" t="s">
        <v>449</v>
      </c>
      <c r="F35" s="4" t="s">
        <v>450</v>
      </c>
      <c r="G35" s="4" t="s">
        <v>491</v>
      </c>
      <c r="H35" s="4" t="s">
        <v>492</v>
      </c>
      <c r="I35" s="4" t="s">
        <v>480</v>
      </c>
      <c r="J35" s="4" t="n">
        <v>1</v>
      </c>
      <c r="K35" s="4" t="s">
        <v>790</v>
      </c>
      <c r="L35" s="4" t="s">
        <v>771</v>
      </c>
      <c r="M35" s="4" t="s">
        <v>772</v>
      </c>
      <c r="N35" s="4" t="s">
        <v>773</v>
      </c>
      <c r="O35" s="4" t="s">
        <v>669</v>
      </c>
      <c r="P35" s="4"/>
      <c r="Q35" s="4" t="s">
        <v>670</v>
      </c>
      <c r="R35" s="4" t="s">
        <v>774</v>
      </c>
      <c r="S35" s="31" t="n">
        <v>0.175</v>
      </c>
      <c r="T35" s="4" t="s">
        <v>775</v>
      </c>
      <c r="U35" s="4" t="s">
        <v>776</v>
      </c>
      <c r="V35" s="4" t="s">
        <v>777</v>
      </c>
      <c r="W35" s="4" t="s">
        <v>793</v>
      </c>
      <c r="X35" s="4" t="s">
        <v>675</v>
      </c>
      <c r="Y35" s="4" t="n">
        <v>20</v>
      </c>
      <c r="Z35" s="4"/>
      <c r="AA35" s="4"/>
      <c r="AB35" s="4"/>
      <c r="AC35" s="4" t="n">
        <v>60</v>
      </c>
      <c r="AD35" s="4" t="n">
        <v>70</v>
      </c>
      <c r="AE35" s="4"/>
      <c r="AF35" s="21" t="str">
        <f aca="false">IF(T35="USD",1,IF(T35="pct","",INDEX(Parameters!$D$5:$D$7,MATCH(B35,Parameters!$A$5:$A$7,0))))</f>
        <v/>
      </c>
      <c r="AG35" s="22" t="str">
        <f aca="false">IF(AND(R35="specific",ISNUMBER(S35)),S35/AF35,"")</f>
        <v/>
      </c>
      <c r="AH35" s="4"/>
      <c r="AI35" s="22" t="str">
        <f aca="false">IF(NOT(ISNUMBER(AH35)),"",IF(R35="specific",IF(ISNUMBER(AG35),AG35*AH35,""),IF(AND(R35="ad_valorem",ISNUMBER(AJ35)),S35*AJ35/INDEX(Parameters!$D$5:$D$7,MATCH(B35,Parameters!$A$5:$A$7,0))*AH35,"")))</f>
        <v/>
      </c>
      <c r="AJ35" s="4"/>
      <c r="AK35" s="4"/>
      <c r="AL35" s="24" t="str">
        <f aca="false">IF(NOT(ISNUMBER(AJ35)),"",IF(R35="specific",S35/AJ35,IF(R35="ad_valorem",S35,"")))</f>
        <v/>
      </c>
      <c r="AM35" s="4" t="s">
        <v>79</v>
      </c>
      <c r="AN35" s="4" t="s">
        <v>779</v>
      </c>
      <c r="AO35" s="25" t="n">
        <f aca="false">IF(AM35="","",IFERROR(INDEX(DQ_Scale!$B$5:$B$14,MATCH(AM35,DQ_Scale!$A$5:$A$14,0)),""))</f>
        <v>5</v>
      </c>
      <c r="AP35" s="4" t="s">
        <v>781</v>
      </c>
    </row>
    <row r="36" customFormat="false" ht="23.85" hidden="false" customHeight="false" outlineLevel="0" collapsed="false">
      <c r="A36" s="4" t="s">
        <v>794</v>
      </c>
      <c r="B36" s="4" t="s">
        <v>666</v>
      </c>
      <c r="C36" s="4" t="s">
        <v>3</v>
      </c>
      <c r="D36" s="4" t="s">
        <v>78</v>
      </c>
      <c r="E36" s="4" t="s">
        <v>449</v>
      </c>
      <c r="F36" s="4" t="s">
        <v>450</v>
      </c>
      <c r="G36" s="4" t="s">
        <v>491</v>
      </c>
      <c r="H36" s="4" t="s">
        <v>492</v>
      </c>
      <c r="I36" s="4" t="s">
        <v>480</v>
      </c>
      <c r="J36" s="4" t="n">
        <v>1</v>
      </c>
      <c r="K36" s="4" t="s">
        <v>795</v>
      </c>
      <c r="L36" s="4" t="s">
        <v>771</v>
      </c>
      <c r="M36" s="4" t="s">
        <v>772</v>
      </c>
      <c r="N36" s="4" t="s">
        <v>773</v>
      </c>
      <c r="O36" s="4" t="s">
        <v>669</v>
      </c>
      <c r="P36" s="4"/>
      <c r="Q36" s="4" t="s">
        <v>670</v>
      </c>
      <c r="R36" s="4" t="s">
        <v>774</v>
      </c>
      <c r="S36" s="31" t="n">
        <v>0.15</v>
      </c>
      <c r="T36" s="4" t="s">
        <v>775</v>
      </c>
      <c r="U36" s="4" t="s">
        <v>776</v>
      </c>
      <c r="V36" s="4" t="s">
        <v>777</v>
      </c>
      <c r="W36" s="4" t="s">
        <v>788</v>
      </c>
      <c r="X36" s="4" t="s">
        <v>675</v>
      </c>
      <c r="Y36" s="4"/>
      <c r="Z36" s="4" t="n">
        <v>10</v>
      </c>
      <c r="AA36" s="4"/>
      <c r="AB36" s="4"/>
      <c r="AC36" s="4" t="n">
        <v>30</v>
      </c>
      <c r="AD36" s="4" t="n">
        <v>60</v>
      </c>
      <c r="AE36" s="4"/>
      <c r="AF36" s="21" t="str">
        <f aca="false">IF(T36="USD",1,IF(T36="pct","",INDEX(Parameters!$D$5:$D$7,MATCH(B36,Parameters!$A$5:$A$7,0))))</f>
        <v/>
      </c>
      <c r="AG36" s="22" t="str">
        <f aca="false">IF(AND(R36="specific",ISNUMBER(S36)),S36/AF36,"")</f>
        <v/>
      </c>
      <c r="AH36" s="23" t="n">
        <v>20</v>
      </c>
      <c r="AI36" s="22" t="n">
        <f aca="false">IF(NOT(ISNUMBER(AH36)),"",IF(R36="specific",IF(ISNUMBER(AG36),AG36*AH36,""),IF(AND(R36="ad_valorem",ISNUMBER(AJ36)),S36*AJ36/INDEX(Parameters!$D$5:$D$7,MATCH(B36,Parameters!$A$5:$A$7,0))*AH36,"")))</f>
        <v>6.81818181818182</v>
      </c>
      <c r="AJ36" s="23" t="n">
        <v>50</v>
      </c>
      <c r="AK36" s="4" t="s">
        <v>778</v>
      </c>
      <c r="AL36" s="24" t="n">
        <f aca="false">IF(NOT(ISNUMBER(AJ36)),"",IF(R36="specific",S36/AJ36,IF(R36="ad_valorem",S36,"")))</f>
        <v>0.15</v>
      </c>
      <c r="AM36" s="4" t="s">
        <v>79</v>
      </c>
      <c r="AN36" s="4" t="s">
        <v>779</v>
      </c>
      <c r="AO36" s="25" t="n">
        <f aca="false">IF(AM36="","",IFERROR(INDEX(DQ_Scale!$B$5:$B$14,MATCH(AM36,DQ_Scale!$A$5:$A$14,0)),""))</f>
        <v>5</v>
      </c>
      <c r="AP36" s="4"/>
    </row>
    <row r="37" customFormat="false" ht="23.85" hidden="false" customHeight="false" outlineLevel="0" collapsed="false">
      <c r="A37" s="4" t="s">
        <v>796</v>
      </c>
      <c r="B37" s="4" t="s">
        <v>666</v>
      </c>
      <c r="C37" s="4" t="s">
        <v>3</v>
      </c>
      <c r="D37" s="4" t="s">
        <v>78</v>
      </c>
      <c r="E37" s="4" t="s">
        <v>449</v>
      </c>
      <c r="F37" s="4" t="s">
        <v>450</v>
      </c>
      <c r="G37" s="4" t="s">
        <v>491</v>
      </c>
      <c r="H37" s="4" t="s">
        <v>492</v>
      </c>
      <c r="I37" s="4" t="s">
        <v>480</v>
      </c>
      <c r="J37" s="4" t="n">
        <v>1</v>
      </c>
      <c r="K37" s="4" t="s">
        <v>795</v>
      </c>
      <c r="L37" s="4" t="s">
        <v>771</v>
      </c>
      <c r="M37" s="4" t="s">
        <v>772</v>
      </c>
      <c r="N37" s="4" t="s">
        <v>773</v>
      </c>
      <c r="O37" s="4" t="s">
        <v>669</v>
      </c>
      <c r="P37" s="4"/>
      <c r="Q37" s="4" t="s">
        <v>670</v>
      </c>
      <c r="R37" s="4" t="s">
        <v>774</v>
      </c>
      <c r="S37" s="31" t="n">
        <v>0.175</v>
      </c>
      <c r="T37" s="4" t="s">
        <v>775</v>
      </c>
      <c r="U37" s="4" t="s">
        <v>776</v>
      </c>
      <c r="V37" s="4" t="s">
        <v>777</v>
      </c>
      <c r="W37" s="4" t="s">
        <v>793</v>
      </c>
      <c r="X37" s="4" t="s">
        <v>675</v>
      </c>
      <c r="Y37" s="4" t="n">
        <v>10</v>
      </c>
      <c r="Z37" s="4" t="n">
        <v>20</v>
      </c>
      <c r="AA37" s="4"/>
      <c r="AB37" s="4"/>
      <c r="AC37" s="4" t="n">
        <v>30</v>
      </c>
      <c r="AD37" s="4" t="n">
        <v>60</v>
      </c>
      <c r="AE37" s="4"/>
      <c r="AF37" s="21" t="str">
        <f aca="false">IF(T37="USD",1,IF(T37="pct","",INDEX(Parameters!$D$5:$D$7,MATCH(B37,Parameters!$A$5:$A$7,0))))</f>
        <v/>
      </c>
      <c r="AG37" s="22" t="str">
        <f aca="false">IF(AND(R37="specific",ISNUMBER(S37)),S37/AF37,"")</f>
        <v/>
      </c>
      <c r="AH37" s="4"/>
      <c r="AI37" s="22" t="str">
        <f aca="false">IF(NOT(ISNUMBER(AH37)),"",IF(R37="specific",IF(ISNUMBER(AG37),AG37*AH37,""),IF(AND(R37="ad_valorem",ISNUMBER(AJ37)),S37*AJ37/INDEX(Parameters!$D$5:$D$7,MATCH(B37,Parameters!$A$5:$A$7,0))*AH37,"")))</f>
        <v/>
      </c>
      <c r="AJ37" s="4"/>
      <c r="AK37" s="4"/>
      <c r="AL37" s="24" t="str">
        <f aca="false">IF(NOT(ISNUMBER(AJ37)),"",IF(R37="specific",S37/AJ37,IF(R37="ad_valorem",S37,"")))</f>
        <v/>
      </c>
      <c r="AM37" s="4" t="s">
        <v>79</v>
      </c>
      <c r="AN37" s="4" t="s">
        <v>779</v>
      </c>
      <c r="AO37" s="25" t="n">
        <f aca="false">IF(AM37="","",IFERROR(INDEX(DQ_Scale!$B$5:$B$14,MATCH(AM37,DQ_Scale!$A$5:$A$14,0)),""))</f>
        <v>5</v>
      </c>
      <c r="AP37" s="4" t="s">
        <v>781</v>
      </c>
    </row>
    <row r="38" customFormat="false" ht="23.85" hidden="false" customHeight="false" outlineLevel="0" collapsed="false">
      <c r="A38" s="4" t="s">
        <v>797</v>
      </c>
      <c r="B38" s="4" t="s">
        <v>666</v>
      </c>
      <c r="C38" s="4" t="s">
        <v>3</v>
      </c>
      <c r="D38" s="4" t="s">
        <v>78</v>
      </c>
      <c r="E38" s="4" t="s">
        <v>449</v>
      </c>
      <c r="F38" s="4" t="s">
        <v>450</v>
      </c>
      <c r="G38" s="4" t="s">
        <v>491</v>
      </c>
      <c r="H38" s="4" t="s">
        <v>492</v>
      </c>
      <c r="I38" s="4" t="s">
        <v>480</v>
      </c>
      <c r="J38" s="4" t="n">
        <v>1</v>
      </c>
      <c r="K38" s="4" t="s">
        <v>795</v>
      </c>
      <c r="L38" s="4" t="s">
        <v>771</v>
      </c>
      <c r="M38" s="4" t="s">
        <v>772</v>
      </c>
      <c r="N38" s="4" t="s">
        <v>773</v>
      </c>
      <c r="O38" s="4" t="s">
        <v>669</v>
      </c>
      <c r="P38" s="4"/>
      <c r="Q38" s="4" t="s">
        <v>670</v>
      </c>
      <c r="R38" s="4" t="s">
        <v>774</v>
      </c>
      <c r="S38" s="31" t="n">
        <v>0.2</v>
      </c>
      <c r="T38" s="4" t="s">
        <v>775</v>
      </c>
      <c r="U38" s="4" t="s">
        <v>776</v>
      </c>
      <c r="V38" s="4" t="s">
        <v>777</v>
      </c>
      <c r="W38" s="4" t="s">
        <v>798</v>
      </c>
      <c r="X38" s="4" t="s">
        <v>675</v>
      </c>
      <c r="Y38" s="4" t="n">
        <v>20</v>
      </c>
      <c r="Z38" s="4"/>
      <c r="AA38" s="4"/>
      <c r="AB38" s="4"/>
      <c r="AC38" s="4" t="n">
        <v>30</v>
      </c>
      <c r="AD38" s="4" t="n">
        <v>60</v>
      </c>
      <c r="AE38" s="4"/>
      <c r="AF38" s="21" t="str">
        <f aca="false">IF(T38="USD",1,IF(T38="pct","",INDEX(Parameters!$D$5:$D$7,MATCH(B38,Parameters!$A$5:$A$7,0))))</f>
        <v/>
      </c>
      <c r="AG38" s="22" t="str">
        <f aca="false">IF(AND(R38="specific",ISNUMBER(S38)),S38/AF38,"")</f>
        <v/>
      </c>
      <c r="AH38" s="4"/>
      <c r="AI38" s="22" t="str">
        <f aca="false">IF(NOT(ISNUMBER(AH38)),"",IF(R38="specific",IF(ISNUMBER(AG38),AG38*AH38,""),IF(AND(R38="ad_valorem",ISNUMBER(AJ38)),S38*AJ38/INDEX(Parameters!$D$5:$D$7,MATCH(B38,Parameters!$A$5:$A$7,0))*AH38,"")))</f>
        <v/>
      </c>
      <c r="AJ38" s="4"/>
      <c r="AK38" s="4"/>
      <c r="AL38" s="24" t="str">
        <f aca="false">IF(NOT(ISNUMBER(AJ38)),"",IF(R38="specific",S38/AJ38,IF(R38="ad_valorem",S38,"")))</f>
        <v/>
      </c>
      <c r="AM38" s="4" t="s">
        <v>79</v>
      </c>
      <c r="AN38" s="4" t="s">
        <v>779</v>
      </c>
      <c r="AO38" s="25" t="n">
        <f aca="false">IF(AM38="","",IFERROR(INDEX(DQ_Scale!$B$5:$B$14,MATCH(AM38,DQ_Scale!$A$5:$A$14,0)),""))</f>
        <v>5</v>
      </c>
      <c r="AP38" s="4" t="s">
        <v>781</v>
      </c>
    </row>
    <row r="39" customFormat="false" ht="46.25" hidden="false" customHeight="false" outlineLevel="0" collapsed="false">
      <c r="A39" s="16" t="s">
        <v>799</v>
      </c>
      <c r="B39" s="16" t="s">
        <v>666</v>
      </c>
      <c r="C39" s="16" t="s">
        <v>3</v>
      </c>
      <c r="D39" s="16" t="s">
        <v>78</v>
      </c>
      <c r="E39" s="16" t="s">
        <v>449</v>
      </c>
      <c r="F39" s="16" t="s">
        <v>450</v>
      </c>
      <c r="G39" s="16" t="s">
        <v>501</v>
      </c>
      <c r="H39" s="16" t="s">
        <v>502</v>
      </c>
      <c r="I39" s="16" t="s">
        <v>480</v>
      </c>
      <c r="J39" s="16" t="n">
        <v>0</v>
      </c>
      <c r="K39" s="16" t="s">
        <v>800</v>
      </c>
      <c r="L39" s="16"/>
      <c r="M39" s="16"/>
      <c r="N39" s="16"/>
      <c r="O39" s="16" t="s">
        <v>686</v>
      </c>
      <c r="P39" s="16"/>
      <c r="Q39" s="16"/>
      <c r="R39" s="16" t="s">
        <v>687</v>
      </c>
      <c r="S39" s="2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27" t="n">
        <f aca="false">IF(T39="USD",1,IF(T39="pct","",INDEX(Parameters!$D$5:$D$7,MATCH(B39,Parameters!$A$5:$A$7,0))))</f>
        <v>22</v>
      </c>
      <c r="AG39" s="28" t="str">
        <f aca="false">IF(AND(R39="specific",ISNUMBER(S39)),S39/AF39,"")</f>
        <v/>
      </c>
      <c r="AH39" s="16"/>
      <c r="AI39" s="28" t="str">
        <f aca="false">IF(NOT(ISNUMBER(AH39)),"",IF(R39="specific",IF(ISNUMBER(AG39),AG39*AH39,""),IF(AND(R39="ad_valorem",ISNUMBER(AJ39)),S39*AJ39/INDEX(Parameters!$D$5:$D$7,MATCH(B39,Parameters!$A$5:$A$7,0))*AH39,"")))</f>
        <v/>
      </c>
      <c r="AJ39" s="16"/>
      <c r="AK39" s="16"/>
      <c r="AL39" s="29" t="str">
        <f aca="false">IF(NOT(ISNUMBER(AJ39)),"",IF(R39="specific",S39/AJ39,IF(R39="ad_valorem",S39,"")))</f>
        <v/>
      </c>
      <c r="AM39" s="16" t="s">
        <v>71</v>
      </c>
      <c r="AN39" s="16"/>
      <c r="AO39" s="30" t="n">
        <f aca="false">IF(AM39="","",IFERROR(INDEX(DQ_Scale!$B$5:$B$14,MATCH(AM39,DQ_Scale!$A$5:$A$14,0)),""))</f>
        <v>2</v>
      </c>
      <c r="AP39" s="16" t="s">
        <v>801</v>
      </c>
    </row>
    <row r="40" customFormat="false" ht="23.85" hidden="false" customHeight="false" outlineLevel="0" collapsed="false">
      <c r="A40" s="4" t="s">
        <v>802</v>
      </c>
      <c r="B40" s="4" t="s">
        <v>666</v>
      </c>
      <c r="C40" s="4" t="s">
        <v>3</v>
      </c>
      <c r="D40" s="4" t="s">
        <v>78</v>
      </c>
      <c r="E40" s="4" t="s">
        <v>449</v>
      </c>
      <c r="F40" s="4" t="s">
        <v>450</v>
      </c>
      <c r="G40" s="4" t="s">
        <v>501</v>
      </c>
      <c r="H40" s="4" t="s">
        <v>502</v>
      </c>
      <c r="I40" s="4" t="s">
        <v>480</v>
      </c>
      <c r="J40" s="4" t="n">
        <v>1</v>
      </c>
      <c r="K40" s="4" t="s">
        <v>803</v>
      </c>
      <c r="L40" s="4" t="s">
        <v>804</v>
      </c>
      <c r="M40" s="4" t="s">
        <v>805</v>
      </c>
      <c r="N40" s="4" t="s">
        <v>806</v>
      </c>
      <c r="O40" s="32" t="s">
        <v>234</v>
      </c>
      <c r="P40" s="4"/>
      <c r="Q40" s="4" t="s">
        <v>670</v>
      </c>
      <c r="R40" s="4" t="s">
        <v>671</v>
      </c>
      <c r="S40" s="20" t="n">
        <v>1.5</v>
      </c>
      <c r="T40" s="4" t="s">
        <v>716</v>
      </c>
      <c r="U40" s="4" t="s">
        <v>673</v>
      </c>
      <c r="V40" s="4"/>
      <c r="W40" s="4" t="s">
        <v>807</v>
      </c>
      <c r="X40" s="4" t="s">
        <v>675</v>
      </c>
      <c r="Y40" s="4"/>
      <c r="Z40" s="4" t="n">
        <v>10</v>
      </c>
      <c r="AA40" s="4"/>
      <c r="AB40" s="4"/>
      <c r="AC40" s="4"/>
      <c r="AD40" s="4"/>
      <c r="AE40" s="4"/>
      <c r="AF40" s="21" t="n">
        <f aca="false">IF(T40="USD",1,IF(T40="pct","",INDEX(Parameters!$D$5:$D$7,MATCH(B40,Parameters!$A$5:$A$7,0))))</f>
        <v>1</v>
      </c>
      <c r="AG40" s="22" t="n">
        <f aca="false">IF(AND(R40="specific",ISNUMBER(S40)),S40/AF40,"")</f>
        <v>1.5</v>
      </c>
      <c r="AH40" s="23" t="n">
        <v>25</v>
      </c>
      <c r="AI40" s="22" t="n">
        <f aca="false">IF(NOT(ISNUMBER(AH40)),"",IF(R40="specific",IF(ISNUMBER(AG40),AG40*AH40,""),IF(AND(R40="ad_valorem",ISNUMBER(AJ40)),S40*AJ40/INDEX(Parameters!$D$5:$D$7,MATCH(B40,Parameters!$A$5:$A$7,0))*AH40,"")))</f>
        <v>37.5</v>
      </c>
      <c r="AJ40" s="4"/>
      <c r="AK40" s="4"/>
      <c r="AL40" s="24" t="str">
        <f aca="false">IF(NOT(ISNUMBER(AJ40)),"",IF(R40="specific",S40/AJ40,IF(R40="ad_valorem",S40,"")))</f>
        <v/>
      </c>
      <c r="AM40" s="4" t="s">
        <v>234</v>
      </c>
      <c r="AN40" s="4" t="s">
        <v>172</v>
      </c>
      <c r="AO40" s="25" t="n">
        <f aca="false">IF(AM40="","",IFERROR(INDEX(DQ_Scale!$B$5:$B$14,MATCH(AM40,DQ_Scale!$A$5:$A$14,0)),""))</f>
        <v>1</v>
      </c>
      <c r="AP40" s="4" t="s">
        <v>808</v>
      </c>
    </row>
    <row r="41" customFormat="false" ht="23.85" hidden="false" customHeight="false" outlineLevel="0" collapsed="false">
      <c r="A41" s="4" t="s">
        <v>809</v>
      </c>
      <c r="B41" s="4" t="s">
        <v>666</v>
      </c>
      <c r="C41" s="4" t="s">
        <v>3</v>
      </c>
      <c r="D41" s="4" t="s">
        <v>78</v>
      </c>
      <c r="E41" s="4" t="s">
        <v>449</v>
      </c>
      <c r="F41" s="4" t="s">
        <v>450</v>
      </c>
      <c r="G41" s="4" t="s">
        <v>501</v>
      </c>
      <c r="H41" s="4" t="s">
        <v>502</v>
      </c>
      <c r="I41" s="4" t="s">
        <v>480</v>
      </c>
      <c r="J41" s="4" t="n">
        <v>1</v>
      </c>
      <c r="K41" s="4" t="s">
        <v>810</v>
      </c>
      <c r="L41" s="4" t="s">
        <v>804</v>
      </c>
      <c r="M41" s="4" t="s">
        <v>805</v>
      </c>
      <c r="N41" s="4" t="s">
        <v>806</v>
      </c>
      <c r="O41" s="32" t="s">
        <v>234</v>
      </c>
      <c r="P41" s="4"/>
      <c r="Q41" s="4" t="s">
        <v>670</v>
      </c>
      <c r="R41" s="4" t="s">
        <v>671</v>
      </c>
      <c r="S41" s="20" t="n">
        <v>2</v>
      </c>
      <c r="T41" s="4" t="s">
        <v>716</v>
      </c>
      <c r="U41" s="4" t="s">
        <v>673</v>
      </c>
      <c r="V41" s="4"/>
      <c r="W41" s="4" t="s">
        <v>811</v>
      </c>
      <c r="X41" s="4" t="s">
        <v>675</v>
      </c>
      <c r="Y41" s="4" t="n">
        <v>10</v>
      </c>
      <c r="Z41" s="4" t="n">
        <v>20</v>
      </c>
      <c r="AA41" s="4"/>
      <c r="AB41" s="4"/>
      <c r="AC41" s="4"/>
      <c r="AD41" s="4"/>
      <c r="AE41" s="4"/>
      <c r="AF41" s="21" t="n">
        <f aca="false">IF(T41="USD",1,IF(T41="pct","",INDEX(Parameters!$D$5:$D$7,MATCH(B41,Parameters!$A$5:$A$7,0))))</f>
        <v>1</v>
      </c>
      <c r="AG41" s="22" t="n">
        <f aca="false">IF(AND(R41="specific",ISNUMBER(S41)),S41/AF41,"")</f>
        <v>2</v>
      </c>
      <c r="AH41" s="4"/>
      <c r="AI41" s="22" t="str">
        <f aca="false">IF(NOT(ISNUMBER(AH41)),"",IF(R41="specific",IF(ISNUMBER(AG41),AG41*AH41,""),IF(AND(R41="ad_valorem",ISNUMBER(AJ41)),S41*AJ41/INDEX(Parameters!$D$5:$D$7,MATCH(B41,Parameters!$A$5:$A$7,0))*AH41,"")))</f>
        <v/>
      </c>
      <c r="AJ41" s="4"/>
      <c r="AK41" s="4"/>
      <c r="AL41" s="24" t="str">
        <f aca="false">IF(NOT(ISNUMBER(AJ41)),"",IF(R41="specific",S41/AJ41,IF(R41="ad_valorem",S41,"")))</f>
        <v/>
      </c>
      <c r="AM41" s="4" t="s">
        <v>234</v>
      </c>
      <c r="AN41" s="4" t="s">
        <v>172</v>
      </c>
      <c r="AO41" s="25" t="n">
        <f aca="false">IF(AM41="","",IFERROR(INDEX(DQ_Scale!$B$5:$B$14,MATCH(AM41,DQ_Scale!$A$5:$A$14,0)),""))</f>
        <v>1</v>
      </c>
      <c r="AP41" s="4"/>
    </row>
    <row r="42" customFormat="false" ht="23.85" hidden="false" customHeight="false" outlineLevel="0" collapsed="false">
      <c r="A42" s="4" t="s">
        <v>812</v>
      </c>
      <c r="B42" s="4" t="s">
        <v>666</v>
      </c>
      <c r="C42" s="4" t="s">
        <v>3</v>
      </c>
      <c r="D42" s="4" t="s">
        <v>78</v>
      </c>
      <c r="E42" s="4" t="s">
        <v>449</v>
      </c>
      <c r="F42" s="4" t="s">
        <v>450</v>
      </c>
      <c r="G42" s="4" t="s">
        <v>509</v>
      </c>
      <c r="H42" s="4" t="s">
        <v>510</v>
      </c>
      <c r="I42" s="4" t="s">
        <v>480</v>
      </c>
      <c r="J42" s="4" t="n">
        <v>1</v>
      </c>
      <c r="K42" s="4" t="s">
        <v>813</v>
      </c>
      <c r="L42" s="4" t="s">
        <v>814</v>
      </c>
      <c r="M42" s="4" t="s">
        <v>815</v>
      </c>
      <c r="N42" s="4" t="s">
        <v>700</v>
      </c>
      <c r="O42" s="4" t="s">
        <v>669</v>
      </c>
      <c r="P42" s="4"/>
      <c r="Q42" s="4" t="s">
        <v>670</v>
      </c>
      <c r="R42" s="4" t="s">
        <v>671</v>
      </c>
      <c r="S42" s="20" t="n">
        <v>4.2</v>
      </c>
      <c r="T42" s="4" t="s">
        <v>672</v>
      </c>
      <c r="U42" s="4" t="s">
        <v>673</v>
      </c>
      <c r="V42" s="4"/>
      <c r="W42" s="4" t="s">
        <v>816</v>
      </c>
      <c r="X42" s="4" t="s">
        <v>762</v>
      </c>
      <c r="Y42" s="4"/>
      <c r="Z42" s="4" t="n">
        <v>10</v>
      </c>
      <c r="AA42" s="4"/>
      <c r="AB42" s="4"/>
      <c r="AC42" s="4"/>
      <c r="AD42" s="4"/>
      <c r="AE42" s="4"/>
      <c r="AF42" s="21" t="n">
        <f aca="false">IF(T42="USD",1,IF(T42="pct","",INDEX(Parameters!$D$5:$D$7,MATCH(B42,Parameters!$A$5:$A$7,0))))</f>
        <v>22</v>
      </c>
      <c r="AG42" s="22" t="n">
        <f aca="false">IF(AND(R42="specific",ISNUMBER(S42)),S42/AF42,"")</f>
        <v>0.190909090909091</v>
      </c>
      <c r="AH42" s="4"/>
      <c r="AI42" s="22" t="str">
        <f aca="false">IF(NOT(ISNUMBER(AH42)),"",IF(R42="specific",IF(ISNUMBER(AG42),AG42*AH42,""),IF(AND(R42="ad_valorem",ISNUMBER(AJ42)),S42*AJ42/INDEX(Parameters!$D$5:$D$7,MATCH(B42,Parameters!$A$5:$A$7,0))*AH42,"")))</f>
        <v/>
      </c>
      <c r="AJ42" s="4"/>
      <c r="AK42" s="4"/>
      <c r="AL42" s="24" t="str">
        <f aca="false">IF(NOT(ISNUMBER(AJ42)),"",IF(R42="specific",S42/AJ42,IF(R42="ad_valorem",S42,"")))</f>
        <v/>
      </c>
      <c r="AM42" s="4" t="s">
        <v>79</v>
      </c>
      <c r="AN42" s="4" t="s">
        <v>398</v>
      </c>
      <c r="AO42" s="25" t="n">
        <f aca="false">IF(AM42="","",IFERROR(INDEX(DQ_Scale!$B$5:$B$14,MATCH(AM42,DQ_Scale!$A$5:$A$14,0)),""))</f>
        <v>5</v>
      </c>
      <c r="AP42" s="4" t="s">
        <v>817</v>
      </c>
    </row>
    <row r="43" customFormat="false" ht="23.85" hidden="false" customHeight="false" outlineLevel="0" collapsed="false">
      <c r="A43" s="4" t="s">
        <v>818</v>
      </c>
      <c r="B43" s="4" t="s">
        <v>666</v>
      </c>
      <c r="C43" s="4" t="s">
        <v>3</v>
      </c>
      <c r="D43" s="4" t="s">
        <v>78</v>
      </c>
      <c r="E43" s="4" t="s">
        <v>449</v>
      </c>
      <c r="F43" s="4" t="s">
        <v>450</v>
      </c>
      <c r="G43" s="4" t="s">
        <v>509</v>
      </c>
      <c r="H43" s="4" t="s">
        <v>510</v>
      </c>
      <c r="I43" s="4" t="s">
        <v>480</v>
      </c>
      <c r="J43" s="4" t="n">
        <v>1</v>
      </c>
      <c r="K43" s="4" t="s">
        <v>819</v>
      </c>
      <c r="L43" s="4" t="s">
        <v>814</v>
      </c>
      <c r="M43" s="4" t="s">
        <v>815</v>
      </c>
      <c r="N43" s="4" t="s">
        <v>700</v>
      </c>
      <c r="O43" s="4" t="s">
        <v>669</v>
      </c>
      <c r="P43" s="4"/>
      <c r="Q43" s="4" t="s">
        <v>670</v>
      </c>
      <c r="R43" s="4" t="s">
        <v>671</v>
      </c>
      <c r="S43" s="20" t="n">
        <v>10</v>
      </c>
      <c r="T43" s="4" t="s">
        <v>672</v>
      </c>
      <c r="U43" s="4" t="s">
        <v>673</v>
      </c>
      <c r="V43" s="4"/>
      <c r="W43" s="4" t="s">
        <v>820</v>
      </c>
      <c r="X43" s="4" t="s">
        <v>768</v>
      </c>
      <c r="Y43" s="4"/>
      <c r="Z43" s="4" t="n">
        <v>10</v>
      </c>
      <c r="AA43" s="4"/>
      <c r="AB43" s="4"/>
      <c r="AC43" s="4"/>
      <c r="AD43" s="4"/>
      <c r="AE43" s="4"/>
      <c r="AF43" s="21" t="n">
        <f aca="false">IF(T43="USD",1,IF(T43="pct","",INDEX(Parameters!$D$5:$D$7,MATCH(B43,Parameters!$A$5:$A$7,0))))</f>
        <v>22</v>
      </c>
      <c r="AG43" s="22" t="n">
        <f aca="false">IF(AND(R43="specific",ISNUMBER(S43)),S43/AF43,"")</f>
        <v>0.454545454545455</v>
      </c>
      <c r="AH43" s="4"/>
      <c r="AI43" s="22" t="str">
        <f aca="false">IF(NOT(ISNUMBER(AH43)),"",IF(R43="specific",IF(ISNUMBER(AG43),AG43*AH43,""),IF(AND(R43="ad_valorem",ISNUMBER(AJ43)),S43*AJ43/INDEX(Parameters!$D$5:$D$7,MATCH(B43,Parameters!$A$5:$A$7,0))*AH43,"")))</f>
        <v/>
      </c>
      <c r="AJ43" s="4"/>
      <c r="AK43" s="4"/>
      <c r="AL43" s="24" t="str">
        <f aca="false">IF(NOT(ISNUMBER(AJ43)),"",IF(R43="specific",S43/AJ43,IF(R43="ad_valorem",S43,"")))</f>
        <v/>
      </c>
      <c r="AM43" s="4" t="s">
        <v>79</v>
      </c>
      <c r="AN43" s="4" t="s">
        <v>398</v>
      </c>
      <c r="AO43" s="25" t="n">
        <f aca="false">IF(AM43="","",IFERROR(INDEX(DQ_Scale!$B$5:$B$14,MATCH(AM43,DQ_Scale!$A$5:$A$14,0)),""))</f>
        <v>5</v>
      </c>
      <c r="AP43" s="4" t="s">
        <v>817</v>
      </c>
    </row>
    <row r="44" customFormat="false" ht="15" hidden="false" customHeight="false" outlineLevel="0" collapsed="false">
      <c r="A44" s="4" t="s">
        <v>821</v>
      </c>
      <c r="B44" s="4" t="s">
        <v>666</v>
      </c>
      <c r="C44" s="4" t="s">
        <v>3</v>
      </c>
      <c r="D44" s="4" t="s">
        <v>78</v>
      </c>
      <c r="E44" s="4" t="s">
        <v>449</v>
      </c>
      <c r="F44" s="4" t="s">
        <v>450</v>
      </c>
      <c r="G44" s="4" t="s">
        <v>509</v>
      </c>
      <c r="H44" s="4" t="s">
        <v>510</v>
      </c>
      <c r="I44" s="4" t="s">
        <v>480</v>
      </c>
      <c r="J44" s="4" t="n">
        <v>1</v>
      </c>
      <c r="K44" s="4" t="s">
        <v>813</v>
      </c>
      <c r="L44" s="4" t="s">
        <v>814</v>
      </c>
      <c r="M44" s="4" t="s">
        <v>815</v>
      </c>
      <c r="N44" s="4" t="s">
        <v>700</v>
      </c>
      <c r="O44" s="4" t="s">
        <v>669</v>
      </c>
      <c r="P44" s="4"/>
      <c r="Q44" s="4" t="s">
        <v>670</v>
      </c>
      <c r="R44" s="4" t="s">
        <v>671</v>
      </c>
      <c r="S44" s="20" t="n">
        <v>6.3</v>
      </c>
      <c r="T44" s="4" t="s">
        <v>672</v>
      </c>
      <c r="U44" s="4" t="s">
        <v>673</v>
      </c>
      <c r="V44" s="4"/>
      <c r="W44" s="4" t="s">
        <v>822</v>
      </c>
      <c r="X44" s="4" t="s">
        <v>762</v>
      </c>
      <c r="Y44" s="4" t="n">
        <v>10</v>
      </c>
      <c r="Z44" s="4" t="n">
        <v>20</v>
      </c>
      <c r="AA44" s="4"/>
      <c r="AB44" s="4"/>
      <c r="AC44" s="4"/>
      <c r="AD44" s="4"/>
      <c r="AE44" s="4"/>
      <c r="AF44" s="21" t="n">
        <f aca="false">IF(T44="USD",1,IF(T44="pct","",INDEX(Parameters!$D$5:$D$7,MATCH(B44,Parameters!$A$5:$A$7,0))))</f>
        <v>22</v>
      </c>
      <c r="AG44" s="22" t="n">
        <f aca="false">IF(AND(R44="specific",ISNUMBER(S44)),S44/AF44,"")</f>
        <v>0.286363636363636</v>
      </c>
      <c r="AH44" s="23" t="n">
        <v>8.33333333333333</v>
      </c>
      <c r="AI44" s="22" t="n">
        <f aca="false">IF(NOT(ISNUMBER(AH44)),"",IF(R44="specific",IF(ISNUMBER(AG44),AG44*AH44,""),IF(AND(R44="ad_valorem",ISNUMBER(AJ44)),S44*AJ44/INDEX(Parameters!$D$5:$D$7,MATCH(B44,Parameters!$A$5:$A$7,0))*AH44,"")))</f>
        <v>2.38636363636364</v>
      </c>
      <c r="AJ44" s="4"/>
      <c r="AK44" s="4"/>
      <c r="AL44" s="24" t="str">
        <f aca="false">IF(NOT(ISNUMBER(AJ44)),"",IF(R44="specific",S44/AJ44,IF(R44="ad_valorem",S44,"")))</f>
        <v/>
      </c>
      <c r="AM44" s="4" t="s">
        <v>79</v>
      </c>
      <c r="AN44" s="4" t="s">
        <v>398</v>
      </c>
      <c r="AO44" s="25" t="n">
        <f aca="false">IF(AM44="","",IFERROR(INDEX(DQ_Scale!$B$5:$B$14,MATCH(AM44,DQ_Scale!$A$5:$A$14,0)),""))</f>
        <v>5</v>
      </c>
      <c r="AP44" s="4"/>
    </row>
    <row r="45" customFormat="false" ht="15" hidden="false" customHeight="false" outlineLevel="0" collapsed="false">
      <c r="A45" s="4" t="s">
        <v>823</v>
      </c>
      <c r="B45" s="4" t="s">
        <v>666</v>
      </c>
      <c r="C45" s="4" t="s">
        <v>3</v>
      </c>
      <c r="D45" s="4" t="s">
        <v>78</v>
      </c>
      <c r="E45" s="4" t="s">
        <v>449</v>
      </c>
      <c r="F45" s="4" t="s">
        <v>450</v>
      </c>
      <c r="G45" s="4" t="s">
        <v>509</v>
      </c>
      <c r="H45" s="4" t="s">
        <v>510</v>
      </c>
      <c r="I45" s="4" t="s">
        <v>480</v>
      </c>
      <c r="J45" s="4" t="n">
        <v>1</v>
      </c>
      <c r="K45" s="4" t="s">
        <v>819</v>
      </c>
      <c r="L45" s="4" t="s">
        <v>814</v>
      </c>
      <c r="M45" s="4" t="s">
        <v>815</v>
      </c>
      <c r="N45" s="4" t="s">
        <v>700</v>
      </c>
      <c r="O45" s="4" t="s">
        <v>669</v>
      </c>
      <c r="P45" s="4"/>
      <c r="Q45" s="4" t="s">
        <v>670</v>
      </c>
      <c r="R45" s="4" t="s">
        <v>671</v>
      </c>
      <c r="S45" s="20" t="n">
        <v>12</v>
      </c>
      <c r="T45" s="4" t="s">
        <v>672</v>
      </c>
      <c r="U45" s="4" t="s">
        <v>673</v>
      </c>
      <c r="V45" s="4"/>
      <c r="W45" s="4" t="s">
        <v>824</v>
      </c>
      <c r="X45" s="4" t="s">
        <v>768</v>
      </c>
      <c r="Y45" s="4" t="n">
        <v>10</v>
      </c>
      <c r="Z45" s="4" t="n">
        <v>20</v>
      </c>
      <c r="AA45" s="4"/>
      <c r="AB45" s="4"/>
      <c r="AC45" s="4"/>
      <c r="AD45" s="4"/>
      <c r="AE45" s="4"/>
      <c r="AF45" s="21" t="n">
        <f aca="false">IF(T45="USD",1,IF(T45="pct","",INDEX(Parameters!$D$5:$D$7,MATCH(B45,Parameters!$A$5:$A$7,0))))</f>
        <v>22</v>
      </c>
      <c r="AG45" s="22" t="n">
        <f aca="false">IF(AND(R45="specific",ISNUMBER(S45)),S45/AF45,"")</f>
        <v>0.545454545454545</v>
      </c>
      <c r="AH45" s="23" t="n">
        <v>8.33333333333333</v>
      </c>
      <c r="AI45" s="22" t="n">
        <f aca="false">IF(NOT(ISNUMBER(AH45)),"",IF(R45="specific",IF(ISNUMBER(AG45),AG45*AH45,""),IF(AND(R45="ad_valorem",ISNUMBER(AJ45)),S45*AJ45/INDEX(Parameters!$D$5:$D$7,MATCH(B45,Parameters!$A$5:$A$7,0))*AH45,"")))</f>
        <v>4.54545454545455</v>
      </c>
      <c r="AJ45" s="4"/>
      <c r="AK45" s="4"/>
      <c r="AL45" s="24" t="str">
        <f aca="false">IF(NOT(ISNUMBER(AJ45)),"",IF(R45="specific",S45/AJ45,IF(R45="ad_valorem",S45,"")))</f>
        <v/>
      </c>
      <c r="AM45" s="4" t="s">
        <v>79</v>
      </c>
      <c r="AN45" s="4" t="s">
        <v>398</v>
      </c>
      <c r="AO45" s="25" t="n">
        <f aca="false">IF(AM45="","",IFERROR(INDEX(DQ_Scale!$B$5:$B$14,MATCH(AM45,DQ_Scale!$A$5:$A$14,0)),""))</f>
        <v>5</v>
      </c>
      <c r="AP45" s="4"/>
    </row>
    <row r="46" customFormat="false" ht="23.85" hidden="false" customHeight="false" outlineLevel="0" collapsed="false">
      <c r="A46" s="4" t="s">
        <v>825</v>
      </c>
      <c r="B46" s="4" t="s">
        <v>666</v>
      </c>
      <c r="C46" s="4" t="s">
        <v>3</v>
      </c>
      <c r="D46" s="4" t="s">
        <v>78</v>
      </c>
      <c r="E46" s="4" t="s">
        <v>449</v>
      </c>
      <c r="F46" s="4" t="s">
        <v>450</v>
      </c>
      <c r="G46" s="4" t="s">
        <v>509</v>
      </c>
      <c r="H46" s="4" t="s">
        <v>510</v>
      </c>
      <c r="I46" s="4" t="s">
        <v>480</v>
      </c>
      <c r="J46" s="4" t="n">
        <v>1</v>
      </c>
      <c r="K46" s="4" t="s">
        <v>813</v>
      </c>
      <c r="L46" s="4" t="s">
        <v>814</v>
      </c>
      <c r="M46" s="4" t="s">
        <v>815</v>
      </c>
      <c r="N46" s="4" t="s">
        <v>700</v>
      </c>
      <c r="O46" s="4" t="s">
        <v>669</v>
      </c>
      <c r="P46" s="4"/>
      <c r="Q46" s="4" t="s">
        <v>670</v>
      </c>
      <c r="R46" s="4" t="s">
        <v>671</v>
      </c>
      <c r="S46" s="20" t="n">
        <v>8.3</v>
      </c>
      <c r="T46" s="4" t="s">
        <v>672</v>
      </c>
      <c r="U46" s="4" t="s">
        <v>673</v>
      </c>
      <c r="V46" s="4"/>
      <c r="W46" s="4" t="s">
        <v>826</v>
      </c>
      <c r="X46" s="4" t="s">
        <v>762</v>
      </c>
      <c r="Y46" s="4" t="n">
        <v>20</v>
      </c>
      <c r="Z46" s="4" t="n">
        <v>30</v>
      </c>
      <c r="AA46" s="4"/>
      <c r="AB46" s="4"/>
      <c r="AC46" s="4"/>
      <c r="AD46" s="4"/>
      <c r="AE46" s="4"/>
      <c r="AF46" s="21" t="n">
        <f aca="false">IF(T46="USD",1,IF(T46="pct","",INDEX(Parameters!$D$5:$D$7,MATCH(B46,Parameters!$A$5:$A$7,0))))</f>
        <v>22</v>
      </c>
      <c r="AG46" s="22" t="n">
        <f aca="false">IF(AND(R46="specific",ISNUMBER(S46)),S46/AF46,"")</f>
        <v>0.377272727272727</v>
      </c>
      <c r="AH46" s="4"/>
      <c r="AI46" s="22" t="str">
        <f aca="false">IF(NOT(ISNUMBER(AH46)),"",IF(R46="specific",IF(ISNUMBER(AG46),AG46*AH46,""),IF(AND(R46="ad_valorem",ISNUMBER(AJ46)),S46*AJ46/INDEX(Parameters!$D$5:$D$7,MATCH(B46,Parameters!$A$5:$A$7,0))*AH46,"")))</f>
        <v/>
      </c>
      <c r="AJ46" s="4"/>
      <c r="AK46" s="4"/>
      <c r="AL46" s="24" t="str">
        <f aca="false">IF(NOT(ISNUMBER(AJ46)),"",IF(R46="specific",S46/AJ46,IF(R46="ad_valorem",S46,"")))</f>
        <v/>
      </c>
      <c r="AM46" s="4" t="s">
        <v>79</v>
      </c>
      <c r="AN46" s="4" t="s">
        <v>398</v>
      </c>
      <c r="AO46" s="25" t="n">
        <f aca="false">IF(AM46="","",IFERROR(INDEX(DQ_Scale!$B$5:$B$14,MATCH(AM46,DQ_Scale!$A$5:$A$14,0)),""))</f>
        <v>5</v>
      </c>
      <c r="AP46" s="4" t="s">
        <v>817</v>
      </c>
    </row>
    <row r="47" customFormat="false" ht="23.85" hidden="false" customHeight="false" outlineLevel="0" collapsed="false">
      <c r="A47" s="4" t="s">
        <v>827</v>
      </c>
      <c r="B47" s="4" t="s">
        <v>666</v>
      </c>
      <c r="C47" s="4" t="s">
        <v>3</v>
      </c>
      <c r="D47" s="4" t="s">
        <v>78</v>
      </c>
      <c r="E47" s="4" t="s">
        <v>449</v>
      </c>
      <c r="F47" s="4" t="s">
        <v>450</v>
      </c>
      <c r="G47" s="4" t="s">
        <v>509</v>
      </c>
      <c r="H47" s="4" t="s">
        <v>510</v>
      </c>
      <c r="I47" s="4" t="s">
        <v>480</v>
      </c>
      <c r="J47" s="4" t="n">
        <v>1</v>
      </c>
      <c r="K47" s="4" t="s">
        <v>819</v>
      </c>
      <c r="L47" s="4" t="s">
        <v>814</v>
      </c>
      <c r="M47" s="4" t="s">
        <v>815</v>
      </c>
      <c r="N47" s="4" t="s">
        <v>700</v>
      </c>
      <c r="O47" s="4" t="s">
        <v>669</v>
      </c>
      <c r="P47" s="4"/>
      <c r="Q47" s="4" t="s">
        <v>670</v>
      </c>
      <c r="R47" s="4" t="s">
        <v>671</v>
      </c>
      <c r="S47" s="20" t="n">
        <v>14</v>
      </c>
      <c r="T47" s="4" t="s">
        <v>672</v>
      </c>
      <c r="U47" s="4" t="s">
        <v>673</v>
      </c>
      <c r="V47" s="4"/>
      <c r="W47" s="4" t="s">
        <v>828</v>
      </c>
      <c r="X47" s="4" t="s">
        <v>768</v>
      </c>
      <c r="Y47" s="4" t="n">
        <v>20</v>
      </c>
      <c r="Z47" s="4" t="n">
        <v>30</v>
      </c>
      <c r="AA47" s="4"/>
      <c r="AB47" s="4"/>
      <c r="AC47" s="4"/>
      <c r="AD47" s="4"/>
      <c r="AE47" s="4"/>
      <c r="AF47" s="21" t="n">
        <f aca="false">IF(T47="USD",1,IF(T47="pct","",INDEX(Parameters!$D$5:$D$7,MATCH(B47,Parameters!$A$5:$A$7,0))))</f>
        <v>22</v>
      </c>
      <c r="AG47" s="22" t="n">
        <f aca="false">IF(AND(R47="specific",ISNUMBER(S47)),S47/AF47,"")</f>
        <v>0.636363636363636</v>
      </c>
      <c r="AH47" s="4"/>
      <c r="AI47" s="22" t="str">
        <f aca="false">IF(NOT(ISNUMBER(AH47)),"",IF(R47="specific",IF(ISNUMBER(AG47),AG47*AH47,""),IF(AND(R47="ad_valorem",ISNUMBER(AJ47)),S47*AJ47/INDEX(Parameters!$D$5:$D$7,MATCH(B47,Parameters!$A$5:$A$7,0))*AH47,"")))</f>
        <v/>
      </c>
      <c r="AJ47" s="4"/>
      <c r="AK47" s="4"/>
      <c r="AL47" s="24" t="str">
        <f aca="false">IF(NOT(ISNUMBER(AJ47)),"",IF(R47="specific",S47/AJ47,IF(R47="ad_valorem",S47,"")))</f>
        <v/>
      </c>
      <c r="AM47" s="4" t="s">
        <v>79</v>
      </c>
      <c r="AN47" s="4" t="s">
        <v>398</v>
      </c>
      <c r="AO47" s="25" t="n">
        <f aca="false">IF(AM47="","",IFERROR(INDEX(DQ_Scale!$B$5:$B$14,MATCH(AM47,DQ_Scale!$A$5:$A$14,0)),""))</f>
        <v>5</v>
      </c>
      <c r="AP47" s="4" t="s">
        <v>817</v>
      </c>
    </row>
    <row r="48" customFormat="false" ht="23.85" hidden="false" customHeight="false" outlineLevel="0" collapsed="false">
      <c r="A48" s="4" t="s">
        <v>829</v>
      </c>
      <c r="B48" s="4" t="s">
        <v>666</v>
      </c>
      <c r="C48" s="4" t="s">
        <v>3</v>
      </c>
      <c r="D48" s="4" t="s">
        <v>78</v>
      </c>
      <c r="E48" s="4" t="s">
        <v>449</v>
      </c>
      <c r="F48" s="4" t="s">
        <v>450</v>
      </c>
      <c r="G48" s="4" t="s">
        <v>509</v>
      </c>
      <c r="H48" s="4" t="s">
        <v>510</v>
      </c>
      <c r="I48" s="4" t="s">
        <v>480</v>
      </c>
      <c r="J48" s="4" t="n">
        <v>1</v>
      </c>
      <c r="K48" s="4" t="s">
        <v>813</v>
      </c>
      <c r="L48" s="4" t="s">
        <v>814</v>
      </c>
      <c r="M48" s="4" t="s">
        <v>815</v>
      </c>
      <c r="N48" s="4" t="s">
        <v>700</v>
      </c>
      <c r="O48" s="4" t="s">
        <v>669</v>
      </c>
      <c r="P48" s="4"/>
      <c r="Q48" s="4" t="s">
        <v>670</v>
      </c>
      <c r="R48" s="4" t="s">
        <v>671</v>
      </c>
      <c r="S48" s="20" t="n">
        <v>10.4</v>
      </c>
      <c r="T48" s="4" t="s">
        <v>672</v>
      </c>
      <c r="U48" s="4" t="s">
        <v>673</v>
      </c>
      <c r="V48" s="4"/>
      <c r="W48" s="4" t="s">
        <v>830</v>
      </c>
      <c r="X48" s="4" t="s">
        <v>762</v>
      </c>
      <c r="Y48" s="4" t="n">
        <v>30</v>
      </c>
      <c r="Z48" s="4" t="n">
        <v>40</v>
      </c>
      <c r="AA48" s="4"/>
      <c r="AB48" s="4"/>
      <c r="AC48" s="4"/>
      <c r="AD48" s="4"/>
      <c r="AE48" s="4"/>
      <c r="AF48" s="21" t="n">
        <f aca="false">IF(T48="USD",1,IF(T48="pct","",INDEX(Parameters!$D$5:$D$7,MATCH(B48,Parameters!$A$5:$A$7,0))))</f>
        <v>22</v>
      </c>
      <c r="AG48" s="22" t="n">
        <f aca="false">IF(AND(R48="specific",ISNUMBER(S48)),S48/AF48,"")</f>
        <v>0.472727272727273</v>
      </c>
      <c r="AH48" s="4"/>
      <c r="AI48" s="22" t="str">
        <f aca="false">IF(NOT(ISNUMBER(AH48)),"",IF(R48="specific",IF(ISNUMBER(AG48),AG48*AH48,""),IF(AND(R48="ad_valorem",ISNUMBER(AJ48)),S48*AJ48/INDEX(Parameters!$D$5:$D$7,MATCH(B48,Parameters!$A$5:$A$7,0))*AH48,"")))</f>
        <v/>
      </c>
      <c r="AJ48" s="4"/>
      <c r="AK48" s="4"/>
      <c r="AL48" s="24" t="str">
        <f aca="false">IF(NOT(ISNUMBER(AJ48)),"",IF(R48="specific",S48/AJ48,IF(R48="ad_valorem",S48,"")))</f>
        <v/>
      </c>
      <c r="AM48" s="4" t="s">
        <v>79</v>
      </c>
      <c r="AN48" s="4" t="s">
        <v>398</v>
      </c>
      <c r="AO48" s="25" t="n">
        <f aca="false">IF(AM48="","",IFERROR(INDEX(DQ_Scale!$B$5:$B$14,MATCH(AM48,DQ_Scale!$A$5:$A$14,0)),""))</f>
        <v>5</v>
      </c>
      <c r="AP48" s="4" t="s">
        <v>817</v>
      </c>
    </row>
    <row r="49" customFormat="false" ht="23.85" hidden="false" customHeight="false" outlineLevel="0" collapsed="false">
      <c r="A49" s="4" t="s">
        <v>831</v>
      </c>
      <c r="B49" s="4" t="s">
        <v>666</v>
      </c>
      <c r="C49" s="4" t="s">
        <v>3</v>
      </c>
      <c r="D49" s="4" t="s">
        <v>78</v>
      </c>
      <c r="E49" s="4" t="s">
        <v>449</v>
      </c>
      <c r="F49" s="4" t="s">
        <v>450</v>
      </c>
      <c r="G49" s="4" t="s">
        <v>509</v>
      </c>
      <c r="H49" s="4" t="s">
        <v>510</v>
      </c>
      <c r="I49" s="4" t="s">
        <v>480</v>
      </c>
      <c r="J49" s="4" t="n">
        <v>1</v>
      </c>
      <c r="K49" s="4" t="s">
        <v>819</v>
      </c>
      <c r="L49" s="4" t="s">
        <v>814</v>
      </c>
      <c r="M49" s="4" t="s">
        <v>815</v>
      </c>
      <c r="N49" s="4" t="s">
        <v>700</v>
      </c>
      <c r="O49" s="4" t="s">
        <v>669</v>
      </c>
      <c r="P49" s="4"/>
      <c r="Q49" s="4" t="s">
        <v>670</v>
      </c>
      <c r="R49" s="4" t="s">
        <v>671</v>
      </c>
      <c r="S49" s="20" t="n">
        <v>16</v>
      </c>
      <c r="T49" s="4" t="s">
        <v>672</v>
      </c>
      <c r="U49" s="4" t="s">
        <v>673</v>
      </c>
      <c r="V49" s="4"/>
      <c r="W49" s="4" t="s">
        <v>832</v>
      </c>
      <c r="X49" s="4" t="s">
        <v>768</v>
      </c>
      <c r="Y49" s="4" t="n">
        <v>30</v>
      </c>
      <c r="Z49" s="4" t="n">
        <v>40</v>
      </c>
      <c r="AA49" s="4"/>
      <c r="AB49" s="4"/>
      <c r="AC49" s="4"/>
      <c r="AD49" s="4"/>
      <c r="AE49" s="4"/>
      <c r="AF49" s="21" t="n">
        <f aca="false">IF(T49="USD",1,IF(T49="pct","",INDEX(Parameters!$D$5:$D$7,MATCH(B49,Parameters!$A$5:$A$7,0))))</f>
        <v>22</v>
      </c>
      <c r="AG49" s="22" t="n">
        <f aca="false">IF(AND(R49="specific",ISNUMBER(S49)),S49/AF49,"")</f>
        <v>0.727272727272727</v>
      </c>
      <c r="AH49" s="4"/>
      <c r="AI49" s="22" t="str">
        <f aca="false">IF(NOT(ISNUMBER(AH49)),"",IF(R49="specific",IF(ISNUMBER(AG49),AG49*AH49,""),IF(AND(R49="ad_valorem",ISNUMBER(AJ49)),S49*AJ49/INDEX(Parameters!$D$5:$D$7,MATCH(B49,Parameters!$A$5:$A$7,0))*AH49,"")))</f>
        <v/>
      </c>
      <c r="AJ49" s="4"/>
      <c r="AK49" s="4"/>
      <c r="AL49" s="24" t="str">
        <f aca="false">IF(NOT(ISNUMBER(AJ49)),"",IF(R49="specific",S49/AJ49,IF(R49="ad_valorem",S49,"")))</f>
        <v/>
      </c>
      <c r="AM49" s="4" t="s">
        <v>79</v>
      </c>
      <c r="AN49" s="4" t="s">
        <v>398</v>
      </c>
      <c r="AO49" s="25" t="n">
        <f aca="false">IF(AM49="","",IFERROR(INDEX(DQ_Scale!$B$5:$B$14,MATCH(AM49,DQ_Scale!$A$5:$A$14,0)),""))</f>
        <v>5</v>
      </c>
      <c r="AP49" s="4" t="s">
        <v>817</v>
      </c>
    </row>
    <row r="50" customFormat="false" ht="23.85" hidden="false" customHeight="false" outlineLevel="0" collapsed="false">
      <c r="A50" s="4" t="s">
        <v>833</v>
      </c>
      <c r="B50" s="4" t="s">
        <v>666</v>
      </c>
      <c r="C50" s="4" t="s">
        <v>3</v>
      </c>
      <c r="D50" s="4" t="s">
        <v>78</v>
      </c>
      <c r="E50" s="4" t="s">
        <v>449</v>
      </c>
      <c r="F50" s="4" t="s">
        <v>450</v>
      </c>
      <c r="G50" s="4" t="s">
        <v>509</v>
      </c>
      <c r="H50" s="4" t="s">
        <v>510</v>
      </c>
      <c r="I50" s="4" t="s">
        <v>480</v>
      </c>
      <c r="J50" s="4" t="n">
        <v>1</v>
      </c>
      <c r="K50" s="4" t="s">
        <v>813</v>
      </c>
      <c r="L50" s="4" t="s">
        <v>814</v>
      </c>
      <c r="M50" s="4" t="s">
        <v>815</v>
      </c>
      <c r="N50" s="4" t="s">
        <v>700</v>
      </c>
      <c r="O50" s="4" t="s">
        <v>669</v>
      </c>
      <c r="P50" s="4"/>
      <c r="Q50" s="4" t="s">
        <v>670</v>
      </c>
      <c r="R50" s="4" t="s">
        <v>671</v>
      </c>
      <c r="S50" s="20" t="n">
        <v>15</v>
      </c>
      <c r="T50" s="4" t="s">
        <v>672</v>
      </c>
      <c r="U50" s="4" t="s">
        <v>673</v>
      </c>
      <c r="V50" s="4"/>
      <c r="W50" s="4" t="s">
        <v>834</v>
      </c>
      <c r="X50" s="4" t="s">
        <v>762</v>
      </c>
      <c r="Y50" s="4" t="n">
        <v>40</v>
      </c>
      <c r="Z50" s="4"/>
      <c r="AA50" s="4"/>
      <c r="AB50" s="4"/>
      <c r="AC50" s="4"/>
      <c r="AD50" s="4"/>
      <c r="AE50" s="4"/>
      <c r="AF50" s="21" t="n">
        <f aca="false">IF(T50="USD",1,IF(T50="pct","",INDEX(Parameters!$D$5:$D$7,MATCH(B50,Parameters!$A$5:$A$7,0))))</f>
        <v>22</v>
      </c>
      <c r="AG50" s="22" t="n">
        <f aca="false">IF(AND(R50="specific",ISNUMBER(S50)),S50/AF50,"")</f>
        <v>0.681818181818182</v>
      </c>
      <c r="AH50" s="4"/>
      <c r="AI50" s="22" t="str">
        <f aca="false">IF(NOT(ISNUMBER(AH50)),"",IF(R50="specific",IF(ISNUMBER(AG50),AG50*AH50,""),IF(AND(R50="ad_valorem",ISNUMBER(AJ50)),S50*AJ50/INDEX(Parameters!$D$5:$D$7,MATCH(B50,Parameters!$A$5:$A$7,0))*AH50,"")))</f>
        <v/>
      </c>
      <c r="AJ50" s="4"/>
      <c r="AK50" s="4"/>
      <c r="AL50" s="24" t="str">
        <f aca="false">IF(NOT(ISNUMBER(AJ50)),"",IF(R50="specific",S50/AJ50,IF(R50="ad_valorem",S50,"")))</f>
        <v/>
      </c>
      <c r="AM50" s="4" t="s">
        <v>79</v>
      </c>
      <c r="AN50" s="4" t="s">
        <v>398</v>
      </c>
      <c r="AO50" s="25" t="n">
        <f aca="false">IF(AM50="","",IFERROR(INDEX(DQ_Scale!$B$5:$B$14,MATCH(AM50,DQ_Scale!$A$5:$A$14,0)),""))</f>
        <v>5</v>
      </c>
      <c r="AP50" s="4" t="s">
        <v>817</v>
      </c>
    </row>
    <row r="51" customFormat="false" ht="23.85" hidden="false" customHeight="false" outlineLevel="0" collapsed="false">
      <c r="A51" s="4" t="s">
        <v>835</v>
      </c>
      <c r="B51" s="4" t="s">
        <v>666</v>
      </c>
      <c r="C51" s="4" t="s">
        <v>3</v>
      </c>
      <c r="D51" s="4" t="s">
        <v>78</v>
      </c>
      <c r="E51" s="4" t="s">
        <v>449</v>
      </c>
      <c r="F51" s="4" t="s">
        <v>450</v>
      </c>
      <c r="G51" s="4" t="s">
        <v>509</v>
      </c>
      <c r="H51" s="4" t="s">
        <v>510</v>
      </c>
      <c r="I51" s="4" t="s">
        <v>480</v>
      </c>
      <c r="J51" s="4" t="n">
        <v>1</v>
      </c>
      <c r="K51" s="4" t="s">
        <v>819</v>
      </c>
      <c r="L51" s="4" t="s">
        <v>814</v>
      </c>
      <c r="M51" s="4" t="s">
        <v>815</v>
      </c>
      <c r="N51" s="4" t="s">
        <v>700</v>
      </c>
      <c r="O51" s="4" t="s">
        <v>669</v>
      </c>
      <c r="P51" s="4"/>
      <c r="Q51" s="4" t="s">
        <v>670</v>
      </c>
      <c r="R51" s="4" t="s">
        <v>671</v>
      </c>
      <c r="S51" s="20" t="n">
        <v>22</v>
      </c>
      <c r="T51" s="4" t="s">
        <v>672</v>
      </c>
      <c r="U51" s="4" t="s">
        <v>673</v>
      </c>
      <c r="V51" s="4"/>
      <c r="W51" s="4" t="s">
        <v>836</v>
      </c>
      <c r="X51" s="4" t="s">
        <v>768</v>
      </c>
      <c r="Y51" s="4" t="n">
        <v>40</v>
      </c>
      <c r="Z51" s="4"/>
      <c r="AA51" s="4"/>
      <c r="AB51" s="4"/>
      <c r="AC51" s="4"/>
      <c r="AD51" s="4"/>
      <c r="AE51" s="4"/>
      <c r="AF51" s="21" t="n">
        <f aca="false">IF(T51="USD",1,IF(T51="pct","",INDEX(Parameters!$D$5:$D$7,MATCH(B51,Parameters!$A$5:$A$7,0))))</f>
        <v>22</v>
      </c>
      <c r="AG51" s="22" t="n">
        <f aca="false">IF(AND(R51="specific",ISNUMBER(S51)),S51/AF51,"")</f>
        <v>1</v>
      </c>
      <c r="AH51" s="4"/>
      <c r="AI51" s="22" t="str">
        <f aca="false">IF(NOT(ISNUMBER(AH51)),"",IF(R51="specific",IF(ISNUMBER(AG51),AG51*AH51,""),IF(AND(R51="ad_valorem",ISNUMBER(AJ51)),S51*AJ51/INDEX(Parameters!$D$5:$D$7,MATCH(B51,Parameters!$A$5:$A$7,0))*AH51,"")))</f>
        <v/>
      </c>
      <c r="AJ51" s="4"/>
      <c r="AK51" s="4"/>
      <c r="AL51" s="24" t="str">
        <f aca="false">IF(NOT(ISNUMBER(AJ51)),"",IF(R51="specific",S51/AJ51,IF(R51="ad_valorem",S51,"")))</f>
        <v/>
      </c>
      <c r="AM51" s="4" t="s">
        <v>79</v>
      </c>
      <c r="AN51" s="4" t="s">
        <v>398</v>
      </c>
      <c r="AO51" s="25" t="n">
        <f aca="false">IF(AM51="","",IFERROR(INDEX(DQ_Scale!$B$5:$B$14,MATCH(AM51,DQ_Scale!$A$5:$A$14,0)),""))</f>
        <v>5</v>
      </c>
      <c r="AP51" s="4" t="s">
        <v>817</v>
      </c>
    </row>
    <row r="52" customFormat="false" ht="23.85" hidden="false" customHeight="false" outlineLevel="0" collapsed="false">
      <c r="A52" s="4" t="s">
        <v>837</v>
      </c>
      <c r="B52" s="4" t="s">
        <v>666</v>
      </c>
      <c r="C52" s="4" t="s">
        <v>3</v>
      </c>
      <c r="D52" s="4" t="s">
        <v>78</v>
      </c>
      <c r="E52" s="4" t="s">
        <v>449</v>
      </c>
      <c r="F52" s="4" t="s">
        <v>450</v>
      </c>
      <c r="G52" s="4" t="s">
        <v>516</v>
      </c>
      <c r="H52" s="4" t="s">
        <v>517</v>
      </c>
      <c r="I52" s="4" t="s">
        <v>480</v>
      </c>
      <c r="J52" s="4" t="n">
        <v>1</v>
      </c>
      <c r="K52" s="4" t="s">
        <v>838</v>
      </c>
      <c r="L52" s="4" t="s">
        <v>839</v>
      </c>
      <c r="M52" s="4" t="s">
        <v>840</v>
      </c>
      <c r="N52" s="4" t="s">
        <v>806</v>
      </c>
      <c r="O52" s="32" t="s">
        <v>234</v>
      </c>
      <c r="P52" s="4"/>
      <c r="Q52" s="4" t="s">
        <v>670</v>
      </c>
      <c r="R52" s="4" t="s">
        <v>671</v>
      </c>
      <c r="S52" s="20" t="n">
        <v>2</v>
      </c>
      <c r="T52" s="4" t="s">
        <v>716</v>
      </c>
      <c r="U52" s="4" t="s">
        <v>673</v>
      </c>
      <c r="V52" s="4"/>
      <c r="W52" s="4" t="s">
        <v>811</v>
      </c>
      <c r="X52" s="4" t="s">
        <v>675</v>
      </c>
      <c r="Y52" s="4" t="n">
        <v>10</v>
      </c>
      <c r="Z52" s="4" t="n">
        <v>20</v>
      </c>
      <c r="AA52" s="4"/>
      <c r="AB52" s="4"/>
      <c r="AC52" s="4"/>
      <c r="AD52" s="4"/>
      <c r="AE52" s="4"/>
      <c r="AF52" s="21" t="n">
        <f aca="false">IF(T52="USD",1,IF(T52="pct","",INDEX(Parameters!$D$5:$D$7,MATCH(B52,Parameters!$A$5:$A$7,0))))</f>
        <v>1</v>
      </c>
      <c r="AG52" s="22" t="n">
        <f aca="false">IF(AND(R52="specific",ISNUMBER(S52)),S52/AF52,"")</f>
        <v>2</v>
      </c>
      <c r="AH52" s="4"/>
      <c r="AI52" s="22" t="str">
        <f aca="false">IF(NOT(ISNUMBER(AH52)),"",IF(R52="specific",IF(ISNUMBER(AG52),AG52*AH52,""),IF(AND(R52="ad_valorem",ISNUMBER(AJ52)),S52*AJ52/INDEX(Parameters!$D$5:$D$7,MATCH(B52,Parameters!$A$5:$A$7,0))*AH52,"")))</f>
        <v/>
      </c>
      <c r="AJ52" s="4"/>
      <c r="AK52" s="4"/>
      <c r="AL52" s="24" t="str">
        <f aca="false">IF(NOT(ISNUMBER(AJ52)),"",IF(R52="specific",S52/AJ52,IF(R52="ad_valorem",S52,"")))</f>
        <v/>
      </c>
      <c r="AM52" s="4" t="s">
        <v>234</v>
      </c>
      <c r="AN52" s="4" t="s">
        <v>235</v>
      </c>
      <c r="AO52" s="25" t="n">
        <f aca="false">IF(AM52="","",IFERROR(INDEX(DQ_Scale!$B$5:$B$14,MATCH(AM52,DQ_Scale!$A$5:$A$14,0)),""))</f>
        <v>1</v>
      </c>
      <c r="AP52" s="4" t="s">
        <v>841</v>
      </c>
    </row>
    <row r="53" customFormat="false" ht="23.85" hidden="false" customHeight="false" outlineLevel="0" collapsed="false">
      <c r="A53" s="4" t="s">
        <v>842</v>
      </c>
      <c r="B53" s="4" t="s">
        <v>666</v>
      </c>
      <c r="C53" s="4" t="s">
        <v>3</v>
      </c>
      <c r="D53" s="4" t="s">
        <v>78</v>
      </c>
      <c r="E53" s="4" t="s">
        <v>449</v>
      </c>
      <c r="F53" s="4" t="s">
        <v>450</v>
      </c>
      <c r="G53" s="4" t="s">
        <v>516</v>
      </c>
      <c r="H53" s="4" t="s">
        <v>517</v>
      </c>
      <c r="I53" s="4" t="s">
        <v>480</v>
      </c>
      <c r="J53" s="4" t="n">
        <v>1</v>
      </c>
      <c r="K53" s="4" t="s">
        <v>843</v>
      </c>
      <c r="L53" s="4" t="s">
        <v>839</v>
      </c>
      <c r="M53" s="4" t="s">
        <v>840</v>
      </c>
      <c r="N53" s="4" t="s">
        <v>806</v>
      </c>
      <c r="O53" s="32" t="s">
        <v>234</v>
      </c>
      <c r="P53" s="4"/>
      <c r="Q53" s="4" t="s">
        <v>670</v>
      </c>
      <c r="R53" s="4" t="s">
        <v>671</v>
      </c>
      <c r="S53" s="20" t="n">
        <v>3</v>
      </c>
      <c r="T53" s="4" t="s">
        <v>716</v>
      </c>
      <c r="U53" s="4" t="s">
        <v>673</v>
      </c>
      <c r="V53" s="4"/>
      <c r="W53" s="4" t="s">
        <v>844</v>
      </c>
      <c r="X53" s="4" t="s">
        <v>675</v>
      </c>
      <c r="Y53" s="4" t="n">
        <v>20</v>
      </c>
      <c r="Z53" s="4"/>
      <c r="AA53" s="4"/>
      <c r="AB53" s="4"/>
      <c r="AC53" s="4"/>
      <c r="AD53" s="4"/>
      <c r="AE53" s="4"/>
      <c r="AF53" s="21" t="n">
        <f aca="false">IF(T53="USD",1,IF(T53="pct","",INDEX(Parameters!$D$5:$D$7,MATCH(B53,Parameters!$A$5:$A$7,0))))</f>
        <v>1</v>
      </c>
      <c r="AG53" s="22" t="n">
        <f aca="false">IF(AND(R53="specific",ISNUMBER(S53)),S53/AF53,"")</f>
        <v>3</v>
      </c>
      <c r="AH53" s="23" t="n">
        <v>2.5</v>
      </c>
      <c r="AI53" s="22" t="n">
        <f aca="false">IF(NOT(ISNUMBER(AH53)),"",IF(R53="specific",IF(ISNUMBER(AG53),AG53*AH53,""),IF(AND(R53="ad_valorem",ISNUMBER(AJ53)),S53*AJ53/INDEX(Parameters!$D$5:$D$7,MATCH(B53,Parameters!$A$5:$A$7,0))*AH53,"")))</f>
        <v>7.5</v>
      </c>
      <c r="AJ53" s="4"/>
      <c r="AK53" s="4"/>
      <c r="AL53" s="24" t="str">
        <f aca="false">IF(NOT(ISNUMBER(AJ53)),"",IF(R53="specific",S53/AJ53,IF(R53="ad_valorem",S53,"")))</f>
        <v/>
      </c>
      <c r="AM53" s="4" t="s">
        <v>234</v>
      </c>
      <c r="AN53" s="4" t="s">
        <v>235</v>
      </c>
      <c r="AO53" s="25" t="n">
        <f aca="false">IF(AM53="","",IFERROR(INDEX(DQ_Scale!$B$5:$B$14,MATCH(AM53,DQ_Scale!$A$5:$A$14,0)),""))</f>
        <v>1</v>
      </c>
      <c r="AP53" s="4"/>
    </row>
    <row r="54" customFormat="false" ht="23.85" hidden="false" customHeight="false" outlineLevel="0" collapsed="false">
      <c r="A54" s="4" t="s">
        <v>845</v>
      </c>
      <c r="B54" s="4" t="s">
        <v>666</v>
      </c>
      <c r="C54" s="4" t="s">
        <v>3</v>
      </c>
      <c r="D54" s="4" t="s">
        <v>78</v>
      </c>
      <c r="E54" s="4" t="s">
        <v>449</v>
      </c>
      <c r="F54" s="4" t="s">
        <v>450</v>
      </c>
      <c r="G54" s="4" t="s">
        <v>516</v>
      </c>
      <c r="H54" s="4" t="s">
        <v>517</v>
      </c>
      <c r="I54" s="4" t="s">
        <v>480</v>
      </c>
      <c r="J54" s="4" t="n">
        <v>1</v>
      </c>
      <c r="K54" s="4" t="s">
        <v>846</v>
      </c>
      <c r="L54" s="4" t="s">
        <v>847</v>
      </c>
      <c r="M54" s="4" t="s">
        <v>848</v>
      </c>
      <c r="N54" s="4" t="s">
        <v>806</v>
      </c>
      <c r="O54" s="32" t="s">
        <v>234</v>
      </c>
      <c r="P54" s="4"/>
      <c r="Q54" s="4" t="s">
        <v>670</v>
      </c>
      <c r="R54" s="4" t="s">
        <v>671</v>
      </c>
      <c r="S54" s="20" t="n">
        <v>3</v>
      </c>
      <c r="T54" s="4" t="s">
        <v>716</v>
      </c>
      <c r="U54" s="4" t="s">
        <v>673</v>
      </c>
      <c r="V54" s="4"/>
      <c r="W54" s="4" t="s">
        <v>844</v>
      </c>
      <c r="X54" s="4" t="s">
        <v>675</v>
      </c>
      <c r="Y54" s="4" t="n">
        <v>95</v>
      </c>
      <c r="Z54" s="4"/>
      <c r="AA54" s="4"/>
      <c r="AB54" s="4"/>
      <c r="AC54" s="4"/>
      <c r="AD54" s="4"/>
      <c r="AE54" s="4"/>
      <c r="AF54" s="21" t="n">
        <f aca="false">IF(T54="USD",1,IF(T54="pct","",INDEX(Parameters!$D$5:$D$7,MATCH(B54,Parameters!$A$5:$A$7,0))))</f>
        <v>1</v>
      </c>
      <c r="AG54" s="22" t="n">
        <f aca="false">IF(AND(R54="specific",ISNUMBER(S54)),S54/AF54,"")</f>
        <v>3</v>
      </c>
      <c r="AH54" s="4"/>
      <c r="AI54" s="22" t="str">
        <f aca="false">IF(NOT(ISNUMBER(AH54)),"",IF(R54="specific",IF(ISNUMBER(AG54),AG54*AH54,""),IF(AND(R54="ad_valorem",ISNUMBER(AJ54)),S54*AJ54/INDEX(Parameters!$D$5:$D$7,MATCH(B54,Parameters!$A$5:$A$7,0))*AH54,"")))</f>
        <v/>
      </c>
      <c r="AJ54" s="4"/>
      <c r="AK54" s="4"/>
      <c r="AL54" s="24" t="str">
        <f aca="false">IF(NOT(ISNUMBER(AJ54)),"",IF(R54="specific",S54/AJ54,IF(R54="ad_valorem",S54,"")))</f>
        <v/>
      </c>
      <c r="AM54" s="4" t="s">
        <v>234</v>
      </c>
      <c r="AN54" s="4" t="s">
        <v>172</v>
      </c>
      <c r="AO54" s="25" t="n">
        <f aca="false">IF(AM54="","",IFERROR(INDEX(DQ_Scale!$B$5:$B$14,MATCH(AM54,DQ_Scale!$A$5:$A$14,0)),""))</f>
        <v>1</v>
      </c>
      <c r="AP54" s="4" t="s">
        <v>849</v>
      </c>
    </row>
    <row r="55" customFormat="false" ht="23.85" hidden="false" customHeight="false" outlineLevel="0" collapsed="false">
      <c r="A55" s="4" t="s">
        <v>850</v>
      </c>
      <c r="B55" s="4" t="s">
        <v>666</v>
      </c>
      <c r="C55" s="4" t="s">
        <v>3</v>
      </c>
      <c r="D55" s="4" t="s">
        <v>78</v>
      </c>
      <c r="E55" s="4" t="s">
        <v>449</v>
      </c>
      <c r="F55" s="4" t="s">
        <v>450</v>
      </c>
      <c r="G55" s="4" t="s">
        <v>525</v>
      </c>
      <c r="H55" s="4" t="s">
        <v>526</v>
      </c>
      <c r="I55" s="4" t="s">
        <v>369</v>
      </c>
      <c r="J55" s="4" t="n">
        <v>1</v>
      </c>
      <c r="K55" s="4" t="s">
        <v>851</v>
      </c>
      <c r="L55" s="4" t="s">
        <v>852</v>
      </c>
      <c r="M55" s="4" t="s">
        <v>853</v>
      </c>
      <c r="N55" s="4" t="s">
        <v>806</v>
      </c>
      <c r="O55" s="32" t="s">
        <v>234</v>
      </c>
      <c r="P55" s="4"/>
      <c r="Q55" s="4" t="s">
        <v>670</v>
      </c>
      <c r="R55" s="4" t="s">
        <v>671</v>
      </c>
      <c r="S55" s="20" t="n">
        <v>0.1</v>
      </c>
      <c r="T55" s="4" t="s">
        <v>716</v>
      </c>
      <c r="U55" s="4" t="s">
        <v>673</v>
      </c>
      <c r="V55" s="4"/>
      <c r="W55" s="4" t="s">
        <v>854</v>
      </c>
      <c r="X55" s="4" t="s">
        <v>675</v>
      </c>
      <c r="Y55" s="4"/>
      <c r="Z55" s="4"/>
      <c r="AA55" s="4"/>
      <c r="AB55" s="4" t="n">
        <v>15</v>
      </c>
      <c r="AC55" s="4"/>
      <c r="AD55" s="4"/>
      <c r="AE55" s="4"/>
      <c r="AF55" s="21" t="n">
        <f aca="false">IF(T55="USD",1,IF(T55="pct","",INDEX(Parameters!$D$5:$D$7,MATCH(B55,Parameters!$A$5:$A$7,0))))</f>
        <v>1</v>
      </c>
      <c r="AG55" s="22" t="n">
        <f aca="false">IF(AND(R55="specific",ISNUMBER(S55)),S55/AF55,"")</f>
        <v>0.1</v>
      </c>
      <c r="AH55" s="23" t="n">
        <v>1</v>
      </c>
      <c r="AI55" s="22" t="n">
        <f aca="false">IF(NOT(ISNUMBER(AH55)),"",IF(R55="specific",IF(ISNUMBER(AG55),AG55*AH55,""),IF(AND(R55="ad_valorem",ISNUMBER(AJ55)),S55*AJ55/INDEX(Parameters!$D$5:$D$7,MATCH(B55,Parameters!$A$5:$A$7,0))*AH55,"")))</f>
        <v>0.1</v>
      </c>
      <c r="AJ55" s="4"/>
      <c r="AK55" s="4"/>
      <c r="AL55" s="24" t="str">
        <f aca="false">IF(NOT(ISNUMBER(AJ55)),"",IF(R55="specific",S55/AJ55,IF(R55="ad_valorem",S55,"")))</f>
        <v/>
      </c>
      <c r="AM55" s="4" t="s">
        <v>234</v>
      </c>
      <c r="AN55" s="4" t="s">
        <v>855</v>
      </c>
      <c r="AO55" s="25" t="n">
        <f aca="false">IF(AM55="","",IFERROR(INDEX(DQ_Scale!$B$5:$B$14,MATCH(AM55,DQ_Scale!$A$5:$A$14,0)),""))</f>
        <v>1</v>
      </c>
      <c r="AP55" s="4" t="s">
        <v>856</v>
      </c>
    </row>
    <row r="56" customFormat="false" ht="23.85" hidden="false" customHeight="false" outlineLevel="0" collapsed="false">
      <c r="A56" s="4" t="s">
        <v>857</v>
      </c>
      <c r="B56" s="4" t="s">
        <v>666</v>
      </c>
      <c r="C56" s="4" t="s">
        <v>3</v>
      </c>
      <c r="D56" s="4" t="s">
        <v>78</v>
      </c>
      <c r="E56" s="4" t="s">
        <v>449</v>
      </c>
      <c r="F56" s="4" t="s">
        <v>450</v>
      </c>
      <c r="G56" s="4" t="s">
        <v>525</v>
      </c>
      <c r="H56" s="4" t="s">
        <v>526</v>
      </c>
      <c r="I56" s="4" t="s">
        <v>369</v>
      </c>
      <c r="J56" s="4" t="n">
        <v>1</v>
      </c>
      <c r="K56" s="4" t="s">
        <v>851</v>
      </c>
      <c r="L56" s="4" t="s">
        <v>852</v>
      </c>
      <c r="M56" s="4" t="s">
        <v>853</v>
      </c>
      <c r="N56" s="4" t="s">
        <v>806</v>
      </c>
      <c r="O56" s="32" t="s">
        <v>234</v>
      </c>
      <c r="P56" s="4"/>
      <c r="Q56" s="4" t="s">
        <v>670</v>
      </c>
      <c r="R56" s="4" t="s">
        <v>671</v>
      </c>
      <c r="S56" s="20" t="n">
        <v>0.3</v>
      </c>
      <c r="T56" s="4" t="s">
        <v>716</v>
      </c>
      <c r="U56" s="4" t="s">
        <v>673</v>
      </c>
      <c r="V56" s="4"/>
      <c r="W56" s="4" t="s">
        <v>858</v>
      </c>
      <c r="X56" s="4" t="s">
        <v>675</v>
      </c>
      <c r="Y56" s="4"/>
      <c r="Z56" s="4"/>
      <c r="AA56" s="4" t="n">
        <v>15</v>
      </c>
      <c r="AB56" s="4" t="n">
        <v>25</v>
      </c>
      <c r="AC56" s="4"/>
      <c r="AD56" s="4"/>
      <c r="AE56" s="4"/>
      <c r="AF56" s="21" t="n">
        <f aca="false">IF(T56="USD",1,IF(T56="pct","",INDEX(Parameters!$D$5:$D$7,MATCH(B56,Parameters!$A$5:$A$7,0))))</f>
        <v>1</v>
      </c>
      <c r="AG56" s="22" t="n">
        <f aca="false">IF(AND(R56="specific",ISNUMBER(S56)),S56/AF56,"")</f>
        <v>0.3</v>
      </c>
      <c r="AH56" s="23" t="n">
        <v>1</v>
      </c>
      <c r="AI56" s="22" t="n">
        <f aca="false">IF(NOT(ISNUMBER(AH56)),"",IF(R56="specific",IF(ISNUMBER(AG56),AG56*AH56,""),IF(AND(R56="ad_valorem",ISNUMBER(AJ56)),S56*AJ56/INDEX(Parameters!$D$5:$D$7,MATCH(B56,Parameters!$A$5:$A$7,0))*AH56,"")))</f>
        <v>0.3</v>
      </c>
      <c r="AJ56" s="4"/>
      <c r="AK56" s="4"/>
      <c r="AL56" s="24" t="str">
        <f aca="false">IF(NOT(ISNUMBER(AJ56)),"",IF(R56="specific",S56/AJ56,IF(R56="ad_valorem",S56,"")))</f>
        <v/>
      </c>
      <c r="AM56" s="4" t="s">
        <v>234</v>
      </c>
      <c r="AN56" s="4" t="s">
        <v>855</v>
      </c>
      <c r="AO56" s="25" t="n">
        <f aca="false">IF(AM56="","",IFERROR(INDEX(DQ_Scale!$B$5:$B$14,MATCH(AM56,DQ_Scale!$A$5:$A$14,0)),""))</f>
        <v>1</v>
      </c>
      <c r="AP56" s="4" t="s">
        <v>856</v>
      </c>
    </row>
    <row r="57" customFormat="false" ht="23.85" hidden="false" customHeight="false" outlineLevel="0" collapsed="false">
      <c r="A57" s="4" t="s">
        <v>859</v>
      </c>
      <c r="B57" s="4" t="s">
        <v>666</v>
      </c>
      <c r="C57" s="4" t="s">
        <v>3</v>
      </c>
      <c r="D57" s="4" t="s">
        <v>78</v>
      </c>
      <c r="E57" s="4" t="s">
        <v>449</v>
      </c>
      <c r="F57" s="4" t="s">
        <v>450</v>
      </c>
      <c r="G57" s="4" t="s">
        <v>525</v>
      </c>
      <c r="H57" s="4" t="s">
        <v>526</v>
      </c>
      <c r="I57" s="4" t="s">
        <v>369</v>
      </c>
      <c r="J57" s="4" t="n">
        <v>1</v>
      </c>
      <c r="K57" s="4" t="s">
        <v>851</v>
      </c>
      <c r="L57" s="4" t="s">
        <v>852</v>
      </c>
      <c r="M57" s="4" t="s">
        <v>853</v>
      </c>
      <c r="N57" s="4" t="s">
        <v>806</v>
      </c>
      <c r="O57" s="32" t="s">
        <v>234</v>
      </c>
      <c r="P57" s="4"/>
      <c r="Q57" s="4" t="s">
        <v>670</v>
      </c>
      <c r="R57" s="4" t="s">
        <v>671</v>
      </c>
      <c r="S57" s="20" t="n">
        <v>0.5</v>
      </c>
      <c r="T57" s="4" t="s">
        <v>716</v>
      </c>
      <c r="U57" s="4" t="s">
        <v>673</v>
      </c>
      <c r="V57" s="4"/>
      <c r="W57" s="4" t="s">
        <v>860</v>
      </c>
      <c r="X57" s="4" t="s">
        <v>675</v>
      </c>
      <c r="Y57" s="4"/>
      <c r="Z57" s="4"/>
      <c r="AA57" s="4" t="n">
        <v>25</v>
      </c>
      <c r="AB57" s="4"/>
      <c r="AC57" s="4"/>
      <c r="AD57" s="4"/>
      <c r="AE57" s="4"/>
      <c r="AF57" s="21" t="n">
        <f aca="false">IF(T57="USD",1,IF(T57="pct","",INDEX(Parameters!$D$5:$D$7,MATCH(B57,Parameters!$A$5:$A$7,0))))</f>
        <v>1</v>
      </c>
      <c r="AG57" s="22" t="n">
        <f aca="false">IF(AND(R57="specific",ISNUMBER(S57)),S57/AF57,"")</f>
        <v>0.5</v>
      </c>
      <c r="AH57" s="23" t="n">
        <v>1</v>
      </c>
      <c r="AI57" s="22" t="n">
        <f aca="false">IF(NOT(ISNUMBER(AH57)),"",IF(R57="specific",IF(ISNUMBER(AG57),AG57*AH57,""),IF(AND(R57="ad_valorem",ISNUMBER(AJ57)),S57*AJ57/INDEX(Parameters!$D$5:$D$7,MATCH(B57,Parameters!$A$5:$A$7,0))*AH57,"")))</f>
        <v>0.5</v>
      </c>
      <c r="AJ57" s="4"/>
      <c r="AK57" s="4"/>
      <c r="AL57" s="24" t="str">
        <f aca="false">IF(NOT(ISNUMBER(AJ57)),"",IF(R57="specific",S57/AJ57,IF(R57="ad_valorem",S57,"")))</f>
        <v/>
      </c>
      <c r="AM57" s="4" t="s">
        <v>234</v>
      </c>
      <c r="AN57" s="4" t="s">
        <v>855</v>
      </c>
      <c r="AO57" s="25" t="n">
        <f aca="false">IF(AM57="","",IFERROR(INDEX(DQ_Scale!$B$5:$B$14,MATCH(AM57,DQ_Scale!$A$5:$A$14,0)),""))</f>
        <v>1</v>
      </c>
      <c r="AP57" s="4" t="s">
        <v>856</v>
      </c>
    </row>
    <row r="58" customFormat="false" ht="23.85" hidden="false" customHeight="false" outlineLevel="0" collapsed="false">
      <c r="A58" s="4" t="s">
        <v>861</v>
      </c>
      <c r="B58" s="4" t="s">
        <v>666</v>
      </c>
      <c r="C58" s="4" t="s">
        <v>3</v>
      </c>
      <c r="D58" s="4" t="s">
        <v>78</v>
      </c>
      <c r="E58" s="4" t="s">
        <v>449</v>
      </c>
      <c r="F58" s="4" t="s">
        <v>450</v>
      </c>
      <c r="G58" s="4" t="s">
        <v>535</v>
      </c>
      <c r="H58" s="4" t="s">
        <v>536</v>
      </c>
      <c r="I58" s="4" t="s">
        <v>369</v>
      </c>
      <c r="J58" s="4" t="n">
        <v>1</v>
      </c>
      <c r="K58" s="4" t="s">
        <v>536</v>
      </c>
      <c r="L58" s="4" t="s">
        <v>852</v>
      </c>
      <c r="M58" s="4" t="s">
        <v>853</v>
      </c>
      <c r="N58" s="4" t="s">
        <v>806</v>
      </c>
      <c r="O58" s="32" t="s">
        <v>234</v>
      </c>
      <c r="P58" s="4"/>
      <c r="Q58" s="4" t="s">
        <v>670</v>
      </c>
      <c r="R58" s="4" t="s">
        <v>671</v>
      </c>
      <c r="S58" s="20" t="n">
        <v>0</v>
      </c>
      <c r="T58" s="4" t="s">
        <v>716</v>
      </c>
      <c r="U58" s="4" t="s">
        <v>673</v>
      </c>
      <c r="V58" s="4"/>
      <c r="W58" s="4" t="s">
        <v>862</v>
      </c>
      <c r="X58" s="4" t="s">
        <v>675</v>
      </c>
      <c r="Y58" s="4"/>
      <c r="Z58" s="4"/>
      <c r="AA58" s="4"/>
      <c r="AB58" s="4" t="n">
        <v>5</v>
      </c>
      <c r="AC58" s="4"/>
      <c r="AD58" s="4"/>
      <c r="AE58" s="4"/>
      <c r="AF58" s="21" t="n">
        <f aca="false">IF(T58="USD",1,IF(T58="pct","",INDEX(Parameters!$D$5:$D$7,MATCH(B58,Parameters!$A$5:$A$7,0))))</f>
        <v>1</v>
      </c>
      <c r="AG58" s="22" t="n">
        <f aca="false">IF(AND(R58="specific",ISNUMBER(S58)),S58/AF58,"")</f>
        <v>0</v>
      </c>
      <c r="AH58" s="23" t="n">
        <v>1</v>
      </c>
      <c r="AI58" s="22" t="n">
        <f aca="false">IF(NOT(ISNUMBER(AH58)),"",IF(R58="specific",IF(ISNUMBER(AG58),AG58*AH58,""),IF(AND(R58="ad_valorem",ISNUMBER(AJ58)),S58*AJ58/INDEX(Parameters!$D$5:$D$7,MATCH(B58,Parameters!$A$5:$A$7,0))*AH58,"")))</f>
        <v>0</v>
      </c>
      <c r="AJ58" s="4"/>
      <c r="AK58" s="4"/>
      <c r="AL58" s="24" t="str">
        <f aca="false">IF(NOT(ISNUMBER(AJ58)),"",IF(R58="specific",S58/AJ58,IF(R58="ad_valorem",S58,"")))</f>
        <v/>
      </c>
      <c r="AM58" s="4" t="s">
        <v>234</v>
      </c>
      <c r="AN58" s="4" t="s">
        <v>539</v>
      </c>
      <c r="AO58" s="25" t="n">
        <f aca="false">IF(AM58="","",IFERROR(INDEX(DQ_Scale!$B$5:$B$14,MATCH(AM58,DQ_Scale!$A$5:$A$14,0)),""))</f>
        <v>1</v>
      </c>
      <c r="AP58" s="4" t="s">
        <v>863</v>
      </c>
    </row>
    <row r="59" customFormat="false" ht="23.85" hidden="false" customHeight="false" outlineLevel="0" collapsed="false">
      <c r="A59" s="4" t="s">
        <v>864</v>
      </c>
      <c r="B59" s="4" t="s">
        <v>666</v>
      </c>
      <c r="C59" s="4" t="s">
        <v>3</v>
      </c>
      <c r="D59" s="4" t="s">
        <v>78</v>
      </c>
      <c r="E59" s="4" t="s">
        <v>449</v>
      </c>
      <c r="F59" s="4" t="s">
        <v>450</v>
      </c>
      <c r="G59" s="4" t="s">
        <v>535</v>
      </c>
      <c r="H59" s="4" t="s">
        <v>536</v>
      </c>
      <c r="I59" s="4" t="s">
        <v>369</v>
      </c>
      <c r="J59" s="4" t="n">
        <v>1</v>
      </c>
      <c r="K59" s="4" t="s">
        <v>536</v>
      </c>
      <c r="L59" s="4" t="s">
        <v>852</v>
      </c>
      <c r="M59" s="4" t="s">
        <v>853</v>
      </c>
      <c r="N59" s="4" t="s">
        <v>806</v>
      </c>
      <c r="O59" s="32" t="s">
        <v>234</v>
      </c>
      <c r="P59" s="4"/>
      <c r="Q59" s="4" t="s">
        <v>670</v>
      </c>
      <c r="R59" s="4" t="s">
        <v>671</v>
      </c>
      <c r="S59" s="20" t="n">
        <v>0.1</v>
      </c>
      <c r="T59" s="4" t="s">
        <v>716</v>
      </c>
      <c r="U59" s="4" t="s">
        <v>673</v>
      </c>
      <c r="V59" s="4"/>
      <c r="W59" s="4" t="s">
        <v>854</v>
      </c>
      <c r="X59" s="4" t="s">
        <v>675</v>
      </c>
      <c r="Y59" s="4"/>
      <c r="Z59" s="4"/>
      <c r="AA59" s="4" t="n">
        <v>5</v>
      </c>
      <c r="AB59" s="4" t="n">
        <v>15</v>
      </c>
      <c r="AC59" s="4"/>
      <c r="AD59" s="4"/>
      <c r="AE59" s="4"/>
      <c r="AF59" s="21" t="n">
        <f aca="false">IF(T59="USD",1,IF(T59="pct","",INDEX(Parameters!$D$5:$D$7,MATCH(B59,Parameters!$A$5:$A$7,0))))</f>
        <v>1</v>
      </c>
      <c r="AG59" s="22" t="n">
        <f aca="false">IF(AND(R59="specific",ISNUMBER(S59)),S59/AF59,"")</f>
        <v>0.1</v>
      </c>
      <c r="AH59" s="23" t="n">
        <v>1</v>
      </c>
      <c r="AI59" s="22" t="n">
        <f aca="false">IF(NOT(ISNUMBER(AH59)),"",IF(R59="specific",IF(ISNUMBER(AG59),AG59*AH59,""),IF(AND(R59="ad_valorem",ISNUMBER(AJ59)),S59*AJ59/INDEX(Parameters!$D$5:$D$7,MATCH(B59,Parameters!$A$5:$A$7,0))*AH59,"")))</f>
        <v>0.1</v>
      </c>
      <c r="AJ59" s="4"/>
      <c r="AK59" s="4"/>
      <c r="AL59" s="24" t="str">
        <f aca="false">IF(NOT(ISNUMBER(AJ59)),"",IF(R59="specific",S59/AJ59,IF(R59="ad_valorem",S59,"")))</f>
        <v/>
      </c>
      <c r="AM59" s="4" t="s">
        <v>234</v>
      </c>
      <c r="AN59" s="4" t="s">
        <v>539</v>
      </c>
      <c r="AO59" s="25" t="n">
        <f aca="false">IF(AM59="","",IFERROR(INDEX(DQ_Scale!$B$5:$B$14,MATCH(AM59,DQ_Scale!$A$5:$A$14,0)),""))</f>
        <v>1</v>
      </c>
      <c r="AP59" s="4" t="s">
        <v>863</v>
      </c>
    </row>
    <row r="60" customFormat="false" ht="23.85" hidden="false" customHeight="false" outlineLevel="0" collapsed="false">
      <c r="A60" s="4" t="s">
        <v>865</v>
      </c>
      <c r="B60" s="4" t="s">
        <v>666</v>
      </c>
      <c r="C60" s="4" t="s">
        <v>3</v>
      </c>
      <c r="D60" s="4" t="s">
        <v>78</v>
      </c>
      <c r="E60" s="4" t="s">
        <v>449</v>
      </c>
      <c r="F60" s="4" t="s">
        <v>450</v>
      </c>
      <c r="G60" s="4" t="s">
        <v>535</v>
      </c>
      <c r="H60" s="4" t="s">
        <v>536</v>
      </c>
      <c r="I60" s="4" t="s">
        <v>369</v>
      </c>
      <c r="J60" s="4" t="n">
        <v>1</v>
      </c>
      <c r="K60" s="4" t="s">
        <v>536</v>
      </c>
      <c r="L60" s="4" t="s">
        <v>852</v>
      </c>
      <c r="M60" s="4" t="s">
        <v>853</v>
      </c>
      <c r="N60" s="4" t="s">
        <v>806</v>
      </c>
      <c r="O60" s="32" t="s">
        <v>234</v>
      </c>
      <c r="P60" s="4"/>
      <c r="Q60" s="4" t="s">
        <v>670</v>
      </c>
      <c r="R60" s="4" t="s">
        <v>671</v>
      </c>
      <c r="S60" s="20" t="n">
        <v>0.3</v>
      </c>
      <c r="T60" s="4" t="s">
        <v>716</v>
      </c>
      <c r="U60" s="4" t="s">
        <v>673</v>
      </c>
      <c r="V60" s="4"/>
      <c r="W60" s="4" t="s">
        <v>858</v>
      </c>
      <c r="X60" s="4" t="s">
        <v>675</v>
      </c>
      <c r="Y60" s="4"/>
      <c r="Z60" s="4"/>
      <c r="AA60" s="4" t="n">
        <v>15</v>
      </c>
      <c r="AB60" s="4" t="n">
        <v>25</v>
      </c>
      <c r="AC60" s="4"/>
      <c r="AD60" s="4"/>
      <c r="AE60" s="4"/>
      <c r="AF60" s="21" t="n">
        <f aca="false">IF(T60="USD",1,IF(T60="pct","",INDEX(Parameters!$D$5:$D$7,MATCH(B60,Parameters!$A$5:$A$7,0))))</f>
        <v>1</v>
      </c>
      <c r="AG60" s="22" t="n">
        <f aca="false">IF(AND(R60="specific",ISNUMBER(S60)),S60/AF60,"")</f>
        <v>0.3</v>
      </c>
      <c r="AH60" s="23" t="n">
        <v>1</v>
      </c>
      <c r="AI60" s="22" t="n">
        <f aca="false">IF(NOT(ISNUMBER(AH60)),"",IF(R60="specific",IF(ISNUMBER(AG60),AG60*AH60,""),IF(AND(R60="ad_valorem",ISNUMBER(AJ60)),S60*AJ60/INDEX(Parameters!$D$5:$D$7,MATCH(B60,Parameters!$A$5:$A$7,0))*AH60,"")))</f>
        <v>0.3</v>
      </c>
      <c r="AJ60" s="4"/>
      <c r="AK60" s="4"/>
      <c r="AL60" s="24" t="str">
        <f aca="false">IF(NOT(ISNUMBER(AJ60)),"",IF(R60="specific",S60/AJ60,IF(R60="ad_valorem",S60,"")))</f>
        <v/>
      </c>
      <c r="AM60" s="4" t="s">
        <v>234</v>
      </c>
      <c r="AN60" s="4" t="s">
        <v>539</v>
      </c>
      <c r="AO60" s="25" t="n">
        <f aca="false">IF(AM60="","",IFERROR(INDEX(DQ_Scale!$B$5:$B$14,MATCH(AM60,DQ_Scale!$A$5:$A$14,0)),""))</f>
        <v>1</v>
      </c>
      <c r="AP60" s="4" t="s">
        <v>863</v>
      </c>
    </row>
    <row r="61" customFormat="false" ht="23.85" hidden="false" customHeight="false" outlineLevel="0" collapsed="false">
      <c r="A61" s="4" t="s">
        <v>866</v>
      </c>
      <c r="B61" s="4" t="s">
        <v>666</v>
      </c>
      <c r="C61" s="4" t="s">
        <v>3</v>
      </c>
      <c r="D61" s="4" t="s">
        <v>78</v>
      </c>
      <c r="E61" s="4" t="s">
        <v>449</v>
      </c>
      <c r="F61" s="4" t="s">
        <v>450</v>
      </c>
      <c r="G61" s="4" t="s">
        <v>535</v>
      </c>
      <c r="H61" s="4" t="s">
        <v>536</v>
      </c>
      <c r="I61" s="4" t="s">
        <v>369</v>
      </c>
      <c r="J61" s="4" t="n">
        <v>1</v>
      </c>
      <c r="K61" s="4" t="s">
        <v>536</v>
      </c>
      <c r="L61" s="4" t="s">
        <v>852</v>
      </c>
      <c r="M61" s="4" t="s">
        <v>853</v>
      </c>
      <c r="N61" s="4" t="s">
        <v>806</v>
      </c>
      <c r="O61" s="32" t="s">
        <v>234</v>
      </c>
      <c r="P61" s="4"/>
      <c r="Q61" s="4" t="s">
        <v>670</v>
      </c>
      <c r="R61" s="4" t="s">
        <v>671</v>
      </c>
      <c r="S61" s="20" t="n">
        <v>0.5</v>
      </c>
      <c r="T61" s="4" t="s">
        <v>716</v>
      </c>
      <c r="U61" s="4" t="s">
        <v>673</v>
      </c>
      <c r="V61" s="4"/>
      <c r="W61" s="4" t="s">
        <v>860</v>
      </c>
      <c r="X61" s="4" t="s">
        <v>675</v>
      </c>
      <c r="Y61" s="4"/>
      <c r="Z61" s="4"/>
      <c r="AA61" s="4" t="n">
        <v>25</v>
      </c>
      <c r="AB61" s="4"/>
      <c r="AC61" s="4"/>
      <c r="AD61" s="4"/>
      <c r="AE61" s="4"/>
      <c r="AF61" s="21" t="n">
        <f aca="false">IF(T61="USD",1,IF(T61="pct","",INDEX(Parameters!$D$5:$D$7,MATCH(B61,Parameters!$A$5:$A$7,0))))</f>
        <v>1</v>
      </c>
      <c r="AG61" s="22" t="n">
        <f aca="false">IF(AND(R61="specific",ISNUMBER(S61)),S61/AF61,"")</f>
        <v>0.5</v>
      </c>
      <c r="AH61" s="23" t="n">
        <v>1</v>
      </c>
      <c r="AI61" s="22" t="n">
        <f aca="false">IF(NOT(ISNUMBER(AH61)),"",IF(R61="specific",IF(ISNUMBER(AG61),AG61*AH61,""),IF(AND(R61="ad_valorem",ISNUMBER(AJ61)),S61*AJ61/INDEX(Parameters!$D$5:$D$7,MATCH(B61,Parameters!$A$5:$A$7,0))*AH61,"")))</f>
        <v>0.5</v>
      </c>
      <c r="AJ61" s="4"/>
      <c r="AK61" s="4"/>
      <c r="AL61" s="24" t="str">
        <f aca="false">IF(NOT(ISNUMBER(AJ61)),"",IF(R61="specific",S61/AJ61,IF(R61="ad_valorem",S61,"")))</f>
        <v/>
      </c>
      <c r="AM61" s="4" t="s">
        <v>234</v>
      </c>
      <c r="AN61" s="4" t="s">
        <v>539</v>
      </c>
      <c r="AO61" s="25" t="n">
        <f aca="false">IF(AM61="","",IFERROR(INDEX(DQ_Scale!$B$5:$B$14,MATCH(AM61,DQ_Scale!$A$5:$A$14,0)),""))</f>
        <v>1</v>
      </c>
      <c r="AP61" s="4" t="s">
        <v>863</v>
      </c>
    </row>
    <row r="62" customFormat="false" ht="23.85" hidden="false" customHeight="false" outlineLevel="0" collapsed="false">
      <c r="A62" s="4" t="s">
        <v>867</v>
      </c>
      <c r="B62" s="4" t="s">
        <v>666</v>
      </c>
      <c r="C62" s="4" t="s">
        <v>3</v>
      </c>
      <c r="D62" s="4" t="s">
        <v>78</v>
      </c>
      <c r="E62" s="4" t="s">
        <v>449</v>
      </c>
      <c r="F62" s="4" t="s">
        <v>450</v>
      </c>
      <c r="G62" s="4" t="s">
        <v>541</v>
      </c>
      <c r="H62" s="4" t="s">
        <v>542</v>
      </c>
      <c r="I62" s="4" t="s">
        <v>369</v>
      </c>
      <c r="J62" s="4" t="n">
        <v>1</v>
      </c>
      <c r="K62" s="4" t="s">
        <v>868</v>
      </c>
      <c r="L62" s="4" t="s">
        <v>852</v>
      </c>
      <c r="M62" s="4" t="s">
        <v>853</v>
      </c>
      <c r="N62" s="4" t="s">
        <v>806</v>
      </c>
      <c r="O62" s="32" t="s">
        <v>234</v>
      </c>
      <c r="P62" s="4"/>
      <c r="Q62" s="4" t="s">
        <v>670</v>
      </c>
      <c r="R62" s="4" t="s">
        <v>671</v>
      </c>
      <c r="S62" s="20" t="n">
        <v>0.1</v>
      </c>
      <c r="T62" s="4" t="s">
        <v>716</v>
      </c>
      <c r="U62" s="4" t="s">
        <v>673</v>
      </c>
      <c r="V62" s="4"/>
      <c r="W62" s="4" t="s">
        <v>854</v>
      </c>
      <c r="X62" s="4" t="s">
        <v>675</v>
      </c>
      <c r="Y62" s="4"/>
      <c r="Z62" s="4"/>
      <c r="AA62" s="4"/>
      <c r="AB62" s="4" t="n">
        <v>15</v>
      </c>
      <c r="AC62" s="4"/>
      <c r="AD62" s="4"/>
      <c r="AE62" s="4"/>
      <c r="AF62" s="21" t="n">
        <f aca="false">IF(T62="USD",1,IF(T62="pct","",INDEX(Parameters!$D$5:$D$7,MATCH(B62,Parameters!$A$5:$A$7,0))))</f>
        <v>1</v>
      </c>
      <c r="AG62" s="22" t="n">
        <f aca="false">IF(AND(R62="specific",ISNUMBER(S62)),S62/AF62,"")</f>
        <v>0.1</v>
      </c>
      <c r="AH62" s="23" t="n">
        <v>1</v>
      </c>
      <c r="AI62" s="22" t="n">
        <f aca="false">IF(NOT(ISNUMBER(AH62)),"",IF(R62="specific",IF(ISNUMBER(AG62),AG62*AH62,""),IF(AND(R62="ad_valorem",ISNUMBER(AJ62)),S62*AJ62/INDEX(Parameters!$D$5:$D$7,MATCH(B62,Parameters!$A$5:$A$7,0))*AH62,"")))</f>
        <v>0.1</v>
      </c>
      <c r="AJ62" s="4"/>
      <c r="AK62" s="4"/>
      <c r="AL62" s="24" t="str">
        <f aca="false">IF(NOT(ISNUMBER(AJ62)),"",IF(R62="specific",S62/AJ62,IF(R62="ad_valorem",S62,"")))</f>
        <v/>
      </c>
      <c r="AM62" s="4" t="s">
        <v>234</v>
      </c>
      <c r="AN62" s="4" t="s">
        <v>855</v>
      </c>
      <c r="AO62" s="25" t="n">
        <f aca="false">IF(AM62="","",IFERROR(INDEX(DQ_Scale!$B$5:$B$14,MATCH(AM62,DQ_Scale!$A$5:$A$14,0)),""))</f>
        <v>1</v>
      </c>
      <c r="AP62" s="4" t="s">
        <v>856</v>
      </c>
    </row>
    <row r="63" customFormat="false" ht="23.85" hidden="false" customHeight="false" outlineLevel="0" collapsed="false">
      <c r="A63" s="4" t="s">
        <v>869</v>
      </c>
      <c r="B63" s="4" t="s">
        <v>666</v>
      </c>
      <c r="C63" s="4" t="s">
        <v>3</v>
      </c>
      <c r="D63" s="4" t="s">
        <v>78</v>
      </c>
      <c r="E63" s="4" t="s">
        <v>449</v>
      </c>
      <c r="F63" s="4" t="s">
        <v>450</v>
      </c>
      <c r="G63" s="4" t="s">
        <v>541</v>
      </c>
      <c r="H63" s="4" t="s">
        <v>542</v>
      </c>
      <c r="I63" s="4" t="s">
        <v>369</v>
      </c>
      <c r="J63" s="4" t="n">
        <v>1</v>
      </c>
      <c r="K63" s="4" t="s">
        <v>868</v>
      </c>
      <c r="L63" s="4" t="s">
        <v>852</v>
      </c>
      <c r="M63" s="4" t="s">
        <v>853</v>
      </c>
      <c r="N63" s="4" t="s">
        <v>806</v>
      </c>
      <c r="O63" s="32" t="s">
        <v>234</v>
      </c>
      <c r="P63" s="4"/>
      <c r="Q63" s="4" t="s">
        <v>670</v>
      </c>
      <c r="R63" s="4" t="s">
        <v>671</v>
      </c>
      <c r="S63" s="20" t="n">
        <v>0.3</v>
      </c>
      <c r="T63" s="4" t="s">
        <v>716</v>
      </c>
      <c r="U63" s="4" t="s">
        <v>673</v>
      </c>
      <c r="V63" s="4"/>
      <c r="W63" s="4" t="s">
        <v>858</v>
      </c>
      <c r="X63" s="4" t="s">
        <v>675</v>
      </c>
      <c r="Y63" s="4"/>
      <c r="Z63" s="4"/>
      <c r="AA63" s="4" t="n">
        <v>15</v>
      </c>
      <c r="AB63" s="4" t="n">
        <v>25</v>
      </c>
      <c r="AC63" s="4"/>
      <c r="AD63" s="4"/>
      <c r="AE63" s="4"/>
      <c r="AF63" s="21" t="n">
        <f aca="false">IF(T63="USD",1,IF(T63="pct","",INDEX(Parameters!$D$5:$D$7,MATCH(B63,Parameters!$A$5:$A$7,0))))</f>
        <v>1</v>
      </c>
      <c r="AG63" s="22" t="n">
        <f aca="false">IF(AND(R63="specific",ISNUMBER(S63)),S63/AF63,"")</f>
        <v>0.3</v>
      </c>
      <c r="AH63" s="23" t="n">
        <v>1</v>
      </c>
      <c r="AI63" s="22" t="n">
        <f aca="false">IF(NOT(ISNUMBER(AH63)),"",IF(R63="specific",IF(ISNUMBER(AG63),AG63*AH63,""),IF(AND(R63="ad_valorem",ISNUMBER(AJ63)),S63*AJ63/INDEX(Parameters!$D$5:$D$7,MATCH(B63,Parameters!$A$5:$A$7,0))*AH63,"")))</f>
        <v>0.3</v>
      </c>
      <c r="AJ63" s="4"/>
      <c r="AK63" s="4"/>
      <c r="AL63" s="24" t="str">
        <f aca="false">IF(NOT(ISNUMBER(AJ63)),"",IF(R63="specific",S63/AJ63,IF(R63="ad_valorem",S63,"")))</f>
        <v/>
      </c>
      <c r="AM63" s="4" t="s">
        <v>234</v>
      </c>
      <c r="AN63" s="4" t="s">
        <v>855</v>
      </c>
      <c r="AO63" s="25" t="n">
        <f aca="false">IF(AM63="","",IFERROR(INDEX(DQ_Scale!$B$5:$B$14,MATCH(AM63,DQ_Scale!$A$5:$A$14,0)),""))</f>
        <v>1</v>
      </c>
      <c r="AP63" s="4" t="s">
        <v>856</v>
      </c>
    </row>
    <row r="64" customFormat="false" ht="23.85" hidden="false" customHeight="false" outlineLevel="0" collapsed="false">
      <c r="A64" s="4" t="s">
        <v>870</v>
      </c>
      <c r="B64" s="4" t="s">
        <v>666</v>
      </c>
      <c r="C64" s="4" t="s">
        <v>3</v>
      </c>
      <c r="D64" s="4" t="s">
        <v>78</v>
      </c>
      <c r="E64" s="4" t="s">
        <v>449</v>
      </c>
      <c r="F64" s="4" t="s">
        <v>450</v>
      </c>
      <c r="G64" s="4" t="s">
        <v>541</v>
      </c>
      <c r="H64" s="4" t="s">
        <v>542</v>
      </c>
      <c r="I64" s="4" t="s">
        <v>369</v>
      </c>
      <c r="J64" s="4" t="n">
        <v>1</v>
      </c>
      <c r="K64" s="4" t="s">
        <v>868</v>
      </c>
      <c r="L64" s="4" t="s">
        <v>852</v>
      </c>
      <c r="M64" s="4" t="s">
        <v>853</v>
      </c>
      <c r="N64" s="4" t="s">
        <v>806</v>
      </c>
      <c r="O64" s="32" t="s">
        <v>234</v>
      </c>
      <c r="P64" s="4"/>
      <c r="Q64" s="4" t="s">
        <v>670</v>
      </c>
      <c r="R64" s="4" t="s">
        <v>671</v>
      </c>
      <c r="S64" s="20" t="n">
        <v>0.5</v>
      </c>
      <c r="T64" s="4" t="s">
        <v>716</v>
      </c>
      <c r="U64" s="4" t="s">
        <v>673</v>
      </c>
      <c r="V64" s="4"/>
      <c r="W64" s="4" t="s">
        <v>860</v>
      </c>
      <c r="X64" s="4" t="s">
        <v>675</v>
      </c>
      <c r="Y64" s="4"/>
      <c r="Z64" s="4"/>
      <c r="AA64" s="4" t="n">
        <v>25</v>
      </c>
      <c r="AB64" s="4"/>
      <c r="AC64" s="4"/>
      <c r="AD64" s="4"/>
      <c r="AE64" s="4"/>
      <c r="AF64" s="21" t="n">
        <f aca="false">IF(T64="USD",1,IF(T64="pct","",INDEX(Parameters!$D$5:$D$7,MATCH(B64,Parameters!$A$5:$A$7,0))))</f>
        <v>1</v>
      </c>
      <c r="AG64" s="22" t="n">
        <f aca="false">IF(AND(R64="specific",ISNUMBER(S64)),S64/AF64,"")</f>
        <v>0.5</v>
      </c>
      <c r="AH64" s="23" t="n">
        <v>1</v>
      </c>
      <c r="AI64" s="22" t="n">
        <f aca="false">IF(NOT(ISNUMBER(AH64)),"",IF(R64="specific",IF(ISNUMBER(AG64),AG64*AH64,""),IF(AND(R64="ad_valorem",ISNUMBER(AJ64)),S64*AJ64/INDEX(Parameters!$D$5:$D$7,MATCH(B64,Parameters!$A$5:$A$7,0))*AH64,"")))</f>
        <v>0.5</v>
      </c>
      <c r="AJ64" s="4"/>
      <c r="AK64" s="4"/>
      <c r="AL64" s="24" t="str">
        <f aca="false">IF(NOT(ISNUMBER(AJ64)),"",IF(R64="specific",S64/AJ64,IF(R64="ad_valorem",S64,"")))</f>
        <v/>
      </c>
      <c r="AM64" s="4" t="s">
        <v>234</v>
      </c>
      <c r="AN64" s="4" t="s">
        <v>855</v>
      </c>
      <c r="AO64" s="25" t="n">
        <f aca="false">IF(AM64="","",IFERROR(INDEX(DQ_Scale!$B$5:$B$14,MATCH(AM64,DQ_Scale!$A$5:$A$14,0)),""))</f>
        <v>1</v>
      </c>
      <c r="AP64" s="4" t="s">
        <v>856</v>
      </c>
    </row>
    <row r="65" customFormat="false" ht="23.85" hidden="false" customHeight="false" outlineLevel="0" collapsed="false">
      <c r="A65" s="4" t="s">
        <v>871</v>
      </c>
      <c r="B65" s="4" t="s">
        <v>666</v>
      </c>
      <c r="C65" s="4" t="s">
        <v>3</v>
      </c>
      <c r="D65" s="4" t="s">
        <v>78</v>
      </c>
      <c r="E65" s="4" t="s">
        <v>449</v>
      </c>
      <c r="F65" s="4" t="s">
        <v>450</v>
      </c>
      <c r="G65" s="4" t="s">
        <v>546</v>
      </c>
      <c r="H65" s="4" t="s">
        <v>547</v>
      </c>
      <c r="I65" s="4" t="s">
        <v>369</v>
      </c>
      <c r="J65" s="4" t="n">
        <v>1</v>
      </c>
      <c r="K65" s="4" t="s">
        <v>872</v>
      </c>
      <c r="L65" s="4" t="s">
        <v>852</v>
      </c>
      <c r="M65" s="4" t="s">
        <v>853</v>
      </c>
      <c r="N65" s="4" t="s">
        <v>806</v>
      </c>
      <c r="O65" s="32" t="s">
        <v>234</v>
      </c>
      <c r="P65" s="4"/>
      <c r="Q65" s="4" t="s">
        <v>670</v>
      </c>
      <c r="R65" s="4" t="s">
        <v>671</v>
      </c>
      <c r="S65" s="20" t="n">
        <v>0.1</v>
      </c>
      <c r="T65" s="4" t="s">
        <v>716</v>
      </c>
      <c r="U65" s="4" t="s">
        <v>673</v>
      </c>
      <c r="V65" s="4"/>
      <c r="W65" s="4" t="s">
        <v>854</v>
      </c>
      <c r="X65" s="4" t="s">
        <v>675</v>
      </c>
      <c r="Y65" s="4"/>
      <c r="Z65" s="4"/>
      <c r="AA65" s="4"/>
      <c r="AB65" s="4" t="n">
        <v>15</v>
      </c>
      <c r="AC65" s="4"/>
      <c r="AD65" s="4"/>
      <c r="AE65" s="4"/>
      <c r="AF65" s="21" t="n">
        <f aca="false">IF(T65="USD",1,IF(T65="pct","",INDEX(Parameters!$D$5:$D$7,MATCH(B65,Parameters!$A$5:$A$7,0))))</f>
        <v>1</v>
      </c>
      <c r="AG65" s="22" t="n">
        <f aca="false">IF(AND(R65="specific",ISNUMBER(S65)),S65/AF65,"")</f>
        <v>0.1</v>
      </c>
      <c r="AH65" s="23" t="n">
        <v>1</v>
      </c>
      <c r="AI65" s="22" t="n">
        <f aca="false">IF(NOT(ISNUMBER(AH65)),"",IF(R65="specific",IF(ISNUMBER(AG65),AG65*AH65,""),IF(AND(R65="ad_valorem",ISNUMBER(AJ65)),S65*AJ65/INDEX(Parameters!$D$5:$D$7,MATCH(B65,Parameters!$A$5:$A$7,0))*AH65,"")))</f>
        <v>0.1</v>
      </c>
      <c r="AJ65" s="4"/>
      <c r="AK65" s="4"/>
      <c r="AL65" s="24" t="str">
        <f aca="false">IF(NOT(ISNUMBER(AJ65)),"",IF(R65="specific",S65/AJ65,IF(R65="ad_valorem",S65,"")))</f>
        <v/>
      </c>
      <c r="AM65" s="4" t="s">
        <v>234</v>
      </c>
      <c r="AN65" s="4" t="s">
        <v>544</v>
      </c>
      <c r="AO65" s="25" t="n">
        <f aca="false">IF(AM65="","",IFERROR(INDEX(DQ_Scale!$B$5:$B$14,MATCH(AM65,DQ_Scale!$A$5:$A$14,0)),""))</f>
        <v>1</v>
      </c>
      <c r="AP65" s="4"/>
    </row>
    <row r="66" customFormat="false" ht="23.85" hidden="false" customHeight="false" outlineLevel="0" collapsed="false">
      <c r="A66" s="4" t="s">
        <v>873</v>
      </c>
      <c r="B66" s="4" t="s">
        <v>666</v>
      </c>
      <c r="C66" s="4" t="s">
        <v>3</v>
      </c>
      <c r="D66" s="4" t="s">
        <v>78</v>
      </c>
      <c r="E66" s="4" t="s">
        <v>449</v>
      </c>
      <c r="F66" s="4" t="s">
        <v>450</v>
      </c>
      <c r="G66" s="4" t="s">
        <v>554</v>
      </c>
      <c r="H66" s="4" t="s">
        <v>555</v>
      </c>
      <c r="I66" s="4" t="s">
        <v>556</v>
      </c>
      <c r="J66" s="4" t="n">
        <v>1</v>
      </c>
      <c r="K66" s="4" t="s">
        <v>874</v>
      </c>
      <c r="L66" s="4" t="s">
        <v>875</v>
      </c>
      <c r="M66" s="4" t="s">
        <v>876</v>
      </c>
      <c r="N66" s="4" t="s">
        <v>700</v>
      </c>
      <c r="O66" s="4" t="s">
        <v>669</v>
      </c>
      <c r="P66" s="4"/>
      <c r="Q66" s="4" t="s">
        <v>670</v>
      </c>
      <c r="R66" s="4" t="s">
        <v>774</v>
      </c>
      <c r="S66" s="31" t="n">
        <v>0.1</v>
      </c>
      <c r="T66" s="4" t="s">
        <v>775</v>
      </c>
      <c r="U66" s="4" t="s">
        <v>556</v>
      </c>
      <c r="V66" s="4" t="s">
        <v>877</v>
      </c>
      <c r="W66" s="4" t="s">
        <v>878</v>
      </c>
      <c r="X66" s="4" t="s">
        <v>675</v>
      </c>
      <c r="Y66" s="4"/>
      <c r="Z66" s="4"/>
      <c r="AA66" s="4"/>
      <c r="AB66" s="4"/>
      <c r="AC66" s="4"/>
      <c r="AD66" s="4"/>
      <c r="AE66" s="4"/>
      <c r="AF66" s="21" t="str">
        <f aca="false">IF(T66="USD",1,IF(T66="pct","",INDEX(Parameters!$D$5:$D$7,MATCH(B66,Parameters!$A$5:$A$7,0))))</f>
        <v/>
      </c>
      <c r="AG66" s="22" t="str">
        <f aca="false">IF(AND(R66="specific",ISNUMBER(S66)),S66/AF66,"")</f>
        <v/>
      </c>
      <c r="AH66" s="4"/>
      <c r="AI66" s="22" t="str">
        <f aca="false">IF(NOT(ISNUMBER(AH66)),"",IF(R66="specific",IF(ISNUMBER(AG66),AG66*AH66,""),IF(AND(R66="ad_valorem",ISNUMBER(AJ66)),S66*AJ66/INDEX(Parameters!$D$5:$D$7,MATCH(B66,Parameters!$A$5:$A$7,0))*AH66,"")))</f>
        <v/>
      </c>
      <c r="AJ66" s="4"/>
      <c r="AK66" s="4"/>
      <c r="AL66" s="24" t="str">
        <f aca="false">IF(NOT(ISNUMBER(AJ66)),"",IF(R66="specific",S66/AJ66,IF(R66="ad_valorem",S66,"")))</f>
        <v/>
      </c>
      <c r="AM66" s="4" t="s">
        <v>79</v>
      </c>
      <c r="AN66" s="4" t="s">
        <v>558</v>
      </c>
      <c r="AO66" s="25" t="n">
        <f aca="false">IF(AM66="","",IFERROR(INDEX(DQ_Scale!$B$5:$B$14,MATCH(AM66,DQ_Scale!$A$5:$A$14,0)),""))</f>
        <v>5</v>
      </c>
      <c r="AP66" s="4"/>
    </row>
    <row r="67" customFormat="false" ht="23.85" hidden="false" customHeight="false" outlineLevel="0" collapsed="false">
      <c r="A67" s="4" t="s">
        <v>879</v>
      </c>
      <c r="B67" s="4" t="s">
        <v>666</v>
      </c>
      <c r="C67" s="4" t="s">
        <v>3</v>
      </c>
      <c r="D67" s="4" t="s">
        <v>78</v>
      </c>
      <c r="E67" s="4" t="s">
        <v>420</v>
      </c>
      <c r="F67" s="4" t="s">
        <v>562</v>
      </c>
      <c r="G67" s="4" t="s">
        <v>563</v>
      </c>
      <c r="H67" s="4" t="s">
        <v>564</v>
      </c>
      <c r="I67" s="4" t="s">
        <v>565</v>
      </c>
      <c r="J67" s="4" t="n">
        <v>2</v>
      </c>
      <c r="K67" s="4" t="s">
        <v>880</v>
      </c>
      <c r="L67" s="4"/>
      <c r="M67" s="4" t="s">
        <v>881</v>
      </c>
      <c r="N67" s="4" t="s">
        <v>806</v>
      </c>
      <c r="O67" s="4" t="s">
        <v>669</v>
      </c>
      <c r="P67" s="4"/>
      <c r="Q67" s="4" t="s">
        <v>670</v>
      </c>
      <c r="R67" s="4" t="s">
        <v>671</v>
      </c>
      <c r="S67" s="20" t="n">
        <v>0.1</v>
      </c>
      <c r="T67" s="4" t="s">
        <v>672</v>
      </c>
      <c r="U67" s="4" t="s">
        <v>882</v>
      </c>
      <c r="V67" s="4"/>
      <c r="W67" s="4" t="s">
        <v>883</v>
      </c>
      <c r="X67" s="4" t="s">
        <v>675</v>
      </c>
      <c r="Y67" s="4"/>
      <c r="Z67" s="4"/>
      <c r="AA67" s="4"/>
      <c r="AB67" s="4"/>
      <c r="AC67" s="4"/>
      <c r="AD67" s="4"/>
      <c r="AE67" s="4"/>
      <c r="AF67" s="21" t="n">
        <f aca="false">IF(T67="USD",1,IF(T67="pct","",INDEX(Parameters!$D$5:$D$7,MATCH(B67,Parameters!$A$5:$A$7,0))))</f>
        <v>22</v>
      </c>
      <c r="AG67" s="22" t="n">
        <f aca="false">IF(AND(R67="specific",ISNUMBER(S67)),S67/AF67,"")</f>
        <v>0.00454545454545455</v>
      </c>
      <c r="AH67" s="23" t="n">
        <v>1</v>
      </c>
      <c r="AI67" s="22" t="n">
        <f aca="false">IF(NOT(ISNUMBER(AH67)),"",IF(R67="specific",IF(ISNUMBER(AG67),AG67*AH67,""),IF(AND(R67="ad_valorem",ISNUMBER(AJ67)),S67*AJ67/INDEX(Parameters!$D$5:$D$7,MATCH(B67,Parameters!$A$5:$A$7,0))*AH67,"")))</f>
        <v>0.00454545454545455</v>
      </c>
      <c r="AJ67" s="4"/>
      <c r="AK67" s="4"/>
      <c r="AL67" s="24" t="str">
        <f aca="false">IF(NOT(ISNUMBER(AJ67)),"",IF(R67="specific",S67/AJ67,IF(R67="ad_valorem",S67,"")))</f>
        <v/>
      </c>
      <c r="AM67" s="4" t="s">
        <v>120</v>
      </c>
      <c r="AN67" s="4" t="s">
        <v>568</v>
      </c>
      <c r="AO67" s="25" t="n">
        <f aca="false">IF(AM67="","",IFERROR(INDEX(DQ_Scale!$B$5:$B$14,MATCH(AM67,DQ_Scale!$A$5:$A$14,0)),""))</f>
        <v>4</v>
      </c>
      <c r="AP67" s="4"/>
    </row>
    <row r="68" customFormat="false" ht="23.85" hidden="false" customHeight="false" outlineLevel="0" collapsed="false">
      <c r="A68" s="4" t="s">
        <v>884</v>
      </c>
      <c r="B68" s="4" t="s">
        <v>666</v>
      </c>
      <c r="C68" s="4" t="s">
        <v>3</v>
      </c>
      <c r="D68" s="4" t="s">
        <v>78</v>
      </c>
      <c r="E68" s="4" t="s">
        <v>420</v>
      </c>
      <c r="F68" s="4" t="s">
        <v>562</v>
      </c>
      <c r="G68" s="4" t="s">
        <v>563</v>
      </c>
      <c r="H68" s="4" t="s">
        <v>564</v>
      </c>
      <c r="I68" s="4" t="s">
        <v>565</v>
      </c>
      <c r="J68" s="4" t="n">
        <v>2</v>
      </c>
      <c r="K68" s="4" t="s">
        <v>885</v>
      </c>
      <c r="L68" s="4"/>
      <c r="M68" s="4" t="s">
        <v>881</v>
      </c>
      <c r="N68" s="4" t="s">
        <v>806</v>
      </c>
      <c r="O68" s="4" t="s">
        <v>669</v>
      </c>
      <c r="P68" s="4"/>
      <c r="Q68" s="4" t="s">
        <v>670</v>
      </c>
      <c r="R68" s="4" t="s">
        <v>671</v>
      </c>
      <c r="S68" s="20" t="n">
        <v>0.05</v>
      </c>
      <c r="T68" s="4" t="s">
        <v>672</v>
      </c>
      <c r="U68" s="4" t="s">
        <v>882</v>
      </c>
      <c r="V68" s="4"/>
      <c r="W68" s="4" t="s">
        <v>886</v>
      </c>
      <c r="X68" s="4" t="s">
        <v>675</v>
      </c>
      <c r="Y68" s="4"/>
      <c r="Z68" s="4"/>
      <c r="AA68" s="4"/>
      <c r="AB68" s="4"/>
      <c r="AC68" s="4"/>
      <c r="AD68" s="4"/>
      <c r="AE68" s="4"/>
      <c r="AF68" s="21" t="n">
        <f aca="false">IF(T68="USD",1,IF(T68="pct","",INDEX(Parameters!$D$5:$D$7,MATCH(B68,Parameters!$A$5:$A$7,0))))</f>
        <v>22</v>
      </c>
      <c r="AG68" s="22" t="n">
        <f aca="false">IF(AND(R68="specific",ISNUMBER(S68)),S68/AF68,"")</f>
        <v>0.00227272727272727</v>
      </c>
      <c r="AH68" s="23" t="n">
        <v>1</v>
      </c>
      <c r="AI68" s="22" t="n">
        <f aca="false">IF(NOT(ISNUMBER(AH68)),"",IF(R68="specific",IF(ISNUMBER(AG68),AG68*AH68,""),IF(AND(R68="ad_valorem",ISNUMBER(AJ68)),S68*AJ68/INDEX(Parameters!$D$5:$D$7,MATCH(B68,Parameters!$A$5:$A$7,0))*AH68,"")))</f>
        <v>0.00227272727272727</v>
      </c>
      <c r="AJ68" s="4"/>
      <c r="AK68" s="4"/>
      <c r="AL68" s="24" t="str">
        <f aca="false">IF(NOT(ISNUMBER(AJ68)),"",IF(R68="specific",S68/AJ68,IF(R68="ad_valorem",S68,"")))</f>
        <v/>
      </c>
      <c r="AM68" s="4" t="s">
        <v>120</v>
      </c>
      <c r="AN68" s="4" t="s">
        <v>568</v>
      </c>
      <c r="AO68" s="25" t="n">
        <f aca="false">IF(AM68="","",IFERROR(INDEX(DQ_Scale!$B$5:$B$14,MATCH(AM68,DQ_Scale!$A$5:$A$14,0)),""))</f>
        <v>4</v>
      </c>
      <c r="AP68" s="4"/>
    </row>
    <row r="69" customFormat="false" ht="23.85" hidden="false" customHeight="false" outlineLevel="0" collapsed="false">
      <c r="A69" s="4" t="s">
        <v>887</v>
      </c>
      <c r="B69" s="4" t="s">
        <v>666</v>
      </c>
      <c r="C69" s="4" t="s">
        <v>3</v>
      </c>
      <c r="D69" s="4" t="s">
        <v>78</v>
      </c>
      <c r="E69" s="4" t="s">
        <v>420</v>
      </c>
      <c r="F69" s="4" t="s">
        <v>562</v>
      </c>
      <c r="G69" s="4" t="s">
        <v>563</v>
      </c>
      <c r="H69" s="4" t="s">
        <v>564</v>
      </c>
      <c r="I69" s="4" t="s">
        <v>565</v>
      </c>
      <c r="J69" s="4" t="n">
        <v>2</v>
      </c>
      <c r="K69" s="4" t="s">
        <v>888</v>
      </c>
      <c r="L69" s="4"/>
      <c r="M69" s="4" t="s">
        <v>881</v>
      </c>
      <c r="N69" s="4" t="s">
        <v>806</v>
      </c>
      <c r="O69" s="4" t="s">
        <v>669</v>
      </c>
      <c r="P69" s="4"/>
      <c r="Q69" s="4" t="s">
        <v>670</v>
      </c>
      <c r="R69" s="4" t="s">
        <v>671</v>
      </c>
      <c r="S69" s="20" t="n">
        <v>2</v>
      </c>
      <c r="T69" s="4" t="s">
        <v>672</v>
      </c>
      <c r="U69" s="4" t="s">
        <v>882</v>
      </c>
      <c r="V69" s="4"/>
      <c r="W69" s="4" t="s">
        <v>889</v>
      </c>
      <c r="X69" s="4" t="s">
        <v>675</v>
      </c>
      <c r="Y69" s="4"/>
      <c r="Z69" s="4"/>
      <c r="AA69" s="4"/>
      <c r="AB69" s="4"/>
      <c r="AC69" s="4"/>
      <c r="AD69" s="4"/>
      <c r="AE69" s="4"/>
      <c r="AF69" s="21" t="n">
        <f aca="false">IF(T69="USD",1,IF(T69="pct","",INDEX(Parameters!$D$5:$D$7,MATCH(B69,Parameters!$A$5:$A$7,0))))</f>
        <v>22</v>
      </c>
      <c r="AG69" s="22" t="n">
        <f aca="false">IF(AND(R69="specific",ISNUMBER(S69)),S69/AF69,"")</f>
        <v>0.0909090909090909</v>
      </c>
      <c r="AH69" s="23" t="n">
        <v>1</v>
      </c>
      <c r="AI69" s="22" t="n">
        <f aca="false">IF(NOT(ISNUMBER(AH69)),"",IF(R69="specific",IF(ISNUMBER(AG69),AG69*AH69,""),IF(AND(R69="ad_valorem",ISNUMBER(AJ69)),S69*AJ69/INDEX(Parameters!$D$5:$D$7,MATCH(B69,Parameters!$A$5:$A$7,0))*AH69,"")))</f>
        <v>0.0909090909090909</v>
      </c>
      <c r="AJ69" s="4"/>
      <c r="AK69" s="4"/>
      <c r="AL69" s="24" t="str">
        <f aca="false">IF(NOT(ISNUMBER(AJ69)),"",IF(R69="specific",S69/AJ69,IF(R69="ad_valorem",S69,"")))</f>
        <v/>
      </c>
      <c r="AM69" s="4" t="s">
        <v>120</v>
      </c>
      <c r="AN69" s="4" t="s">
        <v>568</v>
      </c>
      <c r="AO69" s="25" t="n">
        <f aca="false">IF(AM69="","",IFERROR(INDEX(DQ_Scale!$B$5:$B$14,MATCH(AM69,DQ_Scale!$A$5:$A$14,0)),""))</f>
        <v>4</v>
      </c>
      <c r="AP69" s="4"/>
    </row>
    <row r="70" customFormat="false" ht="23.85" hidden="false" customHeight="false" outlineLevel="0" collapsed="false">
      <c r="A70" s="4" t="s">
        <v>890</v>
      </c>
      <c r="B70" s="4" t="s">
        <v>666</v>
      </c>
      <c r="C70" s="4" t="s">
        <v>3</v>
      </c>
      <c r="D70" s="4" t="s">
        <v>78</v>
      </c>
      <c r="E70" s="4" t="s">
        <v>420</v>
      </c>
      <c r="F70" s="4" t="s">
        <v>562</v>
      </c>
      <c r="G70" s="4" t="s">
        <v>575</v>
      </c>
      <c r="H70" s="4" t="s">
        <v>576</v>
      </c>
      <c r="I70" s="4" t="s">
        <v>577</v>
      </c>
      <c r="J70" s="4" t="n">
        <v>2</v>
      </c>
      <c r="K70" s="4" t="s">
        <v>891</v>
      </c>
      <c r="L70" s="4"/>
      <c r="M70" s="4" t="s">
        <v>881</v>
      </c>
      <c r="N70" s="4" t="s">
        <v>806</v>
      </c>
      <c r="O70" s="4" t="s">
        <v>669</v>
      </c>
      <c r="P70" s="4"/>
      <c r="Q70" s="4" t="s">
        <v>670</v>
      </c>
      <c r="R70" s="4" t="s">
        <v>774</v>
      </c>
      <c r="S70" s="31" t="n">
        <v>0.05</v>
      </c>
      <c r="T70" s="4" t="s">
        <v>775</v>
      </c>
      <c r="U70" s="4" t="s">
        <v>556</v>
      </c>
      <c r="V70" s="4" t="s">
        <v>892</v>
      </c>
      <c r="W70" s="4" t="s">
        <v>893</v>
      </c>
      <c r="X70" s="4" t="s">
        <v>675</v>
      </c>
      <c r="Y70" s="4"/>
      <c r="Z70" s="4"/>
      <c r="AA70" s="4"/>
      <c r="AB70" s="4"/>
      <c r="AC70" s="4"/>
      <c r="AD70" s="4"/>
      <c r="AE70" s="4"/>
      <c r="AF70" s="21" t="str">
        <f aca="false">IF(T70="USD",1,IF(T70="pct","",INDEX(Parameters!$D$5:$D$7,MATCH(B70,Parameters!$A$5:$A$7,0))))</f>
        <v/>
      </c>
      <c r="AG70" s="22" t="str">
        <f aca="false">IF(AND(R70="specific",ISNUMBER(S70)),S70/AF70,"")</f>
        <v/>
      </c>
      <c r="AH70" s="4"/>
      <c r="AI70" s="22" t="str">
        <f aca="false">IF(NOT(ISNUMBER(AH70)),"",IF(R70="specific",IF(ISNUMBER(AG70),AG70*AH70,""),IF(AND(R70="ad_valorem",ISNUMBER(AJ70)),S70*AJ70/INDEX(Parameters!$D$5:$D$7,MATCH(B70,Parameters!$A$5:$A$7,0))*AH70,"")))</f>
        <v/>
      </c>
      <c r="AJ70" s="4"/>
      <c r="AK70" s="4"/>
      <c r="AL70" s="24" t="str">
        <f aca="false">IF(NOT(ISNUMBER(AJ70)),"",IF(R70="specific",S70/AJ70,IF(R70="ad_valorem",S70,"")))</f>
        <v/>
      </c>
      <c r="AM70" s="4" t="s">
        <v>79</v>
      </c>
      <c r="AN70" s="4" t="s">
        <v>580</v>
      </c>
      <c r="AO70" s="25" t="n">
        <f aca="false">IF(AM70="","",IFERROR(INDEX(DQ_Scale!$B$5:$B$14,MATCH(AM70,DQ_Scale!$A$5:$A$14,0)),""))</f>
        <v>5</v>
      </c>
      <c r="AP70" s="4"/>
    </row>
    <row r="71" customFormat="false" ht="23.85" hidden="false" customHeight="false" outlineLevel="0" collapsed="false">
      <c r="A71" s="4" t="s">
        <v>894</v>
      </c>
      <c r="B71" s="4" t="s">
        <v>666</v>
      </c>
      <c r="C71" s="4" t="s">
        <v>3</v>
      </c>
      <c r="D71" s="4" t="s">
        <v>78</v>
      </c>
      <c r="E71" s="4" t="s">
        <v>420</v>
      </c>
      <c r="F71" s="4" t="s">
        <v>583</v>
      </c>
      <c r="G71" s="4" t="s">
        <v>584</v>
      </c>
      <c r="H71" s="4" t="s">
        <v>585</v>
      </c>
      <c r="I71" s="4" t="s">
        <v>586</v>
      </c>
      <c r="J71" s="4" t="n">
        <v>2</v>
      </c>
      <c r="K71" s="4" t="s">
        <v>895</v>
      </c>
      <c r="L71" s="4"/>
      <c r="M71" s="4" t="s">
        <v>881</v>
      </c>
      <c r="N71" s="4" t="s">
        <v>806</v>
      </c>
      <c r="O71" s="4" t="s">
        <v>669</v>
      </c>
      <c r="P71" s="4"/>
      <c r="Q71" s="4" t="s">
        <v>670</v>
      </c>
      <c r="R71" s="4" t="s">
        <v>774</v>
      </c>
      <c r="S71" s="31" t="n">
        <v>0.02</v>
      </c>
      <c r="T71" s="4" t="s">
        <v>775</v>
      </c>
      <c r="U71" s="4" t="s">
        <v>556</v>
      </c>
      <c r="V71" s="4" t="s">
        <v>896</v>
      </c>
      <c r="W71" s="4" t="s">
        <v>897</v>
      </c>
      <c r="X71" s="4" t="s">
        <v>675</v>
      </c>
      <c r="Y71" s="4"/>
      <c r="Z71" s="4"/>
      <c r="AA71" s="4"/>
      <c r="AB71" s="4"/>
      <c r="AC71" s="4"/>
      <c r="AD71" s="4"/>
      <c r="AE71" s="4"/>
      <c r="AF71" s="21" t="str">
        <f aca="false">IF(T71="USD",1,IF(T71="pct","",INDEX(Parameters!$D$5:$D$7,MATCH(B71,Parameters!$A$5:$A$7,0))))</f>
        <v/>
      </c>
      <c r="AG71" s="22" t="str">
        <f aca="false">IF(AND(R71="specific",ISNUMBER(S71)),S71/AF71,"")</f>
        <v/>
      </c>
      <c r="AH71" s="4"/>
      <c r="AI71" s="22" t="str">
        <f aca="false">IF(NOT(ISNUMBER(AH71)),"",IF(R71="specific",IF(ISNUMBER(AG71),AG71*AH71,""),IF(AND(R71="ad_valorem",ISNUMBER(AJ71)),S71*AJ71/INDEX(Parameters!$D$5:$D$7,MATCH(B71,Parameters!$A$5:$A$7,0))*AH71,"")))</f>
        <v/>
      </c>
      <c r="AJ71" s="4"/>
      <c r="AK71" s="4"/>
      <c r="AL71" s="24" t="str">
        <f aca="false">IF(NOT(ISNUMBER(AJ71)),"",IF(R71="specific",S71/AJ71,IF(R71="ad_valorem",S71,"")))</f>
        <v/>
      </c>
      <c r="AM71" s="4" t="s">
        <v>79</v>
      </c>
      <c r="AN71" s="4" t="s">
        <v>580</v>
      </c>
      <c r="AO71" s="25" t="n">
        <f aca="false">IF(AM71="","",IFERROR(INDEX(DQ_Scale!$B$5:$B$14,MATCH(AM71,DQ_Scale!$A$5:$A$14,0)),""))</f>
        <v>5</v>
      </c>
      <c r="AP71" s="4"/>
    </row>
    <row r="72" customFormat="false" ht="23.85" hidden="false" customHeight="false" outlineLevel="0" collapsed="false">
      <c r="A72" s="4" t="s">
        <v>898</v>
      </c>
      <c r="B72" s="4" t="s">
        <v>666</v>
      </c>
      <c r="C72" s="4" t="s">
        <v>3</v>
      </c>
      <c r="D72" s="4" t="s">
        <v>78</v>
      </c>
      <c r="E72" s="4" t="s">
        <v>420</v>
      </c>
      <c r="F72" s="4" t="s">
        <v>590</v>
      </c>
      <c r="G72" s="4" t="s">
        <v>180</v>
      </c>
      <c r="H72" s="4" t="s">
        <v>591</v>
      </c>
      <c r="I72" s="4" t="s">
        <v>592</v>
      </c>
      <c r="J72" s="4" t="n">
        <v>1</v>
      </c>
      <c r="K72" s="4" t="s">
        <v>899</v>
      </c>
      <c r="L72" s="4" t="s">
        <v>900</v>
      </c>
      <c r="M72" s="4" t="s">
        <v>667</v>
      </c>
      <c r="N72" s="4" t="s">
        <v>668</v>
      </c>
      <c r="O72" s="4" t="s">
        <v>669</v>
      </c>
      <c r="P72" s="4"/>
      <c r="Q72" s="4" t="s">
        <v>670</v>
      </c>
      <c r="R72" s="4" t="s">
        <v>671</v>
      </c>
      <c r="S72" s="20" t="n">
        <v>10</v>
      </c>
      <c r="T72" s="4" t="s">
        <v>672</v>
      </c>
      <c r="U72" s="4" t="s">
        <v>901</v>
      </c>
      <c r="V72" s="4"/>
      <c r="W72" s="4" t="s">
        <v>902</v>
      </c>
      <c r="X72" s="4" t="s">
        <v>675</v>
      </c>
      <c r="Y72" s="4"/>
      <c r="Z72" s="4"/>
      <c r="AA72" s="4"/>
      <c r="AB72" s="4"/>
      <c r="AC72" s="4"/>
      <c r="AD72" s="4"/>
      <c r="AE72" s="4"/>
      <c r="AF72" s="21" t="n">
        <f aca="false">IF(T72="USD",1,IF(T72="pct","",INDEX(Parameters!$D$5:$D$7,MATCH(B72,Parameters!$A$5:$A$7,0))))</f>
        <v>22</v>
      </c>
      <c r="AG72" s="22" t="n">
        <f aca="false">IF(AND(R72="specific",ISNUMBER(S72)),S72/AF72,"")</f>
        <v>0.454545454545455</v>
      </c>
      <c r="AH72" s="23" t="n">
        <v>1</v>
      </c>
      <c r="AI72" s="22" t="n">
        <f aca="false">IF(NOT(ISNUMBER(AH72)),"",IF(R72="specific",IF(ISNUMBER(AG72),AG72*AH72,""),IF(AND(R72="ad_valorem",ISNUMBER(AJ72)),S72*AJ72/INDEX(Parameters!$D$5:$D$7,MATCH(B72,Parameters!$A$5:$A$7,0))*AH72,"")))</f>
        <v>0.454545454545455</v>
      </c>
      <c r="AJ72" s="4"/>
      <c r="AK72" s="4"/>
      <c r="AL72" s="24" t="str">
        <f aca="false">IF(NOT(ISNUMBER(AJ72)),"",IF(R72="specific",S72/AJ72,IF(R72="ad_valorem",S72,"")))</f>
        <v/>
      </c>
      <c r="AM72" s="4" t="s">
        <v>68</v>
      </c>
      <c r="AN72" s="4" t="s">
        <v>594</v>
      </c>
      <c r="AO72" s="25" t="n">
        <f aca="false">IF(AM72="","",IFERROR(INDEX(DQ_Scale!$B$5:$B$14,MATCH(AM72,DQ_Scale!$A$5:$A$14,0)),""))</f>
        <v>3</v>
      </c>
      <c r="AP72" s="4" t="s">
        <v>903</v>
      </c>
    </row>
    <row r="73" customFormat="false" ht="15" hidden="false" customHeight="false" outlineLevel="0" collapsed="false">
      <c r="A73" s="4" t="s">
        <v>904</v>
      </c>
      <c r="B73" s="4" t="s">
        <v>666</v>
      </c>
      <c r="C73" s="4" t="s">
        <v>3</v>
      </c>
      <c r="D73" s="4" t="s">
        <v>78</v>
      </c>
      <c r="E73" s="4" t="s">
        <v>420</v>
      </c>
      <c r="F73" s="4" t="s">
        <v>590</v>
      </c>
      <c r="G73" s="4" t="s">
        <v>189</v>
      </c>
      <c r="H73" s="4" t="s">
        <v>597</v>
      </c>
      <c r="I73" s="4" t="s">
        <v>598</v>
      </c>
      <c r="J73" s="4" t="n">
        <v>1</v>
      </c>
      <c r="K73" s="4" t="s">
        <v>905</v>
      </c>
      <c r="L73" s="4" t="s">
        <v>906</v>
      </c>
      <c r="M73" s="4" t="s">
        <v>907</v>
      </c>
      <c r="N73" s="4" t="s">
        <v>908</v>
      </c>
      <c r="O73" s="4" t="s">
        <v>669</v>
      </c>
      <c r="P73" s="4"/>
      <c r="Q73" s="4" t="s">
        <v>670</v>
      </c>
      <c r="R73" s="4" t="s">
        <v>774</v>
      </c>
      <c r="S73" s="31" t="n">
        <v>0.1</v>
      </c>
      <c r="T73" s="4" t="s">
        <v>775</v>
      </c>
      <c r="U73" s="4" t="s">
        <v>776</v>
      </c>
      <c r="V73" s="4" t="s">
        <v>909</v>
      </c>
      <c r="W73" s="4" t="s">
        <v>910</v>
      </c>
      <c r="X73" s="4" t="s">
        <v>675</v>
      </c>
      <c r="Y73" s="4"/>
      <c r="Z73" s="4"/>
      <c r="AA73" s="4"/>
      <c r="AB73" s="4"/>
      <c r="AC73" s="4"/>
      <c r="AD73" s="4"/>
      <c r="AE73" s="4"/>
      <c r="AF73" s="21" t="str">
        <f aca="false">IF(T73="USD",1,IF(T73="pct","",INDEX(Parameters!$D$5:$D$7,MATCH(B73,Parameters!$A$5:$A$7,0))))</f>
        <v/>
      </c>
      <c r="AG73" s="22" t="str">
        <f aca="false">IF(AND(R73="specific",ISNUMBER(S73)),S73/AF73,"")</f>
        <v/>
      </c>
      <c r="AH73" s="4"/>
      <c r="AI73" s="22" t="str">
        <f aca="false">IF(NOT(ISNUMBER(AH73)),"",IF(R73="specific",IF(ISNUMBER(AG73),AG73*AH73,""),IF(AND(R73="ad_valorem",ISNUMBER(AJ73)),S73*AJ73/INDEX(Parameters!$D$5:$D$7,MATCH(B73,Parameters!$A$5:$A$7,0))*AH73,"")))</f>
        <v/>
      </c>
      <c r="AJ73" s="4"/>
      <c r="AK73" s="4"/>
      <c r="AL73" s="24" t="str">
        <f aca="false">IF(NOT(ISNUMBER(AJ73)),"",IF(R73="specific",S73/AJ73,IF(R73="ad_valorem",S73,"")))</f>
        <v/>
      </c>
      <c r="AM73" s="4" t="s">
        <v>79</v>
      </c>
      <c r="AN73" s="4" t="s">
        <v>600</v>
      </c>
      <c r="AO73" s="25" t="n">
        <f aca="false">IF(AM73="","",IFERROR(INDEX(DQ_Scale!$B$5:$B$14,MATCH(AM73,DQ_Scale!$A$5:$A$14,0)),""))</f>
        <v>5</v>
      </c>
      <c r="AP73" s="4"/>
    </row>
    <row r="74" customFormat="false" ht="15" hidden="false" customHeight="false" outlineLevel="0" collapsed="false">
      <c r="A74" s="16" t="s">
        <v>911</v>
      </c>
      <c r="B74" s="16" t="s">
        <v>666</v>
      </c>
      <c r="C74" s="16" t="s">
        <v>3</v>
      </c>
      <c r="D74" s="16" t="s">
        <v>78</v>
      </c>
      <c r="E74" s="16" t="s">
        <v>420</v>
      </c>
      <c r="F74" s="16" t="s">
        <v>590</v>
      </c>
      <c r="G74" s="16" t="s">
        <v>198</v>
      </c>
      <c r="H74" s="16" t="s">
        <v>603</v>
      </c>
      <c r="I74" s="16" t="s">
        <v>423</v>
      </c>
      <c r="J74" s="16" t="n">
        <v>0</v>
      </c>
      <c r="K74" s="16" t="s">
        <v>912</v>
      </c>
      <c r="L74" s="16"/>
      <c r="M74" s="16"/>
      <c r="N74" s="16"/>
      <c r="O74" s="16" t="s">
        <v>686</v>
      </c>
      <c r="P74" s="16"/>
      <c r="Q74" s="16"/>
      <c r="R74" s="16" t="s">
        <v>687</v>
      </c>
      <c r="S74" s="2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27" t="n">
        <f aca="false">IF(T74="USD",1,IF(T74="pct","",INDEX(Parameters!$D$5:$D$7,MATCH(B74,Parameters!$A$5:$A$7,0))))</f>
        <v>22</v>
      </c>
      <c r="AG74" s="28" t="str">
        <f aca="false">IF(AND(R74="specific",ISNUMBER(S74)),S74/AF74,"")</f>
        <v/>
      </c>
      <c r="AH74" s="16"/>
      <c r="AI74" s="28" t="str">
        <f aca="false">IF(NOT(ISNUMBER(AH74)),"",IF(R74="specific",IF(ISNUMBER(AG74),AG74*AH74,""),IF(AND(R74="ad_valorem",ISNUMBER(AJ74)),S74*AJ74/INDEX(Parameters!$D$5:$D$7,MATCH(B74,Parameters!$A$5:$A$7,0))*AH74,"")))</f>
        <v/>
      </c>
      <c r="AJ74" s="16"/>
      <c r="AK74" s="16"/>
      <c r="AL74" s="29" t="str">
        <f aca="false">IF(NOT(ISNUMBER(AJ74)),"",IF(R74="specific",S74/AJ74,IF(R74="ad_valorem",S74,"")))</f>
        <v/>
      </c>
      <c r="AM74" s="16" t="s">
        <v>71</v>
      </c>
      <c r="AN74" s="16"/>
      <c r="AO74" s="30" t="n">
        <f aca="false">IF(AM74="","",IFERROR(INDEX(DQ_Scale!$B$5:$B$14,MATCH(AM74,DQ_Scale!$A$5:$A$14,0)),""))</f>
        <v>2</v>
      </c>
      <c r="AP74" s="16"/>
    </row>
    <row r="75" customFormat="false" ht="15" hidden="false" customHeight="false" outlineLevel="0" collapsed="false">
      <c r="A75" s="4" t="s">
        <v>913</v>
      </c>
      <c r="B75" s="4" t="s">
        <v>666</v>
      </c>
      <c r="C75" s="4" t="s">
        <v>3</v>
      </c>
      <c r="D75" s="4" t="s">
        <v>78</v>
      </c>
      <c r="E75" s="4" t="s">
        <v>420</v>
      </c>
      <c r="F75" s="4" t="s">
        <v>590</v>
      </c>
      <c r="G75" s="4" t="s">
        <v>207</v>
      </c>
      <c r="H75" s="4" t="s">
        <v>608</v>
      </c>
      <c r="I75" s="4" t="s">
        <v>191</v>
      </c>
      <c r="J75" s="4" t="n">
        <v>1</v>
      </c>
      <c r="K75" s="4" t="s">
        <v>914</v>
      </c>
      <c r="L75" s="4" t="s">
        <v>915</v>
      </c>
      <c r="M75" s="4" t="s">
        <v>907</v>
      </c>
      <c r="N75" s="4" t="s">
        <v>908</v>
      </c>
      <c r="O75" s="4" t="s">
        <v>669</v>
      </c>
      <c r="P75" s="4"/>
      <c r="Q75" s="4" t="s">
        <v>670</v>
      </c>
      <c r="R75" s="4" t="s">
        <v>774</v>
      </c>
      <c r="S75" s="31" t="n">
        <v>0.2</v>
      </c>
      <c r="T75" s="4" t="s">
        <v>775</v>
      </c>
      <c r="U75" s="4" t="s">
        <v>776</v>
      </c>
      <c r="V75" s="4" t="s">
        <v>909</v>
      </c>
      <c r="W75" s="4" t="s">
        <v>798</v>
      </c>
      <c r="X75" s="4" t="s">
        <v>675</v>
      </c>
      <c r="Y75" s="4"/>
      <c r="Z75" s="4"/>
      <c r="AA75" s="4"/>
      <c r="AB75" s="4"/>
      <c r="AC75" s="4"/>
      <c r="AD75" s="4"/>
      <c r="AE75" s="4"/>
      <c r="AF75" s="21" t="str">
        <f aca="false">IF(T75="USD",1,IF(T75="pct","",INDEX(Parameters!$D$5:$D$7,MATCH(B75,Parameters!$A$5:$A$7,0))))</f>
        <v/>
      </c>
      <c r="AG75" s="22" t="str">
        <f aca="false">IF(AND(R75="specific",ISNUMBER(S75)),S75/AF75,"")</f>
        <v/>
      </c>
      <c r="AH75" s="4"/>
      <c r="AI75" s="22" t="str">
        <f aca="false">IF(NOT(ISNUMBER(AH75)),"",IF(R75="specific",IF(ISNUMBER(AG75),AG75*AH75,""),IF(AND(R75="ad_valorem",ISNUMBER(AJ75)),S75*AJ75/INDEX(Parameters!$D$5:$D$7,MATCH(B75,Parameters!$A$5:$A$7,0))*AH75,"")))</f>
        <v/>
      </c>
      <c r="AJ75" s="4"/>
      <c r="AK75" s="4"/>
      <c r="AL75" s="24" t="str">
        <f aca="false">IF(NOT(ISNUMBER(AJ75)),"",IF(R75="specific",S75/AJ75,IF(R75="ad_valorem",S75,"")))</f>
        <v/>
      </c>
      <c r="AM75" s="4" t="s">
        <v>79</v>
      </c>
      <c r="AN75" s="4" t="s">
        <v>600</v>
      </c>
      <c r="AO75" s="25" t="n">
        <f aca="false">IF(AM75="","",IFERROR(INDEX(DQ_Scale!$B$5:$B$14,MATCH(AM75,DQ_Scale!$A$5:$A$14,0)),""))</f>
        <v>5</v>
      </c>
      <c r="AP75" s="4"/>
    </row>
    <row r="76" customFormat="false" ht="15" hidden="false" customHeight="false" outlineLevel="0" collapsed="false">
      <c r="A76" s="4" t="s">
        <v>916</v>
      </c>
      <c r="B76" s="4" t="s">
        <v>666</v>
      </c>
      <c r="C76" s="4" t="s">
        <v>3</v>
      </c>
      <c r="D76" s="4" t="s">
        <v>78</v>
      </c>
      <c r="E76" s="4" t="s">
        <v>420</v>
      </c>
      <c r="F76" s="4" t="s">
        <v>590</v>
      </c>
      <c r="G76" s="4" t="s">
        <v>207</v>
      </c>
      <c r="H76" s="4" t="s">
        <v>608</v>
      </c>
      <c r="I76" s="4" t="s">
        <v>191</v>
      </c>
      <c r="J76" s="4" t="n">
        <v>1</v>
      </c>
      <c r="K76" s="4" t="s">
        <v>917</v>
      </c>
      <c r="L76" s="4" t="s">
        <v>918</v>
      </c>
      <c r="M76" s="4" t="s">
        <v>907</v>
      </c>
      <c r="N76" s="4" t="s">
        <v>908</v>
      </c>
      <c r="O76" s="4" t="s">
        <v>669</v>
      </c>
      <c r="P76" s="4"/>
      <c r="Q76" s="4" t="s">
        <v>670</v>
      </c>
      <c r="R76" s="4" t="s">
        <v>774</v>
      </c>
      <c r="S76" s="31" t="n">
        <v>0.2</v>
      </c>
      <c r="T76" s="4" t="s">
        <v>775</v>
      </c>
      <c r="U76" s="4" t="s">
        <v>776</v>
      </c>
      <c r="V76" s="4" t="s">
        <v>909</v>
      </c>
      <c r="W76" s="4" t="s">
        <v>798</v>
      </c>
      <c r="X76" s="4" t="s">
        <v>675</v>
      </c>
      <c r="Y76" s="4"/>
      <c r="Z76" s="4"/>
      <c r="AA76" s="4"/>
      <c r="AB76" s="4"/>
      <c r="AC76" s="4"/>
      <c r="AD76" s="4"/>
      <c r="AE76" s="4"/>
      <c r="AF76" s="21" t="str">
        <f aca="false">IF(T76="USD",1,IF(T76="pct","",INDEX(Parameters!$D$5:$D$7,MATCH(B76,Parameters!$A$5:$A$7,0))))</f>
        <v/>
      </c>
      <c r="AG76" s="22" t="str">
        <f aca="false">IF(AND(R76="specific",ISNUMBER(S76)),S76/AF76,"")</f>
        <v/>
      </c>
      <c r="AH76" s="4"/>
      <c r="AI76" s="22" t="str">
        <f aca="false">IF(NOT(ISNUMBER(AH76)),"",IF(R76="specific",IF(ISNUMBER(AG76),AG76*AH76,""),IF(AND(R76="ad_valorem",ISNUMBER(AJ76)),S76*AJ76/INDEX(Parameters!$D$5:$D$7,MATCH(B76,Parameters!$A$5:$A$7,0))*AH76,"")))</f>
        <v/>
      </c>
      <c r="AJ76" s="4"/>
      <c r="AK76" s="4"/>
      <c r="AL76" s="24" t="str">
        <f aca="false">IF(NOT(ISNUMBER(AJ76)),"",IF(R76="specific",S76/AJ76,IF(R76="ad_valorem",S76,"")))</f>
        <v/>
      </c>
      <c r="AM76" s="4" t="s">
        <v>79</v>
      </c>
      <c r="AN76" s="4" t="s">
        <v>600</v>
      </c>
      <c r="AO76" s="25" t="n">
        <f aca="false">IF(AM76="","",IFERROR(INDEX(DQ_Scale!$B$5:$B$14,MATCH(AM76,DQ_Scale!$A$5:$A$14,0)),""))</f>
        <v>5</v>
      </c>
      <c r="AP76" s="4"/>
    </row>
    <row r="77" customFormat="false" ht="15" hidden="false" customHeight="false" outlineLevel="0" collapsed="false">
      <c r="A77" s="4" t="s">
        <v>919</v>
      </c>
      <c r="B77" s="4" t="s">
        <v>666</v>
      </c>
      <c r="C77" s="4" t="s">
        <v>3</v>
      </c>
      <c r="D77" s="4" t="s">
        <v>78</v>
      </c>
      <c r="E77" s="4" t="s">
        <v>420</v>
      </c>
      <c r="F77" s="4" t="s">
        <v>590</v>
      </c>
      <c r="G77" s="4" t="s">
        <v>207</v>
      </c>
      <c r="H77" s="4" t="s">
        <v>608</v>
      </c>
      <c r="I77" s="4" t="s">
        <v>191</v>
      </c>
      <c r="J77" s="4" t="n">
        <v>1</v>
      </c>
      <c r="K77" s="4" t="s">
        <v>920</v>
      </c>
      <c r="L77" s="4" t="s">
        <v>921</v>
      </c>
      <c r="M77" s="4" t="s">
        <v>907</v>
      </c>
      <c r="N77" s="4" t="s">
        <v>908</v>
      </c>
      <c r="O77" s="4" t="s">
        <v>669</v>
      </c>
      <c r="P77" s="4"/>
      <c r="Q77" s="4" t="s">
        <v>670</v>
      </c>
      <c r="R77" s="4" t="s">
        <v>774</v>
      </c>
      <c r="S77" s="31" t="n">
        <v>0.05</v>
      </c>
      <c r="T77" s="4" t="s">
        <v>775</v>
      </c>
      <c r="U77" s="4" t="s">
        <v>776</v>
      </c>
      <c r="V77" s="4" t="s">
        <v>909</v>
      </c>
      <c r="W77" s="4" t="s">
        <v>607</v>
      </c>
      <c r="X77" s="4" t="s">
        <v>675</v>
      </c>
      <c r="Y77" s="4"/>
      <c r="Z77" s="4"/>
      <c r="AA77" s="4"/>
      <c r="AB77" s="4"/>
      <c r="AC77" s="4"/>
      <c r="AD77" s="4"/>
      <c r="AE77" s="4"/>
      <c r="AF77" s="21" t="str">
        <f aca="false">IF(T77="USD",1,IF(T77="pct","",INDEX(Parameters!$D$5:$D$7,MATCH(B77,Parameters!$A$5:$A$7,0))))</f>
        <v/>
      </c>
      <c r="AG77" s="22" t="str">
        <f aca="false">IF(AND(R77="specific",ISNUMBER(S77)),S77/AF77,"")</f>
        <v/>
      </c>
      <c r="AH77" s="4"/>
      <c r="AI77" s="22" t="str">
        <f aca="false">IF(NOT(ISNUMBER(AH77)),"",IF(R77="specific",IF(ISNUMBER(AG77),AG77*AH77,""),IF(AND(R77="ad_valorem",ISNUMBER(AJ77)),S77*AJ77/INDEX(Parameters!$D$5:$D$7,MATCH(B77,Parameters!$A$5:$A$7,0))*AH77,"")))</f>
        <v/>
      </c>
      <c r="AJ77" s="4"/>
      <c r="AK77" s="4"/>
      <c r="AL77" s="24" t="str">
        <f aca="false">IF(NOT(ISNUMBER(AJ77)),"",IF(R77="specific",S77/AJ77,IF(R77="ad_valorem",S77,"")))</f>
        <v/>
      </c>
      <c r="AM77" s="4" t="s">
        <v>79</v>
      </c>
      <c r="AN77" s="4" t="s">
        <v>600</v>
      </c>
      <c r="AO77" s="25" t="n">
        <f aca="false">IF(AM77="","",IFERROR(INDEX(DQ_Scale!$B$5:$B$14,MATCH(AM77,DQ_Scale!$A$5:$A$14,0)),""))</f>
        <v>5</v>
      </c>
      <c r="AP77" s="4"/>
    </row>
    <row r="78" customFormat="false" ht="23.85" hidden="false" customHeight="false" outlineLevel="0" collapsed="false">
      <c r="A78" s="16" t="s">
        <v>922</v>
      </c>
      <c r="B78" s="16" t="s">
        <v>666</v>
      </c>
      <c r="C78" s="16" t="s">
        <v>3</v>
      </c>
      <c r="D78" s="16" t="s">
        <v>78</v>
      </c>
      <c r="E78" s="16" t="s">
        <v>420</v>
      </c>
      <c r="F78" s="16" t="s">
        <v>610</v>
      </c>
      <c r="G78" s="16" t="s">
        <v>611</v>
      </c>
      <c r="H78" s="16" t="s">
        <v>612</v>
      </c>
      <c r="I78" s="16" t="s">
        <v>191</v>
      </c>
      <c r="J78" s="16" t="n">
        <v>0</v>
      </c>
      <c r="K78" s="16" t="s">
        <v>923</v>
      </c>
      <c r="L78" s="16"/>
      <c r="M78" s="16"/>
      <c r="N78" s="16"/>
      <c r="O78" s="16" t="s">
        <v>686</v>
      </c>
      <c r="P78" s="16"/>
      <c r="Q78" s="16"/>
      <c r="R78" s="16" t="s">
        <v>687</v>
      </c>
      <c r="S78" s="2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27" t="n">
        <f aca="false">IF(T78="USD",1,IF(T78="pct","",INDEX(Parameters!$D$5:$D$7,MATCH(B78,Parameters!$A$5:$A$7,0))))</f>
        <v>22</v>
      </c>
      <c r="AG78" s="28" t="str">
        <f aca="false">IF(AND(R78="specific",ISNUMBER(S78)),S78/AF78,"")</f>
        <v/>
      </c>
      <c r="AH78" s="16"/>
      <c r="AI78" s="28" t="str">
        <f aca="false">IF(NOT(ISNUMBER(AH78)),"",IF(R78="specific",IF(ISNUMBER(AG78),AG78*AH78,""),IF(AND(R78="ad_valorem",ISNUMBER(AJ78)),S78*AJ78/INDEX(Parameters!$D$5:$D$7,MATCH(B78,Parameters!$A$5:$A$7,0))*AH78,"")))</f>
        <v/>
      </c>
      <c r="AJ78" s="16"/>
      <c r="AK78" s="16"/>
      <c r="AL78" s="29" t="str">
        <f aca="false">IF(NOT(ISNUMBER(AJ78)),"",IF(R78="specific",S78/AJ78,IF(R78="ad_valorem",S78,"")))</f>
        <v/>
      </c>
      <c r="AM78" s="16" t="s">
        <v>71</v>
      </c>
      <c r="AN78" s="16"/>
      <c r="AO78" s="30" t="n">
        <f aca="false">IF(AM78="","",IFERROR(INDEX(DQ_Scale!$B$5:$B$14,MATCH(AM78,DQ_Scale!$A$5:$A$14,0)),""))</f>
        <v>2</v>
      </c>
      <c r="AP78" s="16"/>
    </row>
    <row r="79" customFormat="false" ht="23.85" hidden="false" customHeight="false" outlineLevel="0" collapsed="false">
      <c r="A79" s="4" t="s">
        <v>924</v>
      </c>
      <c r="B79" s="4" t="s">
        <v>925</v>
      </c>
      <c r="C79" s="4" t="s">
        <v>4</v>
      </c>
      <c r="D79" s="4" t="s">
        <v>78</v>
      </c>
      <c r="E79" s="4" t="s">
        <v>365</v>
      </c>
      <c r="F79" s="4" t="s">
        <v>366</v>
      </c>
      <c r="G79" s="4" t="s">
        <v>367</v>
      </c>
      <c r="H79" s="4" t="s">
        <v>368</v>
      </c>
      <c r="I79" s="4" t="s">
        <v>369</v>
      </c>
      <c r="J79" s="4" t="n">
        <v>1</v>
      </c>
      <c r="K79" s="4" t="s">
        <v>926</v>
      </c>
      <c r="L79" s="4"/>
      <c r="M79" s="4" t="s">
        <v>927</v>
      </c>
      <c r="N79" s="4" t="s">
        <v>928</v>
      </c>
      <c r="O79" s="4" t="s">
        <v>669</v>
      </c>
      <c r="P79" s="4"/>
      <c r="Q79" s="4" t="s">
        <v>670</v>
      </c>
      <c r="R79" s="4" t="s">
        <v>671</v>
      </c>
      <c r="S79" s="20" t="n">
        <v>1550</v>
      </c>
      <c r="T79" s="4" t="s">
        <v>929</v>
      </c>
      <c r="U79" s="4" t="s">
        <v>673</v>
      </c>
      <c r="V79" s="4"/>
      <c r="W79" s="4" t="s">
        <v>930</v>
      </c>
      <c r="X79" s="4" t="s">
        <v>675</v>
      </c>
      <c r="Y79" s="4"/>
      <c r="Z79" s="4"/>
      <c r="AA79" s="4"/>
      <c r="AB79" s="4"/>
      <c r="AC79" s="4"/>
      <c r="AD79" s="4"/>
      <c r="AE79" s="4"/>
      <c r="AF79" s="21" t="n">
        <f aca="false">IF(T79="USD",1,IF(T79="pct","",INDEX(Parameters!$D$5:$D$7,MATCH(B79,Parameters!$A$5:$A$7,0))))</f>
        <v>3750</v>
      </c>
      <c r="AG79" s="22" t="n">
        <f aca="false">IF(AND(R79="specific",ISNUMBER(S79)),S79/AF79,"")</f>
        <v>0.413333333333333</v>
      </c>
      <c r="AH79" s="23" t="n">
        <v>1</v>
      </c>
      <c r="AI79" s="22" t="n">
        <f aca="false">IF(NOT(ISNUMBER(AH79)),"",IF(R79="specific",IF(ISNUMBER(AG79),AG79*AH79,""),IF(AND(R79="ad_valorem",ISNUMBER(AJ79)),S79*AJ79/INDEX(Parameters!$D$5:$D$7,MATCH(B79,Parameters!$A$5:$A$7,0))*AH79,"")))</f>
        <v>0.413333333333333</v>
      </c>
      <c r="AJ79" s="23" t="n">
        <v>5244</v>
      </c>
      <c r="AK79" s="4" t="s">
        <v>931</v>
      </c>
      <c r="AL79" s="24" t="n">
        <f aca="false">IF(NOT(ISNUMBER(AJ79)),"",IF(R79="specific",S79/AJ79,IF(R79="ad_valorem",S79,"")))</f>
        <v>0.295575896262395</v>
      </c>
      <c r="AM79" s="4" t="s">
        <v>71</v>
      </c>
      <c r="AN79" s="4"/>
      <c r="AO79" s="25" t="n">
        <f aca="false">IF(AM79="","",IFERROR(INDEX(DQ_Scale!$B$5:$B$14,MATCH(AM79,DQ_Scale!$A$5:$A$14,0)),""))</f>
        <v>2</v>
      </c>
      <c r="AP79" s="4"/>
    </row>
    <row r="80" customFormat="false" ht="23.85" hidden="false" customHeight="false" outlineLevel="0" collapsed="false">
      <c r="A80" s="4" t="s">
        <v>932</v>
      </c>
      <c r="B80" s="4" t="s">
        <v>925</v>
      </c>
      <c r="C80" s="4" t="s">
        <v>4</v>
      </c>
      <c r="D80" s="4" t="s">
        <v>78</v>
      </c>
      <c r="E80" s="4" t="s">
        <v>365</v>
      </c>
      <c r="F80" s="4" t="s">
        <v>366</v>
      </c>
      <c r="G80" s="4" t="s">
        <v>378</v>
      </c>
      <c r="H80" s="4" t="s">
        <v>379</v>
      </c>
      <c r="I80" s="4" t="s">
        <v>369</v>
      </c>
      <c r="J80" s="4" t="n">
        <v>1</v>
      </c>
      <c r="K80" s="4" t="s">
        <v>933</v>
      </c>
      <c r="L80" s="4"/>
      <c r="M80" s="4" t="s">
        <v>927</v>
      </c>
      <c r="N80" s="4" t="s">
        <v>928</v>
      </c>
      <c r="O80" s="4" t="s">
        <v>669</v>
      </c>
      <c r="P80" s="4"/>
      <c r="Q80" s="4" t="s">
        <v>670</v>
      </c>
      <c r="R80" s="4" t="s">
        <v>671</v>
      </c>
      <c r="S80" s="20" t="n">
        <v>1230</v>
      </c>
      <c r="T80" s="4" t="s">
        <v>929</v>
      </c>
      <c r="U80" s="4" t="s">
        <v>673</v>
      </c>
      <c r="V80" s="4"/>
      <c r="W80" s="4" t="s">
        <v>934</v>
      </c>
      <c r="X80" s="4" t="s">
        <v>675</v>
      </c>
      <c r="Y80" s="4"/>
      <c r="Z80" s="4"/>
      <c r="AA80" s="4"/>
      <c r="AB80" s="4"/>
      <c r="AC80" s="4"/>
      <c r="AD80" s="4"/>
      <c r="AE80" s="4"/>
      <c r="AF80" s="21" t="n">
        <f aca="false">IF(T80="USD",1,IF(T80="pct","",INDEX(Parameters!$D$5:$D$7,MATCH(B80,Parameters!$A$5:$A$7,0))))</f>
        <v>3750</v>
      </c>
      <c r="AG80" s="22" t="n">
        <f aca="false">IF(AND(R80="specific",ISNUMBER(S80)),S80/AF80,"")</f>
        <v>0.328</v>
      </c>
      <c r="AH80" s="23" t="n">
        <v>1</v>
      </c>
      <c r="AI80" s="22" t="n">
        <f aca="false">IF(NOT(ISNUMBER(AH80)),"",IF(R80="specific",IF(ISNUMBER(AG80),AG80*AH80,""),IF(AND(R80="ad_valorem",ISNUMBER(AJ80)),S80*AJ80/INDEX(Parameters!$D$5:$D$7,MATCH(B80,Parameters!$A$5:$A$7,0))*AH80,"")))</f>
        <v>0.328</v>
      </c>
      <c r="AJ80" s="23" t="n">
        <v>5100</v>
      </c>
      <c r="AK80" s="4" t="s">
        <v>935</v>
      </c>
      <c r="AL80" s="24" t="n">
        <f aca="false">IF(NOT(ISNUMBER(AJ80)),"",IF(R80="specific",S80/AJ80,IF(R80="ad_valorem",S80,"")))</f>
        <v>0.241176470588235</v>
      </c>
      <c r="AM80" s="4" t="s">
        <v>71</v>
      </c>
      <c r="AN80" s="4"/>
      <c r="AO80" s="25" t="n">
        <f aca="false">IF(AM80="","",IFERROR(INDEX(DQ_Scale!$B$5:$B$14,MATCH(AM80,DQ_Scale!$A$5:$A$14,0)),""))</f>
        <v>2</v>
      </c>
      <c r="AP80" s="4"/>
    </row>
    <row r="81" customFormat="false" ht="23.85" hidden="false" customHeight="false" outlineLevel="0" collapsed="false">
      <c r="A81" s="4" t="s">
        <v>936</v>
      </c>
      <c r="B81" s="4" t="s">
        <v>925</v>
      </c>
      <c r="C81" s="4" t="s">
        <v>4</v>
      </c>
      <c r="D81" s="4" t="s">
        <v>78</v>
      </c>
      <c r="E81" s="4" t="s">
        <v>365</v>
      </c>
      <c r="F81" s="4" t="s">
        <v>366</v>
      </c>
      <c r="G81" s="4" t="s">
        <v>378</v>
      </c>
      <c r="H81" s="4" t="s">
        <v>379</v>
      </c>
      <c r="I81" s="4" t="s">
        <v>369</v>
      </c>
      <c r="J81" s="4" t="n">
        <v>1</v>
      </c>
      <c r="K81" s="4" t="s">
        <v>937</v>
      </c>
      <c r="L81" s="4"/>
      <c r="M81" s="4" t="s">
        <v>927</v>
      </c>
      <c r="N81" s="4" t="s">
        <v>928</v>
      </c>
      <c r="O81" s="4" t="s">
        <v>669</v>
      </c>
      <c r="P81" s="4"/>
      <c r="Q81" s="4" t="s">
        <v>670</v>
      </c>
      <c r="R81" s="4" t="s">
        <v>671</v>
      </c>
      <c r="S81" s="20" t="n">
        <v>0</v>
      </c>
      <c r="T81" s="4" t="s">
        <v>929</v>
      </c>
      <c r="U81" s="4" t="s">
        <v>673</v>
      </c>
      <c r="V81" s="4"/>
      <c r="W81" s="4" t="s">
        <v>938</v>
      </c>
      <c r="X81" s="4" t="s">
        <v>675</v>
      </c>
      <c r="Y81" s="4"/>
      <c r="Z81" s="4"/>
      <c r="AA81" s="4"/>
      <c r="AB81" s="4"/>
      <c r="AC81" s="4"/>
      <c r="AD81" s="4"/>
      <c r="AE81" s="4" t="s">
        <v>939</v>
      </c>
      <c r="AF81" s="21" t="n">
        <f aca="false">IF(T81="USD",1,IF(T81="pct","",INDEX(Parameters!$D$5:$D$7,MATCH(B81,Parameters!$A$5:$A$7,0))))</f>
        <v>3750</v>
      </c>
      <c r="AG81" s="22" t="n">
        <f aca="false">IF(AND(R81="specific",ISNUMBER(S81)),S81/AF81,"")</f>
        <v>0</v>
      </c>
      <c r="AH81" s="23" t="n">
        <v>1</v>
      </c>
      <c r="AI81" s="22" t="n">
        <f aca="false">IF(NOT(ISNUMBER(AH81)),"",IF(R81="specific",IF(ISNUMBER(AG81),AG81*AH81,""),IF(AND(R81="ad_valorem",ISNUMBER(AJ81)),S81*AJ81/INDEX(Parameters!$D$5:$D$7,MATCH(B81,Parameters!$A$5:$A$7,0))*AH81,"")))</f>
        <v>0</v>
      </c>
      <c r="AJ81" s="4"/>
      <c r="AK81" s="4"/>
      <c r="AL81" s="24" t="str">
        <f aca="false">IF(NOT(ISNUMBER(AJ81)),"",IF(R81="specific",S81/AJ81,IF(R81="ad_valorem",S81,"")))</f>
        <v/>
      </c>
      <c r="AM81" s="4" t="s">
        <v>71</v>
      </c>
      <c r="AN81" s="4"/>
      <c r="AO81" s="25" t="n">
        <f aca="false">IF(AM81="","",IFERROR(INDEX(DQ_Scale!$B$5:$B$14,MATCH(AM81,DQ_Scale!$A$5:$A$14,0)),""))</f>
        <v>2</v>
      </c>
      <c r="AP81" s="4"/>
    </row>
    <row r="82" customFormat="false" ht="23.85" hidden="false" customHeight="false" outlineLevel="0" collapsed="false">
      <c r="A82" s="4" t="s">
        <v>940</v>
      </c>
      <c r="B82" s="4" t="s">
        <v>925</v>
      </c>
      <c r="C82" s="4" t="s">
        <v>4</v>
      </c>
      <c r="D82" s="4" t="s">
        <v>78</v>
      </c>
      <c r="E82" s="4" t="s">
        <v>365</v>
      </c>
      <c r="F82" s="4" t="s">
        <v>366</v>
      </c>
      <c r="G82" s="4" t="s">
        <v>387</v>
      </c>
      <c r="H82" s="4" t="s">
        <v>388</v>
      </c>
      <c r="I82" s="4" t="s">
        <v>369</v>
      </c>
      <c r="J82" s="4" t="n">
        <v>1</v>
      </c>
      <c r="K82" s="4" t="s">
        <v>941</v>
      </c>
      <c r="L82" s="4"/>
      <c r="M82" s="4" t="s">
        <v>927</v>
      </c>
      <c r="N82" s="4" t="s">
        <v>928</v>
      </c>
      <c r="O82" s="4" t="s">
        <v>669</v>
      </c>
      <c r="P82" s="4"/>
      <c r="Q82" s="4" t="s">
        <v>670</v>
      </c>
      <c r="R82" s="4" t="s">
        <v>671</v>
      </c>
      <c r="S82" s="20" t="n">
        <v>200</v>
      </c>
      <c r="T82" s="4" t="s">
        <v>929</v>
      </c>
      <c r="U82" s="4" t="s">
        <v>673</v>
      </c>
      <c r="V82" s="4"/>
      <c r="W82" s="4" t="s">
        <v>942</v>
      </c>
      <c r="X82" s="4" t="s">
        <v>675</v>
      </c>
      <c r="Y82" s="4"/>
      <c r="Z82" s="4"/>
      <c r="AA82" s="4"/>
      <c r="AB82" s="4"/>
      <c r="AC82" s="4"/>
      <c r="AD82" s="4"/>
      <c r="AE82" s="4"/>
      <c r="AF82" s="21" t="n">
        <f aca="false">IF(T82="USD",1,IF(T82="pct","",INDEX(Parameters!$D$5:$D$7,MATCH(B82,Parameters!$A$5:$A$7,0))))</f>
        <v>3750</v>
      </c>
      <c r="AG82" s="22" t="n">
        <f aca="false">IF(AND(R82="specific",ISNUMBER(S82)),S82/AF82,"")</f>
        <v>0.0533333333333333</v>
      </c>
      <c r="AH82" s="23" t="n">
        <v>1</v>
      </c>
      <c r="AI82" s="22" t="n">
        <f aca="false">IF(NOT(ISNUMBER(AH82)),"",IF(R82="specific",IF(ISNUMBER(AG82),AG82*AH82,""),IF(AND(R82="ad_valorem",ISNUMBER(AJ82)),S82*AJ82/INDEX(Parameters!$D$5:$D$7,MATCH(B82,Parameters!$A$5:$A$7,0))*AH82,"")))</f>
        <v>0.0533333333333333</v>
      </c>
      <c r="AJ82" s="23" t="n">
        <v>4000</v>
      </c>
      <c r="AK82" s="4" t="s">
        <v>943</v>
      </c>
      <c r="AL82" s="24" t="n">
        <f aca="false">IF(NOT(ISNUMBER(AJ82)),"",IF(R82="specific",S82/AJ82,IF(R82="ad_valorem",S82,"")))</f>
        <v>0.05</v>
      </c>
      <c r="AM82" s="4" t="s">
        <v>71</v>
      </c>
      <c r="AN82" s="4"/>
      <c r="AO82" s="25" t="n">
        <f aca="false">IF(AM82="","",IFERROR(INDEX(DQ_Scale!$B$5:$B$14,MATCH(AM82,DQ_Scale!$A$5:$A$14,0)),""))</f>
        <v>2</v>
      </c>
      <c r="AP82" s="4"/>
    </row>
    <row r="83" customFormat="false" ht="23.85" hidden="false" customHeight="false" outlineLevel="0" collapsed="false">
      <c r="A83" s="4" t="s">
        <v>944</v>
      </c>
      <c r="B83" s="4" t="s">
        <v>925</v>
      </c>
      <c r="C83" s="4" t="s">
        <v>4</v>
      </c>
      <c r="D83" s="4" t="s">
        <v>78</v>
      </c>
      <c r="E83" s="4" t="s">
        <v>365</v>
      </c>
      <c r="F83" s="4" t="s">
        <v>366</v>
      </c>
      <c r="G83" s="4" t="s">
        <v>399</v>
      </c>
      <c r="H83" s="4" t="s">
        <v>400</v>
      </c>
      <c r="I83" s="4" t="s">
        <v>369</v>
      </c>
      <c r="J83" s="4" t="n">
        <v>1</v>
      </c>
      <c r="K83" s="4" t="s">
        <v>945</v>
      </c>
      <c r="L83" s="4"/>
      <c r="M83" s="4" t="s">
        <v>927</v>
      </c>
      <c r="N83" s="4" t="s">
        <v>928</v>
      </c>
      <c r="O83" s="4" t="s">
        <v>669</v>
      </c>
      <c r="P83" s="4"/>
      <c r="Q83" s="4" t="s">
        <v>670</v>
      </c>
      <c r="R83" s="4" t="s">
        <v>671</v>
      </c>
      <c r="S83" s="20" t="n">
        <v>630</v>
      </c>
      <c r="T83" s="4" t="s">
        <v>929</v>
      </c>
      <c r="U83" s="4" t="s">
        <v>673</v>
      </c>
      <c r="V83" s="4"/>
      <c r="W83" s="4" t="s">
        <v>946</v>
      </c>
      <c r="X83" s="4" t="s">
        <v>675</v>
      </c>
      <c r="Y83" s="4"/>
      <c r="Z83" s="4"/>
      <c r="AA83" s="4"/>
      <c r="AB83" s="4"/>
      <c r="AC83" s="4"/>
      <c r="AD83" s="4"/>
      <c r="AE83" s="4"/>
      <c r="AF83" s="21" t="n">
        <f aca="false">IF(T83="USD",1,IF(T83="pct","",INDEX(Parameters!$D$5:$D$7,MATCH(B83,Parameters!$A$5:$A$7,0))))</f>
        <v>3750</v>
      </c>
      <c r="AG83" s="22" t="n">
        <f aca="false">IF(AND(R83="specific",ISNUMBER(S83)),S83/AF83,"")</f>
        <v>0.168</v>
      </c>
      <c r="AH83" s="23" t="n">
        <v>1</v>
      </c>
      <c r="AI83" s="22" t="n">
        <f aca="false">IF(NOT(ISNUMBER(AH83)),"",IF(R83="specific",IF(ISNUMBER(AG83),AG83*AH83,""),IF(AND(R83="ad_valorem",ISNUMBER(AJ83)),S83*AJ83/INDEX(Parameters!$D$5:$D$7,MATCH(B83,Parameters!$A$5:$A$7,0))*AH83,"")))</f>
        <v>0.168</v>
      </c>
      <c r="AJ83" s="4"/>
      <c r="AK83" s="4"/>
      <c r="AL83" s="24" t="str">
        <f aca="false">IF(NOT(ISNUMBER(AJ83)),"",IF(R83="specific",S83/AJ83,IF(R83="ad_valorem",S83,"")))</f>
        <v/>
      </c>
      <c r="AM83" s="4" t="s">
        <v>71</v>
      </c>
      <c r="AN83" s="4"/>
      <c r="AO83" s="25" t="n">
        <f aca="false">IF(AM83="","",IFERROR(INDEX(DQ_Scale!$B$5:$B$14,MATCH(AM83,DQ_Scale!$A$5:$A$14,0)),""))</f>
        <v>2</v>
      </c>
      <c r="AP83" s="4"/>
    </row>
    <row r="84" customFormat="false" ht="23.85" hidden="false" customHeight="false" outlineLevel="0" collapsed="false">
      <c r="A84" s="4" t="s">
        <v>947</v>
      </c>
      <c r="B84" s="4" t="s">
        <v>925</v>
      </c>
      <c r="C84" s="4" t="s">
        <v>4</v>
      </c>
      <c r="D84" s="4" t="s">
        <v>78</v>
      </c>
      <c r="E84" s="4" t="s">
        <v>365</v>
      </c>
      <c r="F84" s="4" t="s">
        <v>366</v>
      </c>
      <c r="G84" s="4" t="s">
        <v>399</v>
      </c>
      <c r="H84" s="4" t="s">
        <v>400</v>
      </c>
      <c r="I84" s="4" t="s">
        <v>369</v>
      </c>
      <c r="J84" s="4" t="n">
        <v>1</v>
      </c>
      <c r="K84" s="4" t="s">
        <v>948</v>
      </c>
      <c r="L84" s="4"/>
      <c r="M84" s="4" t="s">
        <v>927</v>
      </c>
      <c r="N84" s="4" t="s">
        <v>928</v>
      </c>
      <c r="O84" s="4" t="s">
        <v>669</v>
      </c>
      <c r="P84" s="4"/>
      <c r="Q84" s="4" t="s">
        <v>670</v>
      </c>
      <c r="R84" s="4" t="s">
        <v>671</v>
      </c>
      <c r="S84" s="20" t="n">
        <v>0</v>
      </c>
      <c r="T84" s="4" t="s">
        <v>929</v>
      </c>
      <c r="U84" s="4" t="s">
        <v>673</v>
      </c>
      <c r="V84" s="4"/>
      <c r="W84" s="4" t="s">
        <v>938</v>
      </c>
      <c r="X84" s="4" t="s">
        <v>675</v>
      </c>
      <c r="Y84" s="4"/>
      <c r="Z84" s="4"/>
      <c r="AA84" s="4"/>
      <c r="AB84" s="4"/>
      <c r="AC84" s="4"/>
      <c r="AD84" s="4"/>
      <c r="AE84" s="4" t="s">
        <v>949</v>
      </c>
      <c r="AF84" s="21" t="n">
        <f aca="false">IF(T84="USD",1,IF(T84="pct","",INDEX(Parameters!$D$5:$D$7,MATCH(B84,Parameters!$A$5:$A$7,0))))</f>
        <v>3750</v>
      </c>
      <c r="AG84" s="22" t="n">
        <f aca="false">IF(AND(R84="specific",ISNUMBER(S84)),S84/AF84,"")</f>
        <v>0</v>
      </c>
      <c r="AH84" s="23" t="n">
        <v>1</v>
      </c>
      <c r="AI84" s="22" t="n">
        <f aca="false">IF(NOT(ISNUMBER(AH84)),"",IF(R84="specific",IF(ISNUMBER(AG84),AG84*AH84,""),IF(AND(R84="ad_valorem",ISNUMBER(AJ84)),S84*AJ84/INDEX(Parameters!$D$5:$D$7,MATCH(B84,Parameters!$A$5:$A$7,0))*AH84,"")))</f>
        <v>0</v>
      </c>
      <c r="AJ84" s="4"/>
      <c r="AK84" s="4"/>
      <c r="AL84" s="24" t="str">
        <f aca="false">IF(NOT(ISNUMBER(AJ84)),"",IF(R84="specific",S84/AJ84,IF(R84="ad_valorem",S84,"")))</f>
        <v/>
      </c>
      <c r="AM84" s="4" t="s">
        <v>71</v>
      </c>
      <c r="AN84" s="4"/>
      <c r="AO84" s="25" t="n">
        <f aca="false">IF(AM84="","",IFERROR(INDEX(DQ_Scale!$B$5:$B$14,MATCH(AM84,DQ_Scale!$A$5:$A$14,0)),""))</f>
        <v>2</v>
      </c>
      <c r="AP84" s="4"/>
    </row>
    <row r="85" customFormat="false" ht="23.85" hidden="false" customHeight="false" outlineLevel="0" collapsed="false">
      <c r="A85" s="4" t="s">
        <v>950</v>
      </c>
      <c r="B85" s="4" t="s">
        <v>925</v>
      </c>
      <c r="C85" s="4" t="s">
        <v>4</v>
      </c>
      <c r="D85" s="4" t="s">
        <v>78</v>
      </c>
      <c r="E85" s="4" t="s">
        <v>365</v>
      </c>
      <c r="F85" s="4" t="s">
        <v>366</v>
      </c>
      <c r="G85" s="4" t="s">
        <v>406</v>
      </c>
      <c r="H85" s="4" t="s">
        <v>407</v>
      </c>
      <c r="I85" s="4" t="s">
        <v>369</v>
      </c>
      <c r="J85" s="4" t="n">
        <v>1</v>
      </c>
      <c r="K85" s="4" t="s">
        <v>951</v>
      </c>
      <c r="L85" s="4"/>
      <c r="M85" s="4" t="s">
        <v>927</v>
      </c>
      <c r="N85" s="4" t="s">
        <v>928</v>
      </c>
      <c r="O85" s="4" t="s">
        <v>669</v>
      </c>
      <c r="P85" s="4"/>
      <c r="Q85" s="4" t="s">
        <v>670</v>
      </c>
      <c r="R85" s="4" t="s">
        <v>671</v>
      </c>
      <c r="S85" s="20" t="n">
        <v>630</v>
      </c>
      <c r="T85" s="4" t="s">
        <v>929</v>
      </c>
      <c r="U85" s="4" t="s">
        <v>673</v>
      </c>
      <c r="V85" s="4"/>
      <c r="W85" s="4" t="s">
        <v>946</v>
      </c>
      <c r="X85" s="4" t="s">
        <v>675</v>
      </c>
      <c r="Y85" s="4"/>
      <c r="Z85" s="4"/>
      <c r="AA85" s="4"/>
      <c r="AB85" s="4"/>
      <c r="AC85" s="4"/>
      <c r="AD85" s="4"/>
      <c r="AE85" s="4"/>
      <c r="AF85" s="21" t="n">
        <f aca="false">IF(T85="USD",1,IF(T85="pct","",INDEX(Parameters!$D$5:$D$7,MATCH(B85,Parameters!$A$5:$A$7,0))))</f>
        <v>3750</v>
      </c>
      <c r="AG85" s="22" t="n">
        <f aca="false">IF(AND(R85="specific",ISNUMBER(S85)),S85/AF85,"")</f>
        <v>0.168</v>
      </c>
      <c r="AH85" s="23" t="n">
        <v>1</v>
      </c>
      <c r="AI85" s="22" t="n">
        <f aca="false">IF(NOT(ISNUMBER(AH85)),"",IF(R85="specific",IF(ISNUMBER(AG85),AG85*AH85,""),IF(AND(R85="ad_valorem",ISNUMBER(AJ85)),S85*AJ85/INDEX(Parameters!$D$5:$D$7,MATCH(B85,Parameters!$A$5:$A$7,0))*AH85,"")))</f>
        <v>0.168</v>
      </c>
      <c r="AJ85" s="4"/>
      <c r="AK85" s="4"/>
      <c r="AL85" s="24" t="str">
        <f aca="false">IF(NOT(ISNUMBER(AJ85)),"",IF(R85="specific",S85/AJ85,IF(R85="ad_valorem",S85,"")))</f>
        <v/>
      </c>
      <c r="AM85" s="4" t="s">
        <v>71</v>
      </c>
      <c r="AN85" s="4"/>
      <c r="AO85" s="25" t="n">
        <f aca="false">IF(AM85="","",IFERROR(INDEX(DQ_Scale!$B$5:$B$14,MATCH(AM85,DQ_Scale!$A$5:$A$14,0)),""))</f>
        <v>2</v>
      </c>
      <c r="AP85" s="4"/>
    </row>
    <row r="86" customFormat="false" ht="23.85" hidden="false" customHeight="false" outlineLevel="0" collapsed="false">
      <c r="A86" s="4" t="s">
        <v>952</v>
      </c>
      <c r="B86" s="4" t="s">
        <v>925</v>
      </c>
      <c r="C86" s="4" t="s">
        <v>4</v>
      </c>
      <c r="D86" s="4" t="s">
        <v>78</v>
      </c>
      <c r="E86" s="4" t="s">
        <v>365</v>
      </c>
      <c r="F86" s="4" t="s">
        <v>366</v>
      </c>
      <c r="G86" s="4" t="s">
        <v>413</v>
      </c>
      <c r="H86" s="4" t="s">
        <v>414</v>
      </c>
      <c r="I86" s="4" t="s">
        <v>369</v>
      </c>
      <c r="J86" s="4" t="n">
        <v>1</v>
      </c>
      <c r="K86" s="4" t="s">
        <v>953</v>
      </c>
      <c r="L86" s="4"/>
      <c r="M86" s="4" t="s">
        <v>927</v>
      </c>
      <c r="N86" s="4" t="s">
        <v>928</v>
      </c>
      <c r="O86" s="4" t="s">
        <v>669</v>
      </c>
      <c r="P86" s="4"/>
      <c r="Q86" s="4" t="s">
        <v>670</v>
      </c>
      <c r="R86" s="4" t="s">
        <v>774</v>
      </c>
      <c r="S86" s="31" t="n">
        <v>0.15</v>
      </c>
      <c r="T86" s="4" t="s">
        <v>775</v>
      </c>
      <c r="U86" s="4" t="s">
        <v>776</v>
      </c>
      <c r="V86" s="4" t="s">
        <v>909</v>
      </c>
      <c r="W86" s="4" t="s">
        <v>788</v>
      </c>
      <c r="X86" s="4" t="s">
        <v>675</v>
      </c>
      <c r="Y86" s="4"/>
      <c r="Z86" s="4"/>
      <c r="AA86" s="4"/>
      <c r="AB86" s="4"/>
      <c r="AC86" s="4"/>
      <c r="AD86" s="4"/>
      <c r="AE86" s="4" t="s">
        <v>954</v>
      </c>
      <c r="AF86" s="21" t="str">
        <f aca="false">IF(T86="USD",1,IF(T86="pct","",INDEX(Parameters!$D$5:$D$7,MATCH(B86,Parameters!$A$5:$A$7,0))))</f>
        <v/>
      </c>
      <c r="AG86" s="22" t="str">
        <f aca="false">IF(AND(R86="specific",ISNUMBER(S86)),S86/AF86,"")</f>
        <v/>
      </c>
      <c r="AH86" s="4"/>
      <c r="AI86" s="22" t="str">
        <f aca="false">IF(NOT(ISNUMBER(AH86)),"",IF(R86="specific",IF(ISNUMBER(AG86),AG86*AH86,""),IF(AND(R86="ad_valorem",ISNUMBER(AJ86)),S86*AJ86/INDEX(Parameters!$D$5:$D$7,MATCH(B86,Parameters!$A$5:$A$7,0))*AH86,"")))</f>
        <v/>
      </c>
      <c r="AJ86" s="4"/>
      <c r="AK86" s="4"/>
      <c r="AL86" s="24" t="str">
        <f aca="false">IF(NOT(ISNUMBER(AJ86)),"",IF(R86="specific",S86/AJ86,IF(R86="ad_valorem",S86,"")))</f>
        <v/>
      </c>
      <c r="AM86" s="4" t="s">
        <v>71</v>
      </c>
      <c r="AN86" s="4"/>
      <c r="AO86" s="25" t="n">
        <f aca="false">IF(AM86="","",IFERROR(INDEX(DQ_Scale!$B$5:$B$14,MATCH(AM86,DQ_Scale!$A$5:$A$14,0)),""))</f>
        <v>2</v>
      </c>
      <c r="AP86" s="4"/>
    </row>
    <row r="87" customFormat="false" ht="23.85" hidden="false" customHeight="false" outlineLevel="0" collapsed="false">
      <c r="A87" s="4" t="s">
        <v>955</v>
      </c>
      <c r="B87" s="4" t="s">
        <v>925</v>
      </c>
      <c r="C87" s="4" t="s">
        <v>4</v>
      </c>
      <c r="D87" s="4" t="s">
        <v>78</v>
      </c>
      <c r="E87" s="4" t="s">
        <v>420</v>
      </c>
      <c r="F87" s="4" t="s">
        <v>366</v>
      </c>
      <c r="G87" s="4" t="s">
        <v>421</v>
      </c>
      <c r="H87" s="4" t="s">
        <v>422</v>
      </c>
      <c r="I87" s="4" t="s">
        <v>423</v>
      </c>
      <c r="J87" s="4" t="n">
        <v>1</v>
      </c>
      <c r="K87" s="4" t="s">
        <v>956</v>
      </c>
      <c r="L87" s="4"/>
      <c r="M87" s="4" t="s">
        <v>927</v>
      </c>
      <c r="N87" s="4" t="s">
        <v>928</v>
      </c>
      <c r="O87" s="4" t="s">
        <v>669</v>
      </c>
      <c r="P87" s="4" t="s">
        <v>957</v>
      </c>
      <c r="Q87" s="4" t="s">
        <v>958</v>
      </c>
      <c r="R87" s="4" t="s">
        <v>774</v>
      </c>
      <c r="S87" s="31" t="n">
        <v>0.025</v>
      </c>
      <c r="T87" s="4" t="s">
        <v>775</v>
      </c>
      <c r="U87" s="4" t="s">
        <v>776</v>
      </c>
      <c r="V87" s="4" t="s">
        <v>909</v>
      </c>
      <c r="W87" s="4" t="s">
        <v>959</v>
      </c>
      <c r="X87" s="4" t="s">
        <v>675</v>
      </c>
      <c r="Y87" s="4"/>
      <c r="Z87" s="4"/>
      <c r="AA87" s="4"/>
      <c r="AB87" s="4"/>
      <c r="AC87" s="4"/>
      <c r="AD87" s="4"/>
      <c r="AE87" s="4"/>
      <c r="AF87" s="21" t="str">
        <f aca="false">IF(T87="USD",1,IF(T87="pct","",INDEX(Parameters!$D$5:$D$7,MATCH(B87,Parameters!$A$5:$A$7,0))))</f>
        <v/>
      </c>
      <c r="AG87" s="22" t="str">
        <f aca="false">IF(AND(R87="specific",ISNUMBER(S87)),S87/AF87,"")</f>
        <v/>
      </c>
      <c r="AH87" s="4"/>
      <c r="AI87" s="22" t="str">
        <f aca="false">IF(NOT(ISNUMBER(AH87)),"",IF(R87="specific",IF(ISNUMBER(AG87),AG87*AH87,""),IF(AND(R87="ad_valorem",ISNUMBER(AJ87)),S87*AJ87/INDEX(Parameters!$D$5:$D$7,MATCH(B87,Parameters!$A$5:$A$7,0))*AH87,"")))</f>
        <v/>
      </c>
      <c r="AJ87" s="4"/>
      <c r="AK87" s="4"/>
      <c r="AL87" s="24" t="str">
        <f aca="false">IF(NOT(ISNUMBER(AJ87)),"",IF(R87="specific",S87/AJ87,IF(R87="ad_valorem",S87,"")))</f>
        <v/>
      </c>
      <c r="AM87" s="4" t="s">
        <v>71</v>
      </c>
      <c r="AN87" s="4"/>
      <c r="AO87" s="25" t="n">
        <f aca="false">IF(AM87="","",IFERROR(INDEX(DQ_Scale!$B$5:$B$14,MATCH(AM87,DQ_Scale!$A$5:$A$14,0)),""))</f>
        <v>2</v>
      </c>
      <c r="AP87" s="4"/>
    </row>
    <row r="88" customFormat="false" ht="23.85" hidden="false" customHeight="false" outlineLevel="0" collapsed="false">
      <c r="A88" s="4" t="s">
        <v>960</v>
      </c>
      <c r="B88" s="4" t="s">
        <v>925</v>
      </c>
      <c r="C88" s="4" t="s">
        <v>4</v>
      </c>
      <c r="D88" s="4" t="s">
        <v>78</v>
      </c>
      <c r="E88" s="4" t="s">
        <v>420</v>
      </c>
      <c r="F88" s="4" t="s">
        <v>366</v>
      </c>
      <c r="G88" s="4" t="s">
        <v>421</v>
      </c>
      <c r="H88" s="4" t="s">
        <v>422</v>
      </c>
      <c r="I88" s="4" t="s">
        <v>423</v>
      </c>
      <c r="J88" s="4" t="n">
        <v>1</v>
      </c>
      <c r="K88" s="4" t="s">
        <v>956</v>
      </c>
      <c r="L88" s="4"/>
      <c r="M88" s="4" t="s">
        <v>927</v>
      </c>
      <c r="N88" s="4" t="s">
        <v>928</v>
      </c>
      <c r="O88" s="4" t="s">
        <v>669</v>
      </c>
      <c r="P88" s="4" t="s">
        <v>957</v>
      </c>
      <c r="Q88" s="4" t="s">
        <v>958</v>
      </c>
      <c r="R88" s="4" t="s">
        <v>671</v>
      </c>
      <c r="S88" s="20" t="n">
        <v>70</v>
      </c>
      <c r="T88" s="4" t="s">
        <v>716</v>
      </c>
      <c r="U88" s="4" t="s">
        <v>961</v>
      </c>
      <c r="V88" s="4"/>
      <c r="W88" s="4" t="s">
        <v>959</v>
      </c>
      <c r="X88" s="4" t="s">
        <v>675</v>
      </c>
      <c r="Y88" s="4"/>
      <c r="Z88" s="4"/>
      <c r="AA88" s="4"/>
      <c r="AB88" s="4"/>
      <c r="AC88" s="4"/>
      <c r="AD88" s="4"/>
      <c r="AE88" s="4"/>
      <c r="AF88" s="21" t="n">
        <f aca="false">IF(T88="USD",1,IF(T88="pct","",INDEX(Parameters!$D$5:$D$7,MATCH(B88,Parameters!$A$5:$A$7,0))))</f>
        <v>1</v>
      </c>
      <c r="AG88" s="22" t="n">
        <f aca="false">IF(AND(R88="specific",ISNUMBER(S88)),S88/AF88,"")</f>
        <v>70</v>
      </c>
      <c r="AH88" s="23" t="n">
        <v>0.001</v>
      </c>
      <c r="AI88" s="22" t="n">
        <f aca="false">IF(NOT(ISNUMBER(AH88)),"",IF(R88="specific",IF(ISNUMBER(AG88),AG88*AH88,""),IF(AND(R88="ad_valorem",ISNUMBER(AJ88)),S88*AJ88/INDEX(Parameters!$D$5:$D$7,MATCH(B88,Parameters!$A$5:$A$7,0))*AH88,"")))</f>
        <v>0.07</v>
      </c>
      <c r="AJ88" s="4"/>
      <c r="AK88" s="4"/>
      <c r="AL88" s="24" t="str">
        <f aca="false">IF(NOT(ISNUMBER(AJ88)),"",IF(R88="specific",S88/AJ88,IF(R88="ad_valorem",S88,"")))</f>
        <v/>
      </c>
      <c r="AM88" s="4" t="s">
        <v>71</v>
      </c>
      <c r="AN88" s="4"/>
      <c r="AO88" s="25" t="n">
        <f aca="false">IF(AM88="","",IFERROR(INDEX(DQ_Scale!$B$5:$B$14,MATCH(AM88,DQ_Scale!$A$5:$A$14,0)),""))</f>
        <v>2</v>
      </c>
      <c r="AP88" s="4" t="s">
        <v>962</v>
      </c>
    </row>
    <row r="89" customFormat="false" ht="23.85" hidden="false" customHeight="false" outlineLevel="0" collapsed="false">
      <c r="A89" s="4" t="s">
        <v>963</v>
      </c>
      <c r="B89" s="4" t="s">
        <v>925</v>
      </c>
      <c r="C89" s="4" t="s">
        <v>4</v>
      </c>
      <c r="D89" s="4" t="s">
        <v>78</v>
      </c>
      <c r="E89" s="4" t="s">
        <v>420</v>
      </c>
      <c r="F89" s="4" t="s">
        <v>366</v>
      </c>
      <c r="G89" s="4" t="s">
        <v>421</v>
      </c>
      <c r="H89" s="4" t="s">
        <v>422</v>
      </c>
      <c r="I89" s="4" t="s">
        <v>423</v>
      </c>
      <c r="J89" s="4" t="n">
        <v>1</v>
      </c>
      <c r="K89" s="4" t="s">
        <v>964</v>
      </c>
      <c r="L89" s="4"/>
      <c r="M89" s="4" t="s">
        <v>927</v>
      </c>
      <c r="N89" s="4" t="s">
        <v>928</v>
      </c>
      <c r="O89" s="4" t="s">
        <v>669</v>
      </c>
      <c r="P89" s="4"/>
      <c r="Q89" s="4" t="s">
        <v>670</v>
      </c>
      <c r="R89" s="4" t="s">
        <v>671</v>
      </c>
      <c r="S89" s="20" t="n">
        <v>10000</v>
      </c>
      <c r="T89" s="4" t="s">
        <v>929</v>
      </c>
      <c r="U89" s="4" t="s">
        <v>701</v>
      </c>
      <c r="V89" s="4"/>
      <c r="W89" s="4" t="s">
        <v>965</v>
      </c>
      <c r="X89" s="4" t="s">
        <v>675</v>
      </c>
      <c r="Y89" s="4"/>
      <c r="Z89" s="4"/>
      <c r="AA89" s="4"/>
      <c r="AB89" s="4"/>
      <c r="AC89" s="4"/>
      <c r="AD89" s="4"/>
      <c r="AE89" s="4"/>
      <c r="AF89" s="21" t="n">
        <f aca="false">IF(T89="USD",1,IF(T89="pct","",INDEX(Parameters!$D$5:$D$7,MATCH(B89,Parameters!$A$5:$A$7,0))))</f>
        <v>3750</v>
      </c>
      <c r="AG89" s="22" t="n">
        <f aca="false">IF(AND(R89="specific",ISNUMBER(S89)),S89/AF89,"")</f>
        <v>2.66666666666667</v>
      </c>
      <c r="AH89" s="23" t="n">
        <v>1</v>
      </c>
      <c r="AI89" s="22" t="n">
        <f aca="false">IF(NOT(ISNUMBER(AH89)),"",IF(R89="specific",IF(ISNUMBER(AG89),AG89*AH89,""),IF(AND(R89="ad_valorem",ISNUMBER(AJ89)),S89*AJ89/INDEX(Parameters!$D$5:$D$7,MATCH(B89,Parameters!$A$5:$A$7,0))*AH89,"")))</f>
        <v>2.66666666666667</v>
      </c>
      <c r="AJ89" s="4"/>
      <c r="AK89" s="4"/>
      <c r="AL89" s="24" t="str">
        <f aca="false">IF(NOT(ISNUMBER(AJ89)),"",IF(R89="specific",S89/AJ89,IF(R89="ad_valorem",S89,"")))</f>
        <v/>
      </c>
      <c r="AM89" s="4" t="s">
        <v>71</v>
      </c>
      <c r="AN89" s="4"/>
      <c r="AO89" s="25" t="n">
        <f aca="false">IF(AM89="","",IFERROR(INDEX(DQ_Scale!$B$5:$B$14,MATCH(AM89,DQ_Scale!$A$5:$A$14,0)),""))</f>
        <v>2</v>
      </c>
      <c r="AP89" s="4" t="s">
        <v>966</v>
      </c>
    </row>
    <row r="90" customFormat="false" ht="15" hidden="false" customHeight="false" outlineLevel="0" collapsed="false">
      <c r="A90" s="16" t="s">
        <v>967</v>
      </c>
      <c r="B90" s="16" t="s">
        <v>925</v>
      </c>
      <c r="C90" s="16" t="s">
        <v>4</v>
      </c>
      <c r="D90" s="16" t="s">
        <v>78</v>
      </c>
      <c r="E90" s="16" t="s">
        <v>429</v>
      </c>
      <c r="F90" s="16" t="s">
        <v>366</v>
      </c>
      <c r="G90" s="16" t="s">
        <v>430</v>
      </c>
      <c r="H90" s="16" t="s">
        <v>431</v>
      </c>
      <c r="I90" s="16" t="s">
        <v>432</v>
      </c>
      <c r="J90" s="16" t="n">
        <v>0</v>
      </c>
      <c r="K90" s="16" t="s">
        <v>968</v>
      </c>
      <c r="L90" s="16"/>
      <c r="M90" s="16"/>
      <c r="N90" s="16"/>
      <c r="O90" s="16" t="s">
        <v>686</v>
      </c>
      <c r="P90" s="16"/>
      <c r="Q90" s="16"/>
      <c r="R90" s="16" t="s">
        <v>687</v>
      </c>
      <c r="S90" s="2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27" t="n">
        <f aca="false">IF(T90="USD",1,IF(T90="pct","",INDEX(Parameters!$D$5:$D$7,MATCH(B90,Parameters!$A$5:$A$7,0))))</f>
        <v>3750</v>
      </c>
      <c r="AG90" s="28" t="str">
        <f aca="false">IF(AND(R90="specific",ISNUMBER(S90)),S90/AF90,"")</f>
        <v/>
      </c>
      <c r="AH90" s="16"/>
      <c r="AI90" s="28" t="str">
        <f aca="false">IF(NOT(ISNUMBER(AH90)),"",IF(R90="specific",IF(ISNUMBER(AG90),AG90*AH90,""),IF(AND(R90="ad_valorem",ISNUMBER(AJ90)),S90*AJ90/INDEX(Parameters!$D$5:$D$7,MATCH(B90,Parameters!$A$5:$A$7,0))*AH90,"")))</f>
        <v/>
      </c>
      <c r="AJ90" s="16"/>
      <c r="AK90" s="16"/>
      <c r="AL90" s="29" t="str">
        <f aca="false">IF(NOT(ISNUMBER(AJ90)),"",IF(R90="specific",S90/AJ90,IF(R90="ad_valorem",S90,"")))</f>
        <v/>
      </c>
      <c r="AM90" s="16" t="s">
        <v>71</v>
      </c>
      <c r="AN90" s="16"/>
      <c r="AO90" s="30" t="n">
        <f aca="false">IF(AM90="","",IFERROR(INDEX(DQ_Scale!$B$5:$B$14,MATCH(AM90,DQ_Scale!$A$5:$A$14,0)),""))</f>
        <v>2</v>
      </c>
      <c r="AP90" s="16"/>
    </row>
    <row r="91" customFormat="false" ht="23.85" hidden="false" customHeight="false" outlineLevel="0" collapsed="false">
      <c r="A91" s="4" t="s">
        <v>969</v>
      </c>
      <c r="B91" s="4" t="s">
        <v>925</v>
      </c>
      <c r="C91" s="4" t="s">
        <v>4</v>
      </c>
      <c r="D91" s="4" t="s">
        <v>78</v>
      </c>
      <c r="E91" s="4" t="s">
        <v>429</v>
      </c>
      <c r="F91" s="4" t="s">
        <v>366</v>
      </c>
      <c r="G91" s="4" t="s">
        <v>440</v>
      </c>
      <c r="H91" s="4" t="s">
        <v>441</v>
      </c>
      <c r="I91" s="4" t="s">
        <v>442</v>
      </c>
      <c r="J91" s="4" t="n">
        <v>1</v>
      </c>
      <c r="K91" s="4" t="s">
        <v>970</v>
      </c>
      <c r="L91" s="4"/>
      <c r="M91" s="4" t="s">
        <v>927</v>
      </c>
      <c r="N91" s="4" t="s">
        <v>928</v>
      </c>
      <c r="O91" s="4" t="s">
        <v>669</v>
      </c>
      <c r="P91" s="4"/>
      <c r="Q91" s="4" t="s">
        <v>670</v>
      </c>
      <c r="R91" s="4" t="s">
        <v>671</v>
      </c>
      <c r="S91" s="20" t="n">
        <v>200000</v>
      </c>
      <c r="T91" s="4" t="s">
        <v>929</v>
      </c>
      <c r="U91" s="4" t="s">
        <v>971</v>
      </c>
      <c r="V91" s="4"/>
      <c r="W91" s="4" t="s">
        <v>972</v>
      </c>
      <c r="X91" s="4" t="s">
        <v>675</v>
      </c>
      <c r="Y91" s="4"/>
      <c r="Z91" s="4"/>
      <c r="AA91" s="4"/>
      <c r="AB91" s="4"/>
      <c r="AC91" s="4"/>
      <c r="AD91" s="4"/>
      <c r="AE91" s="4"/>
      <c r="AF91" s="21" t="n">
        <f aca="false">IF(T91="USD",1,IF(T91="pct","",INDEX(Parameters!$D$5:$D$7,MATCH(B91,Parameters!$A$5:$A$7,0))))</f>
        <v>3750</v>
      </c>
      <c r="AG91" s="22" t="n">
        <f aca="false">IF(AND(R91="specific",ISNUMBER(S91)),S91/AF91,"")</f>
        <v>53.3333333333333</v>
      </c>
      <c r="AH91" s="23" t="n">
        <v>1</v>
      </c>
      <c r="AI91" s="22" t="n">
        <f aca="false">IF(NOT(ISNUMBER(AH91)),"",IF(R91="specific",IF(ISNUMBER(AG91),AG91*AH91,""),IF(AND(R91="ad_valorem",ISNUMBER(AJ91)),S91*AJ91/INDEX(Parameters!$D$5:$D$7,MATCH(B91,Parameters!$A$5:$A$7,0))*AH91,"")))</f>
        <v>53.3333333333333</v>
      </c>
      <c r="AJ91" s="4"/>
      <c r="AK91" s="4"/>
      <c r="AL91" s="24" t="str">
        <f aca="false">IF(NOT(ISNUMBER(AJ91)),"",IF(R91="specific",S91/AJ91,IF(R91="ad_valorem",S91,"")))</f>
        <v/>
      </c>
      <c r="AM91" s="4" t="s">
        <v>71</v>
      </c>
      <c r="AN91" s="4"/>
      <c r="AO91" s="25" t="n">
        <f aca="false">IF(AM91="","",IFERROR(INDEX(DQ_Scale!$B$5:$B$14,MATCH(AM91,DQ_Scale!$A$5:$A$14,0)),""))</f>
        <v>2</v>
      </c>
      <c r="AP91" s="4"/>
    </row>
    <row r="92" customFormat="false" ht="35.05" hidden="false" customHeight="false" outlineLevel="0" collapsed="false">
      <c r="A92" s="4" t="s">
        <v>973</v>
      </c>
      <c r="B92" s="4" t="s">
        <v>925</v>
      </c>
      <c r="C92" s="4" t="s">
        <v>4</v>
      </c>
      <c r="D92" s="4" t="s">
        <v>78</v>
      </c>
      <c r="E92" s="4" t="s">
        <v>449</v>
      </c>
      <c r="F92" s="4" t="s">
        <v>450</v>
      </c>
      <c r="G92" s="4" t="s">
        <v>451</v>
      </c>
      <c r="H92" s="4" t="s">
        <v>452</v>
      </c>
      <c r="I92" s="4" t="s">
        <v>453</v>
      </c>
      <c r="J92" s="4" t="n">
        <v>1</v>
      </c>
      <c r="K92" s="4" t="s">
        <v>974</v>
      </c>
      <c r="L92" s="4"/>
      <c r="M92" s="4" t="s">
        <v>927</v>
      </c>
      <c r="N92" s="4" t="s">
        <v>928</v>
      </c>
      <c r="O92" s="4" t="s">
        <v>669</v>
      </c>
      <c r="P92" s="4"/>
      <c r="Q92" s="4" t="s">
        <v>670</v>
      </c>
      <c r="R92" s="4" t="s">
        <v>671</v>
      </c>
      <c r="S92" s="20" t="n">
        <v>65000</v>
      </c>
      <c r="T92" s="4" t="s">
        <v>929</v>
      </c>
      <c r="U92" s="4" t="s">
        <v>975</v>
      </c>
      <c r="V92" s="4"/>
      <c r="W92" s="4" t="s">
        <v>976</v>
      </c>
      <c r="X92" s="4" t="s">
        <v>762</v>
      </c>
      <c r="Y92" s="4"/>
      <c r="Z92" s="4"/>
      <c r="AA92" s="4"/>
      <c r="AB92" s="4"/>
      <c r="AC92" s="4"/>
      <c r="AD92" s="4"/>
      <c r="AE92" s="4" t="s">
        <v>977</v>
      </c>
      <c r="AF92" s="21" t="n">
        <f aca="false">IF(T92="USD",1,IF(T92="pct","",INDEX(Parameters!$D$5:$D$7,MATCH(B92,Parameters!$A$5:$A$7,0))))</f>
        <v>3750</v>
      </c>
      <c r="AG92" s="22" t="n">
        <f aca="false">IF(AND(R92="specific",ISNUMBER(S92)),S92/AF92,"")</f>
        <v>17.3333333333333</v>
      </c>
      <c r="AH92" s="23" t="n">
        <v>0.02</v>
      </c>
      <c r="AI92" s="22" t="n">
        <f aca="false">IF(NOT(ISNUMBER(AH92)),"",IF(R92="specific",IF(ISNUMBER(AG92),AG92*AH92,""),IF(AND(R92="ad_valorem",ISNUMBER(AJ92)),S92*AJ92/INDEX(Parameters!$D$5:$D$7,MATCH(B92,Parameters!$A$5:$A$7,0))*AH92,"")))</f>
        <v>0.346666666666667</v>
      </c>
      <c r="AJ92" s="23" t="n">
        <v>215000</v>
      </c>
      <c r="AK92" s="4" t="s">
        <v>978</v>
      </c>
      <c r="AL92" s="24" t="n">
        <f aca="false">IF(NOT(ISNUMBER(AJ92)),"",IF(R92="specific",S92/AJ92,IF(R92="ad_valorem",S92,"")))</f>
        <v>0.302325581395349</v>
      </c>
      <c r="AM92" s="4" t="s">
        <v>71</v>
      </c>
      <c r="AN92" s="4"/>
      <c r="AO92" s="25" t="n">
        <f aca="false">IF(AM92="","",IFERROR(INDEX(DQ_Scale!$B$5:$B$14,MATCH(AM92,DQ_Scale!$A$5:$A$14,0)),""))</f>
        <v>2</v>
      </c>
      <c r="AP92" s="4"/>
    </row>
    <row r="93" customFormat="false" ht="35.05" hidden="false" customHeight="false" outlineLevel="0" collapsed="false">
      <c r="A93" s="4" t="s">
        <v>979</v>
      </c>
      <c r="B93" s="4" t="s">
        <v>925</v>
      </c>
      <c r="C93" s="4" t="s">
        <v>4</v>
      </c>
      <c r="D93" s="4" t="s">
        <v>78</v>
      </c>
      <c r="E93" s="4" t="s">
        <v>449</v>
      </c>
      <c r="F93" s="4" t="s">
        <v>450</v>
      </c>
      <c r="G93" s="4" t="s">
        <v>451</v>
      </c>
      <c r="H93" s="4" t="s">
        <v>452</v>
      </c>
      <c r="I93" s="4" t="s">
        <v>453</v>
      </c>
      <c r="J93" s="4" t="n">
        <v>1</v>
      </c>
      <c r="K93" s="4" t="s">
        <v>980</v>
      </c>
      <c r="L93" s="4"/>
      <c r="M93" s="4" t="s">
        <v>927</v>
      </c>
      <c r="N93" s="4" t="s">
        <v>928</v>
      </c>
      <c r="O93" s="4" t="s">
        <v>669</v>
      </c>
      <c r="P93" s="4"/>
      <c r="Q93" s="4" t="s">
        <v>670</v>
      </c>
      <c r="R93" s="4" t="s">
        <v>671</v>
      </c>
      <c r="S93" s="20" t="n">
        <v>150000</v>
      </c>
      <c r="T93" s="4" t="s">
        <v>929</v>
      </c>
      <c r="U93" s="4" t="s">
        <v>975</v>
      </c>
      <c r="V93" s="4"/>
      <c r="W93" s="4" t="s">
        <v>981</v>
      </c>
      <c r="X93" s="4" t="s">
        <v>768</v>
      </c>
      <c r="Y93" s="4"/>
      <c r="Z93" s="4"/>
      <c r="AA93" s="4"/>
      <c r="AB93" s="4"/>
      <c r="AC93" s="4"/>
      <c r="AD93" s="4"/>
      <c r="AE93" s="4" t="s">
        <v>977</v>
      </c>
      <c r="AF93" s="21" t="n">
        <f aca="false">IF(T93="USD",1,IF(T93="pct","",INDEX(Parameters!$D$5:$D$7,MATCH(B93,Parameters!$A$5:$A$7,0))))</f>
        <v>3750</v>
      </c>
      <c r="AG93" s="22" t="n">
        <f aca="false">IF(AND(R93="specific",ISNUMBER(S93)),S93/AF93,"")</f>
        <v>40</v>
      </c>
      <c r="AH93" s="23" t="n">
        <v>0.02</v>
      </c>
      <c r="AI93" s="22" t="n">
        <f aca="false">IF(NOT(ISNUMBER(AH93)),"",IF(R93="specific",IF(ISNUMBER(AG93),AG93*AH93,""),IF(AND(R93="ad_valorem",ISNUMBER(AJ93)),S93*AJ93/INDEX(Parameters!$D$5:$D$7,MATCH(B93,Parameters!$A$5:$A$7,0))*AH93,"")))</f>
        <v>0.8</v>
      </c>
      <c r="AJ93" s="23" t="n">
        <v>300000</v>
      </c>
      <c r="AK93" s="4" t="s">
        <v>982</v>
      </c>
      <c r="AL93" s="24" t="n">
        <f aca="false">IF(NOT(ISNUMBER(AJ93)),"",IF(R93="specific",S93/AJ93,IF(R93="ad_valorem",S93,"")))</f>
        <v>0.5</v>
      </c>
      <c r="AM93" s="4" t="s">
        <v>71</v>
      </c>
      <c r="AN93" s="4"/>
      <c r="AO93" s="25" t="n">
        <f aca="false">IF(AM93="","",IFERROR(INDEX(DQ_Scale!$B$5:$B$14,MATCH(AM93,DQ_Scale!$A$5:$A$14,0)),""))</f>
        <v>2</v>
      </c>
      <c r="AP93" s="4"/>
    </row>
    <row r="94" customFormat="false" ht="23.85" hidden="false" customHeight="false" outlineLevel="0" collapsed="false">
      <c r="A94" s="4" t="s">
        <v>983</v>
      </c>
      <c r="B94" s="4" t="s">
        <v>925</v>
      </c>
      <c r="C94" s="4" t="s">
        <v>4</v>
      </c>
      <c r="D94" s="4" t="s">
        <v>78</v>
      </c>
      <c r="E94" s="4" t="s">
        <v>449</v>
      </c>
      <c r="F94" s="4" t="s">
        <v>450</v>
      </c>
      <c r="G94" s="4" t="s">
        <v>451</v>
      </c>
      <c r="H94" s="4" t="s">
        <v>452</v>
      </c>
      <c r="I94" s="4" t="s">
        <v>453</v>
      </c>
      <c r="J94" s="4" t="n">
        <v>1</v>
      </c>
      <c r="K94" s="4" t="s">
        <v>984</v>
      </c>
      <c r="L94" s="4"/>
      <c r="M94" s="4" t="s">
        <v>927</v>
      </c>
      <c r="N94" s="4" t="s">
        <v>928</v>
      </c>
      <c r="O94" s="4" t="s">
        <v>669</v>
      </c>
      <c r="P94" s="4"/>
      <c r="Q94" s="4" t="s">
        <v>670</v>
      </c>
      <c r="R94" s="4" t="s">
        <v>671</v>
      </c>
      <c r="S94" s="20" t="n">
        <v>90000</v>
      </c>
      <c r="T94" s="4" t="s">
        <v>929</v>
      </c>
      <c r="U94" s="4" t="s">
        <v>975</v>
      </c>
      <c r="V94" s="4"/>
      <c r="W94" s="4" t="s">
        <v>985</v>
      </c>
      <c r="X94" s="4" t="s">
        <v>762</v>
      </c>
      <c r="Y94" s="4"/>
      <c r="Z94" s="4"/>
      <c r="AA94" s="4"/>
      <c r="AB94" s="4"/>
      <c r="AC94" s="4"/>
      <c r="AD94" s="4"/>
      <c r="AE94" s="4" t="s">
        <v>986</v>
      </c>
      <c r="AF94" s="21" t="n">
        <f aca="false">IF(T94="USD",1,IF(T94="pct","",INDEX(Parameters!$D$5:$D$7,MATCH(B94,Parameters!$A$5:$A$7,0))))</f>
        <v>3750</v>
      </c>
      <c r="AG94" s="22" t="n">
        <f aca="false">IF(AND(R94="specific",ISNUMBER(S94)),S94/AF94,"")</f>
        <v>24</v>
      </c>
      <c r="AH94" s="23" t="n">
        <v>0.02</v>
      </c>
      <c r="AI94" s="22" t="n">
        <f aca="false">IF(NOT(ISNUMBER(AH94)),"",IF(R94="specific",IF(ISNUMBER(AG94),AG94*AH94,""),IF(AND(R94="ad_valorem",ISNUMBER(AJ94)),S94*AJ94/INDEX(Parameters!$D$5:$D$7,MATCH(B94,Parameters!$A$5:$A$7,0))*AH94,"")))</f>
        <v>0.48</v>
      </c>
      <c r="AJ94" s="4"/>
      <c r="AK94" s="4"/>
      <c r="AL94" s="24" t="str">
        <f aca="false">IF(NOT(ISNUMBER(AJ94)),"",IF(R94="specific",S94/AJ94,IF(R94="ad_valorem",S94,"")))</f>
        <v/>
      </c>
      <c r="AM94" s="4" t="s">
        <v>71</v>
      </c>
      <c r="AN94" s="4"/>
      <c r="AO94" s="25" t="n">
        <f aca="false">IF(AM94="","",IFERROR(INDEX(DQ_Scale!$B$5:$B$14,MATCH(AM94,DQ_Scale!$A$5:$A$14,0)),""))</f>
        <v>2</v>
      </c>
      <c r="AP94" s="4"/>
    </row>
    <row r="95" customFormat="false" ht="23.85" hidden="false" customHeight="false" outlineLevel="0" collapsed="false">
      <c r="A95" s="4" t="s">
        <v>987</v>
      </c>
      <c r="B95" s="4" t="s">
        <v>925</v>
      </c>
      <c r="C95" s="4" t="s">
        <v>4</v>
      </c>
      <c r="D95" s="4" t="s">
        <v>78</v>
      </c>
      <c r="E95" s="4" t="s">
        <v>449</v>
      </c>
      <c r="F95" s="4" t="s">
        <v>450</v>
      </c>
      <c r="G95" s="4" t="s">
        <v>451</v>
      </c>
      <c r="H95" s="4" t="s">
        <v>452</v>
      </c>
      <c r="I95" s="4" t="s">
        <v>453</v>
      </c>
      <c r="J95" s="4" t="n">
        <v>1</v>
      </c>
      <c r="K95" s="4" t="s">
        <v>988</v>
      </c>
      <c r="L95" s="4"/>
      <c r="M95" s="4" t="s">
        <v>927</v>
      </c>
      <c r="N95" s="4" t="s">
        <v>928</v>
      </c>
      <c r="O95" s="4" t="s">
        <v>669</v>
      </c>
      <c r="P95" s="4"/>
      <c r="Q95" s="4" t="s">
        <v>670</v>
      </c>
      <c r="R95" s="4" t="s">
        <v>671</v>
      </c>
      <c r="S95" s="20" t="n">
        <v>200000</v>
      </c>
      <c r="T95" s="4" t="s">
        <v>929</v>
      </c>
      <c r="U95" s="4" t="s">
        <v>975</v>
      </c>
      <c r="V95" s="4"/>
      <c r="W95" s="4" t="s">
        <v>989</v>
      </c>
      <c r="X95" s="4" t="s">
        <v>768</v>
      </c>
      <c r="Y95" s="4"/>
      <c r="Z95" s="4"/>
      <c r="AA95" s="4"/>
      <c r="AB95" s="4"/>
      <c r="AC95" s="4"/>
      <c r="AD95" s="4"/>
      <c r="AE95" s="4" t="s">
        <v>986</v>
      </c>
      <c r="AF95" s="21" t="n">
        <f aca="false">IF(T95="USD",1,IF(T95="pct","",INDEX(Parameters!$D$5:$D$7,MATCH(B95,Parameters!$A$5:$A$7,0))))</f>
        <v>3750</v>
      </c>
      <c r="AG95" s="22" t="n">
        <f aca="false">IF(AND(R95="specific",ISNUMBER(S95)),S95/AF95,"")</f>
        <v>53.3333333333333</v>
      </c>
      <c r="AH95" s="23" t="n">
        <v>0.02</v>
      </c>
      <c r="AI95" s="22" t="n">
        <f aca="false">IF(NOT(ISNUMBER(AH95)),"",IF(R95="specific",IF(ISNUMBER(AG95),AG95*AH95,""),IF(AND(R95="ad_valorem",ISNUMBER(AJ95)),S95*AJ95/INDEX(Parameters!$D$5:$D$7,MATCH(B95,Parameters!$A$5:$A$7,0))*AH95,"")))</f>
        <v>1.06666666666667</v>
      </c>
      <c r="AJ95" s="4"/>
      <c r="AK95" s="4"/>
      <c r="AL95" s="24" t="str">
        <f aca="false">IF(NOT(ISNUMBER(AJ95)),"",IF(R95="specific",S95/AJ95,IF(R95="ad_valorem",S95,"")))</f>
        <v/>
      </c>
      <c r="AM95" s="4" t="s">
        <v>71</v>
      </c>
      <c r="AN95" s="4"/>
      <c r="AO95" s="25" t="n">
        <f aca="false">IF(AM95="","",IFERROR(INDEX(DQ_Scale!$B$5:$B$14,MATCH(AM95,DQ_Scale!$A$5:$A$14,0)),""))</f>
        <v>2</v>
      </c>
      <c r="AP95" s="4"/>
    </row>
    <row r="96" customFormat="false" ht="23.85" hidden="false" customHeight="false" outlineLevel="0" collapsed="false">
      <c r="A96" s="4" t="s">
        <v>990</v>
      </c>
      <c r="B96" s="4" t="s">
        <v>925</v>
      </c>
      <c r="C96" s="4" t="s">
        <v>4</v>
      </c>
      <c r="D96" s="4" t="s">
        <v>78</v>
      </c>
      <c r="E96" s="4" t="s">
        <v>449</v>
      </c>
      <c r="F96" s="4" t="s">
        <v>450</v>
      </c>
      <c r="G96" s="4" t="s">
        <v>461</v>
      </c>
      <c r="H96" s="4" t="s">
        <v>462</v>
      </c>
      <c r="I96" s="4" t="s">
        <v>463</v>
      </c>
      <c r="J96" s="4" t="n">
        <v>1</v>
      </c>
      <c r="K96" s="4" t="s">
        <v>991</v>
      </c>
      <c r="L96" s="4"/>
      <c r="M96" s="4" t="s">
        <v>927</v>
      </c>
      <c r="N96" s="4" t="s">
        <v>928</v>
      </c>
      <c r="O96" s="4" t="s">
        <v>669</v>
      </c>
      <c r="P96" s="4"/>
      <c r="Q96" s="4" t="s">
        <v>670</v>
      </c>
      <c r="R96" s="4" t="s">
        <v>774</v>
      </c>
      <c r="S96" s="31" t="n">
        <v>2</v>
      </c>
      <c r="T96" s="4" t="s">
        <v>775</v>
      </c>
      <c r="U96" s="4" t="s">
        <v>776</v>
      </c>
      <c r="V96" s="4" t="s">
        <v>909</v>
      </c>
      <c r="W96" s="4" t="s">
        <v>992</v>
      </c>
      <c r="X96" s="4" t="s">
        <v>675</v>
      </c>
      <c r="Y96" s="4"/>
      <c r="Z96" s="4"/>
      <c r="AA96" s="4"/>
      <c r="AB96" s="4"/>
      <c r="AC96" s="4"/>
      <c r="AD96" s="4"/>
      <c r="AE96" s="4"/>
      <c r="AF96" s="21" t="str">
        <f aca="false">IF(T96="USD",1,IF(T96="pct","",INDEX(Parameters!$D$5:$D$7,MATCH(B96,Parameters!$A$5:$A$7,0))))</f>
        <v/>
      </c>
      <c r="AG96" s="22" t="str">
        <f aca="false">IF(AND(R96="specific",ISNUMBER(S96)),S96/AF96,"")</f>
        <v/>
      </c>
      <c r="AH96" s="4"/>
      <c r="AI96" s="22" t="str">
        <f aca="false">IF(NOT(ISNUMBER(AH96)),"",IF(R96="specific",IF(ISNUMBER(AG96),AG96*AH96,""),IF(AND(R96="ad_valorem",ISNUMBER(AJ96)),S96*AJ96/INDEX(Parameters!$D$5:$D$7,MATCH(B96,Parameters!$A$5:$A$7,0))*AH96,"")))</f>
        <v/>
      </c>
      <c r="AJ96" s="4"/>
      <c r="AK96" s="4"/>
      <c r="AL96" s="24" t="str">
        <f aca="false">IF(NOT(ISNUMBER(AJ96)),"",IF(R96="specific",S96/AJ96,IF(R96="ad_valorem",S96,"")))</f>
        <v/>
      </c>
      <c r="AM96" s="4" t="s">
        <v>71</v>
      </c>
      <c r="AN96" s="4"/>
      <c r="AO96" s="25" t="n">
        <f aca="false">IF(AM96="","",IFERROR(INDEX(DQ_Scale!$B$5:$B$14,MATCH(AM96,DQ_Scale!$A$5:$A$14,0)),""))</f>
        <v>2</v>
      </c>
      <c r="AP96" s="4"/>
    </row>
    <row r="97" customFormat="false" ht="23.85" hidden="false" customHeight="false" outlineLevel="0" collapsed="false">
      <c r="A97" s="16" t="s">
        <v>993</v>
      </c>
      <c r="B97" s="16" t="s">
        <v>925</v>
      </c>
      <c r="C97" s="16" t="s">
        <v>4</v>
      </c>
      <c r="D97" s="16" t="s">
        <v>78</v>
      </c>
      <c r="E97" s="16" t="s">
        <v>449</v>
      </c>
      <c r="F97" s="16" t="s">
        <v>450</v>
      </c>
      <c r="G97" s="16" t="s">
        <v>470</v>
      </c>
      <c r="H97" s="16" t="s">
        <v>471</v>
      </c>
      <c r="I97" s="16" t="s">
        <v>472</v>
      </c>
      <c r="J97" s="16" t="n">
        <v>0</v>
      </c>
      <c r="K97" s="16" t="s">
        <v>994</v>
      </c>
      <c r="L97" s="16"/>
      <c r="M97" s="16"/>
      <c r="N97" s="16"/>
      <c r="O97" s="16" t="s">
        <v>686</v>
      </c>
      <c r="P97" s="16"/>
      <c r="Q97" s="16"/>
      <c r="R97" s="16" t="s">
        <v>687</v>
      </c>
      <c r="S97" s="2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27" t="n">
        <f aca="false">IF(T97="USD",1,IF(T97="pct","",INDEX(Parameters!$D$5:$D$7,MATCH(B97,Parameters!$A$5:$A$7,0))))</f>
        <v>3750</v>
      </c>
      <c r="AG97" s="28" t="str">
        <f aca="false">IF(AND(R97="specific",ISNUMBER(S97)),S97/AF97,"")</f>
        <v/>
      </c>
      <c r="AH97" s="16"/>
      <c r="AI97" s="28" t="str">
        <f aca="false">IF(NOT(ISNUMBER(AH97)),"",IF(R97="specific",IF(ISNUMBER(AG97),AG97*AH97,""),IF(AND(R97="ad_valorem",ISNUMBER(AJ97)),S97*AJ97/INDEX(Parameters!$D$5:$D$7,MATCH(B97,Parameters!$A$5:$A$7,0))*AH97,"")))</f>
        <v/>
      </c>
      <c r="AJ97" s="16"/>
      <c r="AK97" s="16"/>
      <c r="AL97" s="29" t="str">
        <f aca="false">IF(NOT(ISNUMBER(AJ97)),"",IF(R97="specific",S97/AJ97,IF(R97="ad_valorem",S97,"")))</f>
        <v/>
      </c>
      <c r="AM97" s="16" t="s">
        <v>71</v>
      </c>
      <c r="AN97" s="16"/>
      <c r="AO97" s="30" t="n">
        <f aca="false">IF(AM97="","",IFERROR(INDEX(DQ_Scale!$B$5:$B$14,MATCH(AM97,DQ_Scale!$A$5:$A$14,0)),""))</f>
        <v>2</v>
      </c>
      <c r="AP97" s="16"/>
    </row>
    <row r="98" customFormat="false" ht="23.85" hidden="false" customHeight="false" outlineLevel="0" collapsed="false">
      <c r="A98" s="4" t="s">
        <v>995</v>
      </c>
      <c r="B98" s="4" t="s">
        <v>925</v>
      </c>
      <c r="C98" s="4" t="s">
        <v>4</v>
      </c>
      <c r="D98" s="4" t="s">
        <v>78</v>
      </c>
      <c r="E98" s="4" t="s">
        <v>449</v>
      </c>
      <c r="F98" s="4" t="s">
        <v>450</v>
      </c>
      <c r="G98" s="4" t="s">
        <v>478</v>
      </c>
      <c r="H98" s="4" t="s">
        <v>479</v>
      </c>
      <c r="I98" s="4" t="s">
        <v>480</v>
      </c>
      <c r="J98" s="4" t="n">
        <v>1</v>
      </c>
      <c r="K98" s="4" t="s">
        <v>996</v>
      </c>
      <c r="L98" s="4"/>
      <c r="M98" s="4" t="s">
        <v>927</v>
      </c>
      <c r="N98" s="4" t="s">
        <v>928</v>
      </c>
      <c r="O98" s="4" t="s">
        <v>669</v>
      </c>
      <c r="P98" s="4" t="s">
        <v>997</v>
      </c>
      <c r="Q98" s="4" t="s">
        <v>958</v>
      </c>
      <c r="R98" s="4" t="s">
        <v>774</v>
      </c>
      <c r="S98" s="31" t="n">
        <v>0.6</v>
      </c>
      <c r="T98" s="4" t="s">
        <v>775</v>
      </c>
      <c r="U98" s="4" t="s">
        <v>776</v>
      </c>
      <c r="V98" s="4" t="s">
        <v>998</v>
      </c>
      <c r="W98" s="4" t="s">
        <v>999</v>
      </c>
      <c r="X98" s="4" t="s">
        <v>675</v>
      </c>
      <c r="Y98" s="4"/>
      <c r="Z98" s="4"/>
      <c r="AA98" s="4"/>
      <c r="AB98" s="4"/>
      <c r="AC98" s="4"/>
      <c r="AD98" s="4"/>
      <c r="AE98" s="4"/>
      <c r="AF98" s="21" t="str">
        <f aca="false">IF(T98="USD",1,IF(T98="pct","",INDEX(Parameters!$D$5:$D$7,MATCH(B98,Parameters!$A$5:$A$7,0))))</f>
        <v/>
      </c>
      <c r="AG98" s="22" t="str">
        <f aca="false">IF(AND(R98="specific",ISNUMBER(S98)),S98/AF98,"")</f>
        <v/>
      </c>
      <c r="AH98" s="4"/>
      <c r="AI98" s="22" t="str">
        <f aca="false">IF(NOT(ISNUMBER(AH98)),"",IF(R98="specific",IF(ISNUMBER(AG98),AG98*AH98,""),IF(AND(R98="ad_valorem",ISNUMBER(AJ98)),S98*AJ98/INDEX(Parameters!$D$5:$D$7,MATCH(B98,Parameters!$A$5:$A$7,0))*AH98,"")))</f>
        <v/>
      </c>
      <c r="AJ98" s="4"/>
      <c r="AK98" s="4"/>
      <c r="AL98" s="24" t="str">
        <f aca="false">IF(NOT(ISNUMBER(AJ98)),"",IF(R98="specific",S98/AJ98,IF(R98="ad_valorem",S98,"")))</f>
        <v/>
      </c>
      <c r="AM98" s="4" t="s">
        <v>71</v>
      </c>
      <c r="AN98" s="4"/>
      <c r="AO98" s="25" t="n">
        <f aca="false">IF(AM98="","",IFERROR(INDEX(DQ_Scale!$B$5:$B$14,MATCH(AM98,DQ_Scale!$A$5:$A$14,0)),""))</f>
        <v>2</v>
      </c>
      <c r="AP98" s="4"/>
    </row>
    <row r="99" customFormat="false" ht="23.85" hidden="false" customHeight="false" outlineLevel="0" collapsed="false">
      <c r="A99" s="4" t="s">
        <v>1000</v>
      </c>
      <c r="B99" s="4" t="s">
        <v>925</v>
      </c>
      <c r="C99" s="4" t="s">
        <v>4</v>
      </c>
      <c r="D99" s="4" t="s">
        <v>78</v>
      </c>
      <c r="E99" s="4" t="s">
        <v>449</v>
      </c>
      <c r="F99" s="4" t="s">
        <v>450</v>
      </c>
      <c r="G99" s="4" t="s">
        <v>478</v>
      </c>
      <c r="H99" s="4" t="s">
        <v>479</v>
      </c>
      <c r="I99" s="4" t="s">
        <v>480</v>
      </c>
      <c r="J99" s="4" t="n">
        <v>1</v>
      </c>
      <c r="K99" s="4" t="s">
        <v>996</v>
      </c>
      <c r="L99" s="4"/>
      <c r="M99" s="4" t="s">
        <v>927</v>
      </c>
      <c r="N99" s="4" t="s">
        <v>928</v>
      </c>
      <c r="O99" s="4" t="s">
        <v>669</v>
      </c>
      <c r="P99" s="4" t="s">
        <v>997</v>
      </c>
      <c r="Q99" s="4" t="s">
        <v>958</v>
      </c>
      <c r="R99" s="4" t="s">
        <v>671</v>
      </c>
      <c r="S99" s="20" t="n">
        <v>2050</v>
      </c>
      <c r="T99" s="4" t="s">
        <v>929</v>
      </c>
      <c r="U99" s="4" t="s">
        <v>673</v>
      </c>
      <c r="V99" s="4"/>
      <c r="W99" s="4" t="s">
        <v>999</v>
      </c>
      <c r="X99" s="4" t="s">
        <v>675</v>
      </c>
      <c r="Y99" s="4"/>
      <c r="Z99" s="4"/>
      <c r="AA99" s="4"/>
      <c r="AB99" s="4"/>
      <c r="AC99" s="4"/>
      <c r="AD99" s="4"/>
      <c r="AE99" s="4"/>
      <c r="AF99" s="21" t="n">
        <f aca="false">IF(T99="USD",1,IF(T99="pct","",INDEX(Parameters!$D$5:$D$7,MATCH(B99,Parameters!$A$5:$A$7,0))))</f>
        <v>3750</v>
      </c>
      <c r="AG99" s="22" t="n">
        <f aca="false">IF(AND(R99="specific",ISNUMBER(S99)),S99/AF99,"")</f>
        <v>0.546666666666667</v>
      </c>
      <c r="AH99" s="23" t="n">
        <v>20</v>
      </c>
      <c r="AI99" s="22" t="n">
        <f aca="false">IF(NOT(ISNUMBER(AH99)),"",IF(R99="specific",IF(ISNUMBER(AG99),AG99*AH99,""),IF(AND(R99="ad_valorem",ISNUMBER(AJ99)),S99*AJ99/INDEX(Parameters!$D$5:$D$7,MATCH(B99,Parameters!$A$5:$A$7,0))*AH99,"")))</f>
        <v>10.9333333333333</v>
      </c>
      <c r="AJ99" s="23" t="n">
        <v>7000</v>
      </c>
      <c r="AK99" s="4" t="s">
        <v>1001</v>
      </c>
      <c r="AL99" s="24" t="n">
        <f aca="false">IF(NOT(ISNUMBER(AJ99)),"",IF(R99="specific",S99/AJ99,IF(R99="ad_valorem",S99,"")))</f>
        <v>0.292857142857143</v>
      </c>
      <c r="AM99" s="4" t="s">
        <v>71</v>
      </c>
      <c r="AN99" s="4"/>
      <c r="AO99" s="25" t="n">
        <f aca="false">IF(AM99="","",IFERROR(INDEX(DQ_Scale!$B$5:$B$14,MATCH(AM99,DQ_Scale!$A$5:$A$14,0)),""))</f>
        <v>2</v>
      </c>
      <c r="AP99" s="4"/>
    </row>
    <row r="100" customFormat="false" ht="23.85" hidden="false" customHeight="false" outlineLevel="0" collapsed="false">
      <c r="A100" s="4" t="s">
        <v>1002</v>
      </c>
      <c r="B100" s="4" t="s">
        <v>925</v>
      </c>
      <c r="C100" s="4" t="s">
        <v>4</v>
      </c>
      <c r="D100" s="4" t="s">
        <v>78</v>
      </c>
      <c r="E100" s="4" t="s">
        <v>449</v>
      </c>
      <c r="F100" s="4" t="s">
        <v>450</v>
      </c>
      <c r="G100" s="4" t="s">
        <v>491</v>
      </c>
      <c r="H100" s="4" t="s">
        <v>492</v>
      </c>
      <c r="I100" s="4" t="s">
        <v>480</v>
      </c>
      <c r="J100" s="4" t="n">
        <v>1</v>
      </c>
      <c r="K100" s="4" t="s">
        <v>1003</v>
      </c>
      <c r="L100" s="4"/>
      <c r="M100" s="4" t="s">
        <v>927</v>
      </c>
      <c r="N100" s="4" t="s">
        <v>928</v>
      </c>
      <c r="O100" s="4" t="s">
        <v>669</v>
      </c>
      <c r="P100" s="4" t="s">
        <v>1004</v>
      </c>
      <c r="Q100" s="4" t="s">
        <v>958</v>
      </c>
      <c r="R100" s="4" t="s">
        <v>774</v>
      </c>
      <c r="S100" s="31" t="n">
        <v>0.3</v>
      </c>
      <c r="T100" s="4" t="s">
        <v>775</v>
      </c>
      <c r="U100" s="4" t="s">
        <v>776</v>
      </c>
      <c r="V100" s="4" t="s">
        <v>998</v>
      </c>
      <c r="W100" s="4" t="s">
        <v>1005</v>
      </c>
      <c r="X100" s="4" t="s">
        <v>762</v>
      </c>
      <c r="Y100" s="4"/>
      <c r="Z100" s="4"/>
      <c r="AA100" s="4"/>
      <c r="AB100" s="4"/>
      <c r="AC100" s="4" t="n">
        <v>75</v>
      </c>
      <c r="AD100" s="4"/>
      <c r="AE100" s="4"/>
      <c r="AF100" s="21" t="str">
        <f aca="false">IF(T100="USD",1,IF(T100="pct","",INDEX(Parameters!$D$5:$D$7,MATCH(B100,Parameters!$A$5:$A$7,0))))</f>
        <v/>
      </c>
      <c r="AG100" s="22" t="str">
        <f aca="false">IF(AND(R100="specific",ISNUMBER(S100)),S100/AF100,"")</f>
        <v/>
      </c>
      <c r="AH100" s="4"/>
      <c r="AI100" s="22" t="str">
        <f aca="false">IF(NOT(ISNUMBER(AH100)),"",IF(R100="specific",IF(ISNUMBER(AG100),AG100*AH100,""),IF(AND(R100="ad_valorem",ISNUMBER(AJ100)),S100*AJ100/INDEX(Parameters!$D$5:$D$7,MATCH(B100,Parameters!$A$5:$A$7,0))*AH100,"")))</f>
        <v/>
      </c>
      <c r="AJ100" s="4"/>
      <c r="AK100" s="4"/>
      <c r="AL100" s="24" t="str">
        <f aca="false">IF(NOT(ISNUMBER(AJ100)),"",IF(R100="specific",S100/AJ100,IF(R100="ad_valorem",S100,"")))</f>
        <v/>
      </c>
      <c r="AM100" s="4" t="s">
        <v>71</v>
      </c>
      <c r="AN100" s="4"/>
      <c r="AO100" s="25" t="n">
        <f aca="false">IF(AM100="","",IFERROR(INDEX(DQ_Scale!$B$5:$B$14,MATCH(AM100,DQ_Scale!$A$5:$A$14,0)),""))</f>
        <v>2</v>
      </c>
      <c r="AP100" s="4"/>
    </row>
    <row r="101" customFormat="false" ht="23.85" hidden="false" customHeight="false" outlineLevel="0" collapsed="false">
      <c r="A101" s="4" t="s">
        <v>1006</v>
      </c>
      <c r="B101" s="4" t="s">
        <v>925</v>
      </c>
      <c r="C101" s="4" t="s">
        <v>4</v>
      </c>
      <c r="D101" s="4" t="s">
        <v>78</v>
      </c>
      <c r="E101" s="4" t="s">
        <v>449</v>
      </c>
      <c r="F101" s="4" t="s">
        <v>450</v>
      </c>
      <c r="G101" s="4" t="s">
        <v>491</v>
      </c>
      <c r="H101" s="4" t="s">
        <v>492</v>
      </c>
      <c r="I101" s="4" t="s">
        <v>480</v>
      </c>
      <c r="J101" s="4" t="n">
        <v>1</v>
      </c>
      <c r="K101" s="4" t="s">
        <v>1003</v>
      </c>
      <c r="L101" s="4"/>
      <c r="M101" s="4" t="s">
        <v>927</v>
      </c>
      <c r="N101" s="4" t="s">
        <v>928</v>
      </c>
      <c r="O101" s="4" t="s">
        <v>669</v>
      </c>
      <c r="P101" s="4" t="s">
        <v>1004</v>
      </c>
      <c r="Q101" s="4" t="s">
        <v>958</v>
      </c>
      <c r="R101" s="4" t="s">
        <v>671</v>
      </c>
      <c r="S101" s="20" t="n">
        <v>900</v>
      </c>
      <c r="T101" s="4" t="s">
        <v>929</v>
      </c>
      <c r="U101" s="4" t="s">
        <v>673</v>
      </c>
      <c r="V101" s="4"/>
      <c r="W101" s="4" t="s">
        <v>1005</v>
      </c>
      <c r="X101" s="4" t="s">
        <v>762</v>
      </c>
      <c r="Y101" s="4"/>
      <c r="Z101" s="4"/>
      <c r="AA101" s="4"/>
      <c r="AB101" s="4"/>
      <c r="AC101" s="4" t="n">
        <v>75</v>
      </c>
      <c r="AD101" s="4"/>
      <c r="AE101" s="4"/>
      <c r="AF101" s="21" t="n">
        <f aca="false">IF(T101="USD",1,IF(T101="pct","",INDEX(Parameters!$D$5:$D$7,MATCH(B101,Parameters!$A$5:$A$7,0))))</f>
        <v>3750</v>
      </c>
      <c r="AG101" s="22" t="n">
        <f aca="false">IF(AND(R101="specific",ISNUMBER(S101)),S101/AF101,"")</f>
        <v>0.24</v>
      </c>
      <c r="AH101" s="23" t="n">
        <v>20</v>
      </c>
      <c r="AI101" s="22" t="n">
        <f aca="false">IF(NOT(ISNUMBER(AH101)),"",IF(R101="specific",IF(ISNUMBER(AG101),AG101*AH101,""),IF(AND(R101="ad_valorem",ISNUMBER(AJ101)),S101*AJ101/INDEX(Parameters!$D$5:$D$7,MATCH(B101,Parameters!$A$5:$A$7,0))*AH101,"")))</f>
        <v>4.8</v>
      </c>
      <c r="AJ101" s="23" t="n">
        <v>7000</v>
      </c>
      <c r="AK101" s="4" t="s">
        <v>1001</v>
      </c>
      <c r="AL101" s="24" t="n">
        <f aca="false">IF(NOT(ISNUMBER(AJ101)),"",IF(R101="specific",S101/AJ101,IF(R101="ad_valorem",S101,"")))</f>
        <v>0.128571428571429</v>
      </c>
      <c r="AM101" s="4" t="s">
        <v>71</v>
      </c>
      <c r="AN101" s="4"/>
      <c r="AO101" s="25" t="n">
        <f aca="false">IF(AM101="","",IFERROR(INDEX(DQ_Scale!$B$5:$B$14,MATCH(AM101,DQ_Scale!$A$5:$A$14,0)),""))</f>
        <v>2</v>
      </c>
      <c r="AP101" s="4"/>
    </row>
    <row r="102" customFormat="false" ht="23.85" hidden="false" customHeight="false" outlineLevel="0" collapsed="false">
      <c r="A102" s="4" t="s">
        <v>1007</v>
      </c>
      <c r="B102" s="4" t="s">
        <v>925</v>
      </c>
      <c r="C102" s="4" t="s">
        <v>4</v>
      </c>
      <c r="D102" s="4" t="s">
        <v>78</v>
      </c>
      <c r="E102" s="4" t="s">
        <v>449</v>
      </c>
      <c r="F102" s="4" t="s">
        <v>450</v>
      </c>
      <c r="G102" s="4" t="s">
        <v>491</v>
      </c>
      <c r="H102" s="4" t="s">
        <v>492</v>
      </c>
      <c r="I102" s="4" t="s">
        <v>480</v>
      </c>
      <c r="J102" s="4" t="n">
        <v>1</v>
      </c>
      <c r="K102" s="4" t="s">
        <v>1008</v>
      </c>
      <c r="L102" s="4"/>
      <c r="M102" s="4" t="s">
        <v>927</v>
      </c>
      <c r="N102" s="4" t="s">
        <v>928</v>
      </c>
      <c r="O102" s="4" t="s">
        <v>669</v>
      </c>
      <c r="P102" s="4" t="s">
        <v>1009</v>
      </c>
      <c r="Q102" s="4" t="s">
        <v>958</v>
      </c>
      <c r="R102" s="4" t="s">
        <v>774</v>
      </c>
      <c r="S102" s="31" t="n">
        <v>0.3</v>
      </c>
      <c r="T102" s="4" t="s">
        <v>775</v>
      </c>
      <c r="U102" s="4" t="s">
        <v>776</v>
      </c>
      <c r="V102" s="4" t="s">
        <v>998</v>
      </c>
      <c r="W102" s="4" t="s">
        <v>1010</v>
      </c>
      <c r="X102" s="4" t="s">
        <v>762</v>
      </c>
      <c r="Y102" s="4"/>
      <c r="Z102" s="4"/>
      <c r="AA102" s="4"/>
      <c r="AB102" s="4"/>
      <c r="AC102" s="4"/>
      <c r="AD102" s="4"/>
      <c r="AE102" s="4" t="s">
        <v>1011</v>
      </c>
      <c r="AF102" s="21" t="str">
        <f aca="false">IF(T102="USD",1,IF(T102="pct","",INDEX(Parameters!$D$5:$D$7,MATCH(B102,Parameters!$A$5:$A$7,0))))</f>
        <v/>
      </c>
      <c r="AG102" s="22" t="str">
        <f aca="false">IF(AND(R102="specific",ISNUMBER(S102)),S102/AF102,"")</f>
        <v/>
      </c>
      <c r="AH102" s="4"/>
      <c r="AI102" s="22" t="str">
        <f aca="false">IF(NOT(ISNUMBER(AH102)),"",IF(R102="specific",IF(ISNUMBER(AG102),AG102*AH102,""),IF(AND(R102="ad_valorem",ISNUMBER(AJ102)),S102*AJ102/INDEX(Parameters!$D$5:$D$7,MATCH(B102,Parameters!$A$5:$A$7,0))*AH102,"")))</f>
        <v/>
      </c>
      <c r="AJ102" s="4"/>
      <c r="AK102" s="4"/>
      <c r="AL102" s="24" t="str">
        <f aca="false">IF(NOT(ISNUMBER(AJ102)),"",IF(R102="specific",S102/AJ102,IF(R102="ad_valorem",S102,"")))</f>
        <v/>
      </c>
      <c r="AM102" s="4" t="s">
        <v>71</v>
      </c>
      <c r="AN102" s="4"/>
      <c r="AO102" s="25" t="n">
        <f aca="false">IF(AM102="","",IFERROR(INDEX(DQ_Scale!$B$5:$B$14,MATCH(AM102,DQ_Scale!$A$5:$A$14,0)),""))</f>
        <v>2</v>
      </c>
      <c r="AP102" s="4"/>
    </row>
    <row r="103" customFormat="false" ht="23.85" hidden="false" customHeight="false" outlineLevel="0" collapsed="false">
      <c r="A103" s="4" t="s">
        <v>1012</v>
      </c>
      <c r="B103" s="4" t="s">
        <v>925</v>
      </c>
      <c r="C103" s="4" t="s">
        <v>4</v>
      </c>
      <c r="D103" s="4" t="s">
        <v>78</v>
      </c>
      <c r="E103" s="4" t="s">
        <v>449</v>
      </c>
      <c r="F103" s="4" t="s">
        <v>450</v>
      </c>
      <c r="G103" s="4" t="s">
        <v>491</v>
      </c>
      <c r="H103" s="4" t="s">
        <v>492</v>
      </c>
      <c r="I103" s="4" t="s">
        <v>480</v>
      </c>
      <c r="J103" s="4" t="n">
        <v>1</v>
      </c>
      <c r="K103" s="4" t="s">
        <v>1008</v>
      </c>
      <c r="L103" s="4"/>
      <c r="M103" s="4" t="s">
        <v>927</v>
      </c>
      <c r="N103" s="4" t="s">
        <v>928</v>
      </c>
      <c r="O103" s="4" t="s">
        <v>669</v>
      </c>
      <c r="P103" s="4" t="s">
        <v>1009</v>
      </c>
      <c r="Q103" s="4" t="s">
        <v>958</v>
      </c>
      <c r="R103" s="4" t="s">
        <v>671</v>
      </c>
      <c r="S103" s="20" t="n">
        <v>950</v>
      </c>
      <c r="T103" s="4" t="s">
        <v>929</v>
      </c>
      <c r="U103" s="4" t="s">
        <v>673</v>
      </c>
      <c r="V103" s="4"/>
      <c r="W103" s="4" t="s">
        <v>1010</v>
      </c>
      <c r="X103" s="4" t="s">
        <v>762</v>
      </c>
      <c r="Y103" s="4"/>
      <c r="Z103" s="4"/>
      <c r="AA103" s="4"/>
      <c r="AB103" s="4"/>
      <c r="AC103" s="4"/>
      <c r="AD103" s="4"/>
      <c r="AE103" s="4" t="s">
        <v>1011</v>
      </c>
      <c r="AF103" s="21" t="n">
        <f aca="false">IF(T103="USD",1,IF(T103="pct","",INDEX(Parameters!$D$5:$D$7,MATCH(B103,Parameters!$A$5:$A$7,0))))</f>
        <v>3750</v>
      </c>
      <c r="AG103" s="22" t="n">
        <f aca="false">IF(AND(R103="specific",ISNUMBER(S103)),S103/AF103,"")</f>
        <v>0.253333333333333</v>
      </c>
      <c r="AH103" s="23" t="n">
        <v>20</v>
      </c>
      <c r="AI103" s="22" t="n">
        <f aca="false">IF(NOT(ISNUMBER(AH103)),"",IF(R103="specific",IF(ISNUMBER(AG103),AG103*AH103,""),IF(AND(R103="ad_valorem",ISNUMBER(AJ103)),S103*AJ103/INDEX(Parameters!$D$5:$D$7,MATCH(B103,Parameters!$A$5:$A$7,0))*AH103,"")))</f>
        <v>5.06666666666667</v>
      </c>
      <c r="AJ103" s="4"/>
      <c r="AK103" s="4"/>
      <c r="AL103" s="24" t="str">
        <f aca="false">IF(NOT(ISNUMBER(AJ103)),"",IF(R103="specific",S103/AJ103,IF(R103="ad_valorem",S103,"")))</f>
        <v/>
      </c>
      <c r="AM103" s="4" t="s">
        <v>71</v>
      </c>
      <c r="AN103" s="4"/>
      <c r="AO103" s="25" t="n">
        <f aca="false">IF(AM103="","",IFERROR(INDEX(DQ_Scale!$B$5:$B$14,MATCH(AM103,DQ_Scale!$A$5:$A$14,0)),""))</f>
        <v>2</v>
      </c>
      <c r="AP103" s="4"/>
    </row>
    <row r="104" customFormat="false" ht="23.85" hidden="false" customHeight="false" outlineLevel="0" collapsed="false">
      <c r="A104" s="4" t="s">
        <v>1013</v>
      </c>
      <c r="B104" s="4" t="s">
        <v>925</v>
      </c>
      <c r="C104" s="4" t="s">
        <v>4</v>
      </c>
      <c r="D104" s="4" t="s">
        <v>78</v>
      </c>
      <c r="E104" s="4" t="s">
        <v>449</v>
      </c>
      <c r="F104" s="4" t="s">
        <v>450</v>
      </c>
      <c r="G104" s="4" t="s">
        <v>501</v>
      </c>
      <c r="H104" s="4" t="s">
        <v>502</v>
      </c>
      <c r="I104" s="4" t="s">
        <v>480</v>
      </c>
      <c r="J104" s="4" t="n">
        <v>1</v>
      </c>
      <c r="K104" s="4" t="s">
        <v>1014</v>
      </c>
      <c r="L104" s="4"/>
      <c r="M104" s="4" t="s">
        <v>927</v>
      </c>
      <c r="N104" s="4" t="s">
        <v>928</v>
      </c>
      <c r="O104" s="4" t="s">
        <v>669</v>
      </c>
      <c r="P104" s="4" t="s">
        <v>1015</v>
      </c>
      <c r="Q104" s="4" t="s">
        <v>958</v>
      </c>
      <c r="R104" s="4" t="s">
        <v>774</v>
      </c>
      <c r="S104" s="31" t="n">
        <v>0.12</v>
      </c>
      <c r="T104" s="4" t="s">
        <v>775</v>
      </c>
      <c r="U104" s="4" t="s">
        <v>776</v>
      </c>
      <c r="V104" s="4" t="s">
        <v>998</v>
      </c>
      <c r="W104" s="4" t="s">
        <v>1016</v>
      </c>
      <c r="X104" s="4" t="s">
        <v>675</v>
      </c>
      <c r="Y104" s="4"/>
      <c r="Z104" s="4"/>
      <c r="AA104" s="4"/>
      <c r="AB104" s="4"/>
      <c r="AC104" s="4"/>
      <c r="AD104" s="4"/>
      <c r="AE104" s="4"/>
      <c r="AF104" s="21" t="str">
        <f aca="false">IF(T104="USD",1,IF(T104="pct","",INDEX(Parameters!$D$5:$D$7,MATCH(B104,Parameters!$A$5:$A$7,0))))</f>
        <v/>
      </c>
      <c r="AG104" s="22" t="str">
        <f aca="false">IF(AND(R104="specific",ISNUMBER(S104)),S104/AF104,"")</f>
        <v/>
      </c>
      <c r="AH104" s="4"/>
      <c r="AI104" s="22" t="str">
        <f aca="false">IF(NOT(ISNUMBER(AH104)),"",IF(R104="specific",IF(ISNUMBER(AG104),AG104*AH104,""),IF(AND(R104="ad_valorem",ISNUMBER(AJ104)),S104*AJ104/INDEX(Parameters!$D$5:$D$7,MATCH(B104,Parameters!$A$5:$A$7,0))*AH104,"")))</f>
        <v/>
      </c>
      <c r="AJ104" s="4"/>
      <c r="AK104" s="4"/>
      <c r="AL104" s="24" t="str">
        <f aca="false">IF(NOT(ISNUMBER(AJ104)),"",IF(R104="specific",S104/AJ104,IF(R104="ad_valorem",S104,"")))</f>
        <v/>
      </c>
      <c r="AM104" s="4" t="s">
        <v>71</v>
      </c>
      <c r="AN104" s="4"/>
      <c r="AO104" s="25" t="n">
        <f aca="false">IF(AM104="","",IFERROR(INDEX(DQ_Scale!$B$5:$B$14,MATCH(AM104,DQ_Scale!$A$5:$A$14,0)),""))</f>
        <v>2</v>
      </c>
      <c r="AP104" s="4"/>
    </row>
    <row r="105" customFormat="false" ht="23.85" hidden="false" customHeight="false" outlineLevel="0" collapsed="false">
      <c r="A105" s="4" t="s">
        <v>1017</v>
      </c>
      <c r="B105" s="4" t="s">
        <v>925</v>
      </c>
      <c r="C105" s="4" t="s">
        <v>4</v>
      </c>
      <c r="D105" s="4" t="s">
        <v>78</v>
      </c>
      <c r="E105" s="4" t="s">
        <v>449</v>
      </c>
      <c r="F105" s="4" t="s">
        <v>450</v>
      </c>
      <c r="G105" s="4" t="s">
        <v>501</v>
      </c>
      <c r="H105" s="4" t="s">
        <v>502</v>
      </c>
      <c r="I105" s="4" t="s">
        <v>480</v>
      </c>
      <c r="J105" s="4" t="n">
        <v>1</v>
      </c>
      <c r="K105" s="4" t="s">
        <v>1014</v>
      </c>
      <c r="L105" s="4"/>
      <c r="M105" s="4" t="s">
        <v>927</v>
      </c>
      <c r="N105" s="4" t="s">
        <v>928</v>
      </c>
      <c r="O105" s="4" t="s">
        <v>669</v>
      </c>
      <c r="P105" s="4" t="s">
        <v>1015</v>
      </c>
      <c r="Q105" s="4" t="s">
        <v>958</v>
      </c>
      <c r="R105" s="4" t="s">
        <v>671</v>
      </c>
      <c r="S105" s="20" t="n">
        <v>150</v>
      </c>
      <c r="T105" s="4" t="s">
        <v>929</v>
      </c>
      <c r="U105" s="4" t="s">
        <v>673</v>
      </c>
      <c r="V105" s="4"/>
      <c r="W105" s="4" t="s">
        <v>1016</v>
      </c>
      <c r="X105" s="4" t="s">
        <v>675</v>
      </c>
      <c r="Y105" s="4"/>
      <c r="Z105" s="4"/>
      <c r="AA105" s="4"/>
      <c r="AB105" s="4"/>
      <c r="AC105" s="4"/>
      <c r="AD105" s="4"/>
      <c r="AE105" s="4"/>
      <c r="AF105" s="21" t="n">
        <f aca="false">IF(T105="USD",1,IF(T105="pct","",INDEX(Parameters!$D$5:$D$7,MATCH(B105,Parameters!$A$5:$A$7,0))))</f>
        <v>3750</v>
      </c>
      <c r="AG105" s="22" t="n">
        <f aca="false">IF(AND(R105="specific",ISNUMBER(S105)),S105/AF105,"")</f>
        <v>0.04</v>
      </c>
      <c r="AH105" s="23" t="n">
        <v>25</v>
      </c>
      <c r="AI105" s="22" t="n">
        <f aca="false">IF(NOT(ISNUMBER(AH105)),"",IF(R105="specific",IF(ISNUMBER(AG105),AG105*AH105,""),IF(AND(R105="ad_valorem",ISNUMBER(AJ105)),S105*AJ105/INDEX(Parameters!$D$5:$D$7,MATCH(B105,Parameters!$A$5:$A$7,0))*AH105,"")))</f>
        <v>1</v>
      </c>
      <c r="AJ105" s="4"/>
      <c r="AK105" s="4"/>
      <c r="AL105" s="24" t="str">
        <f aca="false">IF(NOT(ISNUMBER(AJ105)),"",IF(R105="specific",S105/AJ105,IF(R105="ad_valorem",S105,"")))</f>
        <v/>
      </c>
      <c r="AM105" s="4" t="s">
        <v>71</v>
      </c>
      <c r="AN105" s="4"/>
      <c r="AO105" s="25" t="n">
        <f aca="false">IF(AM105="","",IFERROR(INDEX(DQ_Scale!$B$5:$B$14,MATCH(AM105,DQ_Scale!$A$5:$A$14,0)),""))</f>
        <v>2</v>
      </c>
      <c r="AP105" s="4"/>
    </row>
    <row r="106" customFormat="false" ht="23.85" hidden="false" customHeight="false" outlineLevel="0" collapsed="false">
      <c r="A106" s="4" t="s">
        <v>1018</v>
      </c>
      <c r="B106" s="4" t="s">
        <v>925</v>
      </c>
      <c r="C106" s="4" t="s">
        <v>4</v>
      </c>
      <c r="D106" s="4" t="s">
        <v>78</v>
      </c>
      <c r="E106" s="4" t="s">
        <v>449</v>
      </c>
      <c r="F106" s="4" t="s">
        <v>450</v>
      </c>
      <c r="G106" s="4" t="s">
        <v>501</v>
      </c>
      <c r="H106" s="4" t="s">
        <v>502</v>
      </c>
      <c r="I106" s="4" t="s">
        <v>480</v>
      </c>
      <c r="J106" s="4" t="n">
        <v>1</v>
      </c>
      <c r="K106" s="4" t="s">
        <v>1019</v>
      </c>
      <c r="L106" s="4"/>
      <c r="M106" s="4" t="s">
        <v>927</v>
      </c>
      <c r="N106" s="4" t="s">
        <v>928</v>
      </c>
      <c r="O106" s="4" t="s">
        <v>669</v>
      </c>
      <c r="P106" s="4" t="s">
        <v>1020</v>
      </c>
      <c r="Q106" s="4" t="s">
        <v>958</v>
      </c>
      <c r="R106" s="4" t="s">
        <v>774</v>
      </c>
      <c r="S106" s="31" t="n">
        <v>0.12</v>
      </c>
      <c r="T106" s="4" t="s">
        <v>775</v>
      </c>
      <c r="U106" s="4" t="s">
        <v>776</v>
      </c>
      <c r="V106" s="4" t="s">
        <v>998</v>
      </c>
      <c r="W106" s="4" t="s">
        <v>1016</v>
      </c>
      <c r="X106" s="4" t="s">
        <v>762</v>
      </c>
      <c r="Y106" s="4"/>
      <c r="Z106" s="4"/>
      <c r="AA106" s="4"/>
      <c r="AB106" s="4"/>
      <c r="AC106" s="4"/>
      <c r="AD106" s="4"/>
      <c r="AE106" s="4"/>
      <c r="AF106" s="21" t="str">
        <f aca="false">IF(T106="USD",1,IF(T106="pct","",INDEX(Parameters!$D$5:$D$7,MATCH(B106,Parameters!$A$5:$A$7,0))))</f>
        <v/>
      </c>
      <c r="AG106" s="22" t="str">
        <f aca="false">IF(AND(R106="specific",ISNUMBER(S106)),S106/AF106,"")</f>
        <v/>
      </c>
      <c r="AH106" s="4"/>
      <c r="AI106" s="22" t="str">
        <f aca="false">IF(NOT(ISNUMBER(AH106)),"",IF(R106="specific",IF(ISNUMBER(AG106),AG106*AH106,""),IF(AND(R106="ad_valorem",ISNUMBER(AJ106)),S106*AJ106/INDEX(Parameters!$D$5:$D$7,MATCH(B106,Parameters!$A$5:$A$7,0))*AH106,"")))</f>
        <v/>
      </c>
      <c r="AJ106" s="4"/>
      <c r="AK106" s="4"/>
      <c r="AL106" s="24" t="str">
        <f aca="false">IF(NOT(ISNUMBER(AJ106)),"",IF(R106="specific",S106/AJ106,IF(R106="ad_valorem",S106,"")))</f>
        <v/>
      </c>
      <c r="AM106" s="4" t="s">
        <v>71</v>
      </c>
      <c r="AN106" s="4"/>
      <c r="AO106" s="25" t="n">
        <f aca="false">IF(AM106="","",IFERROR(INDEX(DQ_Scale!$B$5:$B$14,MATCH(AM106,DQ_Scale!$A$5:$A$14,0)),""))</f>
        <v>2</v>
      </c>
      <c r="AP106" s="4" t="s">
        <v>1021</v>
      </c>
    </row>
    <row r="107" customFormat="false" ht="23.85" hidden="false" customHeight="false" outlineLevel="0" collapsed="false">
      <c r="A107" s="4" t="s">
        <v>1022</v>
      </c>
      <c r="B107" s="4" t="s">
        <v>925</v>
      </c>
      <c r="C107" s="4" t="s">
        <v>4</v>
      </c>
      <c r="D107" s="4" t="s">
        <v>78</v>
      </c>
      <c r="E107" s="4" t="s">
        <v>449</v>
      </c>
      <c r="F107" s="4" t="s">
        <v>450</v>
      </c>
      <c r="G107" s="4" t="s">
        <v>501</v>
      </c>
      <c r="H107" s="4" t="s">
        <v>502</v>
      </c>
      <c r="I107" s="4" t="s">
        <v>480</v>
      </c>
      <c r="J107" s="4" t="n">
        <v>1</v>
      </c>
      <c r="K107" s="4" t="s">
        <v>1019</v>
      </c>
      <c r="L107" s="4"/>
      <c r="M107" s="4" t="s">
        <v>927</v>
      </c>
      <c r="N107" s="4" t="s">
        <v>928</v>
      </c>
      <c r="O107" s="4" t="s">
        <v>669</v>
      </c>
      <c r="P107" s="4" t="s">
        <v>1020</v>
      </c>
      <c r="Q107" s="4" t="s">
        <v>958</v>
      </c>
      <c r="R107" s="4" t="s">
        <v>671</v>
      </c>
      <c r="S107" s="20" t="n">
        <v>150</v>
      </c>
      <c r="T107" s="4" t="s">
        <v>929</v>
      </c>
      <c r="U107" s="4" t="s">
        <v>673</v>
      </c>
      <c r="V107" s="4"/>
      <c r="W107" s="4" t="s">
        <v>1016</v>
      </c>
      <c r="X107" s="4" t="s">
        <v>762</v>
      </c>
      <c r="Y107" s="4"/>
      <c r="Z107" s="4"/>
      <c r="AA107" s="4"/>
      <c r="AB107" s="4"/>
      <c r="AC107" s="4"/>
      <c r="AD107" s="4"/>
      <c r="AE107" s="4"/>
      <c r="AF107" s="21" t="n">
        <f aca="false">IF(T107="USD",1,IF(T107="pct","",INDEX(Parameters!$D$5:$D$7,MATCH(B107,Parameters!$A$5:$A$7,0))))</f>
        <v>3750</v>
      </c>
      <c r="AG107" s="22" t="n">
        <f aca="false">IF(AND(R107="specific",ISNUMBER(S107)),S107/AF107,"")</f>
        <v>0.04</v>
      </c>
      <c r="AH107" s="4"/>
      <c r="AI107" s="22" t="str">
        <f aca="false">IF(NOT(ISNUMBER(AH107)),"",IF(R107="specific",IF(ISNUMBER(AG107),AG107*AH107,""),IF(AND(R107="ad_valorem",ISNUMBER(AJ107)),S107*AJ107/INDEX(Parameters!$D$5:$D$7,MATCH(B107,Parameters!$A$5:$A$7,0))*AH107,"")))</f>
        <v/>
      </c>
      <c r="AJ107" s="4"/>
      <c r="AK107" s="4"/>
      <c r="AL107" s="24" t="str">
        <f aca="false">IF(NOT(ISNUMBER(AJ107)),"",IF(R107="specific",S107/AJ107,IF(R107="ad_valorem",S107,"")))</f>
        <v/>
      </c>
      <c r="AM107" s="4" t="s">
        <v>71</v>
      </c>
      <c r="AN107" s="4"/>
      <c r="AO107" s="25" t="n">
        <f aca="false">IF(AM107="","",IFERROR(INDEX(DQ_Scale!$B$5:$B$14,MATCH(AM107,DQ_Scale!$A$5:$A$14,0)),""))</f>
        <v>2</v>
      </c>
      <c r="AP107" s="4" t="s">
        <v>1021</v>
      </c>
    </row>
    <row r="108" customFormat="false" ht="23.85" hidden="false" customHeight="false" outlineLevel="0" collapsed="false">
      <c r="A108" s="4" t="s">
        <v>1023</v>
      </c>
      <c r="B108" s="4" t="s">
        <v>925</v>
      </c>
      <c r="C108" s="4" t="s">
        <v>4</v>
      </c>
      <c r="D108" s="4" t="s">
        <v>78</v>
      </c>
      <c r="E108" s="4" t="s">
        <v>449</v>
      </c>
      <c r="F108" s="4" t="s">
        <v>450</v>
      </c>
      <c r="G108" s="4" t="s">
        <v>501</v>
      </c>
      <c r="H108" s="4" t="s">
        <v>502</v>
      </c>
      <c r="I108" s="4" t="s">
        <v>480</v>
      </c>
      <c r="J108" s="4" t="n">
        <v>1</v>
      </c>
      <c r="K108" s="4" t="s">
        <v>1024</v>
      </c>
      <c r="L108" s="4"/>
      <c r="M108" s="4" t="s">
        <v>927</v>
      </c>
      <c r="N108" s="4" t="s">
        <v>928</v>
      </c>
      <c r="O108" s="4" t="s">
        <v>669</v>
      </c>
      <c r="P108" s="4" t="s">
        <v>1025</v>
      </c>
      <c r="Q108" s="4" t="s">
        <v>958</v>
      </c>
      <c r="R108" s="4" t="s">
        <v>774</v>
      </c>
      <c r="S108" s="31" t="n">
        <v>0.6</v>
      </c>
      <c r="T108" s="4" t="s">
        <v>775</v>
      </c>
      <c r="U108" s="4" t="s">
        <v>776</v>
      </c>
      <c r="V108" s="4" t="s">
        <v>998</v>
      </c>
      <c r="W108" s="4" t="s">
        <v>1026</v>
      </c>
      <c r="X108" s="4" t="s">
        <v>768</v>
      </c>
      <c r="Y108" s="4"/>
      <c r="Z108" s="4"/>
      <c r="AA108" s="4"/>
      <c r="AB108" s="4"/>
      <c r="AC108" s="4"/>
      <c r="AD108" s="4"/>
      <c r="AE108" s="4"/>
      <c r="AF108" s="21" t="str">
        <f aca="false">IF(T108="USD",1,IF(T108="pct","",INDEX(Parameters!$D$5:$D$7,MATCH(B108,Parameters!$A$5:$A$7,0))))</f>
        <v/>
      </c>
      <c r="AG108" s="22" t="str">
        <f aca="false">IF(AND(R108="specific",ISNUMBER(S108)),S108/AF108,"")</f>
        <v/>
      </c>
      <c r="AH108" s="4"/>
      <c r="AI108" s="22" t="str">
        <f aca="false">IF(NOT(ISNUMBER(AH108)),"",IF(R108="specific",IF(ISNUMBER(AG108),AG108*AH108,""),IF(AND(R108="ad_valorem",ISNUMBER(AJ108)),S108*AJ108/INDEX(Parameters!$D$5:$D$7,MATCH(B108,Parameters!$A$5:$A$7,0))*AH108,"")))</f>
        <v/>
      </c>
      <c r="AJ108" s="4"/>
      <c r="AK108" s="4"/>
      <c r="AL108" s="24" t="str">
        <f aca="false">IF(NOT(ISNUMBER(AJ108)),"",IF(R108="specific",S108/AJ108,IF(R108="ad_valorem",S108,"")))</f>
        <v/>
      </c>
      <c r="AM108" s="4" t="s">
        <v>71</v>
      </c>
      <c r="AN108" s="4"/>
      <c r="AO108" s="25" t="n">
        <f aca="false">IF(AM108="","",IFERROR(INDEX(DQ_Scale!$B$5:$B$14,MATCH(AM108,DQ_Scale!$A$5:$A$14,0)),""))</f>
        <v>2</v>
      </c>
      <c r="AP108" s="4" t="s">
        <v>1027</v>
      </c>
    </row>
    <row r="109" customFormat="false" ht="23.85" hidden="false" customHeight="false" outlineLevel="0" collapsed="false">
      <c r="A109" s="4" t="s">
        <v>1028</v>
      </c>
      <c r="B109" s="4" t="s">
        <v>925</v>
      </c>
      <c r="C109" s="4" t="s">
        <v>4</v>
      </c>
      <c r="D109" s="4" t="s">
        <v>78</v>
      </c>
      <c r="E109" s="4" t="s">
        <v>449</v>
      </c>
      <c r="F109" s="4" t="s">
        <v>450</v>
      </c>
      <c r="G109" s="4" t="s">
        <v>501</v>
      </c>
      <c r="H109" s="4" t="s">
        <v>502</v>
      </c>
      <c r="I109" s="4" t="s">
        <v>480</v>
      </c>
      <c r="J109" s="4" t="n">
        <v>1</v>
      </c>
      <c r="K109" s="4" t="s">
        <v>1024</v>
      </c>
      <c r="L109" s="4"/>
      <c r="M109" s="4" t="s">
        <v>927</v>
      </c>
      <c r="N109" s="4" t="s">
        <v>928</v>
      </c>
      <c r="O109" s="4" t="s">
        <v>669</v>
      </c>
      <c r="P109" s="4" t="s">
        <v>1025</v>
      </c>
      <c r="Q109" s="4" t="s">
        <v>958</v>
      </c>
      <c r="R109" s="4" t="s">
        <v>671</v>
      </c>
      <c r="S109" s="20" t="n">
        <v>950</v>
      </c>
      <c r="T109" s="4" t="s">
        <v>929</v>
      </c>
      <c r="U109" s="4" t="s">
        <v>673</v>
      </c>
      <c r="V109" s="4"/>
      <c r="W109" s="4" t="s">
        <v>1026</v>
      </c>
      <c r="X109" s="4" t="s">
        <v>768</v>
      </c>
      <c r="Y109" s="4"/>
      <c r="Z109" s="4"/>
      <c r="AA109" s="4"/>
      <c r="AB109" s="4"/>
      <c r="AC109" s="4"/>
      <c r="AD109" s="4"/>
      <c r="AE109" s="4"/>
      <c r="AF109" s="21" t="n">
        <f aca="false">IF(T109="USD",1,IF(T109="pct","",INDEX(Parameters!$D$5:$D$7,MATCH(B109,Parameters!$A$5:$A$7,0))))</f>
        <v>3750</v>
      </c>
      <c r="AG109" s="22" t="n">
        <f aca="false">IF(AND(R109="specific",ISNUMBER(S109)),S109/AF109,"")</f>
        <v>0.253333333333333</v>
      </c>
      <c r="AH109" s="23" t="n">
        <v>25</v>
      </c>
      <c r="AI109" s="22" t="n">
        <f aca="false">IF(NOT(ISNUMBER(AH109)),"",IF(R109="specific",IF(ISNUMBER(AG109),AG109*AH109,""),IF(AND(R109="ad_valorem",ISNUMBER(AJ109)),S109*AJ109/INDEX(Parameters!$D$5:$D$7,MATCH(B109,Parameters!$A$5:$A$7,0))*AH109,"")))</f>
        <v>6.33333333333333</v>
      </c>
      <c r="AJ109" s="4"/>
      <c r="AK109" s="4"/>
      <c r="AL109" s="24" t="str">
        <f aca="false">IF(NOT(ISNUMBER(AJ109)),"",IF(R109="specific",S109/AJ109,IF(R109="ad_valorem",S109,"")))</f>
        <v/>
      </c>
      <c r="AM109" s="4" t="s">
        <v>71</v>
      </c>
      <c r="AN109" s="4"/>
      <c r="AO109" s="25" t="n">
        <f aca="false">IF(AM109="","",IFERROR(INDEX(DQ_Scale!$B$5:$B$14,MATCH(AM109,DQ_Scale!$A$5:$A$14,0)),""))</f>
        <v>2</v>
      </c>
      <c r="AP109" s="4" t="s">
        <v>1027</v>
      </c>
    </row>
    <row r="110" customFormat="false" ht="23.85" hidden="false" customHeight="false" outlineLevel="0" collapsed="false">
      <c r="A110" s="4" t="s">
        <v>1029</v>
      </c>
      <c r="B110" s="4" t="s">
        <v>925</v>
      </c>
      <c r="C110" s="4" t="s">
        <v>4</v>
      </c>
      <c r="D110" s="4" t="s">
        <v>78</v>
      </c>
      <c r="E110" s="4" t="s">
        <v>449</v>
      </c>
      <c r="F110" s="4" t="s">
        <v>450</v>
      </c>
      <c r="G110" s="4" t="s">
        <v>501</v>
      </c>
      <c r="H110" s="4" t="s">
        <v>502</v>
      </c>
      <c r="I110" s="4" t="s">
        <v>480</v>
      </c>
      <c r="J110" s="4" t="n">
        <v>1</v>
      </c>
      <c r="K110" s="4" t="s">
        <v>1030</v>
      </c>
      <c r="L110" s="4"/>
      <c r="M110" s="4" t="s">
        <v>927</v>
      </c>
      <c r="N110" s="4" t="s">
        <v>928</v>
      </c>
      <c r="O110" s="4" t="s">
        <v>669</v>
      </c>
      <c r="P110" s="4" t="s">
        <v>1031</v>
      </c>
      <c r="Q110" s="4" t="s">
        <v>958</v>
      </c>
      <c r="R110" s="4" t="s">
        <v>774</v>
      </c>
      <c r="S110" s="31" t="n">
        <v>0.3</v>
      </c>
      <c r="T110" s="4" t="s">
        <v>775</v>
      </c>
      <c r="U110" s="4" t="s">
        <v>776</v>
      </c>
      <c r="V110" s="4" t="s">
        <v>998</v>
      </c>
      <c r="W110" s="4" t="s">
        <v>1032</v>
      </c>
      <c r="X110" s="4" t="s">
        <v>762</v>
      </c>
      <c r="Y110" s="4"/>
      <c r="Z110" s="4"/>
      <c r="AA110" s="4"/>
      <c r="AB110" s="4"/>
      <c r="AC110" s="4"/>
      <c r="AD110" s="4"/>
      <c r="AE110" s="4"/>
      <c r="AF110" s="21" t="str">
        <f aca="false">IF(T110="USD",1,IF(T110="pct","",INDEX(Parameters!$D$5:$D$7,MATCH(B110,Parameters!$A$5:$A$7,0))))</f>
        <v/>
      </c>
      <c r="AG110" s="22" t="str">
        <f aca="false">IF(AND(R110="specific",ISNUMBER(S110)),S110/AF110,"")</f>
        <v/>
      </c>
      <c r="AH110" s="4"/>
      <c r="AI110" s="22" t="str">
        <f aca="false">IF(NOT(ISNUMBER(AH110)),"",IF(R110="specific",IF(ISNUMBER(AG110),AG110*AH110,""),IF(AND(R110="ad_valorem",ISNUMBER(AJ110)),S110*AJ110/INDEX(Parameters!$D$5:$D$7,MATCH(B110,Parameters!$A$5:$A$7,0))*AH110,"")))</f>
        <v/>
      </c>
      <c r="AJ110" s="4"/>
      <c r="AK110" s="4"/>
      <c r="AL110" s="24" t="str">
        <f aca="false">IF(NOT(ISNUMBER(AJ110)),"",IF(R110="specific",S110/AJ110,IF(R110="ad_valorem",S110,"")))</f>
        <v/>
      </c>
      <c r="AM110" s="4" t="s">
        <v>71</v>
      </c>
      <c r="AN110" s="4"/>
      <c r="AO110" s="25" t="n">
        <f aca="false">IF(AM110="","",IFERROR(INDEX(DQ_Scale!$B$5:$B$14,MATCH(AM110,DQ_Scale!$A$5:$A$14,0)),""))</f>
        <v>2</v>
      </c>
      <c r="AP110" s="4" t="s">
        <v>1027</v>
      </c>
    </row>
    <row r="111" customFormat="false" ht="23.85" hidden="false" customHeight="false" outlineLevel="0" collapsed="false">
      <c r="A111" s="4" t="s">
        <v>1033</v>
      </c>
      <c r="B111" s="4" t="s">
        <v>925</v>
      </c>
      <c r="C111" s="4" t="s">
        <v>4</v>
      </c>
      <c r="D111" s="4" t="s">
        <v>78</v>
      </c>
      <c r="E111" s="4" t="s">
        <v>449</v>
      </c>
      <c r="F111" s="4" t="s">
        <v>450</v>
      </c>
      <c r="G111" s="4" t="s">
        <v>501</v>
      </c>
      <c r="H111" s="4" t="s">
        <v>502</v>
      </c>
      <c r="I111" s="4" t="s">
        <v>480</v>
      </c>
      <c r="J111" s="4" t="n">
        <v>1</v>
      </c>
      <c r="K111" s="4" t="s">
        <v>1030</v>
      </c>
      <c r="L111" s="4"/>
      <c r="M111" s="4" t="s">
        <v>927</v>
      </c>
      <c r="N111" s="4" t="s">
        <v>928</v>
      </c>
      <c r="O111" s="4" t="s">
        <v>669</v>
      </c>
      <c r="P111" s="4" t="s">
        <v>1031</v>
      </c>
      <c r="Q111" s="4" t="s">
        <v>958</v>
      </c>
      <c r="R111" s="4" t="s">
        <v>671</v>
      </c>
      <c r="S111" s="20" t="n">
        <v>550</v>
      </c>
      <c r="T111" s="4" t="s">
        <v>929</v>
      </c>
      <c r="U111" s="4" t="s">
        <v>673</v>
      </c>
      <c r="V111" s="4"/>
      <c r="W111" s="4" t="s">
        <v>1032</v>
      </c>
      <c r="X111" s="4" t="s">
        <v>762</v>
      </c>
      <c r="Y111" s="4"/>
      <c r="Z111" s="4"/>
      <c r="AA111" s="4"/>
      <c r="AB111" s="4"/>
      <c r="AC111" s="4"/>
      <c r="AD111" s="4"/>
      <c r="AE111" s="4"/>
      <c r="AF111" s="21" t="n">
        <f aca="false">IF(T111="USD",1,IF(T111="pct","",INDEX(Parameters!$D$5:$D$7,MATCH(B111,Parameters!$A$5:$A$7,0))))</f>
        <v>3750</v>
      </c>
      <c r="AG111" s="22" t="n">
        <f aca="false">IF(AND(R111="specific",ISNUMBER(S111)),S111/AF111,"")</f>
        <v>0.146666666666667</v>
      </c>
      <c r="AH111" s="23" t="n">
        <v>25</v>
      </c>
      <c r="AI111" s="22" t="n">
        <f aca="false">IF(NOT(ISNUMBER(AH111)),"",IF(R111="specific",IF(ISNUMBER(AG111),AG111*AH111,""),IF(AND(R111="ad_valorem",ISNUMBER(AJ111)),S111*AJ111/INDEX(Parameters!$D$5:$D$7,MATCH(B111,Parameters!$A$5:$A$7,0))*AH111,"")))</f>
        <v>3.66666666666667</v>
      </c>
      <c r="AJ111" s="4"/>
      <c r="AK111" s="4"/>
      <c r="AL111" s="24" t="str">
        <f aca="false">IF(NOT(ISNUMBER(AJ111)),"",IF(R111="specific",S111/AJ111,IF(R111="ad_valorem",S111,"")))</f>
        <v/>
      </c>
      <c r="AM111" s="4" t="s">
        <v>71</v>
      </c>
      <c r="AN111" s="4"/>
      <c r="AO111" s="25" t="n">
        <f aca="false">IF(AM111="","",IFERROR(INDEX(DQ_Scale!$B$5:$B$14,MATCH(AM111,DQ_Scale!$A$5:$A$14,0)),""))</f>
        <v>2</v>
      </c>
      <c r="AP111" s="4" t="s">
        <v>1027</v>
      </c>
    </row>
    <row r="112" customFormat="false" ht="23.85" hidden="false" customHeight="false" outlineLevel="0" collapsed="false">
      <c r="A112" s="4" t="s">
        <v>1034</v>
      </c>
      <c r="B112" s="4" t="s">
        <v>925</v>
      </c>
      <c r="C112" s="4" t="s">
        <v>4</v>
      </c>
      <c r="D112" s="4" t="s">
        <v>78</v>
      </c>
      <c r="E112" s="4" t="s">
        <v>449</v>
      </c>
      <c r="F112" s="4" t="s">
        <v>450</v>
      </c>
      <c r="G112" s="4" t="s">
        <v>509</v>
      </c>
      <c r="H112" s="4" t="s">
        <v>510</v>
      </c>
      <c r="I112" s="4" t="s">
        <v>480</v>
      </c>
      <c r="J112" s="4" t="n">
        <v>1</v>
      </c>
      <c r="K112" s="4" t="s">
        <v>1035</v>
      </c>
      <c r="L112" s="4"/>
      <c r="M112" s="4" t="s">
        <v>927</v>
      </c>
      <c r="N112" s="4" t="s">
        <v>928</v>
      </c>
      <c r="O112" s="4" t="s">
        <v>669</v>
      </c>
      <c r="P112" s="4" t="s">
        <v>1036</v>
      </c>
      <c r="Q112" s="4" t="s">
        <v>958</v>
      </c>
      <c r="R112" s="4" t="s">
        <v>774</v>
      </c>
      <c r="S112" s="31" t="n">
        <v>0.2</v>
      </c>
      <c r="T112" s="4" t="s">
        <v>775</v>
      </c>
      <c r="U112" s="4" t="s">
        <v>776</v>
      </c>
      <c r="V112" s="4" t="s">
        <v>998</v>
      </c>
      <c r="W112" s="4" t="s">
        <v>1037</v>
      </c>
      <c r="X112" s="4" t="s">
        <v>762</v>
      </c>
      <c r="Y112" s="4"/>
      <c r="Z112" s="4"/>
      <c r="AA112" s="4"/>
      <c r="AB112" s="4"/>
      <c r="AC112" s="4"/>
      <c r="AD112" s="4"/>
      <c r="AE112" s="4"/>
      <c r="AF112" s="21" t="str">
        <f aca="false">IF(T112="USD",1,IF(T112="pct","",INDEX(Parameters!$D$5:$D$7,MATCH(B112,Parameters!$A$5:$A$7,0))))</f>
        <v/>
      </c>
      <c r="AG112" s="22" t="str">
        <f aca="false">IF(AND(R112="specific",ISNUMBER(S112)),S112/AF112,"")</f>
        <v/>
      </c>
      <c r="AH112" s="4"/>
      <c r="AI112" s="22" t="str">
        <f aca="false">IF(NOT(ISNUMBER(AH112)),"",IF(R112="specific",IF(ISNUMBER(AG112),AG112*AH112,""),IF(AND(R112="ad_valorem",ISNUMBER(AJ112)),S112*AJ112/INDEX(Parameters!$D$5:$D$7,MATCH(B112,Parameters!$A$5:$A$7,0))*AH112,"")))</f>
        <v/>
      </c>
      <c r="AJ112" s="4"/>
      <c r="AK112" s="4"/>
      <c r="AL112" s="24" t="str">
        <f aca="false">IF(NOT(ISNUMBER(AJ112)),"",IF(R112="specific",S112/AJ112,IF(R112="ad_valorem",S112,"")))</f>
        <v/>
      </c>
      <c r="AM112" s="4" t="s">
        <v>71</v>
      </c>
      <c r="AN112" s="4"/>
      <c r="AO112" s="25" t="n">
        <f aca="false">IF(AM112="","",IFERROR(INDEX(DQ_Scale!$B$5:$B$14,MATCH(AM112,DQ_Scale!$A$5:$A$14,0)),""))</f>
        <v>2</v>
      </c>
      <c r="AP112" s="4"/>
    </row>
    <row r="113" customFormat="false" ht="23.85" hidden="false" customHeight="false" outlineLevel="0" collapsed="false">
      <c r="A113" s="4" t="s">
        <v>1038</v>
      </c>
      <c r="B113" s="4" t="s">
        <v>925</v>
      </c>
      <c r="C113" s="4" t="s">
        <v>4</v>
      </c>
      <c r="D113" s="4" t="s">
        <v>78</v>
      </c>
      <c r="E113" s="4" t="s">
        <v>449</v>
      </c>
      <c r="F113" s="4" t="s">
        <v>450</v>
      </c>
      <c r="G113" s="4" t="s">
        <v>509</v>
      </c>
      <c r="H113" s="4" t="s">
        <v>510</v>
      </c>
      <c r="I113" s="4" t="s">
        <v>480</v>
      </c>
      <c r="J113" s="4" t="n">
        <v>1</v>
      </c>
      <c r="K113" s="4" t="s">
        <v>1035</v>
      </c>
      <c r="L113" s="4"/>
      <c r="M113" s="4" t="s">
        <v>927</v>
      </c>
      <c r="N113" s="4" t="s">
        <v>928</v>
      </c>
      <c r="O113" s="4" t="s">
        <v>669</v>
      </c>
      <c r="P113" s="4" t="s">
        <v>1036</v>
      </c>
      <c r="Q113" s="4" t="s">
        <v>958</v>
      </c>
      <c r="R113" s="4" t="s">
        <v>671</v>
      </c>
      <c r="S113" s="20" t="n">
        <v>2000</v>
      </c>
      <c r="T113" s="4" t="s">
        <v>929</v>
      </c>
      <c r="U113" s="4" t="s">
        <v>673</v>
      </c>
      <c r="V113" s="4"/>
      <c r="W113" s="4" t="s">
        <v>1037</v>
      </c>
      <c r="X113" s="4" t="s">
        <v>762</v>
      </c>
      <c r="Y113" s="4"/>
      <c r="Z113" s="4"/>
      <c r="AA113" s="4"/>
      <c r="AB113" s="4"/>
      <c r="AC113" s="4"/>
      <c r="AD113" s="4"/>
      <c r="AE113" s="4"/>
      <c r="AF113" s="21" t="n">
        <f aca="false">IF(T113="USD",1,IF(T113="pct","",INDEX(Parameters!$D$5:$D$7,MATCH(B113,Parameters!$A$5:$A$7,0))))</f>
        <v>3750</v>
      </c>
      <c r="AG113" s="22" t="n">
        <f aca="false">IF(AND(R113="specific",ISNUMBER(S113)),S113/AF113,"")</f>
        <v>0.533333333333333</v>
      </c>
      <c r="AH113" s="23" t="n">
        <v>8.33333333333333</v>
      </c>
      <c r="AI113" s="22" t="n">
        <f aca="false">IF(NOT(ISNUMBER(AH113)),"",IF(R113="specific",IF(ISNUMBER(AG113),AG113*AH113,""),IF(AND(R113="ad_valorem",ISNUMBER(AJ113)),S113*AJ113/INDEX(Parameters!$D$5:$D$7,MATCH(B113,Parameters!$A$5:$A$7,0))*AH113,"")))</f>
        <v>4.44444444444445</v>
      </c>
      <c r="AJ113" s="4"/>
      <c r="AK113" s="4"/>
      <c r="AL113" s="24" t="str">
        <f aca="false">IF(NOT(ISNUMBER(AJ113)),"",IF(R113="specific",S113/AJ113,IF(R113="ad_valorem",S113,"")))</f>
        <v/>
      </c>
      <c r="AM113" s="4" t="s">
        <v>71</v>
      </c>
      <c r="AN113" s="4"/>
      <c r="AO113" s="25" t="n">
        <f aca="false">IF(AM113="","",IFERROR(INDEX(DQ_Scale!$B$5:$B$14,MATCH(AM113,DQ_Scale!$A$5:$A$14,0)),""))</f>
        <v>2</v>
      </c>
      <c r="AP113" s="4"/>
    </row>
    <row r="114" customFormat="false" ht="23.85" hidden="false" customHeight="false" outlineLevel="0" collapsed="false">
      <c r="A114" s="4" t="s">
        <v>1039</v>
      </c>
      <c r="B114" s="4" t="s">
        <v>925</v>
      </c>
      <c r="C114" s="4" t="s">
        <v>4</v>
      </c>
      <c r="D114" s="4" t="s">
        <v>78</v>
      </c>
      <c r="E114" s="4" t="s">
        <v>449</v>
      </c>
      <c r="F114" s="4" t="s">
        <v>450</v>
      </c>
      <c r="G114" s="4" t="s">
        <v>509</v>
      </c>
      <c r="H114" s="4" t="s">
        <v>510</v>
      </c>
      <c r="I114" s="4" t="s">
        <v>480</v>
      </c>
      <c r="J114" s="4" t="n">
        <v>1</v>
      </c>
      <c r="K114" s="4" t="s">
        <v>1040</v>
      </c>
      <c r="L114" s="4"/>
      <c r="M114" s="4" t="s">
        <v>927</v>
      </c>
      <c r="N114" s="4" t="s">
        <v>928</v>
      </c>
      <c r="O114" s="4" t="s">
        <v>669</v>
      </c>
      <c r="P114" s="4" t="s">
        <v>1041</v>
      </c>
      <c r="Q114" s="4" t="s">
        <v>958</v>
      </c>
      <c r="R114" s="4" t="s">
        <v>774</v>
      </c>
      <c r="S114" s="31" t="n">
        <v>0.8</v>
      </c>
      <c r="T114" s="4" t="s">
        <v>775</v>
      </c>
      <c r="U114" s="4" t="s">
        <v>776</v>
      </c>
      <c r="V114" s="4" t="s">
        <v>998</v>
      </c>
      <c r="W114" s="4" t="s">
        <v>1042</v>
      </c>
      <c r="X114" s="4" t="s">
        <v>768</v>
      </c>
      <c r="Y114" s="4"/>
      <c r="Z114" s="4"/>
      <c r="AA114" s="4"/>
      <c r="AB114" s="4"/>
      <c r="AC114" s="4"/>
      <c r="AD114" s="4"/>
      <c r="AE114" s="4"/>
      <c r="AF114" s="21" t="str">
        <f aca="false">IF(T114="USD",1,IF(T114="pct","",INDEX(Parameters!$D$5:$D$7,MATCH(B114,Parameters!$A$5:$A$7,0))))</f>
        <v/>
      </c>
      <c r="AG114" s="22" t="str">
        <f aca="false">IF(AND(R114="specific",ISNUMBER(S114)),S114/AF114,"")</f>
        <v/>
      </c>
      <c r="AH114" s="4"/>
      <c r="AI114" s="22" t="str">
        <f aca="false">IF(NOT(ISNUMBER(AH114)),"",IF(R114="specific",IF(ISNUMBER(AG114),AG114*AH114,""),IF(AND(R114="ad_valorem",ISNUMBER(AJ114)),S114*AJ114/INDEX(Parameters!$D$5:$D$7,MATCH(B114,Parameters!$A$5:$A$7,0))*AH114,"")))</f>
        <v/>
      </c>
      <c r="AJ114" s="4"/>
      <c r="AK114" s="4"/>
      <c r="AL114" s="24" t="str">
        <f aca="false">IF(NOT(ISNUMBER(AJ114)),"",IF(R114="specific",S114/AJ114,IF(R114="ad_valorem",S114,"")))</f>
        <v/>
      </c>
      <c r="AM114" s="4" t="s">
        <v>71</v>
      </c>
      <c r="AN114" s="4"/>
      <c r="AO114" s="25" t="n">
        <f aca="false">IF(AM114="","",IFERROR(INDEX(DQ_Scale!$B$5:$B$14,MATCH(AM114,DQ_Scale!$A$5:$A$14,0)),""))</f>
        <v>2</v>
      </c>
      <c r="AP114" s="4"/>
    </row>
    <row r="115" customFormat="false" ht="23.85" hidden="false" customHeight="false" outlineLevel="0" collapsed="false">
      <c r="A115" s="4" t="s">
        <v>1043</v>
      </c>
      <c r="B115" s="4" t="s">
        <v>925</v>
      </c>
      <c r="C115" s="4" t="s">
        <v>4</v>
      </c>
      <c r="D115" s="4" t="s">
        <v>78</v>
      </c>
      <c r="E115" s="4" t="s">
        <v>449</v>
      </c>
      <c r="F115" s="4" t="s">
        <v>450</v>
      </c>
      <c r="G115" s="4" t="s">
        <v>509</v>
      </c>
      <c r="H115" s="4" t="s">
        <v>510</v>
      </c>
      <c r="I115" s="4" t="s">
        <v>480</v>
      </c>
      <c r="J115" s="4" t="n">
        <v>1</v>
      </c>
      <c r="K115" s="4" t="s">
        <v>1040</v>
      </c>
      <c r="L115" s="4"/>
      <c r="M115" s="4" t="s">
        <v>927</v>
      </c>
      <c r="N115" s="4" t="s">
        <v>928</v>
      </c>
      <c r="O115" s="4" t="s">
        <v>669</v>
      </c>
      <c r="P115" s="4" t="s">
        <v>1041</v>
      </c>
      <c r="Q115" s="4" t="s">
        <v>958</v>
      </c>
      <c r="R115" s="4" t="s">
        <v>671</v>
      </c>
      <c r="S115" s="20" t="n">
        <v>8000</v>
      </c>
      <c r="T115" s="4" t="s">
        <v>929</v>
      </c>
      <c r="U115" s="4" t="s">
        <v>673</v>
      </c>
      <c r="V115" s="4"/>
      <c r="W115" s="4" t="s">
        <v>1042</v>
      </c>
      <c r="X115" s="4" t="s">
        <v>768</v>
      </c>
      <c r="Y115" s="4"/>
      <c r="Z115" s="4"/>
      <c r="AA115" s="4"/>
      <c r="AB115" s="4"/>
      <c r="AC115" s="4"/>
      <c r="AD115" s="4"/>
      <c r="AE115" s="4"/>
      <c r="AF115" s="21" t="n">
        <f aca="false">IF(T115="USD",1,IF(T115="pct","",INDEX(Parameters!$D$5:$D$7,MATCH(B115,Parameters!$A$5:$A$7,0))))</f>
        <v>3750</v>
      </c>
      <c r="AG115" s="22" t="n">
        <f aca="false">IF(AND(R115="specific",ISNUMBER(S115)),S115/AF115,"")</f>
        <v>2.13333333333333</v>
      </c>
      <c r="AH115" s="23" t="n">
        <v>8.33333333333333</v>
      </c>
      <c r="AI115" s="22" t="n">
        <f aca="false">IF(NOT(ISNUMBER(AH115)),"",IF(R115="specific",IF(ISNUMBER(AG115),AG115*AH115,""),IF(AND(R115="ad_valorem",ISNUMBER(AJ115)),S115*AJ115/INDEX(Parameters!$D$5:$D$7,MATCH(B115,Parameters!$A$5:$A$7,0))*AH115,"")))</f>
        <v>17.7777777777778</v>
      </c>
      <c r="AJ115" s="4"/>
      <c r="AK115" s="4"/>
      <c r="AL115" s="24" t="str">
        <f aca="false">IF(NOT(ISNUMBER(AJ115)),"",IF(R115="specific",S115/AJ115,IF(R115="ad_valorem",S115,"")))</f>
        <v/>
      </c>
      <c r="AM115" s="4" t="s">
        <v>71</v>
      </c>
      <c r="AN115" s="4"/>
      <c r="AO115" s="25" t="n">
        <f aca="false">IF(AM115="","",IFERROR(INDEX(DQ_Scale!$B$5:$B$14,MATCH(AM115,DQ_Scale!$A$5:$A$14,0)),""))</f>
        <v>2</v>
      </c>
      <c r="AP115" s="4"/>
    </row>
    <row r="116" customFormat="false" ht="23.85" hidden="false" customHeight="false" outlineLevel="0" collapsed="false">
      <c r="A116" s="4" t="s">
        <v>1044</v>
      </c>
      <c r="B116" s="4" t="s">
        <v>925</v>
      </c>
      <c r="C116" s="4" t="s">
        <v>4</v>
      </c>
      <c r="D116" s="4" t="s">
        <v>78</v>
      </c>
      <c r="E116" s="4" t="s">
        <v>449</v>
      </c>
      <c r="F116" s="4" t="s">
        <v>450</v>
      </c>
      <c r="G116" s="4" t="s">
        <v>516</v>
      </c>
      <c r="H116" s="4" t="s">
        <v>517</v>
      </c>
      <c r="I116" s="4" t="s">
        <v>480</v>
      </c>
      <c r="J116" s="4" t="n">
        <v>1</v>
      </c>
      <c r="K116" s="4" t="s">
        <v>1045</v>
      </c>
      <c r="L116" s="4"/>
      <c r="M116" s="4" t="s">
        <v>927</v>
      </c>
      <c r="N116" s="4" t="s">
        <v>928</v>
      </c>
      <c r="O116" s="4" t="s">
        <v>669</v>
      </c>
      <c r="P116" s="4" t="s">
        <v>1046</v>
      </c>
      <c r="Q116" s="4" t="s">
        <v>958</v>
      </c>
      <c r="R116" s="4" t="s">
        <v>774</v>
      </c>
      <c r="S116" s="31" t="n">
        <v>0.6</v>
      </c>
      <c r="T116" s="4" t="s">
        <v>775</v>
      </c>
      <c r="U116" s="4" t="s">
        <v>776</v>
      </c>
      <c r="V116" s="4" t="s">
        <v>998</v>
      </c>
      <c r="W116" s="4" t="s">
        <v>1047</v>
      </c>
      <c r="X116" s="4" t="s">
        <v>762</v>
      </c>
      <c r="Y116" s="4"/>
      <c r="Z116" s="4"/>
      <c r="AA116" s="4"/>
      <c r="AB116" s="4"/>
      <c r="AC116" s="4"/>
      <c r="AD116" s="4"/>
      <c r="AE116" s="4"/>
      <c r="AF116" s="21" t="str">
        <f aca="false">IF(T116="USD",1,IF(T116="pct","",INDEX(Parameters!$D$5:$D$7,MATCH(B116,Parameters!$A$5:$A$7,0))))</f>
        <v/>
      </c>
      <c r="AG116" s="22" t="str">
        <f aca="false">IF(AND(R116="specific",ISNUMBER(S116)),S116/AF116,"")</f>
        <v/>
      </c>
      <c r="AH116" s="4"/>
      <c r="AI116" s="22" t="str">
        <f aca="false">IF(NOT(ISNUMBER(AH116)),"",IF(R116="specific",IF(ISNUMBER(AG116),AG116*AH116,""),IF(AND(R116="ad_valorem",ISNUMBER(AJ116)),S116*AJ116/INDEX(Parameters!$D$5:$D$7,MATCH(B116,Parameters!$A$5:$A$7,0))*AH116,"")))</f>
        <v/>
      </c>
      <c r="AJ116" s="4"/>
      <c r="AK116" s="4"/>
      <c r="AL116" s="24" t="str">
        <f aca="false">IF(NOT(ISNUMBER(AJ116)),"",IF(R116="specific",S116/AJ116,IF(R116="ad_valorem",S116,"")))</f>
        <v/>
      </c>
      <c r="AM116" s="4" t="s">
        <v>71</v>
      </c>
      <c r="AN116" s="4"/>
      <c r="AO116" s="25" t="n">
        <f aca="false">IF(AM116="","",IFERROR(INDEX(DQ_Scale!$B$5:$B$14,MATCH(AM116,DQ_Scale!$A$5:$A$14,0)),""))</f>
        <v>2</v>
      </c>
      <c r="AP116" s="4"/>
    </row>
    <row r="117" customFormat="false" ht="23.85" hidden="false" customHeight="false" outlineLevel="0" collapsed="false">
      <c r="A117" s="4" t="s">
        <v>1048</v>
      </c>
      <c r="B117" s="4" t="s">
        <v>925</v>
      </c>
      <c r="C117" s="4" t="s">
        <v>4</v>
      </c>
      <c r="D117" s="4" t="s">
        <v>78</v>
      </c>
      <c r="E117" s="4" t="s">
        <v>449</v>
      </c>
      <c r="F117" s="4" t="s">
        <v>450</v>
      </c>
      <c r="G117" s="4" t="s">
        <v>516</v>
      </c>
      <c r="H117" s="4" t="s">
        <v>517</v>
      </c>
      <c r="I117" s="4" t="s">
        <v>480</v>
      </c>
      <c r="J117" s="4" t="n">
        <v>1</v>
      </c>
      <c r="K117" s="4" t="s">
        <v>1045</v>
      </c>
      <c r="L117" s="4"/>
      <c r="M117" s="4" t="s">
        <v>927</v>
      </c>
      <c r="N117" s="4" t="s">
        <v>928</v>
      </c>
      <c r="O117" s="4" t="s">
        <v>669</v>
      </c>
      <c r="P117" s="4" t="s">
        <v>1046</v>
      </c>
      <c r="Q117" s="4" t="s">
        <v>958</v>
      </c>
      <c r="R117" s="4" t="s">
        <v>671</v>
      </c>
      <c r="S117" s="20" t="n">
        <v>1500</v>
      </c>
      <c r="T117" s="4" t="s">
        <v>929</v>
      </c>
      <c r="U117" s="4" t="s">
        <v>673</v>
      </c>
      <c r="V117" s="4"/>
      <c r="W117" s="4" t="s">
        <v>1047</v>
      </c>
      <c r="X117" s="4" t="s">
        <v>762</v>
      </c>
      <c r="Y117" s="4"/>
      <c r="Z117" s="4"/>
      <c r="AA117" s="4"/>
      <c r="AB117" s="4"/>
      <c r="AC117" s="4"/>
      <c r="AD117" s="4"/>
      <c r="AE117" s="4"/>
      <c r="AF117" s="21" t="n">
        <f aca="false">IF(T117="USD",1,IF(T117="pct","",INDEX(Parameters!$D$5:$D$7,MATCH(B117,Parameters!$A$5:$A$7,0))))</f>
        <v>3750</v>
      </c>
      <c r="AG117" s="22" t="n">
        <f aca="false">IF(AND(R117="specific",ISNUMBER(S117)),S117/AF117,"")</f>
        <v>0.4</v>
      </c>
      <c r="AH117" s="23" t="n">
        <v>2.5</v>
      </c>
      <c r="AI117" s="22" t="n">
        <f aca="false">IF(NOT(ISNUMBER(AH117)),"",IF(R117="specific",IF(ISNUMBER(AG117),AG117*AH117,""),IF(AND(R117="ad_valorem",ISNUMBER(AJ117)),S117*AJ117/INDEX(Parameters!$D$5:$D$7,MATCH(B117,Parameters!$A$5:$A$7,0))*AH117,"")))</f>
        <v>1</v>
      </c>
      <c r="AJ117" s="4"/>
      <c r="AK117" s="4"/>
      <c r="AL117" s="24" t="str">
        <f aca="false">IF(NOT(ISNUMBER(AJ117)),"",IF(R117="specific",S117/AJ117,IF(R117="ad_valorem",S117,"")))</f>
        <v/>
      </c>
      <c r="AM117" s="4" t="s">
        <v>71</v>
      </c>
      <c r="AN117" s="4"/>
      <c r="AO117" s="25" t="n">
        <f aca="false">IF(AM117="","",IFERROR(INDEX(DQ_Scale!$B$5:$B$14,MATCH(AM117,DQ_Scale!$A$5:$A$14,0)),""))</f>
        <v>2</v>
      </c>
      <c r="AP117" s="4"/>
    </row>
    <row r="118" customFormat="false" ht="23.85" hidden="false" customHeight="false" outlineLevel="0" collapsed="false">
      <c r="A118" s="4" t="s">
        <v>1049</v>
      </c>
      <c r="B118" s="4" t="s">
        <v>925</v>
      </c>
      <c r="C118" s="4" t="s">
        <v>4</v>
      </c>
      <c r="D118" s="4" t="s">
        <v>78</v>
      </c>
      <c r="E118" s="4" t="s">
        <v>449</v>
      </c>
      <c r="F118" s="4" t="s">
        <v>450</v>
      </c>
      <c r="G118" s="4" t="s">
        <v>516</v>
      </c>
      <c r="H118" s="4" t="s">
        <v>517</v>
      </c>
      <c r="I118" s="4" t="s">
        <v>480</v>
      </c>
      <c r="J118" s="4" t="n">
        <v>1</v>
      </c>
      <c r="K118" s="4" t="s">
        <v>1050</v>
      </c>
      <c r="L118" s="4"/>
      <c r="M118" s="4" t="s">
        <v>927</v>
      </c>
      <c r="N118" s="4" t="s">
        <v>928</v>
      </c>
      <c r="O118" s="4" t="s">
        <v>669</v>
      </c>
      <c r="P118" s="4" t="s">
        <v>1051</v>
      </c>
      <c r="Q118" s="4" t="s">
        <v>958</v>
      </c>
      <c r="R118" s="4" t="s">
        <v>774</v>
      </c>
      <c r="S118" s="31" t="n">
        <v>1</v>
      </c>
      <c r="T118" s="4" t="s">
        <v>775</v>
      </c>
      <c r="U118" s="4" t="s">
        <v>776</v>
      </c>
      <c r="V118" s="4" t="s">
        <v>998</v>
      </c>
      <c r="W118" s="4" t="s">
        <v>1052</v>
      </c>
      <c r="X118" s="4" t="s">
        <v>768</v>
      </c>
      <c r="Y118" s="4"/>
      <c r="Z118" s="4"/>
      <c r="AA118" s="4"/>
      <c r="AB118" s="4"/>
      <c r="AC118" s="4"/>
      <c r="AD118" s="4"/>
      <c r="AE118" s="4"/>
      <c r="AF118" s="21" t="str">
        <f aca="false">IF(T118="USD",1,IF(T118="pct","",INDEX(Parameters!$D$5:$D$7,MATCH(B118,Parameters!$A$5:$A$7,0))))</f>
        <v/>
      </c>
      <c r="AG118" s="22" t="str">
        <f aca="false">IF(AND(R118="specific",ISNUMBER(S118)),S118/AF118,"")</f>
        <v/>
      </c>
      <c r="AH118" s="4"/>
      <c r="AI118" s="22" t="str">
        <f aca="false">IF(NOT(ISNUMBER(AH118)),"",IF(R118="specific",IF(ISNUMBER(AG118),AG118*AH118,""),IF(AND(R118="ad_valorem",ISNUMBER(AJ118)),S118*AJ118/INDEX(Parameters!$D$5:$D$7,MATCH(B118,Parameters!$A$5:$A$7,0))*AH118,"")))</f>
        <v/>
      </c>
      <c r="AJ118" s="4"/>
      <c r="AK118" s="4"/>
      <c r="AL118" s="24" t="str">
        <f aca="false">IF(NOT(ISNUMBER(AJ118)),"",IF(R118="specific",S118/AJ118,IF(R118="ad_valorem",S118,"")))</f>
        <v/>
      </c>
      <c r="AM118" s="4" t="s">
        <v>71</v>
      </c>
      <c r="AN118" s="4"/>
      <c r="AO118" s="25" t="n">
        <f aca="false">IF(AM118="","",IFERROR(INDEX(DQ_Scale!$B$5:$B$14,MATCH(AM118,DQ_Scale!$A$5:$A$14,0)),""))</f>
        <v>2</v>
      </c>
      <c r="AP118" s="4"/>
    </row>
    <row r="119" customFormat="false" ht="23.85" hidden="false" customHeight="false" outlineLevel="0" collapsed="false">
      <c r="A119" s="4" t="s">
        <v>1053</v>
      </c>
      <c r="B119" s="4" t="s">
        <v>925</v>
      </c>
      <c r="C119" s="4" t="s">
        <v>4</v>
      </c>
      <c r="D119" s="4" t="s">
        <v>78</v>
      </c>
      <c r="E119" s="4" t="s">
        <v>449</v>
      </c>
      <c r="F119" s="4" t="s">
        <v>450</v>
      </c>
      <c r="G119" s="4" t="s">
        <v>516</v>
      </c>
      <c r="H119" s="4" t="s">
        <v>517</v>
      </c>
      <c r="I119" s="4" t="s">
        <v>480</v>
      </c>
      <c r="J119" s="4" t="n">
        <v>1</v>
      </c>
      <c r="K119" s="4" t="s">
        <v>1050</v>
      </c>
      <c r="L119" s="4"/>
      <c r="M119" s="4" t="s">
        <v>927</v>
      </c>
      <c r="N119" s="4" t="s">
        <v>928</v>
      </c>
      <c r="O119" s="4" t="s">
        <v>669</v>
      </c>
      <c r="P119" s="4" t="s">
        <v>1051</v>
      </c>
      <c r="Q119" s="4" t="s">
        <v>958</v>
      </c>
      <c r="R119" s="4" t="s">
        <v>671</v>
      </c>
      <c r="S119" s="20" t="n">
        <v>2500</v>
      </c>
      <c r="T119" s="4" t="s">
        <v>929</v>
      </c>
      <c r="U119" s="4" t="s">
        <v>673</v>
      </c>
      <c r="V119" s="4"/>
      <c r="W119" s="4" t="s">
        <v>1052</v>
      </c>
      <c r="X119" s="4" t="s">
        <v>768</v>
      </c>
      <c r="Y119" s="4"/>
      <c r="Z119" s="4"/>
      <c r="AA119" s="4"/>
      <c r="AB119" s="4"/>
      <c r="AC119" s="4"/>
      <c r="AD119" s="4"/>
      <c r="AE119" s="4"/>
      <c r="AF119" s="21" t="n">
        <f aca="false">IF(T119="USD",1,IF(T119="pct","",INDEX(Parameters!$D$5:$D$7,MATCH(B119,Parameters!$A$5:$A$7,0))))</f>
        <v>3750</v>
      </c>
      <c r="AG119" s="22" t="n">
        <f aca="false">IF(AND(R119="specific",ISNUMBER(S119)),S119/AF119,"")</f>
        <v>0.666666666666667</v>
      </c>
      <c r="AH119" s="23" t="n">
        <v>2.5</v>
      </c>
      <c r="AI119" s="22" t="n">
        <f aca="false">IF(NOT(ISNUMBER(AH119)),"",IF(R119="specific",IF(ISNUMBER(AG119),AG119*AH119,""),IF(AND(R119="ad_valorem",ISNUMBER(AJ119)),S119*AJ119/INDEX(Parameters!$D$5:$D$7,MATCH(B119,Parameters!$A$5:$A$7,0))*AH119,"")))</f>
        <v>1.66666666666667</v>
      </c>
      <c r="AJ119" s="4"/>
      <c r="AK119" s="4"/>
      <c r="AL119" s="24" t="str">
        <f aca="false">IF(NOT(ISNUMBER(AJ119)),"",IF(R119="specific",S119/AJ119,IF(R119="ad_valorem",S119,"")))</f>
        <v/>
      </c>
      <c r="AM119" s="4" t="s">
        <v>71</v>
      </c>
      <c r="AN119" s="4"/>
      <c r="AO119" s="25" t="n">
        <f aca="false">IF(AM119="","",IFERROR(INDEX(DQ_Scale!$B$5:$B$14,MATCH(AM119,DQ_Scale!$A$5:$A$14,0)),""))</f>
        <v>2</v>
      </c>
      <c r="AP119" s="4"/>
    </row>
    <row r="120" customFormat="false" ht="23.85" hidden="false" customHeight="false" outlineLevel="0" collapsed="false">
      <c r="A120" s="4" t="s">
        <v>1054</v>
      </c>
      <c r="B120" s="4" t="s">
        <v>925</v>
      </c>
      <c r="C120" s="4" t="s">
        <v>4</v>
      </c>
      <c r="D120" s="4" t="s">
        <v>78</v>
      </c>
      <c r="E120" s="4" t="s">
        <v>449</v>
      </c>
      <c r="F120" s="4" t="s">
        <v>450</v>
      </c>
      <c r="G120" s="4" t="s">
        <v>516</v>
      </c>
      <c r="H120" s="4" t="s">
        <v>517</v>
      </c>
      <c r="I120" s="4" t="s">
        <v>480</v>
      </c>
      <c r="J120" s="4" t="n">
        <v>1</v>
      </c>
      <c r="K120" s="4" t="s">
        <v>1055</v>
      </c>
      <c r="L120" s="4"/>
      <c r="M120" s="4" t="s">
        <v>927</v>
      </c>
      <c r="N120" s="4" t="s">
        <v>928</v>
      </c>
      <c r="O120" s="4" t="s">
        <v>669</v>
      </c>
      <c r="P120" s="4" t="s">
        <v>1056</v>
      </c>
      <c r="Q120" s="4" t="s">
        <v>958</v>
      </c>
      <c r="R120" s="4" t="s">
        <v>774</v>
      </c>
      <c r="S120" s="31" t="n">
        <v>0.8</v>
      </c>
      <c r="T120" s="4" t="s">
        <v>775</v>
      </c>
      <c r="U120" s="4" t="s">
        <v>776</v>
      </c>
      <c r="V120" s="4" t="s">
        <v>998</v>
      </c>
      <c r="W120" s="4" t="s">
        <v>1057</v>
      </c>
      <c r="X120" s="4" t="s">
        <v>675</v>
      </c>
      <c r="Y120" s="4"/>
      <c r="Z120" s="4"/>
      <c r="AA120" s="4"/>
      <c r="AB120" s="4"/>
      <c r="AC120" s="4"/>
      <c r="AD120" s="4"/>
      <c r="AE120" s="4"/>
      <c r="AF120" s="21" t="str">
        <f aca="false">IF(T120="USD",1,IF(T120="pct","",INDEX(Parameters!$D$5:$D$7,MATCH(B120,Parameters!$A$5:$A$7,0))))</f>
        <v/>
      </c>
      <c r="AG120" s="22" t="str">
        <f aca="false">IF(AND(R120="specific",ISNUMBER(S120)),S120/AF120,"")</f>
        <v/>
      </c>
      <c r="AH120" s="4"/>
      <c r="AI120" s="22" t="str">
        <f aca="false">IF(NOT(ISNUMBER(AH120)),"",IF(R120="specific",IF(ISNUMBER(AG120),AG120*AH120,""),IF(AND(R120="ad_valorem",ISNUMBER(AJ120)),S120*AJ120/INDEX(Parameters!$D$5:$D$7,MATCH(B120,Parameters!$A$5:$A$7,0))*AH120,"")))</f>
        <v/>
      </c>
      <c r="AJ120" s="4"/>
      <c r="AK120" s="4"/>
      <c r="AL120" s="24" t="str">
        <f aca="false">IF(NOT(ISNUMBER(AJ120)),"",IF(R120="specific",S120/AJ120,IF(R120="ad_valorem",S120,"")))</f>
        <v/>
      </c>
      <c r="AM120" s="4" t="s">
        <v>71</v>
      </c>
      <c r="AN120" s="4"/>
      <c r="AO120" s="25" t="n">
        <f aca="false">IF(AM120="","",IFERROR(INDEX(DQ_Scale!$B$5:$B$14,MATCH(AM120,DQ_Scale!$A$5:$A$14,0)),""))</f>
        <v>2</v>
      </c>
      <c r="AP120" s="4" t="s">
        <v>1058</v>
      </c>
    </row>
    <row r="121" customFormat="false" ht="23.85" hidden="false" customHeight="false" outlineLevel="0" collapsed="false">
      <c r="A121" s="4" t="s">
        <v>1059</v>
      </c>
      <c r="B121" s="4" t="s">
        <v>925</v>
      </c>
      <c r="C121" s="4" t="s">
        <v>4</v>
      </c>
      <c r="D121" s="4" t="s">
        <v>78</v>
      </c>
      <c r="E121" s="4" t="s">
        <v>449</v>
      </c>
      <c r="F121" s="4" t="s">
        <v>450</v>
      </c>
      <c r="G121" s="4" t="s">
        <v>516</v>
      </c>
      <c r="H121" s="4" t="s">
        <v>517</v>
      </c>
      <c r="I121" s="4" t="s">
        <v>480</v>
      </c>
      <c r="J121" s="4" t="n">
        <v>1</v>
      </c>
      <c r="K121" s="4" t="s">
        <v>1055</v>
      </c>
      <c r="L121" s="4"/>
      <c r="M121" s="4" t="s">
        <v>927</v>
      </c>
      <c r="N121" s="4" t="s">
        <v>928</v>
      </c>
      <c r="O121" s="4" t="s">
        <v>669</v>
      </c>
      <c r="P121" s="4" t="s">
        <v>1056</v>
      </c>
      <c r="Q121" s="4" t="s">
        <v>958</v>
      </c>
      <c r="R121" s="4" t="s">
        <v>671</v>
      </c>
      <c r="S121" s="20" t="n">
        <v>1700</v>
      </c>
      <c r="T121" s="4" t="s">
        <v>929</v>
      </c>
      <c r="U121" s="4" t="s">
        <v>673</v>
      </c>
      <c r="V121" s="4"/>
      <c r="W121" s="4" t="s">
        <v>1057</v>
      </c>
      <c r="X121" s="4" t="s">
        <v>675</v>
      </c>
      <c r="Y121" s="4"/>
      <c r="Z121" s="4"/>
      <c r="AA121" s="4"/>
      <c r="AB121" s="4"/>
      <c r="AC121" s="4"/>
      <c r="AD121" s="4"/>
      <c r="AE121" s="4"/>
      <c r="AF121" s="21" t="n">
        <f aca="false">IF(T121="USD",1,IF(T121="pct","",INDEX(Parameters!$D$5:$D$7,MATCH(B121,Parameters!$A$5:$A$7,0))))</f>
        <v>3750</v>
      </c>
      <c r="AG121" s="22" t="n">
        <f aca="false">IF(AND(R121="specific",ISNUMBER(S121)),S121/AF121,"")</f>
        <v>0.453333333333333</v>
      </c>
      <c r="AH121" s="4"/>
      <c r="AI121" s="22" t="str">
        <f aca="false">IF(NOT(ISNUMBER(AH121)),"",IF(R121="specific",IF(ISNUMBER(AG121),AG121*AH121,""),IF(AND(R121="ad_valorem",ISNUMBER(AJ121)),S121*AJ121/INDEX(Parameters!$D$5:$D$7,MATCH(B121,Parameters!$A$5:$A$7,0))*AH121,"")))</f>
        <v/>
      </c>
      <c r="AJ121" s="4"/>
      <c r="AK121" s="4"/>
      <c r="AL121" s="24" t="str">
        <f aca="false">IF(NOT(ISNUMBER(AJ121)),"",IF(R121="specific",S121/AJ121,IF(R121="ad_valorem",S121,"")))</f>
        <v/>
      </c>
      <c r="AM121" s="4" t="s">
        <v>71</v>
      </c>
      <c r="AN121" s="4"/>
      <c r="AO121" s="25" t="n">
        <f aca="false">IF(AM121="","",IFERROR(INDEX(DQ_Scale!$B$5:$B$14,MATCH(AM121,DQ_Scale!$A$5:$A$14,0)),""))</f>
        <v>2</v>
      </c>
      <c r="AP121" s="4" t="s">
        <v>1058</v>
      </c>
    </row>
    <row r="122" customFormat="false" ht="23.85" hidden="false" customHeight="false" outlineLevel="0" collapsed="false">
      <c r="A122" s="4" t="s">
        <v>1060</v>
      </c>
      <c r="B122" s="4" t="s">
        <v>925</v>
      </c>
      <c r="C122" s="4" t="s">
        <v>4</v>
      </c>
      <c r="D122" s="4" t="s">
        <v>78</v>
      </c>
      <c r="E122" s="4" t="s">
        <v>449</v>
      </c>
      <c r="F122" s="4" t="s">
        <v>450</v>
      </c>
      <c r="G122" s="4" t="s">
        <v>525</v>
      </c>
      <c r="H122" s="4" t="s">
        <v>526</v>
      </c>
      <c r="I122" s="4" t="s">
        <v>369</v>
      </c>
      <c r="J122" s="4" t="n">
        <v>1</v>
      </c>
      <c r="K122" s="4" t="s">
        <v>1061</v>
      </c>
      <c r="L122" s="4"/>
      <c r="M122" s="4" t="s">
        <v>927</v>
      </c>
      <c r="N122" s="4" t="s">
        <v>928</v>
      </c>
      <c r="O122" s="4" t="s">
        <v>669</v>
      </c>
      <c r="P122" s="4" t="s">
        <v>1062</v>
      </c>
      <c r="Q122" s="4" t="s">
        <v>958</v>
      </c>
      <c r="R122" s="4" t="s">
        <v>774</v>
      </c>
      <c r="S122" s="31" t="n">
        <v>0.12</v>
      </c>
      <c r="T122" s="4" t="s">
        <v>775</v>
      </c>
      <c r="U122" s="4" t="s">
        <v>776</v>
      </c>
      <c r="V122" s="4" t="s">
        <v>998</v>
      </c>
      <c r="W122" s="4" t="s">
        <v>1063</v>
      </c>
      <c r="X122" s="4" t="s">
        <v>675</v>
      </c>
      <c r="Y122" s="4"/>
      <c r="Z122" s="4"/>
      <c r="AA122" s="4"/>
      <c r="AB122" s="4"/>
      <c r="AC122" s="4"/>
      <c r="AD122" s="4"/>
      <c r="AE122" s="4"/>
      <c r="AF122" s="21" t="str">
        <f aca="false">IF(T122="USD",1,IF(T122="pct","",INDEX(Parameters!$D$5:$D$7,MATCH(B122,Parameters!$A$5:$A$7,0))))</f>
        <v/>
      </c>
      <c r="AG122" s="22" t="str">
        <f aca="false">IF(AND(R122="specific",ISNUMBER(S122)),S122/AF122,"")</f>
        <v/>
      </c>
      <c r="AH122" s="4"/>
      <c r="AI122" s="22" t="str">
        <f aca="false">IF(NOT(ISNUMBER(AH122)),"",IF(R122="specific",IF(ISNUMBER(AG122),AG122*AH122,""),IF(AND(R122="ad_valorem",ISNUMBER(AJ122)),S122*AJ122/INDEX(Parameters!$D$5:$D$7,MATCH(B122,Parameters!$A$5:$A$7,0))*AH122,"")))</f>
        <v/>
      </c>
      <c r="AJ122" s="4"/>
      <c r="AK122" s="4"/>
      <c r="AL122" s="24" t="str">
        <f aca="false">IF(NOT(ISNUMBER(AJ122)),"",IF(R122="specific",S122/AJ122,IF(R122="ad_valorem",S122,"")))</f>
        <v/>
      </c>
      <c r="AM122" s="4" t="s">
        <v>71</v>
      </c>
      <c r="AN122" s="4"/>
      <c r="AO122" s="25" t="n">
        <f aca="false">IF(AM122="","",IFERROR(INDEX(DQ_Scale!$B$5:$B$14,MATCH(AM122,DQ_Scale!$A$5:$A$14,0)),""))</f>
        <v>2</v>
      </c>
      <c r="AP122" s="4"/>
    </row>
    <row r="123" customFormat="false" ht="23.85" hidden="false" customHeight="false" outlineLevel="0" collapsed="false">
      <c r="A123" s="4" t="s">
        <v>1064</v>
      </c>
      <c r="B123" s="4" t="s">
        <v>925</v>
      </c>
      <c r="C123" s="4" t="s">
        <v>4</v>
      </c>
      <c r="D123" s="4" t="s">
        <v>78</v>
      </c>
      <c r="E123" s="4" t="s">
        <v>449</v>
      </c>
      <c r="F123" s="4" t="s">
        <v>450</v>
      </c>
      <c r="G123" s="4" t="s">
        <v>525</v>
      </c>
      <c r="H123" s="4" t="s">
        <v>526</v>
      </c>
      <c r="I123" s="4" t="s">
        <v>369</v>
      </c>
      <c r="J123" s="4" t="n">
        <v>1</v>
      </c>
      <c r="K123" s="4" t="s">
        <v>1061</v>
      </c>
      <c r="L123" s="4"/>
      <c r="M123" s="4" t="s">
        <v>927</v>
      </c>
      <c r="N123" s="4" t="s">
        <v>928</v>
      </c>
      <c r="O123" s="4" t="s">
        <v>669</v>
      </c>
      <c r="P123" s="4" t="s">
        <v>1062</v>
      </c>
      <c r="Q123" s="4" t="s">
        <v>958</v>
      </c>
      <c r="R123" s="4" t="s">
        <v>671</v>
      </c>
      <c r="S123" s="20" t="n">
        <v>250</v>
      </c>
      <c r="T123" s="4" t="s">
        <v>929</v>
      </c>
      <c r="U123" s="4" t="s">
        <v>673</v>
      </c>
      <c r="V123" s="4"/>
      <c r="W123" s="4" t="s">
        <v>1063</v>
      </c>
      <c r="X123" s="4" t="s">
        <v>675</v>
      </c>
      <c r="Y123" s="4"/>
      <c r="Z123" s="4"/>
      <c r="AA123" s="4"/>
      <c r="AB123" s="4"/>
      <c r="AC123" s="4"/>
      <c r="AD123" s="4"/>
      <c r="AE123" s="4"/>
      <c r="AF123" s="21" t="n">
        <f aca="false">IF(T123="USD",1,IF(T123="pct","",INDEX(Parameters!$D$5:$D$7,MATCH(B123,Parameters!$A$5:$A$7,0))))</f>
        <v>3750</v>
      </c>
      <c r="AG123" s="22" t="n">
        <f aca="false">IF(AND(R123="specific",ISNUMBER(S123)),S123/AF123,"")</f>
        <v>0.0666666666666667</v>
      </c>
      <c r="AH123" s="23" t="n">
        <v>1</v>
      </c>
      <c r="AI123" s="22" t="n">
        <f aca="false">IF(NOT(ISNUMBER(AH123)),"",IF(R123="specific",IF(ISNUMBER(AG123),AG123*AH123,""),IF(AND(R123="ad_valorem",ISNUMBER(AJ123)),S123*AJ123/INDEX(Parameters!$D$5:$D$7,MATCH(B123,Parameters!$A$5:$A$7,0))*AH123,"")))</f>
        <v>0.0666666666666667</v>
      </c>
      <c r="AJ123" s="23" t="n">
        <v>4000</v>
      </c>
      <c r="AK123" s="4" t="s">
        <v>1065</v>
      </c>
      <c r="AL123" s="24" t="n">
        <f aca="false">IF(NOT(ISNUMBER(AJ123)),"",IF(R123="specific",S123/AJ123,IF(R123="ad_valorem",S123,"")))</f>
        <v>0.0625</v>
      </c>
      <c r="AM123" s="4" t="s">
        <v>71</v>
      </c>
      <c r="AN123" s="4"/>
      <c r="AO123" s="25" t="n">
        <f aca="false">IF(AM123="","",IFERROR(INDEX(DQ_Scale!$B$5:$B$14,MATCH(AM123,DQ_Scale!$A$5:$A$14,0)),""))</f>
        <v>2</v>
      </c>
      <c r="AP123" s="4"/>
    </row>
    <row r="124" customFormat="false" ht="23.85" hidden="false" customHeight="false" outlineLevel="0" collapsed="false">
      <c r="A124" s="4" t="s">
        <v>1066</v>
      </c>
      <c r="B124" s="4" t="s">
        <v>925</v>
      </c>
      <c r="C124" s="4" t="s">
        <v>4</v>
      </c>
      <c r="D124" s="4" t="s">
        <v>78</v>
      </c>
      <c r="E124" s="4" t="s">
        <v>449</v>
      </c>
      <c r="F124" s="4" t="s">
        <v>450</v>
      </c>
      <c r="G124" s="4" t="s">
        <v>535</v>
      </c>
      <c r="H124" s="4" t="s">
        <v>536</v>
      </c>
      <c r="I124" s="4" t="s">
        <v>369</v>
      </c>
      <c r="J124" s="4" t="n">
        <v>1</v>
      </c>
      <c r="K124" s="4" t="s">
        <v>536</v>
      </c>
      <c r="L124" s="4"/>
      <c r="M124" s="4" t="s">
        <v>927</v>
      </c>
      <c r="N124" s="4" t="s">
        <v>928</v>
      </c>
      <c r="O124" s="4" t="s">
        <v>669</v>
      </c>
      <c r="P124" s="4" t="s">
        <v>1067</v>
      </c>
      <c r="Q124" s="4" t="s">
        <v>958</v>
      </c>
      <c r="R124" s="4" t="s">
        <v>774</v>
      </c>
      <c r="S124" s="31" t="n">
        <v>0.12</v>
      </c>
      <c r="T124" s="4" t="s">
        <v>775</v>
      </c>
      <c r="U124" s="4" t="s">
        <v>776</v>
      </c>
      <c r="V124" s="4" t="s">
        <v>998</v>
      </c>
      <c r="W124" s="4" t="s">
        <v>1063</v>
      </c>
      <c r="X124" s="4" t="s">
        <v>675</v>
      </c>
      <c r="Y124" s="4"/>
      <c r="Z124" s="4"/>
      <c r="AA124" s="4"/>
      <c r="AB124" s="4"/>
      <c r="AC124" s="4"/>
      <c r="AD124" s="4"/>
      <c r="AE124" s="4"/>
      <c r="AF124" s="21" t="str">
        <f aca="false">IF(T124="USD",1,IF(T124="pct","",INDEX(Parameters!$D$5:$D$7,MATCH(B124,Parameters!$A$5:$A$7,0))))</f>
        <v/>
      </c>
      <c r="AG124" s="22" t="str">
        <f aca="false">IF(AND(R124="specific",ISNUMBER(S124)),S124/AF124,"")</f>
        <v/>
      </c>
      <c r="AH124" s="4"/>
      <c r="AI124" s="22" t="str">
        <f aca="false">IF(NOT(ISNUMBER(AH124)),"",IF(R124="specific",IF(ISNUMBER(AG124),AG124*AH124,""),IF(AND(R124="ad_valorem",ISNUMBER(AJ124)),S124*AJ124/INDEX(Parameters!$D$5:$D$7,MATCH(B124,Parameters!$A$5:$A$7,0))*AH124,"")))</f>
        <v/>
      </c>
      <c r="AJ124" s="4"/>
      <c r="AK124" s="4"/>
      <c r="AL124" s="24" t="str">
        <f aca="false">IF(NOT(ISNUMBER(AJ124)),"",IF(R124="specific",S124/AJ124,IF(R124="ad_valorem",S124,"")))</f>
        <v/>
      </c>
      <c r="AM124" s="4" t="s">
        <v>71</v>
      </c>
      <c r="AN124" s="4"/>
      <c r="AO124" s="25" t="n">
        <f aca="false">IF(AM124="","",IFERROR(INDEX(DQ_Scale!$B$5:$B$14,MATCH(AM124,DQ_Scale!$A$5:$A$14,0)),""))</f>
        <v>2</v>
      </c>
      <c r="AP124" s="4" t="s">
        <v>1068</v>
      </c>
    </row>
    <row r="125" customFormat="false" ht="23.85" hidden="false" customHeight="false" outlineLevel="0" collapsed="false">
      <c r="A125" s="4" t="s">
        <v>1069</v>
      </c>
      <c r="B125" s="4" t="s">
        <v>925</v>
      </c>
      <c r="C125" s="4" t="s">
        <v>4</v>
      </c>
      <c r="D125" s="4" t="s">
        <v>78</v>
      </c>
      <c r="E125" s="4" t="s">
        <v>449</v>
      </c>
      <c r="F125" s="4" t="s">
        <v>450</v>
      </c>
      <c r="G125" s="4" t="s">
        <v>535</v>
      </c>
      <c r="H125" s="4" t="s">
        <v>536</v>
      </c>
      <c r="I125" s="4" t="s">
        <v>369</v>
      </c>
      <c r="J125" s="4" t="n">
        <v>1</v>
      </c>
      <c r="K125" s="4" t="s">
        <v>536</v>
      </c>
      <c r="L125" s="4"/>
      <c r="M125" s="4" t="s">
        <v>927</v>
      </c>
      <c r="N125" s="4" t="s">
        <v>928</v>
      </c>
      <c r="O125" s="4" t="s">
        <v>669</v>
      </c>
      <c r="P125" s="4" t="s">
        <v>1067</v>
      </c>
      <c r="Q125" s="4" t="s">
        <v>958</v>
      </c>
      <c r="R125" s="4" t="s">
        <v>671</v>
      </c>
      <c r="S125" s="20" t="n">
        <v>250</v>
      </c>
      <c r="T125" s="4" t="s">
        <v>929</v>
      </c>
      <c r="U125" s="4" t="s">
        <v>673</v>
      </c>
      <c r="V125" s="4"/>
      <c r="W125" s="4" t="s">
        <v>1063</v>
      </c>
      <c r="X125" s="4" t="s">
        <v>675</v>
      </c>
      <c r="Y125" s="4"/>
      <c r="Z125" s="4"/>
      <c r="AA125" s="4"/>
      <c r="AB125" s="4"/>
      <c r="AC125" s="4"/>
      <c r="AD125" s="4"/>
      <c r="AE125" s="4"/>
      <c r="AF125" s="21" t="n">
        <f aca="false">IF(T125="USD",1,IF(T125="pct","",INDEX(Parameters!$D$5:$D$7,MATCH(B125,Parameters!$A$5:$A$7,0))))</f>
        <v>3750</v>
      </c>
      <c r="AG125" s="22" t="n">
        <f aca="false">IF(AND(R125="specific",ISNUMBER(S125)),S125/AF125,"")</f>
        <v>0.0666666666666667</v>
      </c>
      <c r="AH125" s="23" t="n">
        <v>1</v>
      </c>
      <c r="AI125" s="22" t="n">
        <f aca="false">IF(NOT(ISNUMBER(AH125)),"",IF(R125="specific",IF(ISNUMBER(AG125),AG125*AH125,""),IF(AND(R125="ad_valorem",ISNUMBER(AJ125)),S125*AJ125/INDEX(Parameters!$D$5:$D$7,MATCH(B125,Parameters!$A$5:$A$7,0))*AH125,"")))</f>
        <v>0.0666666666666667</v>
      </c>
      <c r="AJ125" s="4"/>
      <c r="AK125" s="4"/>
      <c r="AL125" s="24" t="str">
        <f aca="false">IF(NOT(ISNUMBER(AJ125)),"",IF(R125="specific",S125/AJ125,IF(R125="ad_valorem",S125,"")))</f>
        <v/>
      </c>
      <c r="AM125" s="4" t="s">
        <v>71</v>
      </c>
      <c r="AN125" s="4"/>
      <c r="AO125" s="25" t="n">
        <f aca="false">IF(AM125="","",IFERROR(INDEX(DQ_Scale!$B$5:$B$14,MATCH(AM125,DQ_Scale!$A$5:$A$14,0)),""))</f>
        <v>2</v>
      </c>
      <c r="AP125" s="4" t="s">
        <v>1068</v>
      </c>
    </row>
    <row r="126" customFormat="false" ht="23.85" hidden="false" customHeight="false" outlineLevel="0" collapsed="false">
      <c r="A126" s="4" t="s">
        <v>1070</v>
      </c>
      <c r="B126" s="4" t="s">
        <v>925</v>
      </c>
      <c r="C126" s="4" t="s">
        <v>4</v>
      </c>
      <c r="D126" s="4" t="s">
        <v>78</v>
      </c>
      <c r="E126" s="4" t="s">
        <v>449</v>
      </c>
      <c r="F126" s="4" t="s">
        <v>450</v>
      </c>
      <c r="G126" s="4" t="s">
        <v>535</v>
      </c>
      <c r="H126" s="4" t="s">
        <v>536</v>
      </c>
      <c r="I126" s="4" t="s">
        <v>369</v>
      </c>
      <c r="J126" s="4" t="n">
        <v>1</v>
      </c>
      <c r="K126" s="4" t="s">
        <v>1071</v>
      </c>
      <c r="L126" s="4"/>
      <c r="M126" s="4" t="s">
        <v>927</v>
      </c>
      <c r="N126" s="4" t="s">
        <v>928</v>
      </c>
      <c r="O126" s="4" t="s">
        <v>669</v>
      </c>
      <c r="P126" s="4"/>
      <c r="Q126" s="4" t="s">
        <v>670</v>
      </c>
      <c r="R126" s="4" t="s">
        <v>774</v>
      </c>
      <c r="S126" s="31" t="n">
        <v>0.15</v>
      </c>
      <c r="T126" s="4" t="s">
        <v>775</v>
      </c>
      <c r="U126" s="4" t="s">
        <v>776</v>
      </c>
      <c r="V126" s="4" t="s">
        <v>909</v>
      </c>
      <c r="W126" s="4" t="s">
        <v>788</v>
      </c>
      <c r="X126" s="4" t="s">
        <v>675</v>
      </c>
      <c r="Y126" s="4"/>
      <c r="Z126" s="4"/>
      <c r="AA126" s="4"/>
      <c r="AB126" s="4"/>
      <c r="AC126" s="4"/>
      <c r="AD126" s="4"/>
      <c r="AE126" s="4"/>
      <c r="AF126" s="21" t="str">
        <f aca="false">IF(T126="USD",1,IF(T126="pct","",INDEX(Parameters!$D$5:$D$7,MATCH(B126,Parameters!$A$5:$A$7,0))))</f>
        <v/>
      </c>
      <c r="AG126" s="22" t="str">
        <f aca="false">IF(AND(R126="specific",ISNUMBER(S126)),S126/AF126,"")</f>
        <v/>
      </c>
      <c r="AH126" s="4"/>
      <c r="AI126" s="22" t="str">
        <f aca="false">IF(NOT(ISNUMBER(AH126)),"",IF(R126="specific",IF(ISNUMBER(AG126),AG126*AH126,""),IF(AND(R126="ad_valorem",ISNUMBER(AJ126)),S126*AJ126/INDEX(Parameters!$D$5:$D$7,MATCH(B126,Parameters!$A$5:$A$7,0))*AH126,"")))</f>
        <v/>
      </c>
      <c r="AJ126" s="4"/>
      <c r="AK126" s="4"/>
      <c r="AL126" s="24" t="str">
        <f aca="false">IF(NOT(ISNUMBER(AJ126)),"",IF(R126="specific",S126/AJ126,IF(R126="ad_valorem",S126,"")))</f>
        <v/>
      </c>
      <c r="AM126" s="4" t="s">
        <v>71</v>
      </c>
      <c r="AN126" s="4"/>
      <c r="AO126" s="25" t="n">
        <f aca="false">IF(AM126="","",IFERROR(INDEX(DQ_Scale!$B$5:$B$14,MATCH(AM126,DQ_Scale!$A$5:$A$14,0)),""))</f>
        <v>2</v>
      </c>
      <c r="AP126" s="4"/>
    </row>
    <row r="127" customFormat="false" ht="23.85" hidden="false" customHeight="false" outlineLevel="0" collapsed="false">
      <c r="A127" s="4" t="s">
        <v>1072</v>
      </c>
      <c r="B127" s="4" t="s">
        <v>925</v>
      </c>
      <c r="C127" s="4" t="s">
        <v>4</v>
      </c>
      <c r="D127" s="4" t="s">
        <v>78</v>
      </c>
      <c r="E127" s="4" t="s">
        <v>449</v>
      </c>
      <c r="F127" s="4" t="s">
        <v>450</v>
      </c>
      <c r="G127" s="4" t="s">
        <v>541</v>
      </c>
      <c r="H127" s="4" t="s">
        <v>542</v>
      </c>
      <c r="I127" s="4" t="s">
        <v>369</v>
      </c>
      <c r="J127" s="4" t="n">
        <v>1</v>
      </c>
      <c r="K127" s="4" t="s">
        <v>1073</v>
      </c>
      <c r="L127" s="4"/>
      <c r="M127" s="4" t="s">
        <v>927</v>
      </c>
      <c r="N127" s="4" t="s">
        <v>928</v>
      </c>
      <c r="O127" s="4" t="s">
        <v>669</v>
      </c>
      <c r="P127" s="4" t="s">
        <v>1074</v>
      </c>
      <c r="Q127" s="4" t="s">
        <v>958</v>
      </c>
      <c r="R127" s="4" t="s">
        <v>774</v>
      </c>
      <c r="S127" s="31" t="n">
        <v>0.12</v>
      </c>
      <c r="T127" s="4" t="s">
        <v>775</v>
      </c>
      <c r="U127" s="4" t="s">
        <v>776</v>
      </c>
      <c r="V127" s="4" t="s">
        <v>998</v>
      </c>
      <c r="W127" s="4" t="s">
        <v>1063</v>
      </c>
      <c r="X127" s="4" t="s">
        <v>675</v>
      </c>
      <c r="Y127" s="4"/>
      <c r="Z127" s="4"/>
      <c r="AA127" s="4"/>
      <c r="AB127" s="4"/>
      <c r="AC127" s="4"/>
      <c r="AD127" s="4"/>
      <c r="AE127" s="4"/>
      <c r="AF127" s="21" t="str">
        <f aca="false">IF(T127="USD",1,IF(T127="pct","",INDEX(Parameters!$D$5:$D$7,MATCH(B127,Parameters!$A$5:$A$7,0))))</f>
        <v/>
      </c>
      <c r="AG127" s="22" t="str">
        <f aca="false">IF(AND(R127="specific",ISNUMBER(S127)),S127/AF127,"")</f>
        <v/>
      </c>
      <c r="AH127" s="4"/>
      <c r="AI127" s="22" t="str">
        <f aca="false">IF(NOT(ISNUMBER(AH127)),"",IF(R127="specific",IF(ISNUMBER(AG127),AG127*AH127,""),IF(AND(R127="ad_valorem",ISNUMBER(AJ127)),S127*AJ127/INDEX(Parameters!$D$5:$D$7,MATCH(B127,Parameters!$A$5:$A$7,0))*AH127,"")))</f>
        <v/>
      </c>
      <c r="AJ127" s="4"/>
      <c r="AK127" s="4"/>
      <c r="AL127" s="24" t="str">
        <f aca="false">IF(NOT(ISNUMBER(AJ127)),"",IF(R127="specific",S127/AJ127,IF(R127="ad_valorem",S127,"")))</f>
        <v/>
      </c>
      <c r="AM127" s="4" t="s">
        <v>71</v>
      </c>
      <c r="AN127" s="4"/>
      <c r="AO127" s="25" t="n">
        <f aca="false">IF(AM127="","",IFERROR(INDEX(DQ_Scale!$B$5:$B$14,MATCH(AM127,DQ_Scale!$A$5:$A$14,0)),""))</f>
        <v>2</v>
      </c>
      <c r="AP127" s="4"/>
    </row>
    <row r="128" customFormat="false" ht="23.85" hidden="false" customHeight="false" outlineLevel="0" collapsed="false">
      <c r="A128" s="4" t="s">
        <v>1075</v>
      </c>
      <c r="B128" s="4" t="s">
        <v>925</v>
      </c>
      <c r="C128" s="4" t="s">
        <v>4</v>
      </c>
      <c r="D128" s="4" t="s">
        <v>78</v>
      </c>
      <c r="E128" s="4" t="s">
        <v>449</v>
      </c>
      <c r="F128" s="4" t="s">
        <v>450</v>
      </c>
      <c r="G128" s="4" t="s">
        <v>541</v>
      </c>
      <c r="H128" s="4" t="s">
        <v>542</v>
      </c>
      <c r="I128" s="4" t="s">
        <v>369</v>
      </c>
      <c r="J128" s="4" t="n">
        <v>1</v>
      </c>
      <c r="K128" s="4" t="s">
        <v>1073</v>
      </c>
      <c r="L128" s="4"/>
      <c r="M128" s="4" t="s">
        <v>927</v>
      </c>
      <c r="N128" s="4" t="s">
        <v>928</v>
      </c>
      <c r="O128" s="4" t="s">
        <v>669</v>
      </c>
      <c r="P128" s="4" t="s">
        <v>1074</v>
      </c>
      <c r="Q128" s="4" t="s">
        <v>958</v>
      </c>
      <c r="R128" s="4" t="s">
        <v>671</v>
      </c>
      <c r="S128" s="20" t="n">
        <v>250</v>
      </c>
      <c r="T128" s="4" t="s">
        <v>929</v>
      </c>
      <c r="U128" s="4" t="s">
        <v>673</v>
      </c>
      <c r="V128" s="4"/>
      <c r="W128" s="4" t="s">
        <v>1063</v>
      </c>
      <c r="X128" s="4" t="s">
        <v>675</v>
      </c>
      <c r="Y128" s="4"/>
      <c r="Z128" s="4"/>
      <c r="AA128" s="4"/>
      <c r="AB128" s="4"/>
      <c r="AC128" s="4"/>
      <c r="AD128" s="4"/>
      <c r="AE128" s="4"/>
      <c r="AF128" s="21" t="n">
        <f aca="false">IF(T128="USD",1,IF(T128="pct","",INDEX(Parameters!$D$5:$D$7,MATCH(B128,Parameters!$A$5:$A$7,0))))</f>
        <v>3750</v>
      </c>
      <c r="AG128" s="22" t="n">
        <f aca="false">IF(AND(R128="specific",ISNUMBER(S128)),S128/AF128,"")</f>
        <v>0.0666666666666667</v>
      </c>
      <c r="AH128" s="23" t="n">
        <v>1</v>
      </c>
      <c r="AI128" s="22" t="n">
        <f aca="false">IF(NOT(ISNUMBER(AH128)),"",IF(R128="specific",IF(ISNUMBER(AG128),AG128*AH128,""),IF(AND(R128="ad_valorem",ISNUMBER(AJ128)),S128*AJ128/INDEX(Parameters!$D$5:$D$7,MATCH(B128,Parameters!$A$5:$A$7,0))*AH128,"")))</f>
        <v>0.0666666666666667</v>
      </c>
      <c r="AJ128" s="4"/>
      <c r="AK128" s="4"/>
      <c r="AL128" s="24" t="str">
        <f aca="false">IF(NOT(ISNUMBER(AJ128)),"",IF(R128="specific",S128/AJ128,IF(R128="ad_valorem",S128,"")))</f>
        <v/>
      </c>
      <c r="AM128" s="4" t="s">
        <v>71</v>
      </c>
      <c r="AN128" s="4"/>
      <c r="AO128" s="25" t="n">
        <f aca="false">IF(AM128="","",IFERROR(INDEX(DQ_Scale!$B$5:$B$14,MATCH(AM128,DQ_Scale!$A$5:$A$14,0)),""))</f>
        <v>2</v>
      </c>
      <c r="AP128" s="4"/>
    </row>
    <row r="129" customFormat="false" ht="23.85" hidden="false" customHeight="false" outlineLevel="0" collapsed="false">
      <c r="A129" s="4" t="s">
        <v>1076</v>
      </c>
      <c r="B129" s="4" t="s">
        <v>925</v>
      </c>
      <c r="C129" s="4" t="s">
        <v>4</v>
      </c>
      <c r="D129" s="4" t="s">
        <v>78</v>
      </c>
      <c r="E129" s="4" t="s">
        <v>449</v>
      </c>
      <c r="F129" s="4" t="s">
        <v>450</v>
      </c>
      <c r="G129" s="4" t="s">
        <v>546</v>
      </c>
      <c r="H129" s="4" t="s">
        <v>547</v>
      </c>
      <c r="I129" s="4" t="s">
        <v>369</v>
      </c>
      <c r="J129" s="4" t="n">
        <v>1</v>
      </c>
      <c r="K129" s="4" t="s">
        <v>1077</v>
      </c>
      <c r="L129" s="4"/>
      <c r="M129" s="4" t="s">
        <v>927</v>
      </c>
      <c r="N129" s="4" t="s">
        <v>928</v>
      </c>
      <c r="O129" s="4" t="s">
        <v>669</v>
      </c>
      <c r="P129" s="4"/>
      <c r="Q129" s="4" t="s">
        <v>670</v>
      </c>
      <c r="R129" s="4" t="s">
        <v>1078</v>
      </c>
      <c r="S129" s="20"/>
      <c r="T129" s="4"/>
      <c r="U129" s="4"/>
      <c r="V129" s="4"/>
      <c r="W129" s="4" t="s">
        <v>1079</v>
      </c>
      <c r="X129" s="4" t="s">
        <v>675</v>
      </c>
      <c r="Y129" s="4"/>
      <c r="Z129" s="4"/>
      <c r="AA129" s="4"/>
      <c r="AB129" s="4"/>
      <c r="AC129" s="4"/>
      <c r="AD129" s="4"/>
      <c r="AE129" s="4"/>
      <c r="AF129" s="21" t="n">
        <f aca="false">IF(T129="USD",1,IF(T129="pct","",INDEX(Parameters!$D$5:$D$7,MATCH(B129,Parameters!$A$5:$A$7,0))))</f>
        <v>3750</v>
      </c>
      <c r="AG129" s="22" t="str">
        <f aca="false">IF(AND(R129="specific",ISNUMBER(S129)),S129/AF129,"")</f>
        <v/>
      </c>
      <c r="AH129" s="4"/>
      <c r="AI129" s="22" t="str">
        <f aca="false">IF(NOT(ISNUMBER(AH129)),"",IF(R129="specific",IF(ISNUMBER(AG129),AG129*AH129,""),IF(AND(R129="ad_valorem",ISNUMBER(AJ129)),S129*AJ129/INDEX(Parameters!$D$5:$D$7,MATCH(B129,Parameters!$A$5:$A$7,0))*AH129,"")))</f>
        <v/>
      </c>
      <c r="AJ129" s="4"/>
      <c r="AK129" s="4"/>
      <c r="AL129" s="24" t="str">
        <f aca="false">IF(NOT(ISNUMBER(AJ129)),"",IF(R129="specific",S129/AJ129,IF(R129="ad_valorem",S129,"")))</f>
        <v/>
      </c>
      <c r="AM129" s="4" t="s">
        <v>71</v>
      </c>
      <c r="AN129" s="4"/>
      <c r="AO129" s="25" t="n">
        <f aca="false">IF(AM129="","",IFERROR(INDEX(DQ_Scale!$B$5:$B$14,MATCH(AM129,DQ_Scale!$A$5:$A$14,0)),""))</f>
        <v>2</v>
      </c>
      <c r="AP129" s="4" t="s">
        <v>1080</v>
      </c>
    </row>
    <row r="130" customFormat="false" ht="15" hidden="false" customHeight="false" outlineLevel="0" collapsed="false">
      <c r="A130" s="16" t="s">
        <v>1081</v>
      </c>
      <c r="B130" s="16" t="s">
        <v>925</v>
      </c>
      <c r="C130" s="16" t="s">
        <v>4</v>
      </c>
      <c r="D130" s="16" t="s">
        <v>78</v>
      </c>
      <c r="E130" s="16" t="s">
        <v>449</v>
      </c>
      <c r="F130" s="16" t="s">
        <v>450</v>
      </c>
      <c r="G130" s="16" t="s">
        <v>554</v>
      </c>
      <c r="H130" s="16" t="s">
        <v>555</v>
      </c>
      <c r="I130" s="16" t="s">
        <v>556</v>
      </c>
      <c r="J130" s="16" t="n">
        <v>0</v>
      </c>
      <c r="K130" s="16" t="s">
        <v>1082</v>
      </c>
      <c r="L130" s="16"/>
      <c r="M130" s="16"/>
      <c r="N130" s="16"/>
      <c r="O130" s="16" t="s">
        <v>686</v>
      </c>
      <c r="P130" s="16"/>
      <c r="Q130" s="16"/>
      <c r="R130" s="16" t="s">
        <v>687</v>
      </c>
      <c r="S130" s="2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27" t="n">
        <f aca="false">IF(T130="USD",1,IF(T130="pct","",INDEX(Parameters!$D$5:$D$7,MATCH(B130,Parameters!$A$5:$A$7,0))))</f>
        <v>3750</v>
      </c>
      <c r="AG130" s="28" t="str">
        <f aca="false">IF(AND(R130="specific",ISNUMBER(S130)),S130/AF130,"")</f>
        <v/>
      </c>
      <c r="AH130" s="16"/>
      <c r="AI130" s="28" t="str">
        <f aca="false">IF(NOT(ISNUMBER(AH130)),"",IF(R130="specific",IF(ISNUMBER(AG130),AG130*AH130,""),IF(AND(R130="ad_valorem",ISNUMBER(AJ130)),S130*AJ130/INDEX(Parameters!$D$5:$D$7,MATCH(B130,Parameters!$A$5:$A$7,0))*AH130,"")))</f>
        <v/>
      </c>
      <c r="AJ130" s="16"/>
      <c r="AK130" s="16"/>
      <c r="AL130" s="29" t="str">
        <f aca="false">IF(NOT(ISNUMBER(AJ130)),"",IF(R130="specific",S130/AJ130,IF(R130="ad_valorem",S130,"")))</f>
        <v/>
      </c>
      <c r="AM130" s="16" t="s">
        <v>71</v>
      </c>
      <c r="AN130" s="16"/>
      <c r="AO130" s="30" t="n">
        <f aca="false">IF(AM130="","",IFERROR(INDEX(DQ_Scale!$B$5:$B$14,MATCH(AM130,DQ_Scale!$A$5:$A$14,0)),""))</f>
        <v>2</v>
      </c>
      <c r="AP130" s="16"/>
    </row>
    <row r="131" customFormat="false" ht="23.85" hidden="false" customHeight="false" outlineLevel="0" collapsed="false">
      <c r="A131" s="4" t="s">
        <v>1083</v>
      </c>
      <c r="B131" s="4" t="s">
        <v>925</v>
      </c>
      <c r="C131" s="4" t="s">
        <v>4</v>
      </c>
      <c r="D131" s="4" t="s">
        <v>78</v>
      </c>
      <c r="E131" s="4" t="s">
        <v>420</v>
      </c>
      <c r="F131" s="4" t="s">
        <v>562</v>
      </c>
      <c r="G131" s="4" t="s">
        <v>563</v>
      </c>
      <c r="H131" s="4" t="s">
        <v>564</v>
      </c>
      <c r="I131" s="4" t="s">
        <v>565</v>
      </c>
      <c r="J131" s="4" t="n">
        <v>1</v>
      </c>
      <c r="K131" s="4" t="s">
        <v>1084</v>
      </c>
      <c r="L131" s="4"/>
      <c r="M131" s="4" t="s">
        <v>927</v>
      </c>
      <c r="N131" s="4" t="s">
        <v>928</v>
      </c>
      <c r="O131" s="4" t="s">
        <v>669</v>
      </c>
      <c r="P131" s="4"/>
      <c r="Q131" s="4" t="s">
        <v>670</v>
      </c>
      <c r="R131" s="4" t="s">
        <v>774</v>
      </c>
      <c r="S131" s="31" t="n">
        <v>0.12</v>
      </c>
      <c r="T131" s="4" t="s">
        <v>775</v>
      </c>
      <c r="U131" s="4" t="s">
        <v>577</v>
      </c>
      <c r="V131" s="4" t="s">
        <v>1085</v>
      </c>
      <c r="W131" s="4" t="s">
        <v>570</v>
      </c>
      <c r="X131" s="4" t="s">
        <v>675</v>
      </c>
      <c r="Y131" s="4"/>
      <c r="Z131" s="4"/>
      <c r="AA131" s="4"/>
      <c r="AB131" s="4"/>
      <c r="AC131" s="4"/>
      <c r="AD131" s="4"/>
      <c r="AE131" s="4"/>
      <c r="AF131" s="21" t="str">
        <f aca="false">IF(T131="USD",1,IF(T131="pct","",INDEX(Parameters!$D$5:$D$7,MATCH(B131,Parameters!$A$5:$A$7,0))))</f>
        <v/>
      </c>
      <c r="AG131" s="22" t="str">
        <f aca="false">IF(AND(R131="specific",ISNUMBER(S131)),S131/AF131,"")</f>
        <v/>
      </c>
      <c r="AH131" s="4"/>
      <c r="AI131" s="22" t="str">
        <f aca="false">IF(NOT(ISNUMBER(AH131)),"",IF(R131="specific",IF(ISNUMBER(AG131),AG131*AH131,""),IF(AND(R131="ad_valorem",ISNUMBER(AJ131)),S131*AJ131/INDEX(Parameters!$D$5:$D$7,MATCH(B131,Parameters!$A$5:$A$7,0))*AH131,"")))</f>
        <v/>
      </c>
      <c r="AJ131" s="4"/>
      <c r="AK131" s="4"/>
      <c r="AL131" s="24" t="str">
        <f aca="false">IF(NOT(ISNUMBER(AJ131)),"",IF(R131="specific",S131/AJ131,IF(R131="ad_valorem",S131,"")))</f>
        <v/>
      </c>
      <c r="AM131" s="4" t="s">
        <v>71</v>
      </c>
      <c r="AN131" s="4"/>
      <c r="AO131" s="25" t="n">
        <f aca="false">IF(AM131="","",IFERROR(INDEX(DQ_Scale!$B$5:$B$14,MATCH(AM131,DQ_Scale!$A$5:$A$14,0)),""))</f>
        <v>2</v>
      </c>
      <c r="AP131" s="4"/>
    </row>
    <row r="132" customFormat="false" ht="35.05" hidden="false" customHeight="false" outlineLevel="0" collapsed="false">
      <c r="A132" s="4" t="s">
        <v>1086</v>
      </c>
      <c r="B132" s="4" t="s">
        <v>925</v>
      </c>
      <c r="C132" s="4" t="s">
        <v>4</v>
      </c>
      <c r="D132" s="4" t="s">
        <v>78</v>
      </c>
      <c r="E132" s="4" t="s">
        <v>420</v>
      </c>
      <c r="F132" s="4" t="s">
        <v>562</v>
      </c>
      <c r="G132" s="4" t="s">
        <v>563</v>
      </c>
      <c r="H132" s="4" t="s">
        <v>564</v>
      </c>
      <c r="I132" s="4" t="s">
        <v>565</v>
      </c>
      <c r="J132" s="4" t="n">
        <v>1</v>
      </c>
      <c r="K132" s="4" t="s">
        <v>1087</v>
      </c>
      <c r="L132" s="4"/>
      <c r="M132" s="4" t="s">
        <v>927</v>
      </c>
      <c r="N132" s="4" t="s">
        <v>928</v>
      </c>
      <c r="O132" s="4" t="s">
        <v>669</v>
      </c>
      <c r="P132" s="4"/>
      <c r="Q132" s="4" t="s">
        <v>670</v>
      </c>
      <c r="R132" s="4" t="s">
        <v>671</v>
      </c>
      <c r="S132" s="20" t="n">
        <v>0.09</v>
      </c>
      <c r="T132" s="4" t="s">
        <v>716</v>
      </c>
      <c r="U132" s="4" t="s">
        <v>1088</v>
      </c>
      <c r="V132" s="4"/>
      <c r="W132" s="4" t="s">
        <v>1089</v>
      </c>
      <c r="X132" s="4" t="s">
        <v>675</v>
      </c>
      <c r="Y132" s="4"/>
      <c r="Z132" s="4"/>
      <c r="AA132" s="4"/>
      <c r="AB132" s="4"/>
      <c r="AC132" s="4"/>
      <c r="AD132" s="4"/>
      <c r="AE132" s="4" t="s">
        <v>1090</v>
      </c>
      <c r="AF132" s="21" t="n">
        <f aca="false">IF(T132="USD",1,IF(T132="pct","",INDEX(Parameters!$D$5:$D$7,MATCH(B132,Parameters!$A$5:$A$7,0))))</f>
        <v>1</v>
      </c>
      <c r="AG132" s="22" t="n">
        <f aca="false">IF(AND(R132="specific",ISNUMBER(S132)),S132/AF132,"")</f>
        <v>0.09</v>
      </c>
      <c r="AH132" s="23" t="n">
        <v>1</v>
      </c>
      <c r="AI132" s="22" t="n">
        <f aca="false">IF(NOT(ISNUMBER(AH132)),"",IF(R132="specific",IF(ISNUMBER(AG132),AG132*AH132,""),IF(AND(R132="ad_valorem",ISNUMBER(AJ132)),S132*AJ132/INDEX(Parameters!$D$5:$D$7,MATCH(B132,Parameters!$A$5:$A$7,0))*AH132,"")))</f>
        <v>0.09</v>
      </c>
      <c r="AJ132" s="4"/>
      <c r="AK132" s="4"/>
      <c r="AL132" s="24" t="str">
        <f aca="false">IF(NOT(ISNUMBER(AJ132)),"",IF(R132="specific",S132/AJ132,IF(R132="ad_valorem",S132,"")))</f>
        <v/>
      </c>
      <c r="AM132" s="4" t="s">
        <v>71</v>
      </c>
      <c r="AN132" s="4"/>
      <c r="AO132" s="25" t="n">
        <f aca="false">IF(AM132="","",IFERROR(INDEX(DQ_Scale!$B$5:$B$14,MATCH(AM132,DQ_Scale!$A$5:$A$14,0)),""))</f>
        <v>2</v>
      </c>
      <c r="AP132" s="4"/>
    </row>
    <row r="133" customFormat="false" ht="23.85" hidden="false" customHeight="false" outlineLevel="0" collapsed="false">
      <c r="A133" s="4" t="s">
        <v>1091</v>
      </c>
      <c r="B133" s="4" t="s">
        <v>925</v>
      </c>
      <c r="C133" s="4" t="s">
        <v>4</v>
      </c>
      <c r="D133" s="4" t="s">
        <v>78</v>
      </c>
      <c r="E133" s="4" t="s">
        <v>420</v>
      </c>
      <c r="F133" s="4" t="s">
        <v>562</v>
      </c>
      <c r="G133" s="4" t="s">
        <v>575</v>
      </c>
      <c r="H133" s="4" t="s">
        <v>576</v>
      </c>
      <c r="I133" s="4" t="s">
        <v>577</v>
      </c>
      <c r="J133" s="4" t="n">
        <v>1</v>
      </c>
      <c r="K133" s="4" t="s">
        <v>1092</v>
      </c>
      <c r="L133" s="4"/>
      <c r="M133" s="4" t="s">
        <v>927</v>
      </c>
      <c r="N133" s="4" t="s">
        <v>928</v>
      </c>
      <c r="O133" s="4" t="s">
        <v>669</v>
      </c>
      <c r="P133" s="4"/>
      <c r="Q133" s="4" t="s">
        <v>670</v>
      </c>
      <c r="R133" s="4" t="s">
        <v>774</v>
      </c>
      <c r="S133" s="31" t="n">
        <v>0.12</v>
      </c>
      <c r="T133" s="4" t="s">
        <v>775</v>
      </c>
      <c r="U133" s="4" t="s">
        <v>577</v>
      </c>
      <c r="V133" s="4" t="s">
        <v>1085</v>
      </c>
      <c r="W133" s="4" t="s">
        <v>570</v>
      </c>
      <c r="X133" s="4" t="s">
        <v>675</v>
      </c>
      <c r="Y133" s="4"/>
      <c r="Z133" s="4"/>
      <c r="AA133" s="4"/>
      <c r="AB133" s="4"/>
      <c r="AC133" s="4"/>
      <c r="AD133" s="4"/>
      <c r="AE133" s="4" t="s">
        <v>1093</v>
      </c>
      <c r="AF133" s="21" t="str">
        <f aca="false">IF(T133="USD",1,IF(T133="pct","",INDEX(Parameters!$D$5:$D$7,MATCH(B133,Parameters!$A$5:$A$7,0))))</f>
        <v/>
      </c>
      <c r="AG133" s="22" t="str">
        <f aca="false">IF(AND(R133="specific",ISNUMBER(S133)),S133/AF133,"")</f>
        <v/>
      </c>
      <c r="AH133" s="4"/>
      <c r="AI133" s="22" t="str">
        <f aca="false">IF(NOT(ISNUMBER(AH133)),"",IF(R133="specific",IF(ISNUMBER(AG133),AG133*AH133,""),IF(AND(R133="ad_valorem",ISNUMBER(AJ133)),S133*AJ133/INDEX(Parameters!$D$5:$D$7,MATCH(B133,Parameters!$A$5:$A$7,0))*AH133,"")))</f>
        <v/>
      </c>
      <c r="AJ133" s="4"/>
      <c r="AK133" s="4"/>
      <c r="AL133" s="24" t="str">
        <f aca="false">IF(NOT(ISNUMBER(AJ133)),"",IF(R133="specific",S133/AJ133,IF(R133="ad_valorem",S133,"")))</f>
        <v/>
      </c>
      <c r="AM133" s="4" t="s">
        <v>71</v>
      </c>
      <c r="AN133" s="4"/>
      <c r="AO133" s="25" t="n">
        <f aca="false">IF(AM133="","",IFERROR(INDEX(DQ_Scale!$B$5:$B$14,MATCH(AM133,DQ_Scale!$A$5:$A$14,0)),""))</f>
        <v>2</v>
      </c>
      <c r="AP133" s="4"/>
    </row>
    <row r="134" customFormat="false" ht="23.85" hidden="false" customHeight="false" outlineLevel="0" collapsed="false">
      <c r="A134" s="4" t="s">
        <v>1094</v>
      </c>
      <c r="B134" s="4" t="s">
        <v>925</v>
      </c>
      <c r="C134" s="4" t="s">
        <v>4</v>
      </c>
      <c r="D134" s="4" t="s">
        <v>78</v>
      </c>
      <c r="E134" s="4" t="s">
        <v>420</v>
      </c>
      <c r="F134" s="4" t="s">
        <v>562</v>
      </c>
      <c r="G134" s="4" t="s">
        <v>575</v>
      </c>
      <c r="H134" s="4" t="s">
        <v>576</v>
      </c>
      <c r="I134" s="4" t="s">
        <v>577</v>
      </c>
      <c r="J134" s="4" t="n">
        <v>1</v>
      </c>
      <c r="K134" s="4" t="s">
        <v>1095</v>
      </c>
      <c r="L134" s="4"/>
      <c r="M134" s="4" t="s">
        <v>927</v>
      </c>
      <c r="N134" s="4" t="s">
        <v>928</v>
      </c>
      <c r="O134" s="4" t="s">
        <v>669</v>
      </c>
      <c r="P134" s="4"/>
      <c r="Q134" s="4" t="s">
        <v>670</v>
      </c>
      <c r="R134" s="4" t="s">
        <v>774</v>
      </c>
      <c r="S134" s="31" t="n">
        <v>0.12</v>
      </c>
      <c r="T134" s="4" t="s">
        <v>775</v>
      </c>
      <c r="U134" s="4" t="s">
        <v>577</v>
      </c>
      <c r="V134" s="4" t="s">
        <v>1085</v>
      </c>
      <c r="W134" s="4" t="s">
        <v>570</v>
      </c>
      <c r="X134" s="4" t="s">
        <v>675</v>
      </c>
      <c r="Y134" s="4"/>
      <c r="Z134" s="4"/>
      <c r="AA134" s="4"/>
      <c r="AB134" s="4"/>
      <c r="AC134" s="4"/>
      <c r="AD134" s="4"/>
      <c r="AE134" s="4" t="s">
        <v>1096</v>
      </c>
      <c r="AF134" s="21" t="str">
        <f aca="false">IF(T134="USD",1,IF(T134="pct","",INDEX(Parameters!$D$5:$D$7,MATCH(B134,Parameters!$A$5:$A$7,0))))</f>
        <v/>
      </c>
      <c r="AG134" s="22" t="str">
        <f aca="false">IF(AND(R134="specific",ISNUMBER(S134)),S134/AF134,"")</f>
        <v/>
      </c>
      <c r="AH134" s="4"/>
      <c r="AI134" s="22" t="str">
        <f aca="false">IF(NOT(ISNUMBER(AH134)),"",IF(R134="specific",IF(ISNUMBER(AG134),AG134*AH134,""),IF(AND(R134="ad_valorem",ISNUMBER(AJ134)),S134*AJ134/INDEX(Parameters!$D$5:$D$7,MATCH(B134,Parameters!$A$5:$A$7,0))*AH134,"")))</f>
        <v/>
      </c>
      <c r="AJ134" s="4"/>
      <c r="AK134" s="4"/>
      <c r="AL134" s="24" t="str">
        <f aca="false">IF(NOT(ISNUMBER(AJ134)),"",IF(R134="specific",S134/AJ134,IF(R134="ad_valorem",S134,"")))</f>
        <v/>
      </c>
      <c r="AM134" s="4" t="s">
        <v>71</v>
      </c>
      <c r="AN134" s="4"/>
      <c r="AO134" s="25" t="n">
        <f aca="false">IF(AM134="","",IFERROR(INDEX(DQ_Scale!$B$5:$B$14,MATCH(AM134,DQ_Scale!$A$5:$A$14,0)),""))</f>
        <v>2</v>
      </c>
      <c r="AP134" s="4"/>
    </row>
    <row r="135" customFormat="false" ht="23.85" hidden="false" customHeight="false" outlineLevel="0" collapsed="false">
      <c r="A135" s="4" t="s">
        <v>1097</v>
      </c>
      <c r="B135" s="4" t="s">
        <v>925</v>
      </c>
      <c r="C135" s="4" t="s">
        <v>4</v>
      </c>
      <c r="D135" s="4" t="s">
        <v>78</v>
      </c>
      <c r="E135" s="4" t="s">
        <v>420</v>
      </c>
      <c r="F135" s="4" t="s">
        <v>583</v>
      </c>
      <c r="G135" s="4" t="s">
        <v>584</v>
      </c>
      <c r="H135" s="4" t="s">
        <v>585</v>
      </c>
      <c r="I135" s="4" t="s">
        <v>586</v>
      </c>
      <c r="J135" s="4" t="n">
        <v>1</v>
      </c>
      <c r="K135" s="4" t="s">
        <v>1098</v>
      </c>
      <c r="L135" s="4"/>
      <c r="M135" s="4" t="s">
        <v>927</v>
      </c>
      <c r="N135" s="4" t="s">
        <v>928</v>
      </c>
      <c r="O135" s="4" t="s">
        <v>669</v>
      </c>
      <c r="P135" s="4"/>
      <c r="Q135" s="4" t="s">
        <v>670</v>
      </c>
      <c r="R135" s="4" t="s">
        <v>774</v>
      </c>
      <c r="S135" s="31" t="n">
        <v>0.005</v>
      </c>
      <c r="T135" s="4" t="s">
        <v>775</v>
      </c>
      <c r="U135" s="4" t="s">
        <v>776</v>
      </c>
      <c r="V135" s="4" t="s">
        <v>1099</v>
      </c>
      <c r="W135" s="4" t="s">
        <v>1100</v>
      </c>
      <c r="X135" s="4" t="s">
        <v>675</v>
      </c>
      <c r="Y135" s="4"/>
      <c r="Z135" s="4"/>
      <c r="AA135" s="4"/>
      <c r="AB135" s="4"/>
      <c r="AC135" s="4"/>
      <c r="AD135" s="4"/>
      <c r="AE135" s="4"/>
      <c r="AF135" s="21" t="str">
        <f aca="false">IF(T135="USD",1,IF(T135="pct","",INDEX(Parameters!$D$5:$D$7,MATCH(B135,Parameters!$A$5:$A$7,0))))</f>
        <v/>
      </c>
      <c r="AG135" s="22" t="str">
        <f aca="false">IF(AND(R135="specific",ISNUMBER(S135)),S135/AF135,"")</f>
        <v/>
      </c>
      <c r="AH135" s="4"/>
      <c r="AI135" s="22" t="str">
        <f aca="false">IF(NOT(ISNUMBER(AH135)),"",IF(R135="specific",IF(ISNUMBER(AG135),AG135*AH135,""),IF(AND(R135="ad_valorem",ISNUMBER(AJ135)),S135*AJ135/INDEX(Parameters!$D$5:$D$7,MATCH(B135,Parameters!$A$5:$A$7,0))*AH135,"")))</f>
        <v/>
      </c>
      <c r="AJ135" s="4"/>
      <c r="AK135" s="4"/>
      <c r="AL135" s="24" t="str">
        <f aca="false">IF(NOT(ISNUMBER(AJ135)),"",IF(R135="specific",S135/AJ135,IF(R135="ad_valorem",S135,"")))</f>
        <v/>
      </c>
      <c r="AM135" s="4" t="s">
        <v>71</v>
      </c>
      <c r="AN135" s="4"/>
      <c r="AO135" s="25" t="n">
        <f aca="false">IF(AM135="","",IFERROR(INDEX(DQ_Scale!$B$5:$B$14,MATCH(AM135,DQ_Scale!$A$5:$A$14,0)),""))</f>
        <v>2</v>
      </c>
      <c r="AP135" s="4"/>
    </row>
    <row r="136" customFormat="false" ht="23.85" hidden="false" customHeight="false" outlineLevel="0" collapsed="false">
      <c r="A136" s="4" t="s">
        <v>1101</v>
      </c>
      <c r="B136" s="4" t="s">
        <v>925</v>
      </c>
      <c r="C136" s="4" t="s">
        <v>4</v>
      </c>
      <c r="D136" s="4" t="s">
        <v>78</v>
      </c>
      <c r="E136" s="4" t="s">
        <v>420</v>
      </c>
      <c r="F136" s="4" t="s">
        <v>583</v>
      </c>
      <c r="G136" s="4" t="s">
        <v>584</v>
      </c>
      <c r="H136" s="4" t="s">
        <v>585</v>
      </c>
      <c r="I136" s="4" t="s">
        <v>586</v>
      </c>
      <c r="J136" s="4" t="n">
        <v>1</v>
      </c>
      <c r="K136" s="4" t="s">
        <v>1102</v>
      </c>
      <c r="L136" s="4"/>
      <c r="M136" s="4" t="s">
        <v>927</v>
      </c>
      <c r="N136" s="4" t="s">
        <v>928</v>
      </c>
      <c r="O136" s="4" t="s">
        <v>669</v>
      </c>
      <c r="P136" s="4"/>
      <c r="Q136" s="4" t="s">
        <v>670</v>
      </c>
      <c r="R136" s="4" t="s">
        <v>774</v>
      </c>
      <c r="S136" s="31" t="n">
        <v>0.005</v>
      </c>
      <c r="T136" s="4" t="s">
        <v>775</v>
      </c>
      <c r="U136" s="4" t="s">
        <v>776</v>
      </c>
      <c r="V136" s="4" t="s">
        <v>909</v>
      </c>
      <c r="W136" s="4" t="s">
        <v>1103</v>
      </c>
      <c r="X136" s="4" t="s">
        <v>675</v>
      </c>
      <c r="Y136" s="4"/>
      <c r="Z136" s="4"/>
      <c r="AA136" s="4"/>
      <c r="AB136" s="4"/>
      <c r="AC136" s="4"/>
      <c r="AD136" s="4"/>
      <c r="AE136" s="4"/>
      <c r="AF136" s="21" t="str">
        <f aca="false">IF(T136="USD",1,IF(T136="pct","",INDEX(Parameters!$D$5:$D$7,MATCH(B136,Parameters!$A$5:$A$7,0))))</f>
        <v/>
      </c>
      <c r="AG136" s="22" t="str">
        <f aca="false">IF(AND(R136="specific",ISNUMBER(S136)),S136/AF136,"")</f>
        <v/>
      </c>
      <c r="AH136" s="4"/>
      <c r="AI136" s="22" t="str">
        <f aca="false">IF(NOT(ISNUMBER(AH136)),"",IF(R136="specific",IF(ISNUMBER(AG136),AG136*AH136,""),IF(AND(R136="ad_valorem",ISNUMBER(AJ136)),S136*AJ136/INDEX(Parameters!$D$5:$D$7,MATCH(B136,Parameters!$A$5:$A$7,0))*AH136,"")))</f>
        <v/>
      </c>
      <c r="AJ136" s="4"/>
      <c r="AK136" s="4"/>
      <c r="AL136" s="24" t="str">
        <f aca="false">IF(NOT(ISNUMBER(AJ136)),"",IF(R136="specific",S136/AJ136,IF(R136="ad_valorem",S136,"")))</f>
        <v/>
      </c>
      <c r="AM136" s="4" t="s">
        <v>71</v>
      </c>
      <c r="AN136" s="4"/>
      <c r="AO136" s="25" t="n">
        <f aca="false">IF(AM136="","",IFERROR(INDEX(DQ_Scale!$B$5:$B$14,MATCH(AM136,DQ_Scale!$A$5:$A$14,0)),""))</f>
        <v>2</v>
      </c>
      <c r="AP136" s="4"/>
    </row>
    <row r="137" customFormat="false" ht="23.85" hidden="false" customHeight="false" outlineLevel="0" collapsed="false">
      <c r="A137" s="4" t="s">
        <v>1104</v>
      </c>
      <c r="B137" s="4" t="s">
        <v>925</v>
      </c>
      <c r="C137" s="4" t="s">
        <v>4</v>
      </c>
      <c r="D137" s="4" t="s">
        <v>78</v>
      </c>
      <c r="E137" s="4" t="s">
        <v>420</v>
      </c>
      <c r="F137" s="4" t="s">
        <v>583</v>
      </c>
      <c r="G137" s="4" t="s">
        <v>584</v>
      </c>
      <c r="H137" s="4" t="s">
        <v>585</v>
      </c>
      <c r="I137" s="4" t="s">
        <v>586</v>
      </c>
      <c r="J137" s="4" t="n">
        <v>1</v>
      </c>
      <c r="K137" s="4" t="s">
        <v>1105</v>
      </c>
      <c r="L137" s="4"/>
      <c r="M137" s="4" t="s">
        <v>927</v>
      </c>
      <c r="N137" s="4" t="s">
        <v>928</v>
      </c>
      <c r="O137" s="4" t="s">
        <v>669</v>
      </c>
      <c r="P137" s="4"/>
      <c r="Q137" s="4" t="s">
        <v>670</v>
      </c>
      <c r="R137" s="4" t="s">
        <v>774</v>
      </c>
      <c r="S137" s="31" t="n">
        <v>0.15</v>
      </c>
      <c r="T137" s="4" t="s">
        <v>775</v>
      </c>
      <c r="U137" s="4" t="s">
        <v>577</v>
      </c>
      <c r="V137" s="4" t="s">
        <v>1085</v>
      </c>
      <c r="W137" s="4" t="s">
        <v>1106</v>
      </c>
      <c r="X137" s="4" t="s">
        <v>675</v>
      </c>
      <c r="Y137" s="4"/>
      <c r="Z137" s="4"/>
      <c r="AA137" s="4"/>
      <c r="AB137" s="4"/>
      <c r="AC137" s="4"/>
      <c r="AD137" s="4"/>
      <c r="AE137" s="4" t="s">
        <v>1107</v>
      </c>
      <c r="AF137" s="21" t="str">
        <f aca="false">IF(T137="USD",1,IF(T137="pct","",INDEX(Parameters!$D$5:$D$7,MATCH(B137,Parameters!$A$5:$A$7,0))))</f>
        <v/>
      </c>
      <c r="AG137" s="22" t="str">
        <f aca="false">IF(AND(R137="specific",ISNUMBER(S137)),S137/AF137,"")</f>
        <v/>
      </c>
      <c r="AH137" s="4"/>
      <c r="AI137" s="22" t="str">
        <f aca="false">IF(NOT(ISNUMBER(AH137)),"",IF(R137="specific",IF(ISNUMBER(AG137),AG137*AH137,""),IF(AND(R137="ad_valorem",ISNUMBER(AJ137)),S137*AJ137/INDEX(Parameters!$D$5:$D$7,MATCH(B137,Parameters!$A$5:$A$7,0))*AH137,"")))</f>
        <v/>
      </c>
      <c r="AJ137" s="4"/>
      <c r="AK137" s="4"/>
      <c r="AL137" s="24" t="str">
        <f aca="false">IF(NOT(ISNUMBER(AJ137)),"",IF(R137="specific",S137/AJ137,IF(R137="ad_valorem",S137,"")))</f>
        <v/>
      </c>
      <c r="AM137" s="4" t="s">
        <v>71</v>
      </c>
      <c r="AN137" s="4"/>
      <c r="AO137" s="25" t="n">
        <f aca="false">IF(AM137="","",IFERROR(INDEX(DQ_Scale!$B$5:$B$14,MATCH(AM137,DQ_Scale!$A$5:$A$14,0)),""))</f>
        <v>2</v>
      </c>
      <c r="AP137" s="4"/>
    </row>
    <row r="138" customFormat="false" ht="23.85" hidden="false" customHeight="false" outlineLevel="0" collapsed="false">
      <c r="A138" s="4" t="s">
        <v>1108</v>
      </c>
      <c r="B138" s="4" t="s">
        <v>925</v>
      </c>
      <c r="C138" s="4" t="s">
        <v>4</v>
      </c>
      <c r="D138" s="4" t="s">
        <v>78</v>
      </c>
      <c r="E138" s="4" t="s">
        <v>420</v>
      </c>
      <c r="F138" s="4" t="s">
        <v>590</v>
      </c>
      <c r="G138" s="4" t="s">
        <v>180</v>
      </c>
      <c r="H138" s="4" t="s">
        <v>591</v>
      </c>
      <c r="I138" s="4" t="s">
        <v>592</v>
      </c>
      <c r="J138" s="4" t="n">
        <v>1</v>
      </c>
      <c r="K138" s="4" t="s">
        <v>591</v>
      </c>
      <c r="L138" s="4"/>
      <c r="M138" s="4" t="s">
        <v>927</v>
      </c>
      <c r="N138" s="4" t="s">
        <v>928</v>
      </c>
      <c r="O138" s="4" t="s">
        <v>669</v>
      </c>
      <c r="P138" s="4"/>
      <c r="Q138" s="4" t="s">
        <v>670</v>
      </c>
      <c r="R138" s="4" t="s">
        <v>671</v>
      </c>
      <c r="S138" s="20" t="n">
        <v>500</v>
      </c>
      <c r="T138" s="4" t="s">
        <v>929</v>
      </c>
      <c r="U138" s="4" t="s">
        <v>901</v>
      </c>
      <c r="V138" s="4"/>
      <c r="W138" s="4" t="s">
        <v>1109</v>
      </c>
      <c r="X138" s="4" t="s">
        <v>675</v>
      </c>
      <c r="Y138" s="4"/>
      <c r="Z138" s="4"/>
      <c r="AA138" s="4"/>
      <c r="AB138" s="4"/>
      <c r="AC138" s="4"/>
      <c r="AD138" s="4"/>
      <c r="AE138" s="4"/>
      <c r="AF138" s="21" t="n">
        <f aca="false">IF(T138="USD",1,IF(T138="pct","",INDEX(Parameters!$D$5:$D$7,MATCH(B138,Parameters!$A$5:$A$7,0))))</f>
        <v>3750</v>
      </c>
      <c r="AG138" s="22" t="n">
        <f aca="false">IF(AND(R138="specific",ISNUMBER(S138)),S138/AF138,"")</f>
        <v>0.133333333333333</v>
      </c>
      <c r="AH138" s="23" t="n">
        <v>1</v>
      </c>
      <c r="AI138" s="22" t="n">
        <f aca="false">IF(NOT(ISNUMBER(AH138)),"",IF(R138="specific",IF(ISNUMBER(AG138),AG138*AH138,""),IF(AND(R138="ad_valorem",ISNUMBER(AJ138)),S138*AJ138/INDEX(Parameters!$D$5:$D$7,MATCH(B138,Parameters!$A$5:$A$7,0))*AH138,"")))</f>
        <v>0.133333333333333</v>
      </c>
      <c r="AJ138" s="4"/>
      <c r="AK138" s="4"/>
      <c r="AL138" s="24" t="str">
        <f aca="false">IF(NOT(ISNUMBER(AJ138)),"",IF(R138="specific",S138/AJ138,IF(R138="ad_valorem",S138,"")))</f>
        <v/>
      </c>
      <c r="AM138" s="4" t="s">
        <v>71</v>
      </c>
      <c r="AN138" s="4"/>
      <c r="AO138" s="25" t="n">
        <f aca="false">IF(AM138="","",IFERROR(INDEX(DQ_Scale!$B$5:$B$14,MATCH(AM138,DQ_Scale!$A$5:$A$14,0)),""))</f>
        <v>2</v>
      </c>
      <c r="AP138" s="4"/>
    </row>
    <row r="139" customFormat="false" ht="23.85" hidden="false" customHeight="false" outlineLevel="0" collapsed="false">
      <c r="A139" s="4" t="s">
        <v>1110</v>
      </c>
      <c r="B139" s="4" t="s">
        <v>925</v>
      </c>
      <c r="C139" s="4" t="s">
        <v>4</v>
      </c>
      <c r="D139" s="4" t="s">
        <v>78</v>
      </c>
      <c r="E139" s="4" t="s">
        <v>420</v>
      </c>
      <c r="F139" s="4" t="s">
        <v>590</v>
      </c>
      <c r="G139" s="4" t="s">
        <v>189</v>
      </c>
      <c r="H139" s="4" t="s">
        <v>597</v>
      </c>
      <c r="I139" s="4" t="s">
        <v>598</v>
      </c>
      <c r="J139" s="4" t="n">
        <v>1</v>
      </c>
      <c r="K139" s="4" t="s">
        <v>1111</v>
      </c>
      <c r="L139" s="4"/>
      <c r="M139" s="4" t="s">
        <v>927</v>
      </c>
      <c r="N139" s="4" t="s">
        <v>928</v>
      </c>
      <c r="O139" s="4" t="s">
        <v>669</v>
      </c>
      <c r="P139" s="4"/>
      <c r="Q139" s="4" t="s">
        <v>670</v>
      </c>
      <c r="R139" s="4" t="s">
        <v>671</v>
      </c>
      <c r="S139" s="20" t="n">
        <v>200</v>
      </c>
      <c r="T139" s="4" t="s">
        <v>929</v>
      </c>
      <c r="U139" s="4" t="s">
        <v>673</v>
      </c>
      <c r="V139" s="4"/>
      <c r="W139" s="4" t="s">
        <v>942</v>
      </c>
      <c r="X139" s="4" t="s">
        <v>675</v>
      </c>
      <c r="Y139" s="4"/>
      <c r="Z139" s="4"/>
      <c r="AA139" s="4"/>
      <c r="AB139" s="4"/>
      <c r="AC139" s="4"/>
      <c r="AD139" s="4"/>
      <c r="AE139" s="4"/>
      <c r="AF139" s="21" t="n">
        <f aca="false">IF(T139="USD",1,IF(T139="pct","",INDEX(Parameters!$D$5:$D$7,MATCH(B139,Parameters!$A$5:$A$7,0))))</f>
        <v>3750</v>
      </c>
      <c r="AG139" s="22" t="n">
        <f aca="false">IF(AND(R139="specific",ISNUMBER(S139)),S139/AF139,"")</f>
        <v>0.0533333333333333</v>
      </c>
      <c r="AH139" s="23" t="n">
        <v>1</v>
      </c>
      <c r="AI139" s="22" t="n">
        <f aca="false">IF(NOT(ISNUMBER(AH139)),"",IF(R139="specific",IF(ISNUMBER(AG139),AG139*AH139,""),IF(AND(R139="ad_valorem",ISNUMBER(AJ139)),S139*AJ139/INDEX(Parameters!$D$5:$D$7,MATCH(B139,Parameters!$A$5:$A$7,0))*AH139,"")))</f>
        <v>0.0533333333333333</v>
      </c>
      <c r="AJ139" s="4"/>
      <c r="AK139" s="4"/>
      <c r="AL139" s="24" t="str">
        <f aca="false">IF(NOT(ISNUMBER(AJ139)),"",IF(R139="specific",S139/AJ139,IF(R139="ad_valorem",S139,"")))</f>
        <v/>
      </c>
      <c r="AM139" s="4" t="s">
        <v>71</v>
      </c>
      <c r="AN139" s="4"/>
      <c r="AO139" s="25" t="n">
        <f aca="false">IF(AM139="","",IFERROR(INDEX(DQ_Scale!$B$5:$B$14,MATCH(AM139,DQ_Scale!$A$5:$A$14,0)),""))</f>
        <v>2</v>
      </c>
      <c r="AP139" s="4"/>
    </row>
    <row r="140" customFormat="false" ht="23.85" hidden="false" customHeight="false" outlineLevel="0" collapsed="false">
      <c r="A140" s="4" t="s">
        <v>1112</v>
      </c>
      <c r="B140" s="4" t="s">
        <v>925</v>
      </c>
      <c r="C140" s="4" t="s">
        <v>4</v>
      </c>
      <c r="D140" s="4" t="s">
        <v>78</v>
      </c>
      <c r="E140" s="4" t="s">
        <v>420</v>
      </c>
      <c r="F140" s="4" t="s">
        <v>590</v>
      </c>
      <c r="G140" s="4" t="s">
        <v>198</v>
      </c>
      <c r="H140" s="4" t="s">
        <v>603</v>
      </c>
      <c r="I140" s="4" t="s">
        <v>423</v>
      </c>
      <c r="J140" s="4" t="n">
        <v>1</v>
      </c>
      <c r="K140" s="4" t="s">
        <v>1113</v>
      </c>
      <c r="L140" s="4"/>
      <c r="M140" s="4" t="s">
        <v>927</v>
      </c>
      <c r="N140" s="4" t="s">
        <v>928</v>
      </c>
      <c r="O140" s="4" t="s">
        <v>669</v>
      </c>
      <c r="P140" s="4"/>
      <c r="Q140" s="4" t="s">
        <v>670</v>
      </c>
      <c r="R140" s="4" t="s">
        <v>671</v>
      </c>
      <c r="S140" s="20" t="n">
        <v>100</v>
      </c>
      <c r="T140" s="4" t="s">
        <v>929</v>
      </c>
      <c r="U140" s="4" t="s">
        <v>701</v>
      </c>
      <c r="V140" s="4"/>
      <c r="W140" s="4" t="s">
        <v>1114</v>
      </c>
      <c r="X140" s="4" t="s">
        <v>675</v>
      </c>
      <c r="Y140" s="4"/>
      <c r="Z140" s="4"/>
      <c r="AA140" s="4"/>
      <c r="AB140" s="4"/>
      <c r="AC140" s="4"/>
      <c r="AD140" s="4"/>
      <c r="AE140" s="4"/>
      <c r="AF140" s="21" t="n">
        <f aca="false">IF(T140="USD",1,IF(T140="pct","",INDEX(Parameters!$D$5:$D$7,MATCH(B140,Parameters!$A$5:$A$7,0))))</f>
        <v>3750</v>
      </c>
      <c r="AG140" s="22" t="n">
        <f aca="false">IF(AND(R140="specific",ISNUMBER(S140)),S140/AF140,"")</f>
        <v>0.0266666666666667</v>
      </c>
      <c r="AH140" s="23" t="n">
        <v>1</v>
      </c>
      <c r="AI140" s="22" t="n">
        <f aca="false">IF(NOT(ISNUMBER(AH140)),"",IF(R140="specific",IF(ISNUMBER(AG140),AG140*AH140,""),IF(AND(R140="ad_valorem",ISNUMBER(AJ140)),S140*AJ140/INDEX(Parameters!$D$5:$D$7,MATCH(B140,Parameters!$A$5:$A$7,0))*AH140,"")))</f>
        <v>0.0266666666666667</v>
      </c>
      <c r="AJ140" s="4"/>
      <c r="AK140" s="4"/>
      <c r="AL140" s="24" t="str">
        <f aca="false">IF(NOT(ISNUMBER(AJ140)),"",IF(R140="specific",S140/AJ140,IF(R140="ad_valorem",S140,"")))</f>
        <v/>
      </c>
      <c r="AM140" s="4" t="s">
        <v>71</v>
      </c>
      <c r="AN140" s="4"/>
      <c r="AO140" s="25" t="n">
        <f aca="false">IF(AM140="","",IFERROR(INDEX(DQ_Scale!$B$5:$B$14,MATCH(AM140,DQ_Scale!$A$5:$A$14,0)),""))</f>
        <v>2</v>
      </c>
      <c r="AP140" s="4"/>
    </row>
    <row r="141" customFormat="false" ht="23.85" hidden="false" customHeight="false" outlineLevel="0" collapsed="false">
      <c r="A141" s="4" t="s">
        <v>1115</v>
      </c>
      <c r="B141" s="4" t="s">
        <v>925</v>
      </c>
      <c r="C141" s="4" t="s">
        <v>4</v>
      </c>
      <c r="D141" s="4" t="s">
        <v>78</v>
      </c>
      <c r="E141" s="4" t="s">
        <v>420</v>
      </c>
      <c r="F141" s="4" t="s">
        <v>590</v>
      </c>
      <c r="G141" s="4" t="s">
        <v>198</v>
      </c>
      <c r="H141" s="4" t="s">
        <v>603</v>
      </c>
      <c r="I141" s="4" t="s">
        <v>423</v>
      </c>
      <c r="J141" s="4" t="n">
        <v>1</v>
      </c>
      <c r="K141" s="4" t="s">
        <v>1116</v>
      </c>
      <c r="L141" s="4"/>
      <c r="M141" s="4" t="s">
        <v>927</v>
      </c>
      <c r="N141" s="4" t="s">
        <v>928</v>
      </c>
      <c r="O141" s="4" t="s">
        <v>669</v>
      </c>
      <c r="P141" s="4"/>
      <c r="Q141" s="4" t="s">
        <v>670</v>
      </c>
      <c r="R141" s="4" t="s">
        <v>671</v>
      </c>
      <c r="S141" s="20" t="n">
        <v>0</v>
      </c>
      <c r="T141" s="4" t="s">
        <v>929</v>
      </c>
      <c r="U141" s="4" t="s">
        <v>701</v>
      </c>
      <c r="V141" s="4"/>
      <c r="W141" s="4" t="s">
        <v>938</v>
      </c>
      <c r="X141" s="4" t="s">
        <v>675</v>
      </c>
      <c r="Y141" s="4"/>
      <c r="Z141" s="4"/>
      <c r="AA141" s="4"/>
      <c r="AB141" s="4"/>
      <c r="AC141" s="4"/>
      <c r="AD141" s="4"/>
      <c r="AE141" s="4" t="s">
        <v>1117</v>
      </c>
      <c r="AF141" s="21" t="n">
        <f aca="false">IF(T141="USD",1,IF(T141="pct","",INDEX(Parameters!$D$5:$D$7,MATCH(B141,Parameters!$A$5:$A$7,0))))</f>
        <v>3750</v>
      </c>
      <c r="AG141" s="22" t="n">
        <f aca="false">IF(AND(R141="specific",ISNUMBER(S141)),S141/AF141,"")</f>
        <v>0</v>
      </c>
      <c r="AH141" s="23" t="n">
        <v>1</v>
      </c>
      <c r="AI141" s="22" t="n">
        <f aca="false">IF(NOT(ISNUMBER(AH141)),"",IF(R141="specific",IF(ISNUMBER(AG141),AG141*AH141,""),IF(AND(R141="ad_valorem",ISNUMBER(AJ141)),S141*AJ141/INDEX(Parameters!$D$5:$D$7,MATCH(B141,Parameters!$A$5:$A$7,0))*AH141,"")))</f>
        <v>0</v>
      </c>
      <c r="AJ141" s="4"/>
      <c r="AK141" s="4"/>
      <c r="AL141" s="24" t="str">
        <f aca="false">IF(NOT(ISNUMBER(AJ141)),"",IF(R141="specific",S141/AJ141,IF(R141="ad_valorem",S141,"")))</f>
        <v/>
      </c>
      <c r="AM141" s="4" t="s">
        <v>71</v>
      </c>
      <c r="AN141" s="4"/>
      <c r="AO141" s="25" t="n">
        <f aca="false">IF(AM141="","",IFERROR(INDEX(DQ_Scale!$B$5:$B$14,MATCH(AM141,DQ_Scale!$A$5:$A$14,0)),""))</f>
        <v>2</v>
      </c>
      <c r="AP141" s="4"/>
    </row>
    <row r="142" customFormat="false" ht="15" hidden="false" customHeight="false" outlineLevel="0" collapsed="false">
      <c r="A142" s="16" t="s">
        <v>1118</v>
      </c>
      <c r="B142" s="16" t="s">
        <v>925</v>
      </c>
      <c r="C142" s="16" t="s">
        <v>4</v>
      </c>
      <c r="D142" s="16" t="s">
        <v>78</v>
      </c>
      <c r="E142" s="16" t="s">
        <v>420</v>
      </c>
      <c r="F142" s="16" t="s">
        <v>590</v>
      </c>
      <c r="G142" s="16" t="s">
        <v>207</v>
      </c>
      <c r="H142" s="16" t="s">
        <v>608</v>
      </c>
      <c r="I142" s="16" t="s">
        <v>191</v>
      </c>
      <c r="J142" s="16" t="n">
        <v>0</v>
      </c>
      <c r="K142" s="16" t="s">
        <v>1119</v>
      </c>
      <c r="L142" s="16"/>
      <c r="M142" s="16"/>
      <c r="N142" s="16"/>
      <c r="O142" s="16" t="s">
        <v>686</v>
      </c>
      <c r="P142" s="16"/>
      <c r="Q142" s="16"/>
      <c r="R142" s="16" t="s">
        <v>687</v>
      </c>
      <c r="S142" s="2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27" t="n">
        <f aca="false">IF(T142="USD",1,IF(T142="pct","",INDEX(Parameters!$D$5:$D$7,MATCH(B142,Parameters!$A$5:$A$7,0))))</f>
        <v>3750</v>
      </c>
      <c r="AG142" s="28" t="str">
        <f aca="false">IF(AND(R142="specific",ISNUMBER(S142)),S142/AF142,"")</f>
        <v/>
      </c>
      <c r="AH142" s="16"/>
      <c r="AI142" s="28" t="str">
        <f aca="false">IF(NOT(ISNUMBER(AH142)),"",IF(R142="specific",IF(ISNUMBER(AG142),AG142*AH142,""),IF(AND(R142="ad_valorem",ISNUMBER(AJ142)),S142*AJ142/INDEX(Parameters!$D$5:$D$7,MATCH(B142,Parameters!$A$5:$A$7,0))*AH142,"")))</f>
        <v/>
      </c>
      <c r="AJ142" s="16"/>
      <c r="AK142" s="16"/>
      <c r="AL142" s="29" t="str">
        <f aca="false">IF(NOT(ISNUMBER(AJ142)),"",IF(R142="specific",S142/AJ142,IF(R142="ad_valorem",S142,"")))</f>
        <v/>
      </c>
      <c r="AM142" s="16" t="s">
        <v>71</v>
      </c>
      <c r="AN142" s="16"/>
      <c r="AO142" s="30" t="n">
        <f aca="false">IF(AM142="","",IFERROR(INDEX(DQ_Scale!$B$5:$B$14,MATCH(AM142,DQ_Scale!$A$5:$A$14,0)),""))</f>
        <v>2</v>
      </c>
      <c r="AP142" s="16"/>
    </row>
    <row r="143" customFormat="false" ht="23.85" hidden="false" customHeight="false" outlineLevel="0" collapsed="false">
      <c r="A143" s="4" t="s">
        <v>1120</v>
      </c>
      <c r="B143" s="4" t="s">
        <v>925</v>
      </c>
      <c r="C143" s="4" t="s">
        <v>4</v>
      </c>
      <c r="D143" s="4" t="s">
        <v>78</v>
      </c>
      <c r="E143" s="4" t="s">
        <v>420</v>
      </c>
      <c r="F143" s="4" t="s">
        <v>610</v>
      </c>
      <c r="G143" s="4" t="s">
        <v>611</v>
      </c>
      <c r="H143" s="4" t="s">
        <v>612</v>
      </c>
      <c r="I143" s="4" t="s">
        <v>191</v>
      </c>
      <c r="J143" s="4" t="n">
        <v>1</v>
      </c>
      <c r="K143" s="4" t="s">
        <v>1121</v>
      </c>
      <c r="L143" s="4"/>
      <c r="M143" s="4" t="s">
        <v>927</v>
      </c>
      <c r="N143" s="4" t="s">
        <v>928</v>
      </c>
      <c r="O143" s="4" t="s">
        <v>669</v>
      </c>
      <c r="P143" s="4"/>
      <c r="Q143" s="4" t="s">
        <v>670</v>
      </c>
      <c r="R143" s="4" t="s">
        <v>774</v>
      </c>
      <c r="S143" s="31" t="n">
        <v>0.1</v>
      </c>
      <c r="T143" s="4" t="s">
        <v>775</v>
      </c>
      <c r="U143" s="4" t="s">
        <v>776</v>
      </c>
      <c r="V143" s="4" t="s">
        <v>909</v>
      </c>
      <c r="W143" s="4" t="s">
        <v>910</v>
      </c>
      <c r="X143" s="4" t="s">
        <v>675</v>
      </c>
      <c r="Y143" s="4"/>
      <c r="Z143" s="4"/>
      <c r="AA143" s="4"/>
      <c r="AB143" s="4"/>
      <c r="AC143" s="4"/>
      <c r="AD143" s="4"/>
      <c r="AE143" s="4" t="s">
        <v>1122</v>
      </c>
      <c r="AF143" s="21" t="str">
        <f aca="false">IF(T143="USD",1,IF(T143="pct","",INDEX(Parameters!$D$5:$D$7,MATCH(B143,Parameters!$A$5:$A$7,0))))</f>
        <v/>
      </c>
      <c r="AG143" s="22" t="str">
        <f aca="false">IF(AND(R143="specific",ISNUMBER(S143)),S143/AF143,"")</f>
        <v/>
      </c>
      <c r="AH143" s="4"/>
      <c r="AI143" s="22" t="str">
        <f aca="false">IF(NOT(ISNUMBER(AH143)),"",IF(R143="specific",IF(ISNUMBER(AG143),AG143*AH143,""),IF(AND(R143="ad_valorem",ISNUMBER(AJ143)),S143*AJ143/INDEX(Parameters!$D$5:$D$7,MATCH(B143,Parameters!$A$5:$A$7,0))*AH143,"")))</f>
        <v/>
      </c>
      <c r="AJ143" s="4"/>
      <c r="AK143" s="4"/>
      <c r="AL143" s="24" t="str">
        <f aca="false">IF(NOT(ISNUMBER(AJ143)),"",IF(R143="specific",S143/AJ143,IF(R143="ad_valorem",S143,"")))</f>
        <v/>
      </c>
      <c r="AM143" s="4" t="s">
        <v>71</v>
      </c>
      <c r="AN143" s="4"/>
      <c r="AO143" s="25" t="n">
        <f aca="false">IF(AM143="","",IFERROR(INDEX(DQ_Scale!$B$5:$B$14,MATCH(AM143,DQ_Scale!$A$5:$A$14,0)),""))</f>
        <v>2</v>
      </c>
      <c r="AP143" s="4"/>
    </row>
    <row r="144" customFormat="false" ht="23.85" hidden="false" customHeight="false" outlineLevel="0" collapsed="false">
      <c r="A144" s="4" t="s">
        <v>1123</v>
      </c>
      <c r="B144" s="4" t="s">
        <v>925</v>
      </c>
      <c r="C144" s="4" t="s">
        <v>4</v>
      </c>
      <c r="D144" s="4" t="s">
        <v>78</v>
      </c>
      <c r="E144" s="4" t="s">
        <v>420</v>
      </c>
      <c r="F144" s="4" t="s">
        <v>610</v>
      </c>
      <c r="G144" s="4" t="s">
        <v>611</v>
      </c>
      <c r="H144" s="4" t="s">
        <v>612</v>
      </c>
      <c r="I144" s="4" t="s">
        <v>191</v>
      </c>
      <c r="J144" s="4" t="n">
        <v>1</v>
      </c>
      <c r="K144" s="4" t="s">
        <v>1124</v>
      </c>
      <c r="L144" s="4"/>
      <c r="M144" s="4" t="s">
        <v>927</v>
      </c>
      <c r="N144" s="4" t="s">
        <v>928</v>
      </c>
      <c r="O144" s="4" t="s">
        <v>669</v>
      </c>
      <c r="P144" s="4"/>
      <c r="Q144" s="4" t="s">
        <v>670</v>
      </c>
      <c r="R144" s="4" t="s">
        <v>774</v>
      </c>
      <c r="S144" s="31" t="n">
        <v>0.2</v>
      </c>
      <c r="T144" s="4" t="s">
        <v>775</v>
      </c>
      <c r="U144" s="4" t="s">
        <v>776</v>
      </c>
      <c r="V144" s="4" t="s">
        <v>909</v>
      </c>
      <c r="W144" s="4" t="s">
        <v>798</v>
      </c>
      <c r="X144" s="4" t="s">
        <v>675</v>
      </c>
      <c r="Y144" s="4"/>
      <c r="Z144" s="4"/>
      <c r="AA144" s="4"/>
      <c r="AB144" s="4"/>
      <c r="AC144" s="4"/>
      <c r="AD144" s="4"/>
      <c r="AE144" s="4" t="s">
        <v>1125</v>
      </c>
      <c r="AF144" s="21" t="str">
        <f aca="false">IF(T144="USD",1,IF(T144="pct","",INDEX(Parameters!$D$5:$D$7,MATCH(B144,Parameters!$A$5:$A$7,0))))</f>
        <v/>
      </c>
      <c r="AG144" s="22" t="str">
        <f aca="false">IF(AND(R144="specific",ISNUMBER(S144)),S144/AF144,"")</f>
        <v/>
      </c>
      <c r="AH144" s="4"/>
      <c r="AI144" s="22" t="str">
        <f aca="false">IF(NOT(ISNUMBER(AH144)),"",IF(R144="specific",IF(ISNUMBER(AG144),AG144*AH144,""),IF(AND(R144="ad_valorem",ISNUMBER(AJ144)),S144*AJ144/INDEX(Parameters!$D$5:$D$7,MATCH(B144,Parameters!$A$5:$A$7,0))*AH144,"")))</f>
        <v/>
      </c>
      <c r="AJ144" s="4"/>
      <c r="AK144" s="4"/>
      <c r="AL144" s="24" t="str">
        <f aca="false">IF(NOT(ISNUMBER(AJ144)),"",IF(R144="specific",S144/AJ144,IF(R144="ad_valorem",S144,"")))</f>
        <v/>
      </c>
      <c r="AM144" s="4" t="s">
        <v>71</v>
      </c>
      <c r="AN144" s="4"/>
      <c r="AO144" s="25" t="n">
        <f aca="false">IF(AM144="","",IFERROR(INDEX(DQ_Scale!$B$5:$B$14,MATCH(AM144,DQ_Scale!$A$5:$A$14,0)),""))</f>
        <v>2</v>
      </c>
      <c r="AP144" s="4"/>
    </row>
    <row r="145" customFormat="false" ht="23.85" hidden="false" customHeight="false" outlineLevel="0" collapsed="false">
      <c r="A145" s="4" t="s">
        <v>1126</v>
      </c>
      <c r="B145" s="4" t="s">
        <v>1127</v>
      </c>
      <c r="C145" s="4" t="s">
        <v>5</v>
      </c>
      <c r="D145" s="4" t="s">
        <v>81</v>
      </c>
      <c r="E145" s="4" t="s">
        <v>365</v>
      </c>
      <c r="F145" s="4" t="s">
        <v>366</v>
      </c>
      <c r="G145" s="4" t="s">
        <v>367</v>
      </c>
      <c r="H145" s="4" t="s">
        <v>368</v>
      </c>
      <c r="I145" s="4" t="s">
        <v>369</v>
      </c>
      <c r="J145" s="4" t="n">
        <v>2</v>
      </c>
      <c r="K145" s="4" t="s">
        <v>1128</v>
      </c>
      <c r="L145" s="4"/>
      <c r="M145" s="4" t="s">
        <v>1129</v>
      </c>
      <c r="N145" s="4" t="s">
        <v>1130</v>
      </c>
      <c r="O145" s="4" t="s">
        <v>669</v>
      </c>
      <c r="P145" s="4" t="s">
        <v>1131</v>
      </c>
      <c r="Q145" s="4" t="s">
        <v>744</v>
      </c>
      <c r="R145" s="4" t="s">
        <v>671</v>
      </c>
      <c r="S145" s="20" t="n">
        <v>0.25</v>
      </c>
      <c r="T145" s="4" t="s">
        <v>716</v>
      </c>
      <c r="U145" s="4" t="s">
        <v>1132</v>
      </c>
      <c r="V145" s="4"/>
      <c r="W145" s="4" t="s">
        <v>1133</v>
      </c>
      <c r="X145" s="4" t="s">
        <v>675</v>
      </c>
      <c r="Y145" s="4"/>
      <c r="Z145" s="4"/>
      <c r="AA145" s="4"/>
      <c r="AB145" s="4"/>
      <c r="AC145" s="4"/>
      <c r="AD145" s="4"/>
      <c r="AE145" s="4"/>
      <c r="AF145" s="21" t="n">
        <f aca="false">IF(T145="USD",1,IF(T145="pct","",INDEX(Parameters!$D$5:$D$7,MATCH(B145,Parameters!$A$5:$A$7,0))))</f>
        <v>1</v>
      </c>
      <c r="AG145" s="22" t="n">
        <f aca="false">IF(AND(R145="specific",ISNUMBER(S145)),S145/AF145,"")</f>
        <v>0.25</v>
      </c>
      <c r="AH145" s="23" t="n">
        <v>0.264172052358148</v>
      </c>
      <c r="AI145" s="22" t="n">
        <f aca="false">IF(NOT(ISNUMBER(AH145)),"",IF(R145="specific",IF(ISNUMBER(AG145),AG145*AH145,""),IF(AND(R145="ad_valorem",ISNUMBER(AJ145)),S145*AJ145/INDEX(Parameters!$D$5:$D$7,MATCH(B145,Parameters!$A$5:$A$7,0))*AH145,"")))</f>
        <v>0.0660430130895371</v>
      </c>
      <c r="AJ145" s="23" t="n">
        <v>4.94</v>
      </c>
      <c r="AK145" s="4" t="s">
        <v>1134</v>
      </c>
      <c r="AL145" s="24" t="n">
        <f aca="false">IF(NOT(ISNUMBER(AJ145)),"",IF(R145="specific",S145/AJ145,IF(R145="ad_valorem",S145,"")))</f>
        <v>0.0506072874493927</v>
      </c>
      <c r="AM145" s="4" t="s">
        <v>68</v>
      </c>
      <c r="AN145" s="4" t="s">
        <v>1135</v>
      </c>
      <c r="AO145" s="25" t="n">
        <f aca="false">IF(AM145="","",IFERROR(INDEX(DQ_Scale!$B$5:$B$14,MATCH(AM145,DQ_Scale!$A$5:$A$14,0)),""))</f>
        <v>3</v>
      </c>
      <c r="AP145" s="4" t="s">
        <v>1136</v>
      </c>
    </row>
    <row r="146" customFormat="false" ht="15" hidden="false" customHeight="false" outlineLevel="0" collapsed="false">
      <c r="A146" s="4" t="s">
        <v>1137</v>
      </c>
      <c r="B146" s="4" t="s">
        <v>1127</v>
      </c>
      <c r="C146" s="4" t="s">
        <v>5</v>
      </c>
      <c r="D146" s="4" t="s">
        <v>81</v>
      </c>
      <c r="E146" s="4" t="s">
        <v>365</v>
      </c>
      <c r="F146" s="4" t="s">
        <v>366</v>
      </c>
      <c r="G146" s="4" t="s">
        <v>367</v>
      </c>
      <c r="H146" s="4" t="s">
        <v>368</v>
      </c>
      <c r="I146" s="4" t="s">
        <v>369</v>
      </c>
      <c r="J146" s="4" t="n">
        <v>2</v>
      </c>
      <c r="K146" s="4" t="s">
        <v>1138</v>
      </c>
      <c r="L146" s="4"/>
      <c r="M146" s="4" t="s">
        <v>1139</v>
      </c>
      <c r="N146" s="4" t="s">
        <v>1140</v>
      </c>
      <c r="O146" s="4" t="s">
        <v>669</v>
      </c>
      <c r="P146" s="4" t="s">
        <v>1131</v>
      </c>
      <c r="Q146" s="4" t="s">
        <v>744</v>
      </c>
      <c r="R146" s="4" t="s">
        <v>671</v>
      </c>
      <c r="S146" s="20" t="n">
        <v>0.02</v>
      </c>
      <c r="T146" s="4" t="s">
        <v>716</v>
      </c>
      <c r="U146" s="4" t="s">
        <v>1132</v>
      </c>
      <c r="V146" s="4"/>
      <c r="W146" s="4" t="s">
        <v>1141</v>
      </c>
      <c r="X146" s="4" t="s">
        <v>675</v>
      </c>
      <c r="Y146" s="4"/>
      <c r="Z146" s="4"/>
      <c r="AA146" s="4"/>
      <c r="AB146" s="4"/>
      <c r="AC146" s="4"/>
      <c r="AD146" s="4"/>
      <c r="AE146" s="4"/>
      <c r="AF146" s="21" t="n">
        <f aca="false">IF(T146="USD",1,IF(T146="pct","",INDEX(Parameters!$D$5:$D$7,MATCH(B146,Parameters!$A$5:$A$7,0))))</f>
        <v>1</v>
      </c>
      <c r="AG146" s="22" t="n">
        <f aca="false">IF(AND(R146="specific",ISNUMBER(S146)),S146/AF146,"")</f>
        <v>0.02</v>
      </c>
      <c r="AH146" s="23" t="n">
        <v>0.264172052358148</v>
      </c>
      <c r="AI146" s="22" t="n">
        <f aca="false">IF(NOT(ISNUMBER(AH146)),"",IF(R146="specific",IF(ISNUMBER(AG146),AG146*AH146,""),IF(AND(R146="ad_valorem",ISNUMBER(AJ146)),S146*AJ146/INDEX(Parameters!$D$5:$D$7,MATCH(B146,Parameters!$A$5:$A$7,0))*AH146,"")))</f>
        <v>0.00528344104716297</v>
      </c>
      <c r="AJ146" s="23" t="n">
        <v>4.94</v>
      </c>
      <c r="AK146" s="4" t="s">
        <v>1142</v>
      </c>
      <c r="AL146" s="24" t="n">
        <f aca="false">IF(NOT(ISNUMBER(AJ146)),"",IF(R146="specific",S146/AJ146,IF(R146="ad_valorem",S146,"")))</f>
        <v>0.00404858299595142</v>
      </c>
      <c r="AM146" s="4" t="s">
        <v>68</v>
      </c>
      <c r="AN146" s="4" t="s">
        <v>398</v>
      </c>
      <c r="AO146" s="25" t="n">
        <f aca="false">IF(AM146="","",IFERROR(INDEX(DQ_Scale!$B$5:$B$14,MATCH(AM146,DQ_Scale!$A$5:$A$14,0)),""))</f>
        <v>3</v>
      </c>
      <c r="AP146" s="4"/>
    </row>
    <row r="147" customFormat="false" ht="15" hidden="false" customHeight="false" outlineLevel="0" collapsed="false">
      <c r="A147" s="4" t="s">
        <v>1143</v>
      </c>
      <c r="B147" s="4" t="s">
        <v>1127</v>
      </c>
      <c r="C147" s="4" t="s">
        <v>5</v>
      </c>
      <c r="D147" s="4" t="s">
        <v>81</v>
      </c>
      <c r="E147" s="4" t="s">
        <v>365</v>
      </c>
      <c r="F147" s="4" t="s">
        <v>366</v>
      </c>
      <c r="G147" s="4" t="s">
        <v>367</v>
      </c>
      <c r="H147" s="4" t="s">
        <v>368</v>
      </c>
      <c r="I147" s="4" t="s">
        <v>369</v>
      </c>
      <c r="J147" s="4" t="n">
        <v>2</v>
      </c>
      <c r="K147" s="4" t="s">
        <v>1144</v>
      </c>
      <c r="L147" s="4"/>
      <c r="M147" s="4" t="s">
        <v>1139</v>
      </c>
      <c r="N147" s="4" t="s">
        <v>1140</v>
      </c>
      <c r="O147" s="4" t="s">
        <v>669</v>
      </c>
      <c r="P147" s="4" t="s">
        <v>1131</v>
      </c>
      <c r="Q147" s="4" t="s">
        <v>744</v>
      </c>
      <c r="R147" s="4" t="s">
        <v>671</v>
      </c>
      <c r="S147" s="20" t="n">
        <v>0.09</v>
      </c>
      <c r="T147" s="4" t="s">
        <v>716</v>
      </c>
      <c r="U147" s="4" t="s">
        <v>1132</v>
      </c>
      <c r="V147" s="4"/>
      <c r="W147" s="4" t="s">
        <v>1145</v>
      </c>
      <c r="X147" s="4" t="s">
        <v>675</v>
      </c>
      <c r="Y147" s="4"/>
      <c r="Z147" s="4"/>
      <c r="AA147" s="4"/>
      <c r="AB147" s="4"/>
      <c r="AC147" s="4"/>
      <c r="AD147" s="4"/>
      <c r="AE147" s="4"/>
      <c r="AF147" s="21" t="n">
        <f aca="false">IF(T147="USD",1,IF(T147="pct","",INDEX(Parameters!$D$5:$D$7,MATCH(B147,Parameters!$A$5:$A$7,0))))</f>
        <v>1</v>
      </c>
      <c r="AG147" s="22" t="n">
        <f aca="false">IF(AND(R147="specific",ISNUMBER(S147)),S147/AF147,"")</f>
        <v>0.09</v>
      </c>
      <c r="AH147" s="23" t="n">
        <v>0.264172052358148</v>
      </c>
      <c r="AI147" s="22" t="n">
        <f aca="false">IF(NOT(ISNUMBER(AH147)),"",IF(R147="specific",IF(ISNUMBER(AG147),AG147*AH147,""),IF(AND(R147="ad_valorem",ISNUMBER(AJ147)),S147*AJ147/INDEX(Parameters!$D$5:$D$7,MATCH(B147,Parameters!$A$5:$A$7,0))*AH147,"")))</f>
        <v>0.0237754847122334</v>
      </c>
      <c r="AJ147" s="23" t="n">
        <v>4.94</v>
      </c>
      <c r="AK147" s="4" t="s">
        <v>1142</v>
      </c>
      <c r="AL147" s="24" t="n">
        <f aca="false">IF(NOT(ISNUMBER(AJ147)),"",IF(R147="specific",S147/AJ147,IF(R147="ad_valorem",S147,"")))</f>
        <v>0.0182186234817814</v>
      </c>
      <c r="AM147" s="4" t="s">
        <v>68</v>
      </c>
      <c r="AN147" s="4" t="s">
        <v>398</v>
      </c>
      <c r="AO147" s="25" t="n">
        <f aca="false">IF(AM147="","",IFERROR(INDEX(DQ_Scale!$B$5:$B$14,MATCH(AM147,DQ_Scale!$A$5:$A$14,0)),""))</f>
        <v>3</v>
      </c>
      <c r="AP147" s="4"/>
    </row>
    <row r="148" customFormat="false" ht="23.85" hidden="false" customHeight="false" outlineLevel="0" collapsed="false">
      <c r="A148" s="4" t="s">
        <v>1146</v>
      </c>
      <c r="B148" s="4" t="s">
        <v>1127</v>
      </c>
      <c r="C148" s="4" t="s">
        <v>5</v>
      </c>
      <c r="D148" s="4" t="s">
        <v>81</v>
      </c>
      <c r="E148" s="4" t="s">
        <v>365</v>
      </c>
      <c r="F148" s="4" t="s">
        <v>366</v>
      </c>
      <c r="G148" s="4" t="s">
        <v>378</v>
      </c>
      <c r="H148" s="4" t="s">
        <v>379</v>
      </c>
      <c r="I148" s="4" t="s">
        <v>369</v>
      </c>
      <c r="J148" s="4" t="n">
        <v>2</v>
      </c>
      <c r="K148" s="4" t="s">
        <v>1128</v>
      </c>
      <c r="L148" s="4"/>
      <c r="M148" s="4" t="s">
        <v>1129</v>
      </c>
      <c r="N148" s="4" t="s">
        <v>1130</v>
      </c>
      <c r="O148" s="4" t="s">
        <v>669</v>
      </c>
      <c r="P148" s="4" t="s">
        <v>1147</v>
      </c>
      <c r="Q148" s="4" t="s">
        <v>744</v>
      </c>
      <c r="R148" s="4" t="s">
        <v>671</v>
      </c>
      <c r="S148" s="20" t="n">
        <v>0.25</v>
      </c>
      <c r="T148" s="4" t="s">
        <v>716</v>
      </c>
      <c r="U148" s="4" t="s">
        <v>1132</v>
      </c>
      <c r="V148" s="4"/>
      <c r="W148" s="4" t="s">
        <v>1133</v>
      </c>
      <c r="X148" s="4" t="s">
        <v>675</v>
      </c>
      <c r="Y148" s="4"/>
      <c r="Z148" s="4"/>
      <c r="AA148" s="4"/>
      <c r="AB148" s="4"/>
      <c r="AC148" s="4"/>
      <c r="AD148" s="4"/>
      <c r="AE148" s="4"/>
      <c r="AF148" s="21" t="n">
        <f aca="false">IF(T148="USD",1,IF(T148="pct","",INDEX(Parameters!$D$5:$D$7,MATCH(B148,Parameters!$A$5:$A$7,0))))</f>
        <v>1</v>
      </c>
      <c r="AG148" s="22" t="n">
        <f aca="false">IF(AND(R148="specific",ISNUMBER(S148)),S148/AF148,"")</f>
        <v>0.25</v>
      </c>
      <c r="AH148" s="23" t="n">
        <v>0.264172052358148</v>
      </c>
      <c r="AI148" s="22" t="n">
        <f aca="false">IF(NOT(ISNUMBER(AH148)),"",IF(R148="specific",IF(ISNUMBER(AG148),AG148*AH148,""),IF(AND(R148="ad_valorem",ISNUMBER(AJ148)),S148*AJ148/INDEX(Parameters!$D$5:$D$7,MATCH(B148,Parameters!$A$5:$A$7,0))*AH148,"")))</f>
        <v>0.0660430130895371</v>
      </c>
      <c r="AJ148" s="23" t="n">
        <v>6.25</v>
      </c>
      <c r="AK148" s="4" t="s">
        <v>1134</v>
      </c>
      <c r="AL148" s="24" t="n">
        <f aca="false">IF(NOT(ISNUMBER(AJ148)),"",IF(R148="specific",S148/AJ148,IF(R148="ad_valorem",S148,"")))</f>
        <v>0.04</v>
      </c>
      <c r="AM148" s="4" t="s">
        <v>68</v>
      </c>
      <c r="AN148" s="4" t="s">
        <v>1135</v>
      </c>
      <c r="AO148" s="25" t="n">
        <f aca="false">IF(AM148="","",IFERROR(INDEX(DQ_Scale!$B$5:$B$14,MATCH(AM148,DQ_Scale!$A$5:$A$14,0)),""))</f>
        <v>3</v>
      </c>
      <c r="AP148" s="4" t="s">
        <v>1136</v>
      </c>
    </row>
    <row r="149" customFormat="false" ht="15" hidden="false" customHeight="false" outlineLevel="0" collapsed="false">
      <c r="A149" s="4" t="s">
        <v>1148</v>
      </c>
      <c r="B149" s="4" t="s">
        <v>1127</v>
      </c>
      <c r="C149" s="4" t="s">
        <v>5</v>
      </c>
      <c r="D149" s="4" t="s">
        <v>81</v>
      </c>
      <c r="E149" s="4" t="s">
        <v>365</v>
      </c>
      <c r="F149" s="4" t="s">
        <v>366</v>
      </c>
      <c r="G149" s="4" t="s">
        <v>378</v>
      </c>
      <c r="H149" s="4" t="s">
        <v>379</v>
      </c>
      <c r="I149" s="4" t="s">
        <v>369</v>
      </c>
      <c r="J149" s="4" t="n">
        <v>2</v>
      </c>
      <c r="K149" s="4" t="s">
        <v>1138</v>
      </c>
      <c r="L149" s="4"/>
      <c r="M149" s="4" t="s">
        <v>1139</v>
      </c>
      <c r="N149" s="4" t="s">
        <v>1140</v>
      </c>
      <c r="O149" s="4" t="s">
        <v>669</v>
      </c>
      <c r="P149" s="4" t="s">
        <v>1147</v>
      </c>
      <c r="Q149" s="4" t="s">
        <v>744</v>
      </c>
      <c r="R149" s="4" t="s">
        <v>671</v>
      </c>
      <c r="S149" s="20" t="n">
        <v>0.02</v>
      </c>
      <c r="T149" s="4" t="s">
        <v>716</v>
      </c>
      <c r="U149" s="4" t="s">
        <v>1132</v>
      </c>
      <c r="V149" s="4"/>
      <c r="W149" s="4" t="s">
        <v>1141</v>
      </c>
      <c r="X149" s="4" t="s">
        <v>675</v>
      </c>
      <c r="Y149" s="4"/>
      <c r="Z149" s="4"/>
      <c r="AA149" s="4"/>
      <c r="AB149" s="4"/>
      <c r="AC149" s="4"/>
      <c r="AD149" s="4"/>
      <c r="AE149" s="4"/>
      <c r="AF149" s="21" t="n">
        <f aca="false">IF(T149="USD",1,IF(T149="pct","",INDEX(Parameters!$D$5:$D$7,MATCH(B149,Parameters!$A$5:$A$7,0))))</f>
        <v>1</v>
      </c>
      <c r="AG149" s="22" t="n">
        <f aca="false">IF(AND(R149="specific",ISNUMBER(S149)),S149/AF149,"")</f>
        <v>0.02</v>
      </c>
      <c r="AH149" s="23" t="n">
        <v>0.264172052358148</v>
      </c>
      <c r="AI149" s="22" t="n">
        <f aca="false">IF(NOT(ISNUMBER(AH149)),"",IF(R149="specific",IF(ISNUMBER(AG149),AG149*AH149,""),IF(AND(R149="ad_valorem",ISNUMBER(AJ149)),S149*AJ149/INDEX(Parameters!$D$5:$D$7,MATCH(B149,Parameters!$A$5:$A$7,0))*AH149,"")))</f>
        <v>0.00528344104716297</v>
      </c>
      <c r="AJ149" s="23" t="n">
        <v>6.25</v>
      </c>
      <c r="AK149" s="4" t="s">
        <v>1142</v>
      </c>
      <c r="AL149" s="24" t="n">
        <f aca="false">IF(NOT(ISNUMBER(AJ149)),"",IF(R149="specific",S149/AJ149,IF(R149="ad_valorem",S149,"")))</f>
        <v>0.0032</v>
      </c>
      <c r="AM149" s="4" t="s">
        <v>68</v>
      </c>
      <c r="AN149" s="4" t="s">
        <v>398</v>
      </c>
      <c r="AO149" s="25" t="n">
        <f aca="false">IF(AM149="","",IFERROR(INDEX(DQ_Scale!$B$5:$B$14,MATCH(AM149,DQ_Scale!$A$5:$A$14,0)),""))</f>
        <v>3</v>
      </c>
      <c r="AP149" s="4"/>
    </row>
    <row r="150" customFormat="false" ht="15" hidden="false" customHeight="false" outlineLevel="0" collapsed="false">
      <c r="A150" s="4" t="s">
        <v>1149</v>
      </c>
      <c r="B150" s="4" t="s">
        <v>1127</v>
      </c>
      <c r="C150" s="4" t="s">
        <v>5</v>
      </c>
      <c r="D150" s="4" t="s">
        <v>81</v>
      </c>
      <c r="E150" s="4" t="s">
        <v>365</v>
      </c>
      <c r="F150" s="4" t="s">
        <v>366</v>
      </c>
      <c r="G150" s="4" t="s">
        <v>378</v>
      </c>
      <c r="H150" s="4" t="s">
        <v>379</v>
      </c>
      <c r="I150" s="4" t="s">
        <v>369</v>
      </c>
      <c r="J150" s="4" t="n">
        <v>2</v>
      </c>
      <c r="K150" s="4" t="s">
        <v>1144</v>
      </c>
      <c r="L150" s="4"/>
      <c r="M150" s="4" t="s">
        <v>1139</v>
      </c>
      <c r="N150" s="4" t="s">
        <v>1140</v>
      </c>
      <c r="O150" s="4" t="s">
        <v>669</v>
      </c>
      <c r="P150" s="4" t="s">
        <v>1147</v>
      </c>
      <c r="Q150" s="4" t="s">
        <v>744</v>
      </c>
      <c r="R150" s="4" t="s">
        <v>671</v>
      </c>
      <c r="S150" s="20" t="n">
        <v>0.09</v>
      </c>
      <c r="T150" s="4" t="s">
        <v>716</v>
      </c>
      <c r="U150" s="4" t="s">
        <v>1132</v>
      </c>
      <c r="V150" s="4"/>
      <c r="W150" s="4" t="s">
        <v>1145</v>
      </c>
      <c r="X150" s="4" t="s">
        <v>675</v>
      </c>
      <c r="Y150" s="4"/>
      <c r="Z150" s="4"/>
      <c r="AA150" s="4"/>
      <c r="AB150" s="4"/>
      <c r="AC150" s="4"/>
      <c r="AD150" s="4"/>
      <c r="AE150" s="4"/>
      <c r="AF150" s="21" t="n">
        <f aca="false">IF(T150="USD",1,IF(T150="pct","",INDEX(Parameters!$D$5:$D$7,MATCH(B150,Parameters!$A$5:$A$7,0))))</f>
        <v>1</v>
      </c>
      <c r="AG150" s="22" t="n">
        <f aca="false">IF(AND(R150="specific",ISNUMBER(S150)),S150/AF150,"")</f>
        <v>0.09</v>
      </c>
      <c r="AH150" s="23" t="n">
        <v>0.264172052358148</v>
      </c>
      <c r="AI150" s="22" t="n">
        <f aca="false">IF(NOT(ISNUMBER(AH150)),"",IF(R150="specific",IF(ISNUMBER(AG150),AG150*AH150,""),IF(AND(R150="ad_valorem",ISNUMBER(AJ150)),S150*AJ150/INDEX(Parameters!$D$5:$D$7,MATCH(B150,Parameters!$A$5:$A$7,0))*AH150,"")))</f>
        <v>0.0237754847122334</v>
      </c>
      <c r="AJ150" s="23" t="n">
        <v>6.25</v>
      </c>
      <c r="AK150" s="4" t="s">
        <v>1142</v>
      </c>
      <c r="AL150" s="24" t="n">
        <f aca="false">IF(NOT(ISNUMBER(AJ150)),"",IF(R150="specific",S150/AJ150,IF(R150="ad_valorem",S150,"")))</f>
        <v>0.0144</v>
      </c>
      <c r="AM150" s="4" t="s">
        <v>68</v>
      </c>
      <c r="AN150" s="4" t="s">
        <v>398</v>
      </c>
      <c r="AO150" s="25" t="n">
        <f aca="false">IF(AM150="","",IFERROR(INDEX(DQ_Scale!$B$5:$B$14,MATCH(AM150,DQ_Scale!$A$5:$A$14,0)),""))</f>
        <v>3</v>
      </c>
      <c r="AP150" s="4"/>
    </row>
    <row r="151" customFormat="false" ht="23.85" hidden="false" customHeight="false" outlineLevel="0" collapsed="false">
      <c r="A151" s="16" t="s">
        <v>1150</v>
      </c>
      <c r="B151" s="16" t="s">
        <v>1127</v>
      </c>
      <c r="C151" s="16" t="s">
        <v>5</v>
      </c>
      <c r="D151" s="16" t="s">
        <v>81</v>
      </c>
      <c r="E151" s="16" t="s">
        <v>365</v>
      </c>
      <c r="F151" s="16" t="s">
        <v>366</v>
      </c>
      <c r="G151" s="16" t="s">
        <v>387</v>
      </c>
      <c r="H151" s="16" t="s">
        <v>388</v>
      </c>
      <c r="I151" s="16" t="s">
        <v>369</v>
      </c>
      <c r="J151" s="16" t="n">
        <v>0</v>
      </c>
      <c r="K151" s="16" t="s">
        <v>1151</v>
      </c>
      <c r="L151" s="16"/>
      <c r="M151" s="16"/>
      <c r="N151" s="16"/>
      <c r="O151" s="16" t="s">
        <v>686</v>
      </c>
      <c r="P151" s="16"/>
      <c r="Q151" s="16"/>
      <c r="R151" s="16" t="s">
        <v>687</v>
      </c>
      <c r="S151" s="2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27" t="n">
        <f aca="false">IF(T151="USD",1,IF(T151="pct","",INDEX(Parameters!$D$5:$D$7,MATCH(B151,Parameters!$A$5:$A$7,0))))</f>
        <v>171.592</v>
      </c>
      <c r="AG151" s="28" t="str">
        <f aca="false">IF(AND(R151="specific",ISNUMBER(S151)),S151/AF151,"")</f>
        <v/>
      </c>
      <c r="AH151" s="16"/>
      <c r="AI151" s="28" t="str">
        <f aca="false">IF(NOT(ISNUMBER(AH151)),"",IF(R151="specific",IF(ISNUMBER(AG151),AG151*AH151,""),IF(AND(R151="ad_valorem",ISNUMBER(AJ151)),S151*AJ151/INDEX(Parameters!$D$5:$D$7,MATCH(B151,Parameters!$A$5:$A$7,0))*AH151,"")))</f>
        <v/>
      </c>
      <c r="AJ151" s="16"/>
      <c r="AK151" s="16"/>
      <c r="AL151" s="29" t="str">
        <f aca="false">IF(NOT(ISNUMBER(AJ151)),"",IF(R151="specific",S151/AJ151,IF(R151="ad_valorem",S151,"")))</f>
        <v/>
      </c>
      <c r="AM151" s="16" t="s">
        <v>202</v>
      </c>
      <c r="AN151" s="16" t="s">
        <v>398</v>
      </c>
      <c r="AO151" s="30" t="n">
        <f aca="false">IF(AM151="","",IFERROR(INDEX(DQ_Scale!$B$5:$B$14,MATCH(AM151,DQ_Scale!$A$5:$A$14,0)),""))</f>
        <v>2</v>
      </c>
      <c r="AP151" s="16"/>
    </row>
    <row r="152" customFormat="false" ht="15" hidden="false" customHeight="false" outlineLevel="0" collapsed="false">
      <c r="A152" s="16" t="s">
        <v>1152</v>
      </c>
      <c r="B152" s="16" t="s">
        <v>1127</v>
      </c>
      <c r="C152" s="16" t="s">
        <v>5</v>
      </c>
      <c r="D152" s="16" t="s">
        <v>81</v>
      </c>
      <c r="E152" s="16" t="s">
        <v>365</v>
      </c>
      <c r="F152" s="16" t="s">
        <v>366</v>
      </c>
      <c r="G152" s="16" t="s">
        <v>399</v>
      </c>
      <c r="H152" s="16" t="s">
        <v>400</v>
      </c>
      <c r="I152" s="16" t="s">
        <v>369</v>
      </c>
      <c r="J152" s="16" t="n">
        <v>0</v>
      </c>
      <c r="K152" s="16" t="s">
        <v>1153</v>
      </c>
      <c r="L152" s="16"/>
      <c r="M152" s="16"/>
      <c r="N152" s="16"/>
      <c r="O152" s="16" t="s">
        <v>686</v>
      </c>
      <c r="P152" s="16"/>
      <c r="Q152" s="16"/>
      <c r="R152" s="16" t="s">
        <v>687</v>
      </c>
      <c r="S152" s="2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27" t="n">
        <f aca="false">IF(T152="USD",1,IF(T152="pct","",INDEX(Parameters!$D$5:$D$7,MATCH(B152,Parameters!$A$5:$A$7,0))))</f>
        <v>171.592</v>
      </c>
      <c r="AG152" s="28" t="str">
        <f aca="false">IF(AND(R152="specific",ISNUMBER(S152)),S152/AF152,"")</f>
        <v/>
      </c>
      <c r="AH152" s="16"/>
      <c r="AI152" s="28" t="str">
        <f aca="false">IF(NOT(ISNUMBER(AH152)),"",IF(R152="specific",IF(ISNUMBER(AG152),AG152*AH152,""),IF(AND(R152="ad_valorem",ISNUMBER(AJ152)),S152*AJ152/INDEX(Parameters!$D$5:$D$7,MATCH(B152,Parameters!$A$5:$A$7,0))*AH152,"")))</f>
        <v/>
      </c>
      <c r="AJ152" s="16"/>
      <c r="AK152" s="16"/>
      <c r="AL152" s="29" t="str">
        <f aca="false">IF(NOT(ISNUMBER(AJ152)),"",IF(R152="specific",S152/AJ152,IF(R152="ad_valorem",S152,"")))</f>
        <v/>
      </c>
      <c r="AM152" s="16" t="s">
        <v>120</v>
      </c>
      <c r="AN152" s="16" t="s">
        <v>405</v>
      </c>
      <c r="AO152" s="30" t="n">
        <f aca="false">IF(AM152="","",IFERROR(INDEX(DQ_Scale!$B$5:$B$14,MATCH(AM152,DQ_Scale!$A$5:$A$14,0)),""))</f>
        <v>4</v>
      </c>
      <c r="AP152" s="16"/>
    </row>
    <row r="153" customFormat="false" ht="23.85" hidden="false" customHeight="false" outlineLevel="0" collapsed="false">
      <c r="A153" s="16" t="s">
        <v>1154</v>
      </c>
      <c r="B153" s="16" t="s">
        <v>1127</v>
      </c>
      <c r="C153" s="16" t="s">
        <v>5</v>
      </c>
      <c r="D153" s="16" t="s">
        <v>81</v>
      </c>
      <c r="E153" s="16" t="s">
        <v>365</v>
      </c>
      <c r="F153" s="16" t="s">
        <v>366</v>
      </c>
      <c r="G153" s="16" t="s">
        <v>406</v>
      </c>
      <c r="H153" s="16" t="s">
        <v>407</v>
      </c>
      <c r="I153" s="16" t="s">
        <v>369</v>
      </c>
      <c r="J153" s="16" t="n">
        <v>0</v>
      </c>
      <c r="K153" s="16" t="s">
        <v>1155</v>
      </c>
      <c r="L153" s="16"/>
      <c r="M153" s="16"/>
      <c r="N153" s="16"/>
      <c r="O153" s="16" t="s">
        <v>686</v>
      </c>
      <c r="P153" s="16"/>
      <c r="Q153" s="16"/>
      <c r="R153" s="16" t="s">
        <v>687</v>
      </c>
      <c r="S153" s="2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27" t="n">
        <f aca="false">IF(T153="USD",1,IF(T153="pct","",INDEX(Parameters!$D$5:$D$7,MATCH(B153,Parameters!$A$5:$A$7,0))))</f>
        <v>171.592</v>
      </c>
      <c r="AG153" s="28" t="str">
        <f aca="false">IF(AND(R153="specific",ISNUMBER(S153)),S153/AF153,"")</f>
        <v/>
      </c>
      <c r="AH153" s="16"/>
      <c r="AI153" s="28" t="str">
        <f aca="false">IF(NOT(ISNUMBER(AH153)),"",IF(R153="specific",IF(ISNUMBER(AG153),AG153*AH153,""),IF(AND(R153="ad_valorem",ISNUMBER(AJ153)),S153*AJ153/INDEX(Parameters!$D$5:$D$7,MATCH(B153,Parameters!$A$5:$A$7,0))*AH153,"")))</f>
        <v/>
      </c>
      <c r="AJ153" s="16"/>
      <c r="AK153" s="16"/>
      <c r="AL153" s="29" t="str">
        <f aca="false">IF(NOT(ISNUMBER(AJ153)),"",IF(R153="specific",S153/AJ153,IF(R153="ad_valorem",S153,"")))</f>
        <v/>
      </c>
      <c r="AM153" s="16" t="s">
        <v>202</v>
      </c>
      <c r="AN153" s="16" t="s">
        <v>398</v>
      </c>
      <c r="AO153" s="30" t="n">
        <f aca="false">IF(AM153="","",IFERROR(INDEX(DQ_Scale!$B$5:$B$14,MATCH(AM153,DQ_Scale!$A$5:$A$14,0)),""))</f>
        <v>2</v>
      </c>
      <c r="AP153" s="16"/>
    </row>
    <row r="154" customFormat="false" ht="15" hidden="false" customHeight="false" outlineLevel="0" collapsed="false">
      <c r="A154" s="16" t="s">
        <v>1156</v>
      </c>
      <c r="B154" s="16" t="s">
        <v>1127</v>
      </c>
      <c r="C154" s="16" t="s">
        <v>5</v>
      </c>
      <c r="D154" s="16" t="s">
        <v>81</v>
      </c>
      <c r="E154" s="16" t="s">
        <v>365</v>
      </c>
      <c r="F154" s="16" t="s">
        <v>366</v>
      </c>
      <c r="G154" s="16" t="s">
        <v>413</v>
      </c>
      <c r="H154" s="16" t="s">
        <v>414</v>
      </c>
      <c r="I154" s="16" t="s">
        <v>369</v>
      </c>
      <c r="J154" s="16" t="n">
        <v>0</v>
      </c>
      <c r="K154" s="16" t="s">
        <v>1157</v>
      </c>
      <c r="L154" s="16"/>
      <c r="M154" s="16"/>
      <c r="N154" s="16"/>
      <c r="O154" s="16" t="s">
        <v>686</v>
      </c>
      <c r="P154" s="16"/>
      <c r="Q154" s="16"/>
      <c r="R154" s="16" t="s">
        <v>687</v>
      </c>
      <c r="S154" s="2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27" t="n">
        <f aca="false">IF(T154="USD",1,IF(T154="pct","",INDEX(Parameters!$D$5:$D$7,MATCH(B154,Parameters!$A$5:$A$7,0))))</f>
        <v>171.592</v>
      </c>
      <c r="AG154" s="28" t="str">
        <f aca="false">IF(AND(R154="specific",ISNUMBER(S154)),S154/AF154,"")</f>
        <v/>
      </c>
      <c r="AH154" s="16"/>
      <c r="AI154" s="28" t="str">
        <f aca="false">IF(NOT(ISNUMBER(AH154)),"",IF(R154="specific",IF(ISNUMBER(AG154),AG154*AH154,""),IF(AND(R154="ad_valorem",ISNUMBER(AJ154)),S154*AJ154/INDEX(Parameters!$D$5:$D$7,MATCH(B154,Parameters!$A$5:$A$7,0))*AH154,"")))</f>
        <v/>
      </c>
      <c r="AJ154" s="16"/>
      <c r="AK154" s="16"/>
      <c r="AL154" s="29" t="str">
        <f aca="false">IF(NOT(ISNUMBER(AJ154)),"",IF(R154="specific",S154/AJ154,IF(R154="ad_valorem",S154,"")))</f>
        <v/>
      </c>
      <c r="AM154" s="16" t="s">
        <v>120</v>
      </c>
      <c r="AN154" s="16" t="s">
        <v>405</v>
      </c>
      <c r="AO154" s="30" t="n">
        <f aca="false">IF(AM154="","",IFERROR(INDEX(DQ_Scale!$B$5:$B$14,MATCH(AM154,DQ_Scale!$A$5:$A$14,0)),""))</f>
        <v>4</v>
      </c>
      <c r="AP154" s="16"/>
    </row>
    <row r="155" customFormat="false" ht="15" hidden="false" customHeight="false" outlineLevel="0" collapsed="false">
      <c r="A155" s="16" t="s">
        <v>1158</v>
      </c>
      <c r="B155" s="16" t="s">
        <v>1127</v>
      </c>
      <c r="C155" s="16" t="s">
        <v>5</v>
      </c>
      <c r="D155" s="16" t="s">
        <v>81</v>
      </c>
      <c r="E155" s="16" t="s">
        <v>420</v>
      </c>
      <c r="F155" s="16" t="s">
        <v>366</v>
      </c>
      <c r="G155" s="16" t="s">
        <v>421</v>
      </c>
      <c r="H155" s="16" t="s">
        <v>422</v>
      </c>
      <c r="I155" s="16" t="s">
        <v>423</v>
      </c>
      <c r="J155" s="16" t="n">
        <v>0</v>
      </c>
      <c r="K155" s="16" t="s">
        <v>1159</v>
      </c>
      <c r="L155" s="16"/>
      <c r="M155" s="16"/>
      <c r="N155" s="16"/>
      <c r="O155" s="16" t="s">
        <v>686</v>
      </c>
      <c r="P155" s="16"/>
      <c r="Q155" s="16"/>
      <c r="R155" s="16" t="s">
        <v>687</v>
      </c>
      <c r="S155" s="2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27" t="n">
        <f aca="false">IF(T155="USD",1,IF(T155="pct","",INDEX(Parameters!$D$5:$D$7,MATCH(B155,Parameters!$A$5:$A$7,0))))</f>
        <v>171.592</v>
      </c>
      <c r="AG155" s="28" t="str">
        <f aca="false">IF(AND(R155="specific",ISNUMBER(S155)),S155/AF155,"")</f>
        <v/>
      </c>
      <c r="AH155" s="16"/>
      <c r="AI155" s="28" t="str">
        <f aca="false">IF(NOT(ISNUMBER(AH155)),"",IF(R155="specific",IF(ISNUMBER(AG155),AG155*AH155,""),IF(AND(R155="ad_valorem",ISNUMBER(AJ155)),S155*AJ155/INDEX(Parameters!$D$5:$D$7,MATCH(B155,Parameters!$A$5:$A$7,0))*AH155,"")))</f>
        <v/>
      </c>
      <c r="AJ155" s="16"/>
      <c r="AK155" s="16"/>
      <c r="AL155" s="29" t="str">
        <f aca="false">IF(NOT(ISNUMBER(AJ155)),"",IF(R155="specific",S155/AJ155,IF(R155="ad_valorem",S155,"")))</f>
        <v/>
      </c>
      <c r="AM155" s="16" t="s">
        <v>120</v>
      </c>
      <c r="AN155" s="16" t="s">
        <v>405</v>
      </c>
      <c r="AO155" s="30" t="n">
        <f aca="false">IF(AM155="","",IFERROR(INDEX(DQ_Scale!$B$5:$B$14,MATCH(AM155,DQ_Scale!$A$5:$A$14,0)),""))</f>
        <v>4</v>
      </c>
      <c r="AP155" s="16"/>
    </row>
    <row r="156" customFormat="false" ht="23.85" hidden="false" customHeight="false" outlineLevel="0" collapsed="false">
      <c r="A156" s="4" t="s">
        <v>1160</v>
      </c>
      <c r="B156" s="4" t="s">
        <v>1127</v>
      </c>
      <c r="C156" s="4" t="s">
        <v>5</v>
      </c>
      <c r="D156" s="4" t="s">
        <v>81</v>
      </c>
      <c r="E156" s="4" t="s">
        <v>429</v>
      </c>
      <c r="F156" s="4" t="s">
        <v>366</v>
      </c>
      <c r="G156" s="4" t="s">
        <v>430</v>
      </c>
      <c r="H156" s="4" t="s">
        <v>431</v>
      </c>
      <c r="I156" s="4" t="s">
        <v>432</v>
      </c>
      <c r="J156" s="4" t="n">
        <v>2</v>
      </c>
      <c r="K156" s="4" t="s">
        <v>1161</v>
      </c>
      <c r="L156" s="4"/>
      <c r="M156" s="4" t="s">
        <v>1162</v>
      </c>
      <c r="N156" s="4"/>
      <c r="O156" s="4" t="s">
        <v>669</v>
      </c>
      <c r="P156" s="4"/>
      <c r="Q156" s="4" t="s">
        <v>670</v>
      </c>
      <c r="R156" s="4" t="s">
        <v>671</v>
      </c>
      <c r="S156" s="20" t="n">
        <v>75</v>
      </c>
      <c r="T156" s="4" t="s">
        <v>716</v>
      </c>
      <c r="U156" s="4" t="s">
        <v>707</v>
      </c>
      <c r="V156" s="4"/>
      <c r="W156" s="4" t="s">
        <v>1163</v>
      </c>
      <c r="X156" s="4" t="s">
        <v>675</v>
      </c>
      <c r="Y156" s="4"/>
      <c r="Z156" s="4"/>
      <c r="AA156" s="4"/>
      <c r="AB156" s="4"/>
      <c r="AC156" s="4"/>
      <c r="AD156" s="4"/>
      <c r="AE156" s="4" t="s">
        <v>1164</v>
      </c>
      <c r="AF156" s="21" t="n">
        <f aca="false">IF(T156="USD",1,IF(T156="pct","",INDEX(Parameters!$D$5:$D$7,MATCH(B156,Parameters!$A$5:$A$7,0))))</f>
        <v>1</v>
      </c>
      <c r="AG156" s="22" t="n">
        <f aca="false">IF(AND(R156="specific",ISNUMBER(S156)),S156/AF156,"")</f>
        <v>75</v>
      </c>
      <c r="AH156" s="23" t="n">
        <v>1</v>
      </c>
      <c r="AI156" s="22" t="n">
        <f aca="false">IF(NOT(ISNUMBER(AH156)),"",IF(R156="specific",IF(ISNUMBER(AG156),AG156*AH156,""),IF(AND(R156="ad_valorem",ISNUMBER(AJ156)),S156*AJ156/INDEX(Parameters!$D$5:$D$7,MATCH(B156,Parameters!$A$5:$A$7,0))*AH156,"")))</f>
        <v>75</v>
      </c>
      <c r="AJ156" s="4"/>
      <c r="AK156" s="4"/>
      <c r="AL156" s="24" t="str">
        <f aca="false">IF(NOT(ISNUMBER(AJ156)),"",IF(R156="specific",S156/AJ156,IF(R156="ad_valorem",S156,"")))</f>
        <v/>
      </c>
      <c r="AM156" s="4" t="s">
        <v>202</v>
      </c>
      <c r="AN156" s="4" t="s">
        <v>235</v>
      </c>
      <c r="AO156" s="25" t="n">
        <f aca="false">IF(AM156="","",IFERROR(INDEX(DQ_Scale!$B$5:$B$14,MATCH(AM156,DQ_Scale!$A$5:$A$14,0)),""))</f>
        <v>2</v>
      </c>
      <c r="AP156" s="4" t="s">
        <v>1165</v>
      </c>
    </row>
    <row r="157" customFormat="false" ht="23.85" hidden="false" customHeight="false" outlineLevel="0" collapsed="false">
      <c r="A157" s="4" t="s">
        <v>1166</v>
      </c>
      <c r="B157" s="4" t="s">
        <v>1127</v>
      </c>
      <c r="C157" s="4" t="s">
        <v>5</v>
      </c>
      <c r="D157" s="4" t="s">
        <v>81</v>
      </c>
      <c r="E157" s="4" t="s">
        <v>429</v>
      </c>
      <c r="F157" s="4" t="s">
        <v>366</v>
      </c>
      <c r="G157" s="4" t="s">
        <v>430</v>
      </c>
      <c r="H157" s="4" t="s">
        <v>431</v>
      </c>
      <c r="I157" s="4" t="s">
        <v>432</v>
      </c>
      <c r="J157" s="4" t="n">
        <v>2</v>
      </c>
      <c r="K157" s="4" t="s">
        <v>1167</v>
      </c>
      <c r="L157" s="4"/>
      <c r="M157" s="4" t="s">
        <v>1162</v>
      </c>
      <c r="N157" s="4"/>
      <c r="O157" s="4" t="s">
        <v>669</v>
      </c>
      <c r="P157" s="4"/>
      <c r="Q157" s="4" t="s">
        <v>670</v>
      </c>
      <c r="R157" s="4" t="s">
        <v>671</v>
      </c>
      <c r="S157" s="20" t="n">
        <v>100</v>
      </c>
      <c r="T157" s="4" t="s">
        <v>716</v>
      </c>
      <c r="U157" s="4" t="s">
        <v>707</v>
      </c>
      <c r="V157" s="4"/>
      <c r="W157" s="4" t="s">
        <v>1168</v>
      </c>
      <c r="X157" s="4" t="s">
        <v>675</v>
      </c>
      <c r="Y157" s="4"/>
      <c r="Z157" s="4"/>
      <c r="AA157" s="4"/>
      <c r="AB157" s="4"/>
      <c r="AC157" s="4"/>
      <c r="AD157" s="4"/>
      <c r="AE157" s="4" t="s">
        <v>1169</v>
      </c>
      <c r="AF157" s="21" t="n">
        <f aca="false">IF(T157="USD",1,IF(T157="pct","",INDEX(Parameters!$D$5:$D$7,MATCH(B157,Parameters!$A$5:$A$7,0))))</f>
        <v>1</v>
      </c>
      <c r="AG157" s="22" t="n">
        <f aca="false">IF(AND(R157="specific",ISNUMBER(S157)),S157/AF157,"")</f>
        <v>100</v>
      </c>
      <c r="AH157" s="23" t="n">
        <v>1</v>
      </c>
      <c r="AI157" s="22" t="n">
        <f aca="false">IF(NOT(ISNUMBER(AH157)),"",IF(R157="specific",IF(ISNUMBER(AG157),AG157*AH157,""),IF(AND(R157="ad_valorem",ISNUMBER(AJ157)),S157*AJ157/INDEX(Parameters!$D$5:$D$7,MATCH(B157,Parameters!$A$5:$A$7,0))*AH157,"")))</f>
        <v>100</v>
      </c>
      <c r="AJ157" s="4"/>
      <c r="AK157" s="4"/>
      <c r="AL157" s="24" t="str">
        <f aca="false">IF(NOT(ISNUMBER(AJ157)),"",IF(R157="specific",S157/AJ157,IF(R157="ad_valorem",S157,"")))</f>
        <v/>
      </c>
      <c r="AM157" s="4" t="s">
        <v>202</v>
      </c>
      <c r="AN157" s="4" t="s">
        <v>235</v>
      </c>
      <c r="AO157" s="25" t="n">
        <f aca="false">IF(AM157="","",IFERROR(INDEX(DQ_Scale!$B$5:$B$14,MATCH(AM157,DQ_Scale!$A$5:$A$14,0)),""))</f>
        <v>2</v>
      </c>
      <c r="AP157" s="4" t="s">
        <v>1165</v>
      </c>
    </row>
    <row r="158" customFormat="false" ht="23.85" hidden="false" customHeight="false" outlineLevel="0" collapsed="false">
      <c r="A158" s="4" t="s">
        <v>1170</v>
      </c>
      <c r="B158" s="4" t="s">
        <v>1127</v>
      </c>
      <c r="C158" s="4" t="s">
        <v>5</v>
      </c>
      <c r="D158" s="4" t="s">
        <v>81</v>
      </c>
      <c r="E158" s="4" t="s">
        <v>429</v>
      </c>
      <c r="F158" s="4" t="s">
        <v>366</v>
      </c>
      <c r="G158" s="4" t="s">
        <v>430</v>
      </c>
      <c r="H158" s="4" t="s">
        <v>431</v>
      </c>
      <c r="I158" s="4" t="s">
        <v>432</v>
      </c>
      <c r="J158" s="4" t="n">
        <v>2</v>
      </c>
      <c r="K158" s="4" t="s">
        <v>1171</v>
      </c>
      <c r="L158" s="4"/>
      <c r="M158" s="4" t="s">
        <v>1162</v>
      </c>
      <c r="N158" s="4"/>
      <c r="O158" s="4" t="s">
        <v>669</v>
      </c>
      <c r="P158" s="4"/>
      <c r="Q158" s="4" t="s">
        <v>670</v>
      </c>
      <c r="R158" s="4" t="s">
        <v>671</v>
      </c>
      <c r="S158" s="20" t="n">
        <v>200</v>
      </c>
      <c r="T158" s="4" t="s">
        <v>716</v>
      </c>
      <c r="U158" s="4" t="s">
        <v>707</v>
      </c>
      <c r="V158" s="4"/>
      <c r="W158" s="4" t="s">
        <v>1172</v>
      </c>
      <c r="X158" s="4" t="s">
        <v>675</v>
      </c>
      <c r="Y158" s="4"/>
      <c r="Z158" s="4"/>
      <c r="AA158" s="4"/>
      <c r="AB158" s="4"/>
      <c r="AC158" s="4"/>
      <c r="AD158" s="4"/>
      <c r="AE158" s="4" t="s">
        <v>1173</v>
      </c>
      <c r="AF158" s="21" t="n">
        <f aca="false">IF(T158="USD",1,IF(T158="pct","",INDEX(Parameters!$D$5:$D$7,MATCH(B158,Parameters!$A$5:$A$7,0))))</f>
        <v>1</v>
      </c>
      <c r="AG158" s="22" t="n">
        <f aca="false">IF(AND(R158="specific",ISNUMBER(S158)),S158/AF158,"")</f>
        <v>200</v>
      </c>
      <c r="AH158" s="23" t="n">
        <v>1</v>
      </c>
      <c r="AI158" s="22" t="n">
        <f aca="false">IF(NOT(ISNUMBER(AH158)),"",IF(R158="specific",IF(ISNUMBER(AG158),AG158*AH158,""),IF(AND(R158="ad_valorem",ISNUMBER(AJ158)),S158*AJ158/INDEX(Parameters!$D$5:$D$7,MATCH(B158,Parameters!$A$5:$A$7,0))*AH158,"")))</f>
        <v>200</v>
      </c>
      <c r="AJ158" s="4"/>
      <c r="AK158" s="4"/>
      <c r="AL158" s="24" t="str">
        <f aca="false">IF(NOT(ISNUMBER(AJ158)),"",IF(R158="specific",S158/AJ158,IF(R158="ad_valorem",S158,"")))</f>
        <v/>
      </c>
      <c r="AM158" s="4" t="s">
        <v>202</v>
      </c>
      <c r="AN158" s="4" t="s">
        <v>235</v>
      </c>
      <c r="AO158" s="25" t="n">
        <f aca="false">IF(AM158="","",IFERROR(INDEX(DQ_Scale!$B$5:$B$14,MATCH(AM158,DQ_Scale!$A$5:$A$14,0)),""))</f>
        <v>2</v>
      </c>
      <c r="AP158" s="4" t="s">
        <v>1165</v>
      </c>
    </row>
    <row r="159" customFormat="false" ht="23.85" hidden="false" customHeight="false" outlineLevel="0" collapsed="false">
      <c r="A159" s="4" t="s">
        <v>1174</v>
      </c>
      <c r="B159" s="4" t="s">
        <v>1127</v>
      </c>
      <c r="C159" s="4" t="s">
        <v>5</v>
      </c>
      <c r="D159" s="4" t="s">
        <v>81</v>
      </c>
      <c r="E159" s="4" t="s">
        <v>429</v>
      </c>
      <c r="F159" s="4" t="s">
        <v>366</v>
      </c>
      <c r="G159" s="4" t="s">
        <v>430</v>
      </c>
      <c r="H159" s="4" t="s">
        <v>431</v>
      </c>
      <c r="I159" s="4" t="s">
        <v>432</v>
      </c>
      <c r="J159" s="4" t="n">
        <v>2</v>
      </c>
      <c r="K159" s="4" t="s">
        <v>1175</v>
      </c>
      <c r="L159" s="4"/>
      <c r="M159" s="4" t="s">
        <v>1162</v>
      </c>
      <c r="N159" s="4"/>
      <c r="O159" s="4" t="s">
        <v>669</v>
      </c>
      <c r="P159" s="4"/>
      <c r="Q159" s="4" t="s">
        <v>670</v>
      </c>
      <c r="R159" s="4" t="s">
        <v>671</v>
      </c>
      <c r="S159" s="20" t="n">
        <v>500</v>
      </c>
      <c r="T159" s="4" t="s">
        <v>716</v>
      </c>
      <c r="U159" s="4" t="s">
        <v>707</v>
      </c>
      <c r="V159" s="4"/>
      <c r="W159" s="4" t="s">
        <v>1176</v>
      </c>
      <c r="X159" s="4" t="s">
        <v>675</v>
      </c>
      <c r="Y159" s="4"/>
      <c r="Z159" s="4"/>
      <c r="AA159" s="4"/>
      <c r="AB159" s="4"/>
      <c r="AC159" s="4"/>
      <c r="AD159" s="4"/>
      <c r="AE159" s="4" t="s">
        <v>1177</v>
      </c>
      <c r="AF159" s="21" t="n">
        <f aca="false">IF(T159="USD",1,IF(T159="pct","",INDEX(Parameters!$D$5:$D$7,MATCH(B159,Parameters!$A$5:$A$7,0))))</f>
        <v>1</v>
      </c>
      <c r="AG159" s="22" t="n">
        <f aca="false">IF(AND(R159="specific",ISNUMBER(S159)),S159/AF159,"")</f>
        <v>500</v>
      </c>
      <c r="AH159" s="23" t="n">
        <v>1</v>
      </c>
      <c r="AI159" s="22" t="n">
        <f aca="false">IF(NOT(ISNUMBER(AH159)),"",IF(R159="specific",IF(ISNUMBER(AG159),AG159*AH159,""),IF(AND(R159="ad_valorem",ISNUMBER(AJ159)),S159*AJ159/INDEX(Parameters!$D$5:$D$7,MATCH(B159,Parameters!$A$5:$A$7,0))*AH159,"")))</f>
        <v>500</v>
      </c>
      <c r="AJ159" s="4"/>
      <c r="AK159" s="4"/>
      <c r="AL159" s="24" t="str">
        <f aca="false">IF(NOT(ISNUMBER(AJ159)),"",IF(R159="specific",S159/AJ159,IF(R159="ad_valorem",S159,"")))</f>
        <v/>
      </c>
      <c r="AM159" s="4" t="s">
        <v>202</v>
      </c>
      <c r="AN159" s="4" t="s">
        <v>235</v>
      </c>
      <c r="AO159" s="25" t="n">
        <f aca="false">IF(AM159="","",IFERROR(INDEX(DQ_Scale!$B$5:$B$14,MATCH(AM159,DQ_Scale!$A$5:$A$14,0)),""))</f>
        <v>2</v>
      </c>
      <c r="AP159" s="4" t="s">
        <v>1165</v>
      </c>
    </row>
    <row r="160" customFormat="false" ht="23.85" hidden="false" customHeight="false" outlineLevel="0" collapsed="false">
      <c r="A160" s="4" t="s">
        <v>1178</v>
      </c>
      <c r="B160" s="4" t="s">
        <v>1127</v>
      </c>
      <c r="C160" s="4" t="s">
        <v>5</v>
      </c>
      <c r="D160" s="4" t="s">
        <v>81</v>
      </c>
      <c r="E160" s="4" t="s">
        <v>429</v>
      </c>
      <c r="F160" s="4" t="s">
        <v>366</v>
      </c>
      <c r="G160" s="4" t="s">
        <v>430</v>
      </c>
      <c r="H160" s="4" t="s">
        <v>431</v>
      </c>
      <c r="I160" s="4" t="s">
        <v>432</v>
      </c>
      <c r="J160" s="4" t="n">
        <v>2</v>
      </c>
      <c r="K160" s="4" t="s">
        <v>1179</v>
      </c>
      <c r="L160" s="4"/>
      <c r="M160" s="4" t="s">
        <v>1162</v>
      </c>
      <c r="N160" s="4"/>
      <c r="O160" s="4" t="s">
        <v>669</v>
      </c>
      <c r="P160" s="4"/>
      <c r="Q160" s="4" t="s">
        <v>670</v>
      </c>
      <c r="R160" s="4" t="s">
        <v>671</v>
      </c>
      <c r="S160" s="20" t="n">
        <v>50</v>
      </c>
      <c r="T160" s="4" t="s">
        <v>716</v>
      </c>
      <c r="U160" s="4" t="s">
        <v>707</v>
      </c>
      <c r="V160" s="4"/>
      <c r="W160" s="4" t="s">
        <v>1180</v>
      </c>
      <c r="X160" s="4" t="s">
        <v>675</v>
      </c>
      <c r="Y160" s="4"/>
      <c r="Z160" s="4"/>
      <c r="AA160" s="4"/>
      <c r="AB160" s="4"/>
      <c r="AC160" s="4"/>
      <c r="AD160" s="4"/>
      <c r="AE160" s="4" t="s">
        <v>1181</v>
      </c>
      <c r="AF160" s="21" t="n">
        <f aca="false">IF(T160="USD",1,IF(T160="pct","",INDEX(Parameters!$D$5:$D$7,MATCH(B160,Parameters!$A$5:$A$7,0))))</f>
        <v>1</v>
      </c>
      <c r="AG160" s="22" t="n">
        <f aca="false">IF(AND(R160="specific",ISNUMBER(S160)),S160/AF160,"")</f>
        <v>50</v>
      </c>
      <c r="AH160" s="23" t="n">
        <v>1</v>
      </c>
      <c r="AI160" s="22" t="n">
        <f aca="false">IF(NOT(ISNUMBER(AH160)),"",IF(R160="specific",IF(ISNUMBER(AG160),AG160*AH160,""),IF(AND(R160="ad_valorem",ISNUMBER(AJ160)),S160*AJ160/INDEX(Parameters!$D$5:$D$7,MATCH(B160,Parameters!$A$5:$A$7,0))*AH160,"")))</f>
        <v>50</v>
      </c>
      <c r="AJ160" s="4"/>
      <c r="AK160" s="4"/>
      <c r="AL160" s="24" t="str">
        <f aca="false">IF(NOT(ISNUMBER(AJ160)),"",IF(R160="specific",S160/AJ160,IF(R160="ad_valorem",S160,"")))</f>
        <v/>
      </c>
      <c r="AM160" s="4" t="s">
        <v>202</v>
      </c>
      <c r="AN160" s="4" t="s">
        <v>235</v>
      </c>
      <c r="AO160" s="25" t="n">
        <f aca="false">IF(AM160="","",IFERROR(INDEX(DQ_Scale!$B$5:$B$14,MATCH(AM160,DQ_Scale!$A$5:$A$14,0)),""))</f>
        <v>2</v>
      </c>
      <c r="AP160" s="4" t="s">
        <v>1182</v>
      </c>
    </row>
    <row r="161" customFormat="false" ht="35.05" hidden="false" customHeight="false" outlineLevel="0" collapsed="false">
      <c r="A161" s="4" t="s">
        <v>1183</v>
      </c>
      <c r="B161" s="4" t="s">
        <v>1127</v>
      </c>
      <c r="C161" s="4" t="s">
        <v>5</v>
      </c>
      <c r="D161" s="4" t="s">
        <v>81</v>
      </c>
      <c r="E161" s="4" t="s">
        <v>429</v>
      </c>
      <c r="F161" s="4" t="s">
        <v>366</v>
      </c>
      <c r="G161" s="4" t="s">
        <v>440</v>
      </c>
      <c r="H161" s="4" t="s">
        <v>441</v>
      </c>
      <c r="I161" s="4" t="s">
        <v>442</v>
      </c>
      <c r="J161" s="4" t="n">
        <v>1</v>
      </c>
      <c r="K161" s="4" t="s">
        <v>1184</v>
      </c>
      <c r="L161" s="4" t="s">
        <v>1185</v>
      </c>
      <c r="M161" s="4" t="s">
        <v>1186</v>
      </c>
      <c r="N161" s="4" t="s">
        <v>1187</v>
      </c>
      <c r="O161" s="4" t="s">
        <v>669</v>
      </c>
      <c r="P161" s="4"/>
      <c r="Q161" s="4" t="s">
        <v>670</v>
      </c>
      <c r="R161" s="4" t="s">
        <v>774</v>
      </c>
      <c r="S161" s="31" t="n">
        <v>0.1</v>
      </c>
      <c r="T161" s="4" t="s">
        <v>775</v>
      </c>
      <c r="U161" s="4" t="s">
        <v>776</v>
      </c>
      <c r="V161" s="4" t="s">
        <v>1188</v>
      </c>
      <c r="W161" s="4" t="s">
        <v>910</v>
      </c>
      <c r="X161" s="4" t="s">
        <v>675</v>
      </c>
      <c r="Y161" s="4"/>
      <c r="Z161" s="4"/>
      <c r="AA161" s="4"/>
      <c r="AB161" s="4"/>
      <c r="AC161" s="4"/>
      <c r="AD161" s="4"/>
      <c r="AE161" s="4" t="s">
        <v>1189</v>
      </c>
      <c r="AF161" s="21" t="str">
        <f aca="false">IF(T161="USD",1,IF(T161="pct","",INDEX(Parameters!$D$5:$D$7,MATCH(B161,Parameters!$A$5:$A$7,0))))</f>
        <v/>
      </c>
      <c r="AG161" s="22" t="str">
        <f aca="false">IF(AND(R161="specific",ISNUMBER(S161)),S161/AF161,"")</f>
        <v/>
      </c>
      <c r="AH161" s="4"/>
      <c r="AI161" s="22" t="str">
        <f aca="false">IF(NOT(ISNUMBER(AH161)),"",IF(R161="specific",IF(ISNUMBER(AG161),AG161*AH161,""),IF(AND(R161="ad_valorem",ISNUMBER(AJ161)),S161*AJ161/INDEX(Parameters!$D$5:$D$7,MATCH(B161,Parameters!$A$5:$A$7,0))*AH161,"")))</f>
        <v/>
      </c>
      <c r="AJ161" s="4"/>
      <c r="AK161" s="4"/>
      <c r="AL161" s="24" t="str">
        <f aca="false">IF(NOT(ISNUMBER(AJ161)),"",IF(R161="specific",S161/AJ161,IF(R161="ad_valorem",S161,"")))</f>
        <v/>
      </c>
      <c r="AM161" s="4" t="s">
        <v>79</v>
      </c>
      <c r="AN161" s="4" t="s">
        <v>426</v>
      </c>
      <c r="AO161" s="25" t="n">
        <f aca="false">IF(AM161="","",IFERROR(INDEX(DQ_Scale!$B$5:$B$14,MATCH(AM161,DQ_Scale!$A$5:$A$14,0)),""))</f>
        <v>5</v>
      </c>
      <c r="AP161" s="4" t="s">
        <v>1190</v>
      </c>
    </row>
    <row r="162" customFormat="false" ht="35.05" hidden="false" customHeight="false" outlineLevel="0" collapsed="false">
      <c r="A162" s="4" t="s">
        <v>1191</v>
      </c>
      <c r="B162" s="4" t="s">
        <v>1127</v>
      </c>
      <c r="C162" s="4" t="s">
        <v>5</v>
      </c>
      <c r="D162" s="4" t="s">
        <v>81</v>
      </c>
      <c r="E162" s="4" t="s">
        <v>429</v>
      </c>
      <c r="F162" s="4" t="s">
        <v>366</v>
      </c>
      <c r="G162" s="4" t="s">
        <v>440</v>
      </c>
      <c r="H162" s="4" t="s">
        <v>441</v>
      </c>
      <c r="I162" s="4" t="s">
        <v>442</v>
      </c>
      <c r="J162" s="4" t="n">
        <v>1</v>
      </c>
      <c r="K162" s="4" t="s">
        <v>1192</v>
      </c>
      <c r="L162" s="4" t="s">
        <v>1185</v>
      </c>
      <c r="M162" s="4" t="s">
        <v>1186</v>
      </c>
      <c r="N162" s="4" t="s">
        <v>1187</v>
      </c>
      <c r="O162" s="4" t="s">
        <v>669</v>
      </c>
      <c r="P162" s="4"/>
      <c r="Q162" s="4" t="s">
        <v>670</v>
      </c>
      <c r="R162" s="4" t="s">
        <v>774</v>
      </c>
      <c r="S162" s="31" t="n">
        <v>0.1</v>
      </c>
      <c r="T162" s="4" t="s">
        <v>775</v>
      </c>
      <c r="U162" s="4" t="s">
        <v>776</v>
      </c>
      <c r="V162" s="4" t="s">
        <v>1188</v>
      </c>
      <c r="W162" s="4" t="s">
        <v>910</v>
      </c>
      <c r="X162" s="4" t="s">
        <v>675</v>
      </c>
      <c r="Y162" s="4"/>
      <c r="Z162" s="4"/>
      <c r="AA162" s="4"/>
      <c r="AB162" s="4"/>
      <c r="AC162" s="4"/>
      <c r="AD162" s="4"/>
      <c r="AE162" s="4" t="s">
        <v>1193</v>
      </c>
      <c r="AF162" s="21" t="str">
        <f aca="false">IF(T162="USD",1,IF(T162="pct","",INDEX(Parameters!$D$5:$D$7,MATCH(B162,Parameters!$A$5:$A$7,0))))</f>
        <v/>
      </c>
      <c r="AG162" s="22" t="str">
        <f aca="false">IF(AND(R162="specific",ISNUMBER(S162)),S162/AF162,"")</f>
        <v/>
      </c>
      <c r="AH162" s="4"/>
      <c r="AI162" s="22" t="str">
        <f aca="false">IF(NOT(ISNUMBER(AH162)),"",IF(R162="specific",IF(ISNUMBER(AG162),AG162*AH162,""),IF(AND(R162="ad_valorem",ISNUMBER(AJ162)),S162*AJ162/INDEX(Parameters!$D$5:$D$7,MATCH(B162,Parameters!$A$5:$A$7,0))*AH162,"")))</f>
        <v/>
      </c>
      <c r="AJ162" s="4"/>
      <c r="AK162" s="4"/>
      <c r="AL162" s="24" t="str">
        <f aca="false">IF(NOT(ISNUMBER(AJ162)),"",IF(R162="specific",S162/AJ162,IF(R162="ad_valorem",S162,"")))</f>
        <v/>
      </c>
      <c r="AM162" s="4" t="s">
        <v>79</v>
      </c>
      <c r="AN162" s="4" t="s">
        <v>426</v>
      </c>
      <c r="AO162" s="25" t="n">
        <f aca="false">IF(AM162="","",IFERROR(INDEX(DQ_Scale!$B$5:$B$14,MATCH(AM162,DQ_Scale!$A$5:$A$14,0)),""))</f>
        <v>5</v>
      </c>
      <c r="AP162" s="4" t="s">
        <v>1190</v>
      </c>
    </row>
    <row r="163" customFormat="false" ht="23.85" hidden="false" customHeight="false" outlineLevel="0" collapsed="false">
      <c r="A163" s="4" t="s">
        <v>1194</v>
      </c>
      <c r="B163" s="4" t="s">
        <v>1127</v>
      </c>
      <c r="C163" s="4" t="s">
        <v>5</v>
      </c>
      <c r="D163" s="4" t="s">
        <v>81</v>
      </c>
      <c r="E163" s="4" t="s">
        <v>449</v>
      </c>
      <c r="F163" s="4" t="s">
        <v>450</v>
      </c>
      <c r="G163" s="4" t="s">
        <v>451</v>
      </c>
      <c r="H163" s="4" t="s">
        <v>452</v>
      </c>
      <c r="I163" s="4" t="s">
        <v>453</v>
      </c>
      <c r="J163" s="4" t="n">
        <v>1</v>
      </c>
      <c r="K163" s="4" t="s">
        <v>1195</v>
      </c>
      <c r="L163" s="4" t="s">
        <v>1196</v>
      </c>
      <c r="M163" s="4" t="s">
        <v>1197</v>
      </c>
      <c r="N163" s="4" t="s">
        <v>1198</v>
      </c>
      <c r="O163" s="4" t="s">
        <v>669</v>
      </c>
      <c r="P163" s="4"/>
      <c r="Q163" s="4" t="s">
        <v>670</v>
      </c>
      <c r="R163" s="4" t="s">
        <v>671</v>
      </c>
      <c r="S163" s="20" t="n">
        <v>0.5</v>
      </c>
      <c r="T163" s="4" t="s">
        <v>716</v>
      </c>
      <c r="U163" s="4" t="s">
        <v>727</v>
      </c>
      <c r="V163" s="4"/>
      <c r="W163" s="4" t="s">
        <v>458</v>
      </c>
      <c r="X163" s="4" t="s">
        <v>675</v>
      </c>
      <c r="Y163" s="4"/>
      <c r="Z163" s="4"/>
      <c r="AA163" s="4"/>
      <c r="AB163" s="4"/>
      <c r="AC163" s="4"/>
      <c r="AD163" s="4"/>
      <c r="AE163" s="4"/>
      <c r="AF163" s="21" t="n">
        <f aca="false">IF(T163="USD",1,IF(T163="pct","",INDEX(Parameters!$D$5:$D$7,MATCH(B163,Parameters!$A$5:$A$7,0))))</f>
        <v>1</v>
      </c>
      <c r="AG163" s="22" t="n">
        <f aca="false">IF(AND(R163="specific",ISNUMBER(S163)),S163/AF163,"")</f>
        <v>0.5</v>
      </c>
      <c r="AH163" s="23" t="n">
        <v>1</v>
      </c>
      <c r="AI163" s="22" t="n">
        <f aca="false">IF(NOT(ISNUMBER(AH163)),"",IF(R163="specific",IF(ISNUMBER(AG163),AG163*AH163,""),IF(AND(R163="ad_valorem",ISNUMBER(AJ163)),S163*AJ163/INDEX(Parameters!$D$5:$D$7,MATCH(B163,Parameters!$A$5:$A$7,0))*AH163,"")))</f>
        <v>0.5</v>
      </c>
      <c r="AJ163" s="23" t="n">
        <v>1.84</v>
      </c>
      <c r="AK163" s="4" t="s">
        <v>1199</v>
      </c>
      <c r="AL163" s="24" t="n">
        <f aca="false">IF(NOT(ISNUMBER(AJ163)),"",IF(R163="specific",S163/AJ163,IF(R163="ad_valorem",S163,"")))</f>
        <v>0.271739130434783</v>
      </c>
      <c r="AM163" s="4" t="s">
        <v>74</v>
      </c>
      <c r="AN163" s="4" t="s">
        <v>214</v>
      </c>
      <c r="AO163" s="25" t="n">
        <f aca="false">IF(AM163="","",IFERROR(INDEX(DQ_Scale!$B$5:$B$14,MATCH(AM163,DQ_Scale!$A$5:$A$14,0)),""))</f>
        <v>4</v>
      </c>
      <c r="AP163" s="4"/>
    </row>
    <row r="164" customFormat="false" ht="23.85" hidden="false" customHeight="false" outlineLevel="0" collapsed="false">
      <c r="A164" s="4" t="s">
        <v>1200</v>
      </c>
      <c r="B164" s="4" t="s">
        <v>1127</v>
      </c>
      <c r="C164" s="4" t="s">
        <v>5</v>
      </c>
      <c r="D164" s="4" t="s">
        <v>81</v>
      </c>
      <c r="E164" s="4" t="s">
        <v>449</v>
      </c>
      <c r="F164" s="4" t="s">
        <v>450</v>
      </c>
      <c r="G164" s="4" t="s">
        <v>461</v>
      </c>
      <c r="H164" s="4" t="s">
        <v>462</v>
      </c>
      <c r="I164" s="4" t="s">
        <v>463</v>
      </c>
      <c r="J164" s="4" t="n">
        <v>1</v>
      </c>
      <c r="K164" s="4" t="s">
        <v>731</v>
      </c>
      <c r="L164" s="4" t="s">
        <v>1196</v>
      </c>
      <c r="M164" s="4" t="s">
        <v>1197</v>
      </c>
      <c r="N164" s="4" t="s">
        <v>1198</v>
      </c>
      <c r="O164" s="4" t="s">
        <v>669</v>
      </c>
      <c r="P164" s="4"/>
      <c r="Q164" s="4" t="s">
        <v>670</v>
      </c>
      <c r="R164" s="4" t="s">
        <v>671</v>
      </c>
      <c r="S164" s="20" t="n">
        <v>0.5</v>
      </c>
      <c r="T164" s="4" t="s">
        <v>716</v>
      </c>
      <c r="U164" s="4" t="s">
        <v>727</v>
      </c>
      <c r="V164" s="4"/>
      <c r="W164" s="4" t="s">
        <v>458</v>
      </c>
      <c r="X164" s="4" t="s">
        <v>675</v>
      </c>
      <c r="Y164" s="4"/>
      <c r="Z164" s="4"/>
      <c r="AA164" s="4"/>
      <c r="AB164" s="4"/>
      <c r="AC164" s="4"/>
      <c r="AD164" s="4"/>
      <c r="AE164" s="4"/>
      <c r="AF164" s="21" t="n">
        <f aca="false">IF(T164="USD",1,IF(T164="pct","",INDEX(Parameters!$D$5:$D$7,MATCH(B164,Parameters!$A$5:$A$7,0))))</f>
        <v>1</v>
      </c>
      <c r="AG164" s="22" t="n">
        <f aca="false">IF(AND(R164="specific",ISNUMBER(S164)),S164/AF164,"")</f>
        <v>0.5</v>
      </c>
      <c r="AH164" s="23" t="n">
        <v>1</v>
      </c>
      <c r="AI164" s="22" t="n">
        <f aca="false">IF(NOT(ISNUMBER(AH164)),"",IF(R164="specific",IF(ISNUMBER(AG164),AG164*AH164,""),IF(AND(R164="ad_valorem",ISNUMBER(AJ164)),S164*AJ164/INDEX(Parameters!$D$5:$D$7,MATCH(B164,Parameters!$A$5:$A$7,0))*AH164,"")))</f>
        <v>0.5</v>
      </c>
      <c r="AJ164" s="4"/>
      <c r="AK164" s="4"/>
      <c r="AL164" s="24" t="str">
        <f aca="false">IF(NOT(ISNUMBER(AJ164)),"",IF(R164="specific",S164/AJ164,IF(R164="ad_valorem",S164,"")))</f>
        <v/>
      </c>
      <c r="AM164" s="4" t="s">
        <v>74</v>
      </c>
      <c r="AN164" s="4" t="s">
        <v>214</v>
      </c>
      <c r="AO164" s="25" t="n">
        <f aca="false">IF(AM164="","",IFERROR(INDEX(DQ_Scale!$B$5:$B$14,MATCH(AM164,DQ_Scale!$A$5:$A$14,0)),""))</f>
        <v>4</v>
      </c>
      <c r="AP164" s="4"/>
    </row>
    <row r="165" customFormat="false" ht="23.85" hidden="false" customHeight="false" outlineLevel="0" collapsed="false">
      <c r="A165" s="4" t="s">
        <v>1201</v>
      </c>
      <c r="B165" s="4" t="s">
        <v>1127</v>
      </c>
      <c r="C165" s="4" t="s">
        <v>5</v>
      </c>
      <c r="D165" s="4" t="s">
        <v>81</v>
      </c>
      <c r="E165" s="4" t="s">
        <v>449</v>
      </c>
      <c r="F165" s="4" t="s">
        <v>450</v>
      </c>
      <c r="G165" s="4" t="s">
        <v>461</v>
      </c>
      <c r="H165" s="4" t="s">
        <v>462</v>
      </c>
      <c r="I165" s="4" t="s">
        <v>463</v>
      </c>
      <c r="J165" s="4" t="n">
        <v>1</v>
      </c>
      <c r="K165" s="4" t="s">
        <v>1202</v>
      </c>
      <c r="L165" s="4" t="s">
        <v>1196</v>
      </c>
      <c r="M165" s="4" t="s">
        <v>1197</v>
      </c>
      <c r="N165" s="4" t="s">
        <v>1198</v>
      </c>
      <c r="O165" s="4" t="s">
        <v>669</v>
      </c>
      <c r="P165" s="4"/>
      <c r="Q165" s="4" t="s">
        <v>670</v>
      </c>
      <c r="R165" s="4" t="s">
        <v>671</v>
      </c>
      <c r="S165" s="20" t="n">
        <v>0.25</v>
      </c>
      <c r="T165" s="4" t="s">
        <v>716</v>
      </c>
      <c r="U165" s="4" t="s">
        <v>1203</v>
      </c>
      <c r="V165" s="4"/>
      <c r="W165" s="4" t="s">
        <v>1204</v>
      </c>
      <c r="X165" s="4" t="s">
        <v>675</v>
      </c>
      <c r="Y165" s="4"/>
      <c r="Z165" s="4"/>
      <c r="AA165" s="4"/>
      <c r="AB165" s="4"/>
      <c r="AC165" s="4"/>
      <c r="AD165" s="4"/>
      <c r="AE165" s="4"/>
      <c r="AF165" s="21" t="n">
        <f aca="false">IF(T165="USD",1,IF(T165="pct","",INDEX(Parameters!$D$5:$D$7,MATCH(B165,Parameters!$A$5:$A$7,0))))</f>
        <v>1</v>
      </c>
      <c r="AG165" s="22" t="n">
        <f aca="false">IF(AND(R165="specific",ISNUMBER(S165)),S165/AF165,"")</f>
        <v>0.25</v>
      </c>
      <c r="AH165" s="23" t="n">
        <v>20</v>
      </c>
      <c r="AI165" s="22" t="n">
        <f aca="false">IF(NOT(ISNUMBER(AH165)),"",IF(R165="specific",IF(ISNUMBER(AG165),AG165*AH165,""),IF(AND(R165="ad_valorem",ISNUMBER(AJ165)),S165*AJ165/INDEX(Parameters!$D$5:$D$7,MATCH(B165,Parameters!$A$5:$A$7,0))*AH165,"")))</f>
        <v>5</v>
      </c>
      <c r="AJ165" s="4"/>
      <c r="AK165" s="4"/>
      <c r="AL165" s="24" t="str">
        <f aca="false">IF(NOT(ISNUMBER(AJ165)),"",IF(R165="specific",S165/AJ165,IF(R165="ad_valorem",S165,"")))</f>
        <v/>
      </c>
      <c r="AM165" s="4" t="s">
        <v>74</v>
      </c>
      <c r="AN165" s="4" t="s">
        <v>214</v>
      </c>
      <c r="AO165" s="25" t="n">
        <f aca="false">IF(AM165="","",IFERROR(INDEX(DQ_Scale!$B$5:$B$14,MATCH(AM165,DQ_Scale!$A$5:$A$14,0)),""))</f>
        <v>4</v>
      </c>
      <c r="AP165" s="4" t="s">
        <v>1205</v>
      </c>
    </row>
    <row r="166" customFormat="false" ht="23.85" hidden="false" customHeight="false" outlineLevel="0" collapsed="false">
      <c r="A166" s="4" t="s">
        <v>1206</v>
      </c>
      <c r="B166" s="4" t="s">
        <v>1127</v>
      </c>
      <c r="C166" s="4" t="s">
        <v>5</v>
      </c>
      <c r="D166" s="4" t="s">
        <v>81</v>
      </c>
      <c r="E166" s="4" t="s">
        <v>449</v>
      </c>
      <c r="F166" s="4" t="s">
        <v>450</v>
      </c>
      <c r="G166" s="4" t="s">
        <v>461</v>
      </c>
      <c r="H166" s="4" t="s">
        <v>462</v>
      </c>
      <c r="I166" s="4" t="s">
        <v>463</v>
      </c>
      <c r="J166" s="4" t="n">
        <v>1</v>
      </c>
      <c r="K166" s="4" t="s">
        <v>1207</v>
      </c>
      <c r="L166" s="4" t="s">
        <v>1208</v>
      </c>
      <c r="M166" s="4" t="s">
        <v>1197</v>
      </c>
      <c r="N166" s="4" t="s">
        <v>1198</v>
      </c>
      <c r="O166" s="4" t="s">
        <v>669</v>
      </c>
      <c r="P166" s="4"/>
      <c r="Q166" s="4" t="s">
        <v>670</v>
      </c>
      <c r="R166" s="4" t="s">
        <v>671</v>
      </c>
      <c r="S166" s="20" t="n">
        <v>25</v>
      </c>
      <c r="T166" s="4" t="s">
        <v>716</v>
      </c>
      <c r="U166" s="4" t="s">
        <v>701</v>
      </c>
      <c r="V166" s="4"/>
      <c r="W166" s="4" t="s">
        <v>1209</v>
      </c>
      <c r="X166" s="4" t="s">
        <v>675</v>
      </c>
      <c r="Y166" s="4"/>
      <c r="Z166" s="4"/>
      <c r="AA166" s="4"/>
      <c r="AB166" s="4"/>
      <c r="AC166" s="4"/>
      <c r="AD166" s="4"/>
      <c r="AE166" s="4"/>
      <c r="AF166" s="21" t="n">
        <f aca="false">IF(T166="USD",1,IF(T166="pct","",INDEX(Parameters!$D$5:$D$7,MATCH(B166,Parameters!$A$5:$A$7,0))))</f>
        <v>1</v>
      </c>
      <c r="AG166" s="22" t="n">
        <f aca="false">IF(AND(R166="specific",ISNUMBER(S166)),S166/AF166,"")</f>
        <v>25</v>
      </c>
      <c r="AH166" s="23" t="n">
        <v>1</v>
      </c>
      <c r="AI166" s="22" t="n">
        <f aca="false">IF(NOT(ISNUMBER(AH166)),"",IF(R166="specific",IF(ISNUMBER(AG166),AG166*AH166,""),IF(AND(R166="ad_valorem",ISNUMBER(AJ166)),S166*AJ166/INDEX(Parameters!$D$5:$D$7,MATCH(B166,Parameters!$A$5:$A$7,0))*AH166,"")))</f>
        <v>25</v>
      </c>
      <c r="AJ166" s="4"/>
      <c r="AK166" s="4"/>
      <c r="AL166" s="24" t="str">
        <f aca="false">IF(NOT(ISNUMBER(AJ166)),"",IF(R166="specific",S166/AJ166,IF(R166="ad_valorem",S166,"")))</f>
        <v/>
      </c>
      <c r="AM166" s="4" t="s">
        <v>74</v>
      </c>
      <c r="AN166" s="4" t="s">
        <v>214</v>
      </c>
      <c r="AO166" s="25" t="n">
        <f aca="false">IF(AM166="","",IFERROR(INDEX(DQ_Scale!$B$5:$B$14,MATCH(AM166,DQ_Scale!$A$5:$A$14,0)),""))</f>
        <v>4</v>
      </c>
      <c r="AP166" s="4"/>
    </row>
    <row r="167" customFormat="false" ht="23.85" hidden="false" customHeight="false" outlineLevel="0" collapsed="false">
      <c r="A167" s="4" t="s">
        <v>1210</v>
      </c>
      <c r="B167" s="4" t="s">
        <v>1127</v>
      </c>
      <c r="C167" s="4" t="s">
        <v>5</v>
      </c>
      <c r="D167" s="4" t="s">
        <v>81</v>
      </c>
      <c r="E167" s="4" t="s">
        <v>449</v>
      </c>
      <c r="F167" s="4" t="s">
        <v>450</v>
      </c>
      <c r="G167" s="4" t="s">
        <v>461</v>
      </c>
      <c r="H167" s="4" t="s">
        <v>462</v>
      </c>
      <c r="I167" s="4" t="s">
        <v>463</v>
      </c>
      <c r="J167" s="4" t="n">
        <v>1</v>
      </c>
      <c r="K167" s="4" t="s">
        <v>1211</v>
      </c>
      <c r="L167" s="4" t="s">
        <v>1212</v>
      </c>
      <c r="M167" s="4" t="s">
        <v>1197</v>
      </c>
      <c r="N167" s="4" t="s">
        <v>1198</v>
      </c>
      <c r="O167" s="4" t="s">
        <v>669</v>
      </c>
      <c r="P167" s="4"/>
      <c r="Q167" s="4" t="s">
        <v>670</v>
      </c>
      <c r="R167" s="4" t="s">
        <v>671</v>
      </c>
      <c r="S167" s="20" t="n">
        <v>25</v>
      </c>
      <c r="T167" s="4" t="s">
        <v>716</v>
      </c>
      <c r="U167" s="4" t="s">
        <v>701</v>
      </c>
      <c r="V167" s="4"/>
      <c r="W167" s="4" t="s">
        <v>1209</v>
      </c>
      <c r="X167" s="4" t="s">
        <v>675</v>
      </c>
      <c r="Y167" s="4"/>
      <c r="Z167" s="4"/>
      <c r="AA167" s="4"/>
      <c r="AB167" s="4"/>
      <c r="AC167" s="4"/>
      <c r="AD167" s="4"/>
      <c r="AE167" s="4"/>
      <c r="AF167" s="21" t="n">
        <f aca="false">IF(T167="USD",1,IF(T167="pct","",INDEX(Parameters!$D$5:$D$7,MATCH(B167,Parameters!$A$5:$A$7,0))))</f>
        <v>1</v>
      </c>
      <c r="AG167" s="22" t="n">
        <f aca="false">IF(AND(R167="specific",ISNUMBER(S167)),S167/AF167,"")</f>
        <v>25</v>
      </c>
      <c r="AH167" s="23" t="n">
        <v>1</v>
      </c>
      <c r="AI167" s="22" t="n">
        <f aca="false">IF(NOT(ISNUMBER(AH167)),"",IF(R167="specific",IF(ISNUMBER(AG167),AG167*AH167,""),IF(AND(R167="ad_valorem",ISNUMBER(AJ167)),S167*AJ167/INDEX(Parameters!$D$5:$D$7,MATCH(B167,Parameters!$A$5:$A$7,0))*AH167,"")))</f>
        <v>25</v>
      </c>
      <c r="AJ167" s="4"/>
      <c r="AK167" s="4"/>
      <c r="AL167" s="24" t="str">
        <f aca="false">IF(NOT(ISNUMBER(AJ167)),"",IF(R167="specific",S167/AJ167,IF(R167="ad_valorem",S167,"")))</f>
        <v/>
      </c>
      <c r="AM167" s="4" t="s">
        <v>74</v>
      </c>
      <c r="AN167" s="4" t="s">
        <v>214</v>
      </c>
      <c r="AO167" s="25" t="n">
        <f aca="false">IF(AM167="","",IFERROR(INDEX(DQ_Scale!$B$5:$B$14,MATCH(AM167,DQ_Scale!$A$5:$A$14,0)),""))</f>
        <v>4</v>
      </c>
      <c r="AP167" s="4"/>
    </row>
    <row r="168" customFormat="false" ht="15" hidden="false" customHeight="false" outlineLevel="0" collapsed="false">
      <c r="A168" s="4" t="s">
        <v>1213</v>
      </c>
      <c r="B168" s="4" t="s">
        <v>1127</v>
      </c>
      <c r="C168" s="4" t="s">
        <v>5</v>
      </c>
      <c r="D168" s="4" t="s">
        <v>81</v>
      </c>
      <c r="E168" s="4" t="s">
        <v>449</v>
      </c>
      <c r="F168" s="4" t="s">
        <v>450</v>
      </c>
      <c r="G168" s="4" t="s">
        <v>461</v>
      </c>
      <c r="H168" s="4" t="s">
        <v>462</v>
      </c>
      <c r="I168" s="4" t="s">
        <v>463</v>
      </c>
      <c r="J168" s="4" t="n">
        <v>1</v>
      </c>
      <c r="K168" s="4" t="s">
        <v>1214</v>
      </c>
      <c r="L168" s="4" t="s">
        <v>1215</v>
      </c>
      <c r="M168" s="4" t="s">
        <v>1186</v>
      </c>
      <c r="N168" s="4" t="s">
        <v>1187</v>
      </c>
      <c r="O168" s="4" t="s">
        <v>669</v>
      </c>
      <c r="P168" s="4"/>
      <c r="Q168" s="4" t="s">
        <v>670</v>
      </c>
      <c r="R168" s="4" t="s">
        <v>774</v>
      </c>
      <c r="S168" s="31" t="n">
        <v>0.5</v>
      </c>
      <c r="T168" s="4" t="s">
        <v>775</v>
      </c>
      <c r="U168" s="4" t="s">
        <v>776</v>
      </c>
      <c r="V168" s="4" t="s">
        <v>1216</v>
      </c>
      <c r="W168" s="4" t="s">
        <v>1217</v>
      </c>
      <c r="X168" s="4" t="s">
        <v>675</v>
      </c>
      <c r="Y168" s="4"/>
      <c r="Z168" s="4"/>
      <c r="AA168" s="4"/>
      <c r="AB168" s="4"/>
      <c r="AC168" s="4"/>
      <c r="AD168" s="4"/>
      <c r="AE168" s="4"/>
      <c r="AF168" s="21" t="str">
        <f aca="false">IF(T168="USD",1,IF(T168="pct","",INDEX(Parameters!$D$5:$D$7,MATCH(B168,Parameters!$A$5:$A$7,0))))</f>
        <v/>
      </c>
      <c r="AG168" s="22" t="str">
        <f aca="false">IF(AND(R168="specific",ISNUMBER(S168)),S168/AF168,"")</f>
        <v/>
      </c>
      <c r="AH168" s="4"/>
      <c r="AI168" s="22" t="str">
        <f aca="false">IF(NOT(ISNUMBER(AH168)),"",IF(R168="specific",IF(ISNUMBER(AG168),AG168*AH168,""),IF(AND(R168="ad_valorem",ISNUMBER(AJ168)),S168*AJ168/INDEX(Parameters!$D$5:$D$7,MATCH(B168,Parameters!$A$5:$A$7,0))*AH168,"")))</f>
        <v/>
      </c>
      <c r="AJ168" s="4"/>
      <c r="AK168" s="4"/>
      <c r="AL168" s="24" t="str">
        <f aca="false">IF(NOT(ISNUMBER(AJ168)),"",IF(R168="specific",S168/AJ168,IF(R168="ad_valorem",S168,"")))</f>
        <v/>
      </c>
      <c r="AM168" s="4" t="s">
        <v>79</v>
      </c>
      <c r="AN168" s="4" t="s">
        <v>1218</v>
      </c>
      <c r="AO168" s="25" t="n">
        <f aca="false">IF(AM168="","",IFERROR(INDEX(DQ_Scale!$B$5:$B$14,MATCH(AM168,DQ_Scale!$A$5:$A$14,0)),""))</f>
        <v>5</v>
      </c>
      <c r="AP168" s="4"/>
    </row>
    <row r="169" customFormat="false" ht="23.85" hidden="false" customHeight="false" outlineLevel="0" collapsed="false">
      <c r="A169" s="4" t="s">
        <v>1219</v>
      </c>
      <c r="B169" s="4" t="s">
        <v>1127</v>
      </c>
      <c r="C169" s="4" t="s">
        <v>5</v>
      </c>
      <c r="D169" s="4" t="s">
        <v>81</v>
      </c>
      <c r="E169" s="4" t="s">
        <v>449</v>
      </c>
      <c r="F169" s="4" t="s">
        <v>450</v>
      </c>
      <c r="G169" s="4" t="s">
        <v>470</v>
      </c>
      <c r="H169" s="4" t="s">
        <v>471</v>
      </c>
      <c r="I169" s="4" t="s">
        <v>472</v>
      </c>
      <c r="J169" s="4" t="n">
        <v>1</v>
      </c>
      <c r="K169" s="4" t="s">
        <v>1220</v>
      </c>
      <c r="L169" s="4" t="s">
        <v>1221</v>
      </c>
      <c r="M169" s="4" t="s">
        <v>1197</v>
      </c>
      <c r="N169" s="4" t="s">
        <v>1198</v>
      </c>
      <c r="O169" s="4" t="s">
        <v>669</v>
      </c>
      <c r="P169" s="4"/>
      <c r="Q169" s="4" t="s">
        <v>670</v>
      </c>
      <c r="R169" s="4" t="s">
        <v>671</v>
      </c>
      <c r="S169" s="20" t="n">
        <v>0.1</v>
      </c>
      <c r="T169" s="4" t="s">
        <v>716</v>
      </c>
      <c r="U169" s="4" t="s">
        <v>751</v>
      </c>
      <c r="V169" s="4"/>
      <c r="W169" s="4" t="s">
        <v>1222</v>
      </c>
      <c r="X169" s="4" t="s">
        <v>675</v>
      </c>
      <c r="Y169" s="4"/>
      <c r="Z169" s="4"/>
      <c r="AA169" s="4"/>
      <c r="AB169" s="4"/>
      <c r="AC169" s="4"/>
      <c r="AD169" s="4"/>
      <c r="AE169" s="4"/>
      <c r="AF169" s="21" t="n">
        <f aca="false">IF(T169="USD",1,IF(T169="pct","",INDEX(Parameters!$D$5:$D$7,MATCH(B169,Parameters!$A$5:$A$7,0))))</f>
        <v>1</v>
      </c>
      <c r="AG169" s="22" t="n">
        <f aca="false">IF(AND(R169="specific",ISNUMBER(S169)),S169/AF169,"")</f>
        <v>0.1</v>
      </c>
      <c r="AH169" s="23" t="n">
        <v>1</v>
      </c>
      <c r="AI169" s="22" t="n">
        <f aca="false">IF(NOT(ISNUMBER(AH169)),"",IF(R169="specific",IF(ISNUMBER(AG169),AG169*AH169,""),IF(AND(R169="ad_valorem",ISNUMBER(AJ169)),S169*AJ169/INDEX(Parameters!$D$5:$D$7,MATCH(B169,Parameters!$A$5:$A$7,0))*AH169,"")))</f>
        <v>0.1</v>
      </c>
      <c r="AJ169" s="4"/>
      <c r="AK169" s="4"/>
      <c r="AL169" s="24" t="str">
        <f aca="false">IF(NOT(ISNUMBER(AJ169)),"",IF(R169="specific",S169/AJ169,IF(R169="ad_valorem",S169,"")))</f>
        <v/>
      </c>
      <c r="AM169" s="4" t="s">
        <v>74</v>
      </c>
      <c r="AN169" s="4" t="s">
        <v>214</v>
      </c>
      <c r="AO169" s="25" t="n">
        <f aca="false">IF(AM169="","",IFERROR(INDEX(DQ_Scale!$B$5:$B$14,MATCH(AM169,DQ_Scale!$A$5:$A$14,0)),""))</f>
        <v>4</v>
      </c>
      <c r="AP169" s="4"/>
    </row>
    <row r="170" customFormat="false" ht="23.85" hidden="false" customHeight="false" outlineLevel="0" collapsed="false">
      <c r="A170" s="4" t="s">
        <v>1223</v>
      </c>
      <c r="B170" s="4" t="s">
        <v>1127</v>
      </c>
      <c r="C170" s="4" t="s">
        <v>5</v>
      </c>
      <c r="D170" s="4" t="s">
        <v>81</v>
      </c>
      <c r="E170" s="4" t="s">
        <v>449</v>
      </c>
      <c r="F170" s="4" t="s">
        <v>450</v>
      </c>
      <c r="G170" s="4" t="s">
        <v>470</v>
      </c>
      <c r="H170" s="4" t="s">
        <v>471</v>
      </c>
      <c r="I170" s="4" t="s">
        <v>472</v>
      </c>
      <c r="J170" s="4" t="n">
        <v>1</v>
      </c>
      <c r="K170" s="4" t="s">
        <v>1224</v>
      </c>
      <c r="L170" s="4" t="s">
        <v>1225</v>
      </c>
      <c r="M170" s="4" t="s">
        <v>1197</v>
      </c>
      <c r="N170" s="4" t="s">
        <v>1198</v>
      </c>
      <c r="O170" s="4" t="s">
        <v>669</v>
      </c>
      <c r="P170" s="4"/>
      <c r="Q170" s="4" t="s">
        <v>670</v>
      </c>
      <c r="R170" s="4" t="s">
        <v>671</v>
      </c>
      <c r="S170" s="20" t="n">
        <v>15</v>
      </c>
      <c r="T170" s="4" t="s">
        <v>716</v>
      </c>
      <c r="U170" s="4" t="s">
        <v>701</v>
      </c>
      <c r="V170" s="4"/>
      <c r="W170" s="4" t="s">
        <v>1226</v>
      </c>
      <c r="X170" s="4" t="s">
        <v>675</v>
      </c>
      <c r="Y170" s="4"/>
      <c r="Z170" s="4"/>
      <c r="AA170" s="4"/>
      <c r="AB170" s="4"/>
      <c r="AC170" s="4"/>
      <c r="AD170" s="4"/>
      <c r="AE170" s="4"/>
      <c r="AF170" s="21" t="n">
        <f aca="false">IF(T170="USD",1,IF(T170="pct","",INDEX(Parameters!$D$5:$D$7,MATCH(B170,Parameters!$A$5:$A$7,0))))</f>
        <v>1</v>
      </c>
      <c r="AG170" s="22" t="n">
        <f aca="false">IF(AND(R170="specific",ISNUMBER(S170)),S170/AF170,"")</f>
        <v>15</v>
      </c>
      <c r="AH170" s="4"/>
      <c r="AI170" s="22" t="str">
        <f aca="false">IF(NOT(ISNUMBER(AH170)),"",IF(R170="specific",IF(ISNUMBER(AG170),AG170*AH170,""),IF(AND(R170="ad_valorem",ISNUMBER(AJ170)),S170*AJ170/INDEX(Parameters!$D$5:$D$7,MATCH(B170,Parameters!$A$5:$A$7,0))*AH170,"")))</f>
        <v/>
      </c>
      <c r="AJ170" s="4"/>
      <c r="AK170" s="4"/>
      <c r="AL170" s="24" t="str">
        <f aca="false">IF(NOT(ISNUMBER(AJ170)),"",IF(R170="specific",S170/AJ170,IF(R170="ad_valorem",S170,"")))</f>
        <v/>
      </c>
      <c r="AM170" s="4" t="s">
        <v>74</v>
      </c>
      <c r="AN170" s="4" t="s">
        <v>214</v>
      </c>
      <c r="AO170" s="25" t="n">
        <f aca="false">IF(AM170="","",IFERROR(INDEX(DQ_Scale!$B$5:$B$14,MATCH(AM170,DQ_Scale!$A$5:$A$14,0)),""))</f>
        <v>4</v>
      </c>
      <c r="AP170" s="4" t="s">
        <v>1227</v>
      </c>
    </row>
    <row r="171" customFormat="false" ht="23.85" hidden="false" customHeight="false" outlineLevel="0" collapsed="false">
      <c r="A171" s="4" t="s">
        <v>1228</v>
      </c>
      <c r="B171" s="4" t="s">
        <v>1127</v>
      </c>
      <c r="C171" s="4" t="s">
        <v>5</v>
      </c>
      <c r="D171" s="4" t="s">
        <v>81</v>
      </c>
      <c r="E171" s="4" t="s">
        <v>449</v>
      </c>
      <c r="F171" s="4" t="s">
        <v>450</v>
      </c>
      <c r="G171" s="4" t="s">
        <v>478</v>
      </c>
      <c r="H171" s="4" t="s">
        <v>479</v>
      </c>
      <c r="I171" s="4" t="s">
        <v>480</v>
      </c>
      <c r="J171" s="4" t="n">
        <v>1</v>
      </c>
      <c r="K171" s="4" t="s">
        <v>1229</v>
      </c>
      <c r="L171" s="4" t="s">
        <v>759</v>
      </c>
      <c r="M171" s="4" t="s">
        <v>1197</v>
      </c>
      <c r="N171" s="4" t="s">
        <v>1198</v>
      </c>
      <c r="O171" s="4" t="s">
        <v>669</v>
      </c>
      <c r="P171" s="4"/>
      <c r="Q171" s="4" t="s">
        <v>670</v>
      </c>
      <c r="R171" s="4" t="s">
        <v>671</v>
      </c>
      <c r="S171" s="20" t="n">
        <v>1</v>
      </c>
      <c r="T171" s="4" t="s">
        <v>716</v>
      </c>
      <c r="U171" s="4" t="s">
        <v>673</v>
      </c>
      <c r="V171" s="4"/>
      <c r="W171" s="4" t="s">
        <v>488</v>
      </c>
      <c r="X171" s="4" t="s">
        <v>675</v>
      </c>
      <c r="Y171" s="4"/>
      <c r="Z171" s="4"/>
      <c r="AA171" s="4"/>
      <c r="AB171" s="4"/>
      <c r="AC171" s="4"/>
      <c r="AD171" s="4"/>
      <c r="AE171" s="4"/>
      <c r="AF171" s="21" t="n">
        <f aca="false">IF(T171="USD",1,IF(T171="pct","",INDEX(Parameters!$D$5:$D$7,MATCH(B171,Parameters!$A$5:$A$7,0))))</f>
        <v>1</v>
      </c>
      <c r="AG171" s="22" t="n">
        <f aca="false">IF(AND(R171="specific",ISNUMBER(S171)),S171/AF171,"")</f>
        <v>1</v>
      </c>
      <c r="AH171" s="23" t="n">
        <v>20</v>
      </c>
      <c r="AI171" s="22" t="n">
        <f aca="false">IF(NOT(ISNUMBER(AH171)),"",IF(R171="specific",IF(ISNUMBER(AG171),AG171*AH171,""),IF(AND(R171="ad_valorem",ISNUMBER(AJ171)),S171*AJ171/INDEX(Parameters!$D$5:$D$7,MATCH(B171,Parameters!$A$5:$A$7,0))*AH171,"")))</f>
        <v>20</v>
      </c>
      <c r="AJ171" s="23" t="n">
        <v>2.72727272727273</v>
      </c>
      <c r="AK171" s="4" t="s">
        <v>1230</v>
      </c>
      <c r="AL171" s="24" t="n">
        <f aca="false">IF(NOT(ISNUMBER(AJ171)),"",IF(R171="specific",S171/AJ171,IF(R171="ad_valorem",S171,"")))</f>
        <v>0.366666666666667</v>
      </c>
      <c r="AM171" s="4" t="s">
        <v>74</v>
      </c>
      <c r="AN171" s="4" t="s">
        <v>69</v>
      </c>
      <c r="AO171" s="25" t="n">
        <f aca="false">IF(AM171="","",IFERROR(INDEX(DQ_Scale!$B$5:$B$14,MATCH(AM171,DQ_Scale!$A$5:$A$14,0)),""))</f>
        <v>4</v>
      </c>
      <c r="AP171" s="4"/>
    </row>
    <row r="172" customFormat="false" ht="23.85" hidden="false" customHeight="false" outlineLevel="0" collapsed="false">
      <c r="A172" s="4" t="s">
        <v>1231</v>
      </c>
      <c r="B172" s="4" t="s">
        <v>1127</v>
      </c>
      <c r="C172" s="4" t="s">
        <v>5</v>
      </c>
      <c r="D172" s="4" t="s">
        <v>81</v>
      </c>
      <c r="E172" s="4" t="s">
        <v>449</v>
      </c>
      <c r="F172" s="4" t="s">
        <v>450</v>
      </c>
      <c r="G172" s="4" t="s">
        <v>491</v>
      </c>
      <c r="H172" s="4" t="s">
        <v>492</v>
      </c>
      <c r="I172" s="4" t="s">
        <v>480</v>
      </c>
      <c r="J172" s="4" t="n">
        <v>1</v>
      </c>
      <c r="K172" s="4" t="s">
        <v>1232</v>
      </c>
      <c r="L172" s="4" t="s">
        <v>759</v>
      </c>
      <c r="M172" s="4" t="s">
        <v>1197</v>
      </c>
      <c r="N172" s="4" t="s">
        <v>1198</v>
      </c>
      <c r="O172" s="4" t="s">
        <v>669</v>
      </c>
      <c r="P172" s="4"/>
      <c r="Q172" s="4" t="s">
        <v>670</v>
      </c>
      <c r="R172" s="4" t="s">
        <v>671</v>
      </c>
      <c r="S172" s="20" t="n">
        <v>1</v>
      </c>
      <c r="T172" s="4" t="s">
        <v>716</v>
      </c>
      <c r="U172" s="4" t="s">
        <v>673</v>
      </c>
      <c r="V172" s="4"/>
      <c r="W172" s="4" t="s">
        <v>488</v>
      </c>
      <c r="X172" s="4" t="s">
        <v>762</v>
      </c>
      <c r="Y172" s="4"/>
      <c r="Z172" s="4"/>
      <c r="AA172" s="4"/>
      <c r="AB172" s="4"/>
      <c r="AC172" s="4"/>
      <c r="AD172" s="4"/>
      <c r="AE172" s="4"/>
      <c r="AF172" s="21" t="n">
        <f aca="false">IF(T172="USD",1,IF(T172="pct","",INDEX(Parameters!$D$5:$D$7,MATCH(B172,Parameters!$A$5:$A$7,0))))</f>
        <v>1</v>
      </c>
      <c r="AG172" s="22" t="n">
        <f aca="false">IF(AND(R172="specific",ISNUMBER(S172)),S172/AF172,"")</f>
        <v>1</v>
      </c>
      <c r="AH172" s="23" t="n">
        <v>20</v>
      </c>
      <c r="AI172" s="22" t="n">
        <f aca="false">IF(NOT(ISNUMBER(AH172)),"",IF(R172="specific",IF(ISNUMBER(AG172),AG172*AH172,""),IF(AND(R172="ad_valorem",ISNUMBER(AJ172)),S172*AJ172/INDEX(Parameters!$D$5:$D$7,MATCH(B172,Parameters!$A$5:$A$7,0))*AH172,"")))</f>
        <v>20</v>
      </c>
      <c r="AJ172" s="4"/>
      <c r="AK172" s="4"/>
      <c r="AL172" s="24" t="str">
        <f aca="false">IF(NOT(ISNUMBER(AJ172)),"",IF(R172="specific",S172/AJ172,IF(R172="ad_valorem",S172,"")))</f>
        <v/>
      </c>
      <c r="AM172" s="4" t="s">
        <v>74</v>
      </c>
      <c r="AN172" s="4" t="s">
        <v>69</v>
      </c>
      <c r="AO172" s="25" t="n">
        <f aca="false">IF(AM172="","",IFERROR(INDEX(DQ_Scale!$B$5:$B$14,MATCH(AM172,DQ_Scale!$A$5:$A$14,0)),""))</f>
        <v>4</v>
      </c>
      <c r="AP172" s="4" t="s">
        <v>1233</v>
      </c>
    </row>
    <row r="173" customFormat="false" ht="23.85" hidden="false" customHeight="false" outlineLevel="0" collapsed="false">
      <c r="A173" s="4" t="s">
        <v>1234</v>
      </c>
      <c r="B173" s="4" t="s">
        <v>1127</v>
      </c>
      <c r="C173" s="4" t="s">
        <v>5</v>
      </c>
      <c r="D173" s="4" t="s">
        <v>81</v>
      </c>
      <c r="E173" s="4" t="s">
        <v>449</v>
      </c>
      <c r="F173" s="4" t="s">
        <v>450</v>
      </c>
      <c r="G173" s="4" t="s">
        <v>501</v>
      </c>
      <c r="H173" s="4" t="s">
        <v>502</v>
      </c>
      <c r="I173" s="4" t="s">
        <v>480</v>
      </c>
      <c r="J173" s="4" t="n">
        <v>1</v>
      </c>
      <c r="K173" s="4" t="s">
        <v>1235</v>
      </c>
      <c r="L173" s="4" t="s">
        <v>804</v>
      </c>
      <c r="M173" s="4" t="s">
        <v>1197</v>
      </c>
      <c r="N173" s="4" t="s">
        <v>1198</v>
      </c>
      <c r="O173" s="4" t="s">
        <v>669</v>
      </c>
      <c r="P173" s="4"/>
      <c r="Q173" s="4" t="s">
        <v>670</v>
      </c>
      <c r="R173" s="4" t="s">
        <v>671</v>
      </c>
      <c r="S173" s="20" t="n">
        <v>1</v>
      </c>
      <c r="T173" s="4" t="s">
        <v>716</v>
      </c>
      <c r="U173" s="4" t="s">
        <v>673</v>
      </c>
      <c r="V173" s="4"/>
      <c r="W173" s="4" t="s">
        <v>488</v>
      </c>
      <c r="X173" s="4" t="s">
        <v>675</v>
      </c>
      <c r="Y173" s="4"/>
      <c r="Z173" s="4"/>
      <c r="AA173" s="4"/>
      <c r="AB173" s="4"/>
      <c r="AC173" s="4"/>
      <c r="AD173" s="4"/>
      <c r="AE173" s="4"/>
      <c r="AF173" s="21" t="n">
        <f aca="false">IF(T173="USD",1,IF(T173="pct","",INDEX(Parameters!$D$5:$D$7,MATCH(B173,Parameters!$A$5:$A$7,0))))</f>
        <v>1</v>
      </c>
      <c r="AG173" s="22" t="n">
        <f aca="false">IF(AND(R173="specific",ISNUMBER(S173)),S173/AF173,"")</f>
        <v>1</v>
      </c>
      <c r="AH173" s="23" t="n">
        <v>25</v>
      </c>
      <c r="AI173" s="22" t="n">
        <f aca="false">IF(NOT(ISNUMBER(AH173)),"",IF(R173="specific",IF(ISNUMBER(AG173),AG173*AH173,""),IF(AND(R173="ad_valorem",ISNUMBER(AJ173)),S173*AJ173/INDEX(Parameters!$D$5:$D$7,MATCH(B173,Parameters!$A$5:$A$7,0))*AH173,"")))</f>
        <v>25</v>
      </c>
      <c r="AJ173" s="4"/>
      <c r="AK173" s="4"/>
      <c r="AL173" s="24" t="str">
        <f aca="false">IF(NOT(ISNUMBER(AJ173)),"",IF(R173="specific",S173/AJ173,IF(R173="ad_valorem",S173,"")))</f>
        <v/>
      </c>
      <c r="AM173" s="4" t="s">
        <v>74</v>
      </c>
      <c r="AN173" s="4" t="s">
        <v>69</v>
      </c>
      <c r="AO173" s="25" t="n">
        <f aca="false">IF(AM173="","",IFERROR(INDEX(DQ_Scale!$B$5:$B$14,MATCH(AM173,DQ_Scale!$A$5:$A$14,0)),""))</f>
        <v>4</v>
      </c>
      <c r="AP173" s="4" t="s">
        <v>1236</v>
      </c>
    </row>
    <row r="174" customFormat="false" ht="23.85" hidden="false" customHeight="false" outlineLevel="0" collapsed="false">
      <c r="A174" s="4" t="s">
        <v>1237</v>
      </c>
      <c r="B174" s="4" t="s">
        <v>1127</v>
      </c>
      <c r="C174" s="4" t="s">
        <v>5</v>
      </c>
      <c r="D174" s="4" t="s">
        <v>81</v>
      </c>
      <c r="E174" s="4" t="s">
        <v>449</v>
      </c>
      <c r="F174" s="4" t="s">
        <v>450</v>
      </c>
      <c r="G174" s="4" t="s">
        <v>509</v>
      </c>
      <c r="H174" s="4" t="s">
        <v>510</v>
      </c>
      <c r="I174" s="4" t="s">
        <v>480</v>
      </c>
      <c r="J174" s="4" t="n">
        <v>1</v>
      </c>
      <c r="K174" s="4" t="s">
        <v>1238</v>
      </c>
      <c r="L174" s="4" t="s">
        <v>1239</v>
      </c>
      <c r="M174" s="4" t="s">
        <v>1197</v>
      </c>
      <c r="N174" s="4" t="s">
        <v>1198</v>
      </c>
      <c r="O174" s="4" t="s">
        <v>669</v>
      </c>
      <c r="P174" s="4"/>
      <c r="Q174" s="4" t="s">
        <v>670</v>
      </c>
      <c r="R174" s="4" t="s">
        <v>671</v>
      </c>
      <c r="S174" s="20" t="n">
        <v>1</v>
      </c>
      <c r="T174" s="4" t="s">
        <v>716</v>
      </c>
      <c r="U174" s="4" t="s">
        <v>673</v>
      </c>
      <c r="V174" s="4"/>
      <c r="W174" s="4" t="s">
        <v>488</v>
      </c>
      <c r="X174" s="4" t="s">
        <v>675</v>
      </c>
      <c r="Y174" s="4"/>
      <c r="Z174" s="4"/>
      <c r="AA174" s="4"/>
      <c r="AB174" s="4"/>
      <c r="AC174" s="4"/>
      <c r="AD174" s="4"/>
      <c r="AE174" s="4"/>
      <c r="AF174" s="21" t="n">
        <f aca="false">IF(T174="USD",1,IF(T174="pct","",INDEX(Parameters!$D$5:$D$7,MATCH(B174,Parameters!$A$5:$A$7,0))))</f>
        <v>1</v>
      </c>
      <c r="AG174" s="22" t="n">
        <f aca="false">IF(AND(R174="specific",ISNUMBER(S174)),S174/AF174,"")</f>
        <v>1</v>
      </c>
      <c r="AH174" s="23" t="n">
        <v>8.33333333333333</v>
      </c>
      <c r="AI174" s="22" t="n">
        <f aca="false">IF(NOT(ISNUMBER(AH174)),"",IF(R174="specific",IF(ISNUMBER(AG174),AG174*AH174,""),IF(AND(R174="ad_valorem",ISNUMBER(AJ174)),S174*AJ174/INDEX(Parameters!$D$5:$D$7,MATCH(B174,Parameters!$A$5:$A$7,0))*AH174,"")))</f>
        <v>8.33333333333333</v>
      </c>
      <c r="AJ174" s="4"/>
      <c r="AK174" s="4"/>
      <c r="AL174" s="24" t="str">
        <f aca="false">IF(NOT(ISNUMBER(AJ174)),"",IF(R174="specific",S174/AJ174,IF(R174="ad_valorem",S174,"")))</f>
        <v/>
      </c>
      <c r="AM174" s="4" t="s">
        <v>74</v>
      </c>
      <c r="AN174" s="4" t="s">
        <v>69</v>
      </c>
      <c r="AO174" s="25" t="n">
        <f aca="false">IF(AM174="","",IFERROR(INDEX(DQ_Scale!$B$5:$B$14,MATCH(AM174,DQ_Scale!$A$5:$A$14,0)),""))</f>
        <v>4</v>
      </c>
      <c r="AP174" s="4"/>
    </row>
    <row r="175" customFormat="false" ht="23.85" hidden="false" customHeight="false" outlineLevel="0" collapsed="false">
      <c r="A175" s="4" t="s">
        <v>1240</v>
      </c>
      <c r="B175" s="4" t="s">
        <v>1127</v>
      </c>
      <c r="C175" s="4" t="s">
        <v>5</v>
      </c>
      <c r="D175" s="4" t="s">
        <v>81</v>
      </c>
      <c r="E175" s="4" t="s">
        <v>449</v>
      </c>
      <c r="F175" s="4" t="s">
        <v>450</v>
      </c>
      <c r="G175" s="4" t="s">
        <v>509</v>
      </c>
      <c r="H175" s="4" t="s">
        <v>510</v>
      </c>
      <c r="I175" s="4" t="s">
        <v>480</v>
      </c>
      <c r="J175" s="4" t="n">
        <v>1</v>
      </c>
      <c r="K175" s="4" t="s">
        <v>1241</v>
      </c>
      <c r="L175" s="4" t="s">
        <v>1242</v>
      </c>
      <c r="M175" s="4" t="s">
        <v>1197</v>
      </c>
      <c r="N175" s="4" t="s">
        <v>1198</v>
      </c>
      <c r="O175" s="4" t="s">
        <v>669</v>
      </c>
      <c r="P175" s="4"/>
      <c r="Q175" s="4" t="s">
        <v>670</v>
      </c>
      <c r="R175" s="4" t="s">
        <v>671</v>
      </c>
      <c r="S175" s="20" t="n">
        <v>1</v>
      </c>
      <c r="T175" s="4" t="s">
        <v>716</v>
      </c>
      <c r="U175" s="4" t="s">
        <v>673</v>
      </c>
      <c r="V175" s="4"/>
      <c r="W175" s="4" t="s">
        <v>488</v>
      </c>
      <c r="X175" s="4" t="s">
        <v>675</v>
      </c>
      <c r="Y175" s="4"/>
      <c r="Z175" s="4"/>
      <c r="AA175" s="4"/>
      <c r="AB175" s="4"/>
      <c r="AC175" s="4"/>
      <c r="AD175" s="4"/>
      <c r="AE175" s="4"/>
      <c r="AF175" s="21" t="n">
        <f aca="false">IF(T175="USD",1,IF(T175="pct","",INDEX(Parameters!$D$5:$D$7,MATCH(B175,Parameters!$A$5:$A$7,0))))</f>
        <v>1</v>
      </c>
      <c r="AG175" s="22" t="n">
        <f aca="false">IF(AND(R175="specific",ISNUMBER(S175)),S175/AF175,"")</f>
        <v>1</v>
      </c>
      <c r="AH175" s="23" t="n">
        <v>8.33333333333333</v>
      </c>
      <c r="AI175" s="22" t="n">
        <f aca="false">IF(NOT(ISNUMBER(AH175)),"",IF(R175="specific",IF(ISNUMBER(AG175),AG175*AH175,""),IF(AND(R175="ad_valorem",ISNUMBER(AJ175)),S175*AJ175/INDEX(Parameters!$D$5:$D$7,MATCH(B175,Parameters!$A$5:$A$7,0))*AH175,"")))</f>
        <v>8.33333333333333</v>
      </c>
      <c r="AJ175" s="4"/>
      <c r="AK175" s="4"/>
      <c r="AL175" s="24" t="str">
        <f aca="false">IF(NOT(ISNUMBER(AJ175)),"",IF(R175="specific",S175/AJ175,IF(R175="ad_valorem",S175,"")))</f>
        <v/>
      </c>
      <c r="AM175" s="4" t="s">
        <v>74</v>
      </c>
      <c r="AN175" s="4" t="s">
        <v>69</v>
      </c>
      <c r="AO175" s="25" t="n">
        <f aca="false">IF(AM175="","",IFERROR(INDEX(DQ_Scale!$B$5:$B$14,MATCH(AM175,DQ_Scale!$A$5:$A$14,0)),""))</f>
        <v>4</v>
      </c>
      <c r="AP175" s="4"/>
    </row>
    <row r="176" customFormat="false" ht="23.85" hidden="false" customHeight="false" outlineLevel="0" collapsed="false">
      <c r="A176" s="4" t="s">
        <v>1243</v>
      </c>
      <c r="B176" s="4" t="s">
        <v>1127</v>
      </c>
      <c r="C176" s="4" t="s">
        <v>5</v>
      </c>
      <c r="D176" s="4" t="s">
        <v>81</v>
      </c>
      <c r="E176" s="4" t="s">
        <v>449</v>
      </c>
      <c r="F176" s="4" t="s">
        <v>450</v>
      </c>
      <c r="G176" s="4" t="s">
        <v>516</v>
      </c>
      <c r="H176" s="4" t="s">
        <v>517</v>
      </c>
      <c r="I176" s="4" t="s">
        <v>480</v>
      </c>
      <c r="J176" s="4" t="n">
        <v>1</v>
      </c>
      <c r="K176" s="4" t="s">
        <v>1244</v>
      </c>
      <c r="L176" s="4" t="s">
        <v>839</v>
      </c>
      <c r="M176" s="4" t="s">
        <v>1197</v>
      </c>
      <c r="N176" s="4" t="s">
        <v>1198</v>
      </c>
      <c r="O176" s="4" t="s">
        <v>669</v>
      </c>
      <c r="P176" s="4"/>
      <c r="Q176" s="4" t="s">
        <v>670</v>
      </c>
      <c r="R176" s="4" t="s">
        <v>671</v>
      </c>
      <c r="S176" s="20" t="n">
        <v>3</v>
      </c>
      <c r="T176" s="4" t="s">
        <v>716</v>
      </c>
      <c r="U176" s="4" t="s">
        <v>673</v>
      </c>
      <c r="V176" s="4"/>
      <c r="W176" s="4" t="s">
        <v>521</v>
      </c>
      <c r="X176" s="4" t="s">
        <v>675</v>
      </c>
      <c r="Y176" s="4"/>
      <c r="Z176" s="4"/>
      <c r="AA176" s="4"/>
      <c r="AB176" s="4"/>
      <c r="AC176" s="4"/>
      <c r="AD176" s="4"/>
      <c r="AE176" s="4"/>
      <c r="AF176" s="21" t="n">
        <f aca="false">IF(T176="USD",1,IF(T176="pct","",INDEX(Parameters!$D$5:$D$7,MATCH(B176,Parameters!$A$5:$A$7,0))))</f>
        <v>1</v>
      </c>
      <c r="AG176" s="22" t="n">
        <f aca="false">IF(AND(R176="specific",ISNUMBER(S176)),S176/AF176,"")</f>
        <v>3</v>
      </c>
      <c r="AH176" s="23" t="n">
        <v>2.5</v>
      </c>
      <c r="AI176" s="22" t="n">
        <f aca="false">IF(NOT(ISNUMBER(AH176)),"",IF(R176="specific",IF(ISNUMBER(AG176),AG176*AH176,""),IF(AND(R176="ad_valorem",ISNUMBER(AJ176)),S176*AJ176/INDEX(Parameters!$D$5:$D$7,MATCH(B176,Parameters!$A$5:$A$7,0))*AH176,"")))</f>
        <v>7.5</v>
      </c>
      <c r="AJ176" s="23" t="n">
        <v>4.10666666666667</v>
      </c>
      <c r="AK176" s="4" t="s">
        <v>1245</v>
      </c>
      <c r="AL176" s="24" t="n">
        <f aca="false">IF(NOT(ISNUMBER(AJ176)),"",IF(R176="specific",S176/AJ176,IF(R176="ad_valorem",S176,"")))</f>
        <v>0.730519480519481</v>
      </c>
      <c r="AM176" s="4" t="s">
        <v>74</v>
      </c>
      <c r="AN176" s="4" t="s">
        <v>69</v>
      </c>
      <c r="AO176" s="25" t="n">
        <f aca="false">IF(AM176="","",IFERROR(INDEX(DQ_Scale!$B$5:$B$14,MATCH(AM176,DQ_Scale!$A$5:$A$14,0)),""))</f>
        <v>4</v>
      </c>
      <c r="AP176" s="4"/>
    </row>
    <row r="177" customFormat="false" ht="23.85" hidden="false" customHeight="false" outlineLevel="0" collapsed="false">
      <c r="A177" s="4" t="s">
        <v>1246</v>
      </c>
      <c r="B177" s="4" t="s">
        <v>1127</v>
      </c>
      <c r="C177" s="4" t="s">
        <v>5</v>
      </c>
      <c r="D177" s="4" t="s">
        <v>81</v>
      </c>
      <c r="E177" s="4" t="s">
        <v>449</v>
      </c>
      <c r="F177" s="4" t="s">
        <v>450</v>
      </c>
      <c r="G177" s="4" t="s">
        <v>525</v>
      </c>
      <c r="H177" s="4" t="s">
        <v>526</v>
      </c>
      <c r="I177" s="4" t="s">
        <v>369</v>
      </c>
      <c r="J177" s="4" t="n">
        <v>1</v>
      </c>
      <c r="K177" s="4" t="s">
        <v>1247</v>
      </c>
      <c r="L177" s="4" t="s">
        <v>1248</v>
      </c>
      <c r="M177" s="4" t="s">
        <v>1197</v>
      </c>
      <c r="N177" s="4" t="s">
        <v>1198</v>
      </c>
      <c r="O177" s="4" t="s">
        <v>669</v>
      </c>
      <c r="P177" s="4"/>
      <c r="Q177" s="4" t="s">
        <v>670</v>
      </c>
      <c r="R177" s="4" t="s">
        <v>671</v>
      </c>
      <c r="S177" s="20" t="n">
        <v>0.45</v>
      </c>
      <c r="T177" s="4" t="s">
        <v>716</v>
      </c>
      <c r="U177" s="4" t="s">
        <v>673</v>
      </c>
      <c r="V177" s="4"/>
      <c r="W177" s="4" t="s">
        <v>530</v>
      </c>
      <c r="X177" s="4" t="s">
        <v>675</v>
      </c>
      <c r="Y177" s="4"/>
      <c r="Z177" s="4"/>
      <c r="AA177" s="4"/>
      <c r="AB177" s="4"/>
      <c r="AC177" s="4"/>
      <c r="AD177" s="4"/>
      <c r="AE177" s="4"/>
      <c r="AF177" s="21" t="n">
        <f aca="false">IF(T177="USD",1,IF(T177="pct","",INDEX(Parameters!$D$5:$D$7,MATCH(B177,Parameters!$A$5:$A$7,0))))</f>
        <v>1</v>
      </c>
      <c r="AG177" s="22" t="n">
        <f aca="false">IF(AND(R177="specific",ISNUMBER(S177)),S177/AF177,"")</f>
        <v>0.45</v>
      </c>
      <c r="AH177" s="23" t="n">
        <v>1</v>
      </c>
      <c r="AI177" s="22" t="n">
        <f aca="false">IF(NOT(ISNUMBER(AH177)),"",IF(R177="specific",IF(ISNUMBER(AG177),AG177*AH177,""),IF(AND(R177="ad_valorem",ISNUMBER(AJ177)),S177*AJ177/INDEX(Parameters!$D$5:$D$7,MATCH(B177,Parameters!$A$5:$A$7,0))*AH177,"")))</f>
        <v>0.45</v>
      </c>
      <c r="AJ177" s="23" t="n">
        <v>1.03030303030303</v>
      </c>
      <c r="AK177" s="4" t="s">
        <v>1249</v>
      </c>
      <c r="AL177" s="24" t="n">
        <f aca="false">IF(NOT(ISNUMBER(AJ177)),"",IF(R177="specific",S177/AJ177,IF(R177="ad_valorem",S177,"")))</f>
        <v>0.436764705882353</v>
      </c>
      <c r="AM177" s="4" t="s">
        <v>74</v>
      </c>
      <c r="AN177" s="4" t="s">
        <v>1250</v>
      </c>
      <c r="AO177" s="25" t="n">
        <f aca="false">IF(AM177="","",IFERROR(INDEX(DQ_Scale!$B$5:$B$14,MATCH(AM177,DQ_Scale!$A$5:$A$14,0)),""))</f>
        <v>4</v>
      </c>
      <c r="AP177" s="4" t="s">
        <v>1251</v>
      </c>
    </row>
    <row r="178" customFormat="false" ht="23.85" hidden="false" customHeight="false" outlineLevel="0" collapsed="false">
      <c r="A178" s="4" t="s">
        <v>1252</v>
      </c>
      <c r="B178" s="4" t="s">
        <v>1127</v>
      </c>
      <c r="C178" s="4" t="s">
        <v>5</v>
      </c>
      <c r="D178" s="4" t="s">
        <v>81</v>
      </c>
      <c r="E178" s="4" t="s">
        <v>449</v>
      </c>
      <c r="F178" s="4" t="s">
        <v>450</v>
      </c>
      <c r="G178" s="4" t="s">
        <v>535</v>
      </c>
      <c r="H178" s="4" t="s">
        <v>536</v>
      </c>
      <c r="I178" s="4" t="s">
        <v>369</v>
      </c>
      <c r="J178" s="4" t="n">
        <v>1</v>
      </c>
      <c r="K178" s="4" t="s">
        <v>1253</v>
      </c>
      <c r="L178" s="4" t="s">
        <v>1254</v>
      </c>
      <c r="M178" s="4" t="s">
        <v>1197</v>
      </c>
      <c r="N178" s="4" t="s">
        <v>1198</v>
      </c>
      <c r="O178" s="4" t="s">
        <v>669</v>
      </c>
      <c r="P178" s="4"/>
      <c r="Q178" s="4" t="s">
        <v>670</v>
      </c>
      <c r="R178" s="4" t="s">
        <v>671</v>
      </c>
      <c r="S178" s="20" t="n">
        <v>0.45</v>
      </c>
      <c r="T178" s="4" t="s">
        <v>716</v>
      </c>
      <c r="U178" s="4" t="s">
        <v>673</v>
      </c>
      <c r="V178" s="4"/>
      <c r="W178" s="4" t="s">
        <v>530</v>
      </c>
      <c r="X178" s="4" t="s">
        <v>675</v>
      </c>
      <c r="Y178" s="4"/>
      <c r="Z178" s="4"/>
      <c r="AA178" s="4"/>
      <c r="AB178" s="4"/>
      <c r="AC178" s="4"/>
      <c r="AD178" s="4"/>
      <c r="AE178" s="4"/>
      <c r="AF178" s="21" t="n">
        <f aca="false">IF(T178="USD",1,IF(T178="pct","",INDEX(Parameters!$D$5:$D$7,MATCH(B178,Parameters!$A$5:$A$7,0))))</f>
        <v>1</v>
      </c>
      <c r="AG178" s="22" t="n">
        <f aca="false">IF(AND(R178="specific",ISNUMBER(S178)),S178/AF178,"")</f>
        <v>0.45</v>
      </c>
      <c r="AH178" s="23" t="n">
        <v>1</v>
      </c>
      <c r="AI178" s="22" t="n">
        <f aca="false">IF(NOT(ISNUMBER(AH178)),"",IF(R178="specific",IF(ISNUMBER(AG178),AG178*AH178,""),IF(AND(R178="ad_valorem",ISNUMBER(AJ178)),S178*AJ178/INDEX(Parameters!$D$5:$D$7,MATCH(B178,Parameters!$A$5:$A$7,0))*AH178,"")))</f>
        <v>0.45</v>
      </c>
      <c r="AJ178" s="4"/>
      <c r="AK178" s="4"/>
      <c r="AL178" s="24" t="str">
        <f aca="false">IF(NOT(ISNUMBER(AJ178)),"",IF(R178="specific",S178/AJ178,IF(R178="ad_valorem",S178,"")))</f>
        <v/>
      </c>
      <c r="AM178" s="4" t="s">
        <v>74</v>
      </c>
      <c r="AN178" s="4" t="s">
        <v>1250</v>
      </c>
      <c r="AO178" s="25" t="n">
        <f aca="false">IF(AM178="","",IFERROR(INDEX(DQ_Scale!$B$5:$B$14,MATCH(AM178,DQ_Scale!$A$5:$A$14,0)),""))</f>
        <v>4</v>
      </c>
      <c r="AP178" s="4"/>
    </row>
    <row r="179" customFormat="false" ht="23.85" hidden="false" customHeight="false" outlineLevel="0" collapsed="false">
      <c r="A179" s="4" t="s">
        <v>1255</v>
      </c>
      <c r="B179" s="4" t="s">
        <v>1127</v>
      </c>
      <c r="C179" s="4" t="s">
        <v>5</v>
      </c>
      <c r="D179" s="4" t="s">
        <v>81</v>
      </c>
      <c r="E179" s="4" t="s">
        <v>449</v>
      </c>
      <c r="F179" s="4" t="s">
        <v>450</v>
      </c>
      <c r="G179" s="4" t="s">
        <v>541</v>
      </c>
      <c r="H179" s="4" t="s">
        <v>542</v>
      </c>
      <c r="I179" s="4" t="s">
        <v>369</v>
      </c>
      <c r="J179" s="4" t="n">
        <v>1</v>
      </c>
      <c r="K179" s="4" t="s">
        <v>1256</v>
      </c>
      <c r="L179" s="4" t="s">
        <v>1248</v>
      </c>
      <c r="M179" s="4" t="s">
        <v>1197</v>
      </c>
      <c r="N179" s="4" t="s">
        <v>1198</v>
      </c>
      <c r="O179" s="4" t="s">
        <v>669</v>
      </c>
      <c r="P179" s="4"/>
      <c r="Q179" s="4" t="s">
        <v>670</v>
      </c>
      <c r="R179" s="4" t="s">
        <v>671</v>
      </c>
      <c r="S179" s="20" t="n">
        <v>0.45</v>
      </c>
      <c r="T179" s="4" t="s">
        <v>716</v>
      </c>
      <c r="U179" s="4" t="s">
        <v>673</v>
      </c>
      <c r="V179" s="4"/>
      <c r="W179" s="4" t="s">
        <v>530</v>
      </c>
      <c r="X179" s="4" t="s">
        <v>675</v>
      </c>
      <c r="Y179" s="4"/>
      <c r="Z179" s="4"/>
      <c r="AA179" s="4"/>
      <c r="AB179" s="4"/>
      <c r="AC179" s="4"/>
      <c r="AD179" s="4"/>
      <c r="AE179" s="4"/>
      <c r="AF179" s="21" t="n">
        <f aca="false">IF(T179="USD",1,IF(T179="pct","",INDEX(Parameters!$D$5:$D$7,MATCH(B179,Parameters!$A$5:$A$7,0))))</f>
        <v>1</v>
      </c>
      <c r="AG179" s="22" t="n">
        <f aca="false">IF(AND(R179="specific",ISNUMBER(S179)),S179/AF179,"")</f>
        <v>0.45</v>
      </c>
      <c r="AH179" s="23" t="n">
        <v>1</v>
      </c>
      <c r="AI179" s="22" t="n">
        <f aca="false">IF(NOT(ISNUMBER(AH179)),"",IF(R179="specific",IF(ISNUMBER(AG179),AG179*AH179,""),IF(AND(R179="ad_valorem",ISNUMBER(AJ179)),S179*AJ179/INDEX(Parameters!$D$5:$D$7,MATCH(B179,Parameters!$A$5:$A$7,0))*AH179,"")))</f>
        <v>0.45</v>
      </c>
      <c r="AJ179" s="4"/>
      <c r="AK179" s="4"/>
      <c r="AL179" s="24" t="str">
        <f aca="false">IF(NOT(ISNUMBER(AJ179)),"",IF(R179="specific",S179/AJ179,IF(R179="ad_valorem",S179,"")))</f>
        <v/>
      </c>
      <c r="AM179" s="4" t="s">
        <v>74</v>
      </c>
      <c r="AN179" s="4" t="s">
        <v>1250</v>
      </c>
      <c r="AO179" s="25" t="n">
        <f aca="false">IF(AM179="","",IFERROR(INDEX(DQ_Scale!$B$5:$B$14,MATCH(AM179,DQ_Scale!$A$5:$A$14,0)),""))</f>
        <v>4</v>
      </c>
      <c r="AP179" s="4"/>
    </row>
    <row r="180" customFormat="false" ht="23.85" hidden="false" customHeight="false" outlineLevel="0" collapsed="false">
      <c r="A180" s="4" t="s">
        <v>1257</v>
      </c>
      <c r="B180" s="4" t="s">
        <v>1127</v>
      </c>
      <c r="C180" s="4" t="s">
        <v>5</v>
      </c>
      <c r="D180" s="4" t="s">
        <v>81</v>
      </c>
      <c r="E180" s="4" t="s">
        <v>449</v>
      </c>
      <c r="F180" s="4" t="s">
        <v>450</v>
      </c>
      <c r="G180" s="4" t="s">
        <v>546</v>
      </c>
      <c r="H180" s="4" t="s">
        <v>547</v>
      </c>
      <c r="I180" s="4" t="s">
        <v>369</v>
      </c>
      <c r="J180" s="4" t="n">
        <v>1</v>
      </c>
      <c r="K180" s="4" t="s">
        <v>1258</v>
      </c>
      <c r="L180" s="4" t="s">
        <v>1259</v>
      </c>
      <c r="M180" s="4" t="s">
        <v>1197</v>
      </c>
      <c r="N180" s="4" t="s">
        <v>1198</v>
      </c>
      <c r="O180" s="4" t="s">
        <v>669</v>
      </c>
      <c r="P180" s="4"/>
      <c r="Q180" s="4" t="s">
        <v>670</v>
      </c>
      <c r="R180" s="4" t="s">
        <v>671</v>
      </c>
      <c r="S180" s="20" t="n">
        <v>0.15</v>
      </c>
      <c r="T180" s="4" t="s">
        <v>716</v>
      </c>
      <c r="U180" s="4" t="s">
        <v>673</v>
      </c>
      <c r="V180" s="4"/>
      <c r="W180" s="4" t="s">
        <v>1260</v>
      </c>
      <c r="X180" s="4" t="s">
        <v>768</v>
      </c>
      <c r="Y180" s="4"/>
      <c r="Z180" s="4"/>
      <c r="AA180" s="4"/>
      <c r="AB180" s="4"/>
      <c r="AC180" s="4"/>
      <c r="AD180" s="4"/>
      <c r="AE180" s="4"/>
      <c r="AF180" s="21" t="n">
        <f aca="false">IF(T180="USD",1,IF(T180="pct","",INDEX(Parameters!$D$5:$D$7,MATCH(B180,Parameters!$A$5:$A$7,0))))</f>
        <v>1</v>
      </c>
      <c r="AG180" s="22" t="n">
        <f aca="false">IF(AND(R180="specific",ISNUMBER(S180)),S180/AF180,"")</f>
        <v>0.15</v>
      </c>
      <c r="AH180" s="23" t="n">
        <v>1</v>
      </c>
      <c r="AI180" s="22" t="n">
        <f aca="false">IF(NOT(ISNUMBER(AH180)),"",IF(R180="specific",IF(ISNUMBER(AG180),AG180*AH180,""),IF(AND(R180="ad_valorem",ISNUMBER(AJ180)),S180*AJ180/INDEX(Parameters!$D$5:$D$7,MATCH(B180,Parameters!$A$5:$A$7,0))*AH180,"")))</f>
        <v>0.15</v>
      </c>
      <c r="AJ180" s="4"/>
      <c r="AK180" s="4"/>
      <c r="AL180" s="24" t="str">
        <f aca="false">IF(NOT(ISNUMBER(AJ180)),"",IF(R180="specific",S180/AJ180,IF(R180="ad_valorem",S180,"")))</f>
        <v/>
      </c>
      <c r="AM180" s="4" t="s">
        <v>74</v>
      </c>
      <c r="AN180" s="4" t="s">
        <v>553</v>
      </c>
      <c r="AO180" s="25" t="n">
        <f aca="false">IF(AM180="","",IFERROR(INDEX(DQ_Scale!$B$5:$B$14,MATCH(AM180,DQ_Scale!$A$5:$A$14,0)),""))</f>
        <v>4</v>
      </c>
      <c r="AP180" s="4" t="s">
        <v>1261</v>
      </c>
    </row>
    <row r="181" customFormat="false" ht="23.85" hidden="false" customHeight="false" outlineLevel="0" collapsed="false">
      <c r="A181" s="4" t="s">
        <v>1262</v>
      </c>
      <c r="B181" s="4" t="s">
        <v>1127</v>
      </c>
      <c r="C181" s="4" t="s">
        <v>5</v>
      </c>
      <c r="D181" s="4" t="s">
        <v>81</v>
      </c>
      <c r="E181" s="4" t="s">
        <v>449</v>
      </c>
      <c r="F181" s="4" t="s">
        <v>450</v>
      </c>
      <c r="G181" s="4" t="s">
        <v>546</v>
      </c>
      <c r="H181" s="4" t="s">
        <v>547</v>
      </c>
      <c r="I181" s="4" t="s">
        <v>369</v>
      </c>
      <c r="J181" s="4" t="n">
        <v>1</v>
      </c>
      <c r="K181" s="4" t="s">
        <v>1263</v>
      </c>
      <c r="L181" s="4" t="s">
        <v>1259</v>
      </c>
      <c r="M181" s="4" t="s">
        <v>1197</v>
      </c>
      <c r="N181" s="4" t="s">
        <v>1198</v>
      </c>
      <c r="O181" s="4" t="s">
        <v>669</v>
      </c>
      <c r="P181" s="4"/>
      <c r="Q181" s="4" t="s">
        <v>670</v>
      </c>
      <c r="R181" s="4" t="s">
        <v>671</v>
      </c>
      <c r="S181" s="20" t="n">
        <v>0</v>
      </c>
      <c r="T181" s="4" t="s">
        <v>716</v>
      </c>
      <c r="U181" s="4" t="s">
        <v>673</v>
      </c>
      <c r="V181" s="4"/>
      <c r="W181" s="4" t="s">
        <v>1264</v>
      </c>
      <c r="X181" s="4" t="s">
        <v>762</v>
      </c>
      <c r="Y181" s="4"/>
      <c r="Z181" s="4"/>
      <c r="AA181" s="4"/>
      <c r="AB181" s="4"/>
      <c r="AC181" s="4"/>
      <c r="AD181" s="4"/>
      <c r="AE181" s="4"/>
      <c r="AF181" s="21" t="n">
        <f aca="false">IF(T181="USD",1,IF(T181="pct","",INDEX(Parameters!$D$5:$D$7,MATCH(B181,Parameters!$A$5:$A$7,0))))</f>
        <v>1</v>
      </c>
      <c r="AG181" s="22" t="n">
        <f aca="false">IF(AND(R181="specific",ISNUMBER(S181)),S181/AF181,"")</f>
        <v>0</v>
      </c>
      <c r="AH181" s="23" t="n">
        <v>1</v>
      </c>
      <c r="AI181" s="22" t="n">
        <f aca="false">IF(NOT(ISNUMBER(AH181)),"",IF(R181="specific",IF(ISNUMBER(AG181),AG181*AH181,""),IF(AND(R181="ad_valorem",ISNUMBER(AJ181)),S181*AJ181/INDEX(Parameters!$D$5:$D$7,MATCH(B181,Parameters!$A$5:$A$7,0))*AH181,"")))</f>
        <v>0</v>
      </c>
      <c r="AJ181" s="4"/>
      <c r="AK181" s="4"/>
      <c r="AL181" s="24" t="str">
        <f aca="false">IF(NOT(ISNUMBER(AJ181)),"",IF(R181="specific",S181/AJ181,IF(R181="ad_valorem",S181,"")))</f>
        <v/>
      </c>
      <c r="AM181" s="4" t="s">
        <v>74</v>
      </c>
      <c r="AN181" s="4" t="s">
        <v>553</v>
      </c>
      <c r="AO181" s="25" t="n">
        <f aca="false">IF(AM181="","",IFERROR(INDEX(DQ_Scale!$B$5:$B$14,MATCH(AM181,DQ_Scale!$A$5:$A$14,0)),""))</f>
        <v>4</v>
      </c>
      <c r="AP181" s="4"/>
    </row>
    <row r="182" customFormat="false" ht="23.85" hidden="false" customHeight="false" outlineLevel="0" collapsed="false">
      <c r="A182" s="4" t="s">
        <v>1265</v>
      </c>
      <c r="B182" s="4" t="s">
        <v>1127</v>
      </c>
      <c r="C182" s="4" t="s">
        <v>5</v>
      </c>
      <c r="D182" s="4" t="s">
        <v>81</v>
      </c>
      <c r="E182" s="4" t="s">
        <v>449</v>
      </c>
      <c r="F182" s="4" t="s">
        <v>450</v>
      </c>
      <c r="G182" s="4" t="s">
        <v>554</v>
      </c>
      <c r="H182" s="4" t="s">
        <v>555</v>
      </c>
      <c r="I182" s="4" t="s">
        <v>556</v>
      </c>
      <c r="J182" s="4" t="n">
        <v>1</v>
      </c>
      <c r="K182" s="4" t="s">
        <v>1266</v>
      </c>
      <c r="L182" s="4" t="s">
        <v>1267</v>
      </c>
      <c r="M182" s="4" t="s">
        <v>1186</v>
      </c>
      <c r="N182" s="4" t="s">
        <v>1187</v>
      </c>
      <c r="O182" s="4" t="s">
        <v>669</v>
      </c>
      <c r="P182" s="4"/>
      <c r="Q182" s="4" t="s">
        <v>670</v>
      </c>
      <c r="R182" s="4" t="s">
        <v>774</v>
      </c>
      <c r="S182" s="31" t="n">
        <v>0.3</v>
      </c>
      <c r="T182" s="4" t="s">
        <v>775</v>
      </c>
      <c r="U182" s="4" t="s">
        <v>776</v>
      </c>
      <c r="V182" s="4" t="s">
        <v>1216</v>
      </c>
      <c r="W182" s="4" t="s">
        <v>194</v>
      </c>
      <c r="X182" s="4" t="s">
        <v>675</v>
      </c>
      <c r="Y182" s="4"/>
      <c r="Z182" s="4"/>
      <c r="AA182" s="4"/>
      <c r="AB182" s="4"/>
      <c r="AC182" s="4"/>
      <c r="AD182" s="4"/>
      <c r="AE182" s="4"/>
      <c r="AF182" s="21" t="str">
        <f aca="false">IF(T182="USD",1,IF(T182="pct","",INDEX(Parameters!$D$5:$D$7,MATCH(B182,Parameters!$A$5:$A$7,0))))</f>
        <v/>
      </c>
      <c r="AG182" s="22" t="str">
        <f aca="false">IF(AND(R182="specific",ISNUMBER(S182)),S182/AF182,"")</f>
        <v/>
      </c>
      <c r="AH182" s="4"/>
      <c r="AI182" s="22" t="str">
        <f aca="false">IF(NOT(ISNUMBER(AH182)),"",IF(R182="specific",IF(ISNUMBER(AG182),AG182*AH182,""),IF(AND(R182="ad_valorem",ISNUMBER(AJ182)),S182*AJ182/INDEX(Parameters!$D$5:$D$7,MATCH(B182,Parameters!$A$5:$A$7,0))*AH182,"")))</f>
        <v/>
      </c>
      <c r="AJ182" s="4"/>
      <c r="AK182" s="4"/>
      <c r="AL182" s="24" t="str">
        <f aca="false">IF(NOT(ISNUMBER(AJ182)),"",IF(R182="specific",S182/AJ182,IF(R182="ad_valorem",S182,"")))</f>
        <v/>
      </c>
      <c r="AM182" s="4" t="s">
        <v>79</v>
      </c>
      <c r="AN182" s="4" t="s">
        <v>448</v>
      </c>
      <c r="AO182" s="25" t="n">
        <f aca="false">IF(AM182="","",IFERROR(INDEX(DQ_Scale!$B$5:$B$14,MATCH(AM182,DQ_Scale!$A$5:$A$14,0)),""))</f>
        <v>5</v>
      </c>
      <c r="AP182" s="4" t="s">
        <v>1268</v>
      </c>
    </row>
    <row r="183" customFormat="false" ht="23.85" hidden="false" customHeight="false" outlineLevel="0" collapsed="false">
      <c r="A183" s="4" t="s">
        <v>1269</v>
      </c>
      <c r="B183" s="4" t="s">
        <v>1127</v>
      </c>
      <c r="C183" s="4" t="s">
        <v>5</v>
      </c>
      <c r="D183" s="4" t="s">
        <v>81</v>
      </c>
      <c r="E183" s="4" t="s">
        <v>420</v>
      </c>
      <c r="F183" s="4" t="s">
        <v>562</v>
      </c>
      <c r="G183" s="4" t="s">
        <v>563</v>
      </c>
      <c r="H183" s="4" t="s">
        <v>564</v>
      </c>
      <c r="I183" s="4" t="s">
        <v>565</v>
      </c>
      <c r="J183" s="4" t="n">
        <v>2</v>
      </c>
      <c r="K183" s="4" t="s">
        <v>1270</v>
      </c>
      <c r="L183" s="4"/>
      <c r="M183" s="4" t="s">
        <v>1271</v>
      </c>
      <c r="N183" s="4" t="s">
        <v>1198</v>
      </c>
      <c r="O183" s="4" t="s">
        <v>669</v>
      </c>
      <c r="P183" s="4"/>
      <c r="Q183" s="4" t="s">
        <v>670</v>
      </c>
      <c r="R183" s="4" t="s">
        <v>774</v>
      </c>
      <c r="S183" s="31" t="n">
        <v>0.05</v>
      </c>
      <c r="T183" s="4" t="s">
        <v>775</v>
      </c>
      <c r="U183" s="4" t="s">
        <v>577</v>
      </c>
      <c r="V183" s="4" t="s">
        <v>1272</v>
      </c>
      <c r="W183" s="4" t="s">
        <v>1273</v>
      </c>
      <c r="X183" s="4" t="s">
        <v>675</v>
      </c>
      <c r="Y183" s="4"/>
      <c r="Z183" s="4"/>
      <c r="AA183" s="4"/>
      <c r="AB183" s="4"/>
      <c r="AC183" s="4"/>
      <c r="AD183" s="4"/>
      <c r="AE183" s="4"/>
      <c r="AF183" s="21" t="str">
        <f aca="false">IF(T183="USD",1,IF(T183="pct","",INDEX(Parameters!$D$5:$D$7,MATCH(B183,Parameters!$A$5:$A$7,0))))</f>
        <v/>
      </c>
      <c r="AG183" s="22" t="str">
        <f aca="false">IF(AND(R183="specific",ISNUMBER(S183)),S183/AF183,"")</f>
        <v/>
      </c>
      <c r="AH183" s="4"/>
      <c r="AI183" s="22" t="str">
        <f aca="false">IF(NOT(ISNUMBER(AH183)),"",IF(R183="specific",IF(ISNUMBER(AG183),AG183*AH183,""),IF(AND(R183="ad_valorem",ISNUMBER(AJ183)),S183*AJ183/INDEX(Parameters!$D$5:$D$7,MATCH(B183,Parameters!$A$5:$A$7,0))*AH183,"")))</f>
        <v/>
      </c>
      <c r="AJ183" s="4"/>
      <c r="AK183" s="4"/>
      <c r="AL183" s="24" t="str">
        <f aca="false">IF(NOT(ISNUMBER(AJ183)),"",IF(R183="specific",S183/AJ183,IF(R183="ad_valorem",S183,"")))</f>
        <v/>
      </c>
      <c r="AM183" s="4" t="s">
        <v>68</v>
      </c>
      <c r="AN183" s="4" t="s">
        <v>573</v>
      </c>
      <c r="AO183" s="25" t="n">
        <f aca="false">IF(AM183="","",IFERROR(INDEX(DQ_Scale!$B$5:$B$14,MATCH(AM183,DQ_Scale!$A$5:$A$14,0)),""))</f>
        <v>3</v>
      </c>
      <c r="AP183" s="4"/>
    </row>
    <row r="184" customFormat="false" ht="23.85" hidden="false" customHeight="false" outlineLevel="0" collapsed="false">
      <c r="A184" s="4" t="s">
        <v>1274</v>
      </c>
      <c r="B184" s="4" t="s">
        <v>1127</v>
      </c>
      <c r="C184" s="4" t="s">
        <v>5</v>
      </c>
      <c r="D184" s="4" t="s">
        <v>81</v>
      </c>
      <c r="E184" s="4" t="s">
        <v>420</v>
      </c>
      <c r="F184" s="4" t="s">
        <v>562</v>
      </c>
      <c r="G184" s="4" t="s">
        <v>575</v>
      </c>
      <c r="H184" s="4" t="s">
        <v>576</v>
      </c>
      <c r="I184" s="4" t="s">
        <v>577</v>
      </c>
      <c r="J184" s="4" t="n">
        <v>2</v>
      </c>
      <c r="K184" s="4" t="s">
        <v>1275</v>
      </c>
      <c r="L184" s="4"/>
      <c r="M184" s="4" t="s">
        <v>1271</v>
      </c>
      <c r="N184" s="4" t="s">
        <v>1198</v>
      </c>
      <c r="O184" s="4" t="s">
        <v>669</v>
      </c>
      <c r="P184" s="4"/>
      <c r="Q184" s="4" t="s">
        <v>670</v>
      </c>
      <c r="R184" s="4" t="s">
        <v>774</v>
      </c>
      <c r="S184" s="31" t="n">
        <v>0.05</v>
      </c>
      <c r="T184" s="4" t="s">
        <v>775</v>
      </c>
      <c r="U184" s="4" t="s">
        <v>577</v>
      </c>
      <c r="V184" s="4" t="s">
        <v>1272</v>
      </c>
      <c r="W184" s="4" t="s">
        <v>1273</v>
      </c>
      <c r="X184" s="4" t="s">
        <v>675</v>
      </c>
      <c r="Y184" s="4"/>
      <c r="Z184" s="4"/>
      <c r="AA184" s="4"/>
      <c r="AB184" s="4"/>
      <c r="AC184" s="4"/>
      <c r="AD184" s="4"/>
      <c r="AE184" s="4"/>
      <c r="AF184" s="21" t="str">
        <f aca="false">IF(T184="USD",1,IF(T184="pct","",INDEX(Parameters!$D$5:$D$7,MATCH(B184,Parameters!$A$5:$A$7,0))))</f>
        <v/>
      </c>
      <c r="AG184" s="22" t="str">
        <f aca="false">IF(AND(R184="specific",ISNUMBER(S184)),S184/AF184,"")</f>
        <v/>
      </c>
      <c r="AH184" s="4"/>
      <c r="AI184" s="22" t="str">
        <f aca="false">IF(NOT(ISNUMBER(AH184)),"",IF(R184="specific",IF(ISNUMBER(AG184),AG184*AH184,""),IF(AND(R184="ad_valorem",ISNUMBER(AJ184)),S184*AJ184/INDEX(Parameters!$D$5:$D$7,MATCH(B184,Parameters!$A$5:$A$7,0))*AH184,"")))</f>
        <v/>
      </c>
      <c r="AJ184" s="4"/>
      <c r="AK184" s="4"/>
      <c r="AL184" s="24" t="str">
        <f aca="false">IF(NOT(ISNUMBER(AJ184)),"",IF(R184="specific",S184/AJ184,IF(R184="ad_valorem",S184,"")))</f>
        <v/>
      </c>
      <c r="AM184" s="4" t="s">
        <v>68</v>
      </c>
      <c r="AN184" s="4" t="s">
        <v>573</v>
      </c>
      <c r="AO184" s="25" t="n">
        <f aca="false">IF(AM184="","",IFERROR(INDEX(DQ_Scale!$B$5:$B$14,MATCH(AM184,DQ_Scale!$A$5:$A$14,0)),""))</f>
        <v>3</v>
      </c>
      <c r="AP184" s="4"/>
    </row>
    <row r="185" customFormat="false" ht="23.85" hidden="false" customHeight="false" outlineLevel="0" collapsed="false">
      <c r="A185" s="16" t="s">
        <v>1276</v>
      </c>
      <c r="B185" s="16" t="s">
        <v>1127</v>
      </c>
      <c r="C185" s="16" t="s">
        <v>5</v>
      </c>
      <c r="D185" s="16" t="s">
        <v>81</v>
      </c>
      <c r="E185" s="16" t="s">
        <v>420</v>
      </c>
      <c r="F185" s="16" t="s">
        <v>583</v>
      </c>
      <c r="G185" s="16" t="s">
        <v>584</v>
      </c>
      <c r="H185" s="16" t="s">
        <v>585</v>
      </c>
      <c r="I185" s="16" t="s">
        <v>586</v>
      </c>
      <c r="J185" s="16" t="n">
        <v>0</v>
      </c>
      <c r="K185" s="16" t="s">
        <v>1277</v>
      </c>
      <c r="L185" s="16"/>
      <c r="M185" s="16"/>
      <c r="N185" s="16"/>
      <c r="O185" s="16" t="s">
        <v>686</v>
      </c>
      <c r="P185" s="16"/>
      <c r="Q185" s="16"/>
      <c r="R185" s="16" t="s">
        <v>687</v>
      </c>
      <c r="S185" s="2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27" t="n">
        <f aca="false">IF(T185="USD",1,IF(T185="pct","",INDEX(Parameters!$D$5:$D$7,MATCH(B185,Parameters!$A$5:$A$7,0))))</f>
        <v>171.592</v>
      </c>
      <c r="AG185" s="28" t="str">
        <f aca="false">IF(AND(R185="specific",ISNUMBER(S185)),S185/AF185,"")</f>
        <v/>
      </c>
      <c r="AH185" s="16"/>
      <c r="AI185" s="28" t="str">
        <f aca="false">IF(NOT(ISNUMBER(AH185)),"",IF(R185="specific",IF(ISNUMBER(AG185),AG185*AH185,""),IF(AND(R185="ad_valorem",ISNUMBER(AJ185)),S185*AJ185/INDEX(Parameters!$D$5:$D$7,MATCH(B185,Parameters!$A$5:$A$7,0))*AH185,"")))</f>
        <v/>
      </c>
      <c r="AJ185" s="16"/>
      <c r="AK185" s="16"/>
      <c r="AL185" s="29" t="str">
        <f aca="false">IF(NOT(ISNUMBER(AJ185)),"",IF(R185="specific",S185/AJ185,IF(R185="ad_valorem",S185,"")))</f>
        <v/>
      </c>
      <c r="AM185" s="16" t="s">
        <v>120</v>
      </c>
      <c r="AN185" s="16" t="s">
        <v>405</v>
      </c>
      <c r="AO185" s="30" t="n">
        <f aca="false">IF(AM185="","",IFERROR(INDEX(DQ_Scale!$B$5:$B$14,MATCH(AM185,DQ_Scale!$A$5:$A$14,0)),""))</f>
        <v>4</v>
      </c>
      <c r="AP185" s="16"/>
    </row>
    <row r="186" customFormat="false" ht="15" hidden="false" customHeight="false" outlineLevel="0" collapsed="false">
      <c r="A186" s="16" t="s">
        <v>1278</v>
      </c>
      <c r="B186" s="16" t="s">
        <v>1127</v>
      </c>
      <c r="C186" s="16" t="s">
        <v>5</v>
      </c>
      <c r="D186" s="16" t="s">
        <v>81</v>
      </c>
      <c r="E186" s="16" t="s">
        <v>420</v>
      </c>
      <c r="F186" s="16" t="s">
        <v>590</v>
      </c>
      <c r="G186" s="16" t="s">
        <v>180</v>
      </c>
      <c r="H186" s="16" t="s">
        <v>591</v>
      </c>
      <c r="I186" s="16" t="s">
        <v>592</v>
      </c>
      <c r="J186" s="16" t="n">
        <v>0</v>
      </c>
      <c r="K186" s="16" t="s">
        <v>1279</v>
      </c>
      <c r="L186" s="16"/>
      <c r="M186" s="16"/>
      <c r="N186" s="16"/>
      <c r="O186" s="16" t="s">
        <v>686</v>
      </c>
      <c r="P186" s="16"/>
      <c r="Q186" s="16"/>
      <c r="R186" s="16" t="s">
        <v>687</v>
      </c>
      <c r="S186" s="2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27" t="n">
        <f aca="false">IF(T186="USD",1,IF(T186="pct","",INDEX(Parameters!$D$5:$D$7,MATCH(B186,Parameters!$A$5:$A$7,0))))</f>
        <v>171.592</v>
      </c>
      <c r="AG186" s="28" t="str">
        <f aca="false">IF(AND(R186="specific",ISNUMBER(S186)),S186/AF186,"")</f>
        <v/>
      </c>
      <c r="AH186" s="16"/>
      <c r="AI186" s="28" t="str">
        <f aca="false">IF(NOT(ISNUMBER(AH186)),"",IF(R186="specific",IF(ISNUMBER(AG186),AG186*AH186,""),IF(AND(R186="ad_valorem",ISNUMBER(AJ186)),S186*AJ186/INDEX(Parameters!$D$5:$D$7,MATCH(B186,Parameters!$A$5:$A$7,0))*AH186,"")))</f>
        <v/>
      </c>
      <c r="AJ186" s="16"/>
      <c r="AK186" s="16"/>
      <c r="AL186" s="29" t="str">
        <f aca="false">IF(NOT(ISNUMBER(AJ186)),"",IF(R186="specific",S186/AJ186,IF(R186="ad_valorem",S186,"")))</f>
        <v/>
      </c>
      <c r="AM186" s="16" t="s">
        <v>120</v>
      </c>
      <c r="AN186" s="16" t="s">
        <v>405</v>
      </c>
      <c r="AO186" s="30" t="n">
        <f aca="false">IF(AM186="","",IFERROR(INDEX(DQ_Scale!$B$5:$B$14,MATCH(AM186,DQ_Scale!$A$5:$A$14,0)),""))</f>
        <v>4</v>
      </c>
      <c r="AP186" s="16"/>
    </row>
    <row r="187" customFormat="false" ht="15" hidden="false" customHeight="false" outlineLevel="0" collapsed="false">
      <c r="A187" s="16" t="s">
        <v>1280</v>
      </c>
      <c r="B187" s="16" t="s">
        <v>1127</v>
      </c>
      <c r="C187" s="16" t="s">
        <v>5</v>
      </c>
      <c r="D187" s="16" t="s">
        <v>81</v>
      </c>
      <c r="E187" s="16" t="s">
        <v>420</v>
      </c>
      <c r="F187" s="16" t="s">
        <v>590</v>
      </c>
      <c r="G187" s="16" t="s">
        <v>189</v>
      </c>
      <c r="H187" s="16" t="s">
        <v>597</v>
      </c>
      <c r="I187" s="16" t="s">
        <v>598</v>
      </c>
      <c r="J187" s="16" t="n">
        <v>0</v>
      </c>
      <c r="K187" s="16" t="s">
        <v>1281</v>
      </c>
      <c r="L187" s="16"/>
      <c r="M187" s="16"/>
      <c r="N187" s="16"/>
      <c r="O187" s="16" t="s">
        <v>686</v>
      </c>
      <c r="P187" s="16"/>
      <c r="Q187" s="16"/>
      <c r="R187" s="16" t="s">
        <v>687</v>
      </c>
      <c r="S187" s="2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27" t="n">
        <f aca="false">IF(T187="USD",1,IF(T187="pct","",INDEX(Parameters!$D$5:$D$7,MATCH(B187,Parameters!$A$5:$A$7,0))))</f>
        <v>171.592</v>
      </c>
      <c r="AG187" s="28" t="str">
        <f aca="false">IF(AND(R187="specific",ISNUMBER(S187)),S187/AF187,"")</f>
        <v/>
      </c>
      <c r="AH187" s="16"/>
      <c r="AI187" s="28" t="str">
        <f aca="false">IF(NOT(ISNUMBER(AH187)),"",IF(R187="specific",IF(ISNUMBER(AG187),AG187*AH187,""),IF(AND(R187="ad_valorem",ISNUMBER(AJ187)),S187*AJ187/INDEX(Parameters!$D$5:$D$7,MATCH(B187,Parameters!$A$5:$A$7,0))*AH187,"")))</f>
        <v/>
      </c>
      <c r="AJ187" s="16"/>
      <c r="AK187" s="16"/>
      <c r="AL187" s="29" t="str">
        <f aca="false">IF(NOT(ISNUMBER(AJ187)),"",IF(R187="specific",S187/AJ187,IF(R187="ad_valorem",S187,"")))</f>
        <v/>
      </c>
      <c r="AM187" s="16" t="s">
        <v>120</v>
      </c>
      <c r="AN187" s="16" t="s">
        <v>405</v>
      </c>
      <c r="AO187" s="30" t="n">
        <f aca="false">IF(AM187="","",IFERROR(INDEX(DQ_Scale!$B$5:$B$14,MATCH(AM187,DQ_Scale!$A$5:$A$14,0)),""))</f>
        <v>4</v>
      </c>
      <c r="AP187" s="16"/>
    </row>
    <row r="188" customFormat="false" ht="46.25" hidden="false" customHeight="false" outlineLevel="0" collapsed="false">
      <c r="A188" s="4" t="s">
        <v>1282</v>
      </c>
      <c r="B188" s="4" t="s">
        <v>1127</v>
      </c>
      <c r="C188" s="4" t="s">
        <v>5</v>
      </c>
      <c r="D188" s="4" t="s">
        <v>81</v>
      </c>
      <c r="E188" s="4" t="s">
        <v>420</v>
      </c>
      <c r="F188" s="4" t="s">
        <v>590</v>
      </c>
      <c r="G188" s="4" t="s">
        <v>198</v>
      </c>
      <c r="H188" s="4" t="s">
        <v>603</v>
      </c>
      <c r="I188" s="4" t="s">
        <v>423</v>
      </c>
      <c r="J188" s="4" t="n">
        <v>1</v>
      </c>
      <c r="K188" s="4" t="s">
        <v>1283</v>
      </c>
      <c r="L188" s="4" t="s">
        <v>1284</v>
      </c>
      <c r="M188" s="4" t="s">
        <v>1186</v>
      </c>
      <c r="N188" s="4" t="s">
        <v>1187</v>
      </c>
      <c r="O188" s="4" t="s">
        <v>669</v>
      </c>
      <c r="P188" s="4"/>
      <c r="Q188" s="4" t="s">
        <v>670</v>
      </c>
      <c r="R188" s="4" t="s">
        <v>774</v>
      </c>
      <c r="S188" s="31" t="n">
        <v>0.05</v>
      </c>
      <c r="T188" s="4" t="s">
        <v>775</v>
      </c>
      <c r="U188" s="4" t="s">
        <v>776</v>
      </c>
      <c r="V188" s="4" t="s">
        <v>1216</v>
      </c>
      <c r="W188" s="4" t="s">
        <v>607</v>
      </c>
      <c r="X188" s="4" t="s">
        <v>675</v>
      </c>
      <c r="Y188" s="4"/>
      <c r="Z188" s="4"/>
      <c r="AA188" s="4"/>
      <c r="AB188" s="4"/>
      <c r="AC188" s="4"/>
      <c r="AD188" s="4"/>
      <c r="AE188" s="4"/>
      <c r="AF188" s="21" t="str">
        <f aca="false">IF(T188="USD",1,IF(T188="pct","",INDEX(Parameters!$D$5:$D$7,MATCH(B188,Parameters!$A$5:$A$7,0))))</f>
        <v/>
      </c>
      <c r="AG188" s="22" t="str">
        <f aca="false">IF(AND(R188="specific",ISNUMBER(S188)),S188/AF188,"")</f>
        <v/>
      </c>
      <c r="AH188" s="4"/>
      <c r="AI188" s="22" t="str">
        <f aca="false">IF(NOT(ISNUMBER(AH188)),"",IF(R188="specific",IF(ISNUMBER(AG188),AG188*AH188,""),IF(AND(R188="ad_valorem",ISNUMBER(AJ188)),S188*AJ188/INDEX(Parameters!$D$5:$D$7,MATCH(B188,Parameters!$A$5:$A$7,0))*AH188,"")))</f>
        <v/>
      </c>
      <c r="AJ188" s="4"/>
      <c r="AK188" s="4"/>
      <c r="AL188" s="24" t="str">
        <f aca="false">IF(NOT(ISNUMBER(AJ188)),"",IF(R188="specific",S188/AJ188,IF(R188="ad_valorem",S188,"")))</f>
        <v/>
      </c>
      <c r="AM188" s="4" t="s">
        <v>79</v>
      </c>
      <c r="AN188" s="4" t="s">
        <v>426</v>
      </c>
      <c r="AO188" s="25" t="n">
        <f aca="false">IF(AM188="","",IFERROR(INDEX(DQ_Scale!$B$5:$B$14,MATCH(AM188,DQ_Scale!$A$5:$A$14,0)),""))</f>
        <v>5</v>
      </c>
      <c r="AP188" s="4"/>
    </row>
    <row r="189" customFormat="false" ht="15" hidden="false" customHeight="false" outlineLevel="0" collapsed="false">
      <c r="A189" s="16" t="s">
        <v>1285</v>
      </c>
      <c r="B189" s="16" t="s">
        <v>1127</v>
      </c>
      <c r="C189" s="16" t="s">
        <v>5</v>
      </c>
      <c r="D189" s="16" t="s">
        <v>81</v>
      </c>
      <c r="E189" s="16" t="s">
        <v>420</v>
      </c>
      <c r="F189" s="16" t="s">
        <v>590</v>
      </c>
      <c r="G189" s="16" t="s">
        <v>207</v>
      </c>
      <c r="H189" s="16" t="s">
        <v>608</v>
      </c>
      <c r="I189" s="16" t="s">
        <v>191</v>
      </c>
      <c r="J189" s="16" t="n">
        <v>0</v>
      </c>
      <c r="K189" s="16" t="s">
        <v>1119</v>
      </c>
      <c r="L189" s="16"/>
      <c r="M189" s="16"/>
      <c r="N189" s="16"/>
      <c r="O189" s="16" t="s">
        <v>686</v>
      </c>
      <c r="P189" s="16"/>
      <c r="Q189" s="16"/>
      <c r="R189" s="16" t="s">
        <v>687</v>
      </c>
      <c r="S189" s="2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27" t="n">
        <f aca="false">IF(T189="USD",1,IF(T189="pct","",INDEX(Parameters!$D$5:$D$7,MATCH(B189,Parameters!$A$5:$A$7,0))))</f>
        <v>171.592</v>
      </c>
      <c r="AG189" s="28" t="str">
        <f aca="false">IF(AND(R189="specific",ISNUMBER(S189)),S189/AF189,"")</f>
        <v/>
      </c>
      <c r="AH189" s="16"/>
      <c r="AI189" s="28" t="str">
        <f aca="false">IF(NOT(ISNUMBER(AH189)),"",IF(R189="specific",IF(ISNUMBER(AG189),AG189*AH189,""),IF(AND(R189="ad_valorem",ISNUMBER(AJ189)),S189*AJ189/INDEX(Parameters!$D$5:$D$7,MATCH(B189,Parameters!$A$5:$A$7,0))*AH189,"")))</f>
        <v/>
      </c>
      <c r="AJ189" s="16"/>
      <c r="AK189" s="16"/>
      <c r="AL189" s="29" t="str">
        <f aca="false">IF(NOT(ISNUMBER(AJ189)),"",IF(R189="specific",S189/AJ189,IF(R189="ad_valorem",S189,"")))</f>
        <v/>
      </c>
      <c r="AM189" s="16" t="s">
        <v>120</v>
      </c>
      <c r="AN189" s="16" t="s">
        <v>405</v>
      </c>
      <c r="AO189" s="30" t="n">
        <f aca="false">IF(AM189="","",IFERROR(INDEX(DQ_Scale!$B$5:$B$14,MATCH(AM189,DQ_Scale!$A$5:$A$14,0)),""))</f>
        <v>4</v>
      </c>
      <c r="AP189" s="16"/>
    </row>
    <row r="190" customFormat="false" ht="23.85" hidden="false" customHeight="false" outlineLevel="0" collapsed="false">
      <c r="A190" s="4" t="s">
        <v>1286</v>
      </c>
      <c r="B190" s="4" t="s">
        <v>1127</v>
      </c>
      <c r="C190" s="4" t="s">
        <v>5</v>
      </c>
      <c r="D190" s="4" t="s">
        <v>81</v>
      </c>
      <c r="E190" s="4" t="s">
        <v>420</v>
      </c>
      <c r="F190" s="4" t="s">
        <v>610</v>
      </c>
      <c r="G190" s="4" t="s">
        <v>611</v>
      </c>
      <c r="H190" s="4" t="s">
        <v>612</v>
      </c>
      <c r="I190" s="4" t="s">
        <v>191</v>
      </c>
      <c r="J190" s="4" t="n">
        <v>1</v>
      </c>
      <c r="K190" s="4" t="s">
        <v>1287</v>
      </c>
      <c r="L190" s="4" t="s">
        <v>1288</v>
      </c>
      <c r="M190" s="4" t="s">
        <v>1186</v>
      </c>
      <c r="N190" s="4" t="s">
        <v>1187</v>
      </c>
      <c r="O190" s="4" t="s">
        <v>669</v>
      </c>
      <c r="P190" s="4"/>
      <c r="Q190" s="4" t="s">
        <v>670</v>
      </c>
      <c r="R190" s="4" t="s">
        <v>774</v>
      </c>
      <c r="S190" s="31" t="n">
        <v>0.2</v>
      </c>
      <c r="T190" s="4" t="s">
        <v>775</v>
      </c>
      <c r="U190" s="4" t="s">
        <v>776</v>
      </c>
      <c r="V190" s="4" t="s">
        <v>1216</v>
      </c>
      <c r="W190" s="4" t="s">
        <v>798</v>
      </c>
      <c r="X190" s="4" t="s">
        <v>675</v>
      </c>
      <c r="Y190" s="4"/>
      <c r="Z190" s="4"/>
      <c r="AA190" s="4"/>
      <c r="AB190" s="4"/>
      <c r="AC190" s="4"/>
      <c r="AD190" s="4"/>
      <c r="AE190" s="4"/>
      <c r="AF190" s="21" t="str">
        <f aca="false">IF(T190="USD",1,IF(T190="pct","",INDEX(Parameters!$D$5:$D$7,MATCH(B190,Parameters!$A$5:$A$7,0))))</f>
        <v/>
      </c>
      <c r="AG190" s="22" t="str">
        <f aca="false">IF(AND(R190="specific",ISNUMBER(S190)),S190/AF190,"")</f>
        <v/>
      </c>
      <c r="AH190" s="4"/>
      <c r="AI190" s="22" t="str">
        <f aca="false">IF(NOT(ISNUMBER(AH190)),"",IF(R190="specific",IF(ISNUMBER(AG190),AG190*AH190,""),IF(AND(R190="ad_valorem",ISNUMBER(AJ190)),S190*AJ190/INDEX(Parameters!$D$5:$D$7,MATCH(B190,Parameters!$A$5:$A$7,0))*AH190,"")))</f>
        <v/>
      </c>
      <c r="AJ190" s="4"/>
      <c r="AK190" s="4"/>
      <c r="AL190" s="24" t="str">
        <f aca="false">IF(NOT(ISNUMBER(AJ190)),"",IF(R190="specific",S190/AJ190,IF(R190="ad_valorem",S190,"")))</f>
        <v/>
      </c>
      <c r="AM190" s="4" t="s">
        <v>79</v>
      </c>
      <c r="AN190" s="4" t="s">
        <v>426</v>
      </c>
      <c r="AO190" s="25" t="n">
        <f aca="false">IF(AM190="","",IFERROR(INDEX(DQ_Scale!$B$5:$B$14,MATCH(AM190,DQ_Scale!$A$5:$A$14,0)),""))</f>
        <v>5</v>
      </c>
      <c r="AP190" s="4"/>
    </row>
    <row r="191" customFormat="false" ht="23.85" hidden="false" customHeight="false" outlineLevel="0" collapsed="false">
      <c r="A191" s="4" t="s">
        <v>1289</v>
      </c>
      <c r="B191" s="4" t="s">
        <v>1127</v>
      </c>
      <c r="C191" s="4" t="s">
        <v>5</v>
      </c>
      <c r="D191" s="4" t="s">
        <v>81</v>
      </c>
      <c r="E191" s="4" t="s">
        <v>420</v>
      </c>
      <c r="F191" s="4" t="s">
        <v>610</v>
      </c>
      <c r="G191" s="4" t="s">
        <v>611</v>
      </c>
      <c r="H191" s="4" t="s">
        <v>612</v>
      </c>
      <c r="I191" s="4" t="s">
        <v>191</v>
      </c>
      <c r="J191" s="4" t="n">
        <v>1</v>
      </c>
      <c r="K191" s="4" t="s">
        <v>1290</v>
      </c>
      <c r="L191" s="4" t="s">
        <v>1291</v>
      </c>
      <c r="M191" s="4" t="s">
        <v>1186</v>
      </c>
      <c r="N191" s="4" t="s">
        <v>1187</v>
      </c>
      <c r="O191" s="4" t="s">
        <v>669</v>
      </c>
      <c r="P191" s="4"/>
      <c r="Q191" s="4" t="s">
        <v>670</v>
      </c>
      <c r="R191" s="4" t="s">
        <v>774</v>
      </c>
      <c r="S191" s="31" t="n">
        <v>0.1</v>
      </c>
      <c r="T191" s="4" t="s">
        <v>775</v>
      </c>
      <c r="U191" s="4" t="s">
        <v>776</v>
      </c>
      <c r="V191" s="4" t="s">
        <v>1216</v>
      </c>
      <c r="W191" s="4" t="s">
        <v>910</v>
      </c>
      <c r="X191" s="4" t="s">
        <v>675</v>
      </c>
      <c r="Y191" s="4"/>
      <c r="Z191" s="4"/>
      <c r="AA191" s="4"/>
      <c r="AB191" s="4"/>
      <c r="AC191" s="4"/>
      <c r="AD191" s="4"/>
      <c r="AE191" s="4"/>
      <c r="AF191" s="21" t="str">
        <f aca="false">IF(T191="USD",1,IF(T191="pct","",INDEX(Parameters!$D$5:$D$7,MATCH(B191,Parameters!$A$5:$A$7,0))))</f>
        <v/>
      </c>
      <c r="AG191" s="22" t="str">
        <f aca="false">IF(AND(R191="specific",ISNUMBER(S191)),S191/AF191,"")</f>
        <v/>
      </c>
      <c r="AH191" s="4"/>
      <c r="AI191" s="22" t="str">
        <f aca="false">IF(NOT(ISNUMBER(AH191)),"",IF(R191="specific",IF(ISNUMBER(AG191),AG191*AH191,""),IF(AND(R191="ad_valorem",ISNUMBER(AJ191)),S191*AJ191/INDEX(Parameters!$D$5:$D$7,MATCH(B191,Parameters!$A$5:$A$7,0))*AH191,"")))</f>
        <v/>
      </c>
      <c r="AJ191" s="4"/>
      <c r="AK191" s="4"/>
      <c r="AL191" s="24" t="str">
        <f aca="false">IF(NOT(ISNUMBER(AJ191)),"",IF(R191="specific",S191/AJ191,IF(R191="ad_valorem",S191,"")))</f>
        <v/>
      </c>
      <c r="AM191" s="4" t="s">
        <v>79</v>
      </c>
      <c r="AN191" s="4" t="s">
        <v>426</v>
      </c>
      <c r="AO191" s="25" t="n">
        <f aca="false">IF(AM191="","",IFERROR(INDEX(DQ_Scale!$B$5:$B$14,MATCH(AM191,DQ_Scale!$A$5:$A$14,0)),""))</f>
        <v>5</v>
      </c>
      <c r="AP191" s="4"/>
    </row>
  </sheetData>
  <autoFilter ref="A4:AP191"/>
  <conditionalFormatting sqref="AO5:AO191">
    <cfRule type="colorScale" priority="2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dataValidations count="5">
    <dataValidation allowBlank="true" errorStyle="stop" operator="between" showDropDown="false" showErrorMessage="false" showInputMessage="false" sqref="AM5:AM391" type="list">
      <formula1>"verified,verified_open_point,corrected,partly_verified,not_verified,not_reviewed,estimate,last_legible,assumption,data_gap"</formula1>
      <formula2>0</formula2>
    </dataValidation>
    <dataValidation allowBlank="true" errorStyle="stop" operator="between" showDropDown="false" showErrorMessage="false" showInputMessage="false" sqref="R5:R391" type="list">
      <formula1>"specific,ad_valorem,unspecified,none"</formula1>
      <formula2>0</formula2>
    </dataValidation>
    <dataValidation allowBlank="true" errorStyle="stop" operator="between" showDropDown="false" showErrorMessage="false" showInputMessage="false" sqref="Q5:Q391" type="list">
      <formula1>"single,higher_of,compound"</formula1>
      <formula2>0</formula2>
    </dataValidation>
    <dataValidation allowBlank="true" errorStyle="stop" operator="between" showDropDown="false" showErrorMessage="false" showInputMessage="false" sqref="O5:O391" type="list">
      <formula1>"current,last_legible,not_covered"</formula1>
      <formula2>0</formula2>
    </dataValidation>
    <dataValidation allowBlank="true" errorStyle="stop" operator="between" showDropDown="false" showErrorMessage="false" showInputMessage="false" sqref="J5:J391" type="list">
      <formula1>"0,1,2"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4" min="3" style="0" width="12"/>
    <col collapsed="false" customWidth="true" hidden="false" outlineLevel="0" max="5" min="5" style="0" width="14"/>
    <col collapsed="false" customWidth="true" hidden="false" outlineLevel="0" max="6" min="6" style="0" width="48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44"/>
    <col collapsed="false" customWidth="true" hidden="false" outlineLevel="0" max="10" min="10" style="0" width="40"/>
  </cols>
  <sheetData>
    <row r="1" customFormat="false" ht="17.35" hidden="false" customHeight="false" outlineLevel="0" collapsed="false">
      <c r="A1" s="1" t="s">
        <v>1292</v>
      </c>
    </row>
    <row r="2" customFormat="false" ht="15" hidden="false" customHeight="false" outlineLevel="0" collapsed="false">
      <c r="A2" s="2" t="s">
        <v>1293</v>
      </c>
    </row>
    <row r="4" customFormat="false" ht="23.85" hidden="false" customHeight="false" outlineLevel="0" collapsed="false">
      <c r="A4" s="3" t="s">
        <v>1294</v>
      </c>
      <c r="B4" s="3" t="s">
        <v>1295</v>
      </c>
      <c r="C4" s="3" t="s">
        <v>1296</v>
      </c>
      <c r="D4" s="3" t="s">
        <v>85</v>
      </c>
      <c r="E4" s="3" t="s">
        <v>1297</v>
      </c>
      <c r="F4" s="3" t="s">
        <v>1298</v>
      </c>
      <c r="G4" s="3" t="s">
        <v>7</v>
      </c>
      <c r="H4" s="3" t="s">
        <v>1299</v>
      </c>
      <c r="I4" s="3" t="s">
        <v>1300</v>
      </c>
      <c r="J4" s="3" t="s">
        <v>1301</v>
      </c>
    </row>
    <row r="5" customFormat="false" ht="23.85" hidden="false" customHeight="false" outlineLevel="0" collapsed="false">
      <c r="A5" s="4" t="s">
        <v>666</v>
      </c>
      <c r="B5" s="4" t="s">
        <v>3</v>
      </c>
      <c r="C5" s="4" t="s">
        <v>672</v>
      </c>
      <c r="D5" s="33" t="n">
        <v>22</v>
      </c>
      <c r="E5" s="4" t="s">
        <v>87</v>
      </c>
      <c r="F5" s="4" t="s">
        <v>1302</v>
      </c>
      <c r="G5" s="4" t="s">
        <v>78</v>
      </c>
      <c r="H5" s="34" t="n">
        <v>7.5</v>
      </c>
      <c r="I5" s="4" t="s">
        <v>1303</v>
      </c>
      <c r="J5" s="4" t="s">
        <v>1304</v>
      </c>
    </row>
    <row r="6" customFormat="false" ht="23.85" hidden="false" customHeight="false" outlineLevel="0" collapsed="false">
      <c r="A6" s="4" t="s">
        <v>925</v>
      </c>
      <c r="B6" s="4" t="s">
        <v>4</v>
      </c>
      <c r="C6" s="4" t="s">
        <v>929</v>
      </c>
      <c r="D6" s="33" t="n">
        <v>3750</v>
      </c>
      <c r="E6" s="4" t="s">
        <v>71</v>
      </c>
      <c r="F6" s="4" t="s">
        <v>1305</v>
      </c>
      <c r="G6" s="4" t="s">
        <v>78</v>
      </c>
      <c r="H6" s="34" t="n">
        <v>55</v>
      </c>
      <c r="I6" s="4" t="s">
        <v>1306</v>
      </c>
      <c r="J6" s="4" t="s">
        <v>1307</v>
      </c>
    </row>
    <row r="7" customFormat="false" ht="23.85" hidden="false" customHeight="false" outlineLevel="0" collapsed="false">
      <c r="A7" s="4" t="s">
        <v>1127</v>
      </c>
      <c r="B7" s="4" t="s">
        <v>5</v>
      </c>
      <c r="C7" s="4" t="s">
        <v>1308</v>
      </c>
      <c r="D7" s="33" t="n">
        <v>171.592</v>
      </c>
      <c r="E7" s="4" t="s">
        <v>79</v>
      </c>
      <c r="F7" s="4" t="s">
        <v>1309</v>
      </c>
      <c r="G7" s="4" t="s">
        <v>81</v>
      </c>
      <c r="H7" s="34" t="n">
        <v>5.2459389</v>
      </c>
      <c r="I7" s="4" t="s">
        <v>1310</v>
      </c>
      <c r="J7" s="4" t="s">
        <v>1311</v>
      </c>
    </row>
    <row r="9" customFormat="false" ht="23.85" hidden="false" customHeight="false" outlineLevel="0" collapsed="false">
      <c r="A9" s="9" t="s">
        <v>1312</v>
      </c>
    </row>
    <row r="10" customFormat="false" ht="15" hidden="false" customHeight="true" outlineLevel="0" collapsed="false">
      <c r="A10" s="4" t="s">
        <v>1313</v>
      </c>
      <c r="B10" s="4"/>
      <c r="C10" s="4"/>
      <c r="D10" s="35" t="n">
        <v>0.05</v>
      </c>
    </row>
    <row r="11" customFormat="false" ht="15" hidden="false" customHeight="true" outlineLevel="0" collapsed="false">
      <c r="A11" s="4" t="s">
        <v>1314</v>
      </c>
      <c r="B11" s="4"/>
      <c r="C11" s="4"/>
      <c r="D11" s="35" t="n">
        <v>0.04</v>
      </c>
    </row>
    <row r="12" customFormat="false" ht="15" hidden="false" customHeight="true" outlineLevel="0" collapsed="false">
      <c r="A12" s="4" t="s">
        <v>1315</v>
      </c>
      <c r="B12" s="4"/>
      <c r="C12" s="4"/>
      <c r="D12" s="35" t="n">
        <v>0.12</v>
      </c>
    </row>
    <row r="13" customFormat="false" ht="15" hidden="false" customHeight="true" outlineLevel="0" collapsed="false">
      <c r="A13" s="4" t="s">
        <v>1316</v>
      </c>
      <c r="B13" s="4"/>
      <c r="C13" s="4"/>
      <c r="D13" s="35" t="n">
        <v>0.4</v>
      </c>
    </row>
    <row r="14" customFormat="false" ht="23.85" hidden="false" customHeight="true" outlineLevel="0" collapsed="false">
      <c r="A14" s="4" t="s">
        <v>1317</v>
      </c>
      <c r="B14" s="4"/>
      <c r="C14" s="4"/>
      <c r="D14" s="35" t="n">
        <v>0.02</v>
      </c>
    </row>
    <row r="15" customFormat="false" ht="15" hidden="false" customHeight="true" outlineLevel="0" collapsed="false">
      <c r="A15" s="4" t="s">
        <v>1318</v>
      </c>
      <c r="B15" s="4"/>
      <c r="C15" s="4"/>
      <c r="D15" s="35" t="n">
        <v>3.785411784</v>
      </c>
    </row>
  </sheetData>
  <mergeCells count="6">
    <mergeCell ref="A10:C10"/>
    <mergeCell ref="A11:C11"/>
    <mergeCell ref="A12:C12"/>
    <mergeCell ref="A13:C13"/>
    <mergeCell ref="A14:C14"/>
    <mergeCell ref="A15:C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"/>
    <col collapsed="false" customWidth="true" hidden="false" outlineLevel="0" max="3" min="3" style="0" width="90"/>
  </cols>
  <sheetData>
    <row r="1" customFormat="false" ht="17.35" hidden="false" customHeight="false" outlineLevel="0" collapsed="false">
      <c r="A1" s="1" t="s">
        <v>1319</v>
      </c>
    </row>
    <row r="2" customFormat="false" ht="15" hidden="false" customHeight="false" outlineLevel="0" collapsed="false">
      <c r="A2" s="2" t="s">
        <v>1320</v>
      </c>
    </row>
    <row r="4" customFormat="false" ht="15" hidden="false" customHeight="false" outlineLevel="0" collapsed="false">
      <c r="A4" s="3" t="s">
        <v>1321</v>
      </c>
      <c r="B4" s="3" t="s">
        <v>1322</v>
      </c>
      <c r="C4" s="3" t="s">
        <v>1323</v>
      </c>
    </row>
    <row r="5" customFormat="false" ht="15" hidden="false" customHeight="false" outlineLevel="0" collapsed="false">
      <c r="A5" s="4" t="s">
        <v>79</v>
      </c>
      <c r="B5" s="23" t="n">
        <v>5</v>
      </c>
      <c r="C5" s="4" t="s">
        <v>1324</v>
      </c>
    </row>
    <row r="6" customFormat="false" ht="23.85" hidden="false" customHeight="false" outlineLevel="0" collapsed="false">
      <c r="A6" s="4" t="s">
        <v>74</v>
      </c>
      <c r="B6" s="23" t="n">
        <v>4</v>
      </c>
      <c r="C6" s="4" t="s">
        <v>1325</v>
      </c>
    </row>
    <row r="7" customFormat="false" ht="15" hidden="false" customHeight="false" outlineLevel="0" collapsed="false">
      <c r="A7" s="4" t="s">
        <v>120</v>
      </c>
      <c r="B7" s="23" t="n">
        <v>4</v>
      </c>
      <c r="C7" s="4" t="s">
        <v>1326</v>
      </c>
    </row>
    <row r="8" customFormat="false" ht="23.85" hidden="false" customHeight="false" outlineLevel="0" collapsed="false">
      <c r="A8" s="4" t="s">
        <v>68</v>
      </c>
      <c r="B8" s="23" t="n">
        <v>3</v>
      </c>
      <c r="C8" s="4" t="s">
        <v>1327</v>
      </c>
    </row>
    <row r="9" customFormat="false" ht="15" hidden="false" customHeight="false" outlineLevel="0" collapsed="false">
      <c r="A9" s="4" t="s">
        <v>202</v>
      </c>
      <c r="B9" s="23" t="n">
        <v>2</v>
      </c>
      <c r="C9" s="4" t="s">
        <v>1328</v>
      </c>
    </row>
    <row r="10" customFormat="false" ht="15" hidden="false" customHeight="false" outlineLevel="0" collapsed="false">
      <c r="A10" s="4" t="s">
        <v>71</v>
      </c>
      <c r="B10" s="23" t="n">
        <v>2</v>
      </c>
      <c r="C10" s="4" t="s">
        <v>1329</v>
      </c>
    </row>
    <row r="11" customFormat="false" ht="15" hidden="false" customHeight="false" outlineLevel="0" collapsed="false">
      <c r="A11" s="4" t="s">
        <v>141</v>
      </c>
      <c r="B11" s="23" t="n">
        <v>2</v>
      </c>
      <c r="C11" s="4" t="s">
        <v>1330</v>
      </c>
    </row>
    <row r="12" customFormat="false" ht="15" hidden="false" customHeight="false" outlineLevel="0" collapsed="false">
      <c r="A12" s="4" t="s">
        <v>234</v>
      </c>
      <c r="B12" s="23" t="n">
        <v>1</v>
      </c>
      <c r="C12" s="4" t="s">
        <v>1331</v>
      </c>
    </row>
    <row r="13" customFormat="false" ht="15" hidden="false" customHeight="false" outlineLevel="0" collapsed="false">
      <c r="A13" s="4" t="s">
        <v>87</v>
      </c>
      <c r="B13" s="23" t="n">
        <v>1</v>
      </c>
      <c r="C13" s="4" t="s">
        <v>1332</v>
      </c>
    </row>
    <row r="14" customFormat="false" ht="15" hidden="false" customHeight="false" outlineLevel="0" collapsed="false">
      <c r="A14" s="4" t="s">
        <v>123</v>
      </c>
      <c r="B14" s="23" t="n">
        <v>1</v>
      </c>
      <c r="C14" s="4" t="s">
        <v>1333</v>
      </c>
    </row>
    <row r="16" customFormat="false" ht="15" hidden="false" customHeight="false" outlineLevel="0" collapsed="false">
      <c r="A16" s="8" t="s">
        <v>1334</v>
      </c>
      <c r="B16" s="8" t="s">
        <v>1335</v>
      </c>
      <c r="C16" s="8" t="s">
        <v>1336</v>
      </c>
    </row>
    <row r="17" customFormat="false" ht="15" hidden="false" customHeight="false" outlineLevel="0" collapsed="false">
      <c r="A17" s="4" t="n">
        <v>5</v>
      </c>
      <c r="B17" s="4" t="s">
        <v>1337</v>
      </c>
      <c r="C17" s="4" t="s">
        <v>1338</v>
      </c>
    </row>
    <row r="18" customFormat="false" ht="15" hidden="false" customHeight="false" outlineLevel="0" collapsed="false">
      <c r="A18" s="4" t="n">
        <v>4</v>
      </c>
      <c r="B18" s="4" t="s">
        <v>1339</v>
      </c>
      <c r="C18" s="4" t="s">
        <v>1340</v>
      </c>
    </row>
    <row r="19" customFormat="false" ht="15" hidden="false" customHeight="false" outlineLevel="0" collapsed="false">
      <c r="A19" s="4" t="n">
        <v>3</v>
      </c>
      <c r="B19" s="4" t="s">
        <v>1341</v>
      </c>
      <c r="C19" s="4" t="s">
        <v>1342</v>
      </c>
    </row>
    <row r="20" customFormat="false" ht="15" hidden="false" customHeight="false" outlineLevel="0" collapsed="false">
      <c r="A20" s="4" t="n">
        <v>2</v>
      </c>
      <c r="B20" s="4" t="s">
        <v>1343</v>
      </c>
      <c r="C20" s="4" t="s">
        <v>1344</v>
      </c>
    </row>
    <row r="21" customFormat="false" ht="15" hidden="false" customHeight="false" outlineLevel="0" collapsed="false">
      <c r="A21" s="4" t="n">
        <v>1</v>
      </c>
      <c r="B21" s="4" t="s">
        <v>1345</v>
      </c>
      <c r="C21" s="4" t="s">
        <v>1346</v>
      </c>
    </row>
    <row r="23" customFormat="false" ht="15" hidden="false" customHeight="false" outlineLevel="0" collapsed="false">
      <c r="A23" s="9" t="s">
        <v>1347</v>
      </c>
    </row>
    <row r="24" customFormat="false" ht="45" hidden="false" customHeight="true" outlineLevel="0" collapsed="false">
      <c r="A24" s="4" t="s">
        <v>1348</v>
      </c>
      <c r="B24" s="4"/>
      <c r="C24" s="4"/>
    </row>
  </sheetData>
  <mergeCells count="1">
    <mergeCell ref="A24:C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0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6" min="5" style="0" width="40"/>
  </cols>
  <sheetData>
    <row r="1" customFormat="false" ht="17.35" hidden="false" customHeight="false" outlineLevel="0" collapsed="false">
      <c r="A1" s="1" t="s">
        <v>1349</v>
      </c>
    </row>
    <row r="4" customFormat="false" ht="15" hidden="false" customHeight="false" outlineLevel="0" collapsed="false">
      <c r="A4" s="3" t="s">
        <v>1295</v>
      </c>
      <c r="B4" s="3" t="s">
        <v>1350</v>
      </c>
      <c r="C4" s="3" t="s">
        <v>1351</v>
      </c>
      <c r="D4" s="3" t="s">
        <v>1352</v>
      </c>
      <c r="E4" s="3" t="s">
        <v>1353</v>
      </c>
      <c r="F4" s="3" t="s">
        <v>1354</v>
      </c>
    </row>
    <row r="5" customFormat="false" ht="23.85" hidden="false" customHeight="false" outlineLevel="0" collapsed="false">
      <c r="A5" s="4" t="s">
        <v>1355</v>
      </c>
      <c r="B5" s="4" t="s">
        <v>1356</v>
      </c>
      <c r="C5" s="4" t="s">
        <v>1357</v>
      </c>
      <c r="D5" s="4" t="s">
        <v>78</v>
      </c>
      <c r="E5" s="4" t="s">
        <v>1358</v>
      </c>
      <c r="F5" s="4" t="s">
        <v>1359</v>
      </c>
    </row>
    <row r="6" customFormat="false" ht="23.85" hidden="false" customHeight="false" outlineLevel="0" collapsed="false">
      <c r="A6" s="4" t="s">
        <v>666</v>
      </c>
      <c r="B6" s="4" t="s">
        <v>1360</v>
      </c>
      <c r="C6" s="4" t="s">
        <v>1361</v>
      </c>
      <c r="D6" s="4" t="s">
        <v>667</v>
      </c>
      <c r="E6" s="4" t="s">
        <v>1362</v>
      </c>
      <c r="F6" s="4" t="s">
        <v>1363</v>
      </c>
    </row>
    <row r="7" customFormat="false" ht="23.85" hidden="false" customHeight="false" outlineLevel="0" collapsed="false">
      <c r="A7" s="4" t="s">
        <v>1127</v>
      </c>
      <c r="B7" s="4" t="s">
        <v>1364</v>
      </c>
      <c r="C7" s="4" t="s">
        <v>1365</v>
      </c>
      <c r="D7" s="4" t="s">
        <v>81</v>
      </c>
      <c r="E7" s="4" t="s">
        <v>1366</v>
      </c>
      <c r="F7" s="4" t="s">
        <v>1367</v>
      </c>
    </row>
    <row r="8" customFormat="false" ht="23.85" hidden="false" customHeight="false" outlineLevel="0" collapsed="false">
      <c r="A8" s="4" t="s">
        <v>1368</v>
      </c>
      <c r="B8" s="4" t="s">
        <v>1369</v>
      </c>
      <c r="C8" s="4" t="s">
        <v>1370</v>
      </c>
      <c r="D8" s="4" t="s">
        <v>397</v>
      </c>
      <c r="E8" s="4" t="s">
        <v>397</v>
      </c>
      <c r="F8" s="4" t="s">
        <v>1371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2026-09-29T21:01:22Z</dcterms:created>
  <dc:creator>openpyxl</dc:creator>
  <dc:description/>
  <dc:language>en-US</dc:language>
  <cp:lastModifiedBy/>
  <dcterms:modified xsi:type="dcterms:W3CDTF">2026-09-29T21:01:23Z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